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616a27afe88498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Теория" sheetId="1" r:id="R4e35c8a985d54362"/>
    <x:sheet xmlns:r="http://schemas.openxmlformats.org/officeDocument/2006/relationships" name="dirty_data" sheetId="2" r:id="Rdb9b988cb044421c"/>
    <x:sheet xmlns:r="http://schemas.openxmlformats.org/officeDocument/2006/relationships" name="1_Обзор" sheetId="3" r:id="R37df8e964ccf4f32"/>
    <x:sheet xmlns:r="http://schemas.openxmlformats.org/officeDocument/2006/relationships" name="2_Пропуски" sheetId="4" r:id="R25548275defc4244"/>
    <x:sheet xmlns:r="http://schemas.openxmlformats.org/officeDocument/2006/relationships" name="3_Заполнение" sheetId="5" r:id="R5c9b39d008bd4f59"/>
    <x:sheet xmlns:r="http://schemas.openxmlformats.org/officeDocument/2006/relationships" name="4_Дубликаты" sheetId="6" r:id="Re112367f073d4d60"/>
    <x:sheet xmlns:r="http://schemas.openxmlformats.org/officeDocument/2006/relationships" name="5_Типы_и_Итог" sheetId="7" r:id="R18a59488b0dd4331"/>
    <x:sheet xmlns:r="http://schemas.openxmlformats.org/officeDocument/2006/relationships" name="6_Тест" sheetId="8" r:id="Rf5b5a67fd5a04a2c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4" authorId="0">
      <x:text>
        <x:r>
          <x:t>Пропуск в исходных данных</x:t>
        </x:r>
      </x:text>
    </x:comment>
    <x:comment ref="F5" authorId="0">
      <x:text>
        <x:r>
          <x:t>Пропуск в исходных данных</x:t>
        </x:r>
      </x:text>
    </x:comment>
    <x:comment ref="G6" authorId="0">
      <x:text>
        <x:r>
          <x:t>Пропуск в исходных данных</x:t>
        </x:r>
      </x:text>
    </x:comment>
    <x:comment ref="H10" authorId="0">
      <x:text>
        <x:r>
          <x:t>Пропуск в исходных данных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color rgb="00000000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DEDED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</x:fills>
  <x:borders count="2">
    <x:border>
      <x:left/>
      <x:right/>
      <x:top/>
      <x:bottom/>
      <x:diagonal/>
    </x:border>
    <x:border>
      <x:bottom style="thin">
        <x:color rgb="00D0D0D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2" fillId="4" borderId="1" xfId="0" applyAlignment="1">
      <x:alignment vertical="center" wrapText="1"/>
    </x:xf>
    <x:xf numFmtId="1" fontId="0" fillId="0" borderId="0" xfId="0" applyAlignment="1">
      <x:alignment vertical="center" wrapText="1"/>
    </x:xf>
    <x:xf numFmtId="3" fontId="0" fillId="0" borderId="0" xfId="0" applyAlignment="1">
      <x:alignment vertical="center" wrapText="1"/>
    </x:xf>
    <x:xf numFmtId="1" fontId="0" fillId="5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6" borderId="0" xfId="0" applyAlignment="1">
      <x:alignment vertical="center" wrapText="1"/>
    </x:xf>
    <x:xf numFmtId="3" fontId="0" fillId="5" borderId="0" xfId="0" applyAlignment="1">
      <x:alignment vertical="center" wrapText="1"/>
    </x:xf>
    <x:xf numFmtId="1" fontId="0" fillId="6" borderId="0" xfId="0" applyAlignment="1">
      <x:alignment vertical="center" wrapText="1"/>
    </x:xf>
    <x:xf numFmtId="3" fontId="0" fillId="6" borderId="0" xfId="0" applyAlignment="1">
      <x:alignment vertical="center" wrapText="1"/>
    </x:xf>
    <x:xf numFmtId="0" fontId="3" fillId="4" borderId="1" xfId="0" applyAlignment="1">
      <x:alignment vertical="center" wrapText="1"/>
    </x:xf>
    <x:xf numFmtId="0" fontId="3" fillId="0" borderId="0" xfId="0" applyAlignment="1">
      <x:alignment vertical="center" wrapText="1"/>
    </x:xf>
    <x:xf numFmtId="0" fontId="2" fillId="4" borderId="0" xfId="0" applyAlignment="1">
      <x:alignment vertical="center" wrapText="1"/>
    </x:xf>
    <x:xf numFmtId="1" fontId="3" fillId="0" borderId="0" xfId="0" applyAlignment="1">
      <x:alignment vertical="center" wrapText="1"/>
    </x:xf>
    <x:xf numFmtId="3" fontId="3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 standalone="yes"?>
<Relationships xmlns="http://schemas.openxmlformats.org/package/2006/relationships"><Relationship Id="R4e35c8a985d54362" Type="http://schemas.openxmlformats.org/officeDocument/2006/relationships/worksheet" Target="/xl/worksheets/sheet1.xml"/><Relationship Id="R25548275defc4244" Type="http://schemas.openxmlformats.org/officeDocument/2006/relationships/worksheet" Target="/xl/worksheets/sheet4.xml"/><Relationship Id="rId3" Type="http://schemas.openxmlformats.org/officeDocument/2006/relationships/customXml" Target="../customXml/item3.xml"/><Relationship Id="R18a59488b0dd4331" Type="http://schemas.openxmlformats.org/officeDocument/2006/relationships/worksheet" Target="/xl/worksheets/sheet7.xml"/><Relationship Id="R47c167f5b9864d72" Type="http://schemas.microsoft.com/office/2017/10/relationships/person" Target="/xl/persons/person.xml"/><Relationship Id="R37df8e964ccf4f32" Type="http://schemas.openxmlformats.org/officeDocument/2006/relationships/worksheet" Target="/xl/worksheets/sheet3.xml"/><Relationship Id="Re112367f073d4d60" Type="http://schemas.openxmlformats.org/officeDocument/2006/relationships/worksheet" Target="/xl/worksheets/sheet6.xml"/><Relationship Id="rId2" Type="http://schemas.openxmlformats.org/officeDocument/2006/relationships/customXml" Target="../customXml/item2.xml"/><Relationship Id="Rdb9b988cb044421c" Type="http://schemas.openxmlformats.org/officeDocument/2006/relationships/worksheet" Target="/xl/worksheets/sheet2.xml"/><Relationship Id="Rf5b5a67fd5a04a2c" Type="http://schemas.openxmlformats.org/officeDocument/2006/relationships/worksheet" Target="/xl/worksheets/sheet8.xml"/><Relationship Id="rId1" Type="http://schemas.openxmlformats.org/officeDocument/2006/relationships/customXml" Target="../customXml/item1.xml"/><Relationship Id="R8f1b3e8f0d7944b4" Type="http://schemas.openxmlformats.org/officeDocument/2006/relationships/sharedStrings" Target="/xl/sharedStrings.xml"/><Relationship Id="R5c9b39d008bd4f59" Type="http://schemas.openxmlformats.org/officeDocument/2006/relationships/worksheet" Target="/xl/worksheets/sheet5.xml"/><Relationship Id="Rfc70150e554e455b" Type="http://schemas.openxmlformats.org/officeDocument/2006/relationships/styles" Target="/xl/styles.xml"/><Relationship Id="Rc18450c45fcb47e7" Type="http://schemas.openxmlformats.org/officeDocument/2006/relationships/theme" Target="/xl/theme/theme1.xml"/></Relationships>
</file>

<file path=xl/persons/person.xml><?xml version="1.0" encoding="utf-8"?>
<xltc:personList xmlns:xltc="http://schemas.microsoft.com/office/spreadsheetml/2018/threadedcomments">
  <xltc:person displayName="OpenAI" id="{1D3F3185-3760-0E3C-08D8-92476A404F4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dcef5bbc36f4470" /><Relationship Type="http://schemas.openxmlformats.org/officeDocument/2006/relationships/vmlDrawing" Target="/xl/drawings/vmldrawing.vml" Id="Rabc9a56218044be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10" customWidth="1"/>
    <x:col min="3" max="3" width="12" customWidth="1"/>
    <x:col min="4" max="4" width="12" customWidth="1"/>
    <x:col min="5" max="5" width="12" customWidth="1"/>
    <x:col min="6" max="6" width="12" customWidth="1"/>
  </x:cols>
  <x:sheetData>
    <x:row r="1" ht="24" customHeight="1">
      <x:c r="A1" s="1" t="inlineStr">
        <x:is>
          <x:t xml:space="preserve">Занятие 7. Очистка данных: пропуски, дубликаты и типы данных</x:t>
        </x:is>
      </x:c>
    </x:row>
    <x:row r="2">
      <x:c r="A2" s="2" t="n"/>
      <x:c r="B2" s="2" t="n"/>
      <x:c r="C2" s="2" t="n"/>
      <x:c r="D2" s="2" t="n"/>
      <x:c r="E2" s="2" t="n"/>
      <x:c r="F2" s="2" t="n"/>
    </x:row>
    <x:row r="3">
      <x:c r="A3" s="3" t="inlineStr">
        <x:is>
          <x:t xml:space="preserve">Тема</x:t>
        </x:is>
      </x:c>
      <x:c r="B3" s="2" t="inlineStr">
        <x:is>
          <x:t xml:space="preserve">Как находить пропуски, заполнять их, удалять дубликаты и приводить столбцы к нужным типам.</x:t>
        </x:is>
      </x:c>
      <x:c r="C3" s="2" t="n"/>
      <x:c r="D3" s="2" t="n"/>
      <x:c r="E3" s="2" t="n"/>
      <x:c r="F3" s="2" t="n"/>
    </x:row>
    <x:row r="4">
      <x:c r="A4" s="3" t="inlineStr">
        <x:is>
          <x:t xml:space="preserve">Зачем это нужно</x:t>
        </x:is>
      </x:c>
      <x:c r="B4" s="2" t="inlineStr">
        <x:is>
          <x:t xml:space="preserve">Перед анализом и обучением моделей данные почти всегда приходится очищать.</x:t>
        </x:is>
      </x:c>
      <x:c r="C4" s="2" t="n"/>
      <x:c r="D4" s="2" t="n"/>
      <x:c r="E4" s="2" t="n"/>
      <x:c r="F4" s="2" t="n"/>
    </x:row>
    <x:row r="5">
      <x:c r="A5" s="3" t="inlineStr">
        <x:is>
          <x:t xml:space="preserve">Ключевые методы Python</x:t>
        </x:is>
      </x:c>
      <x:c r="B5" s="2" t="inlineStr">
        <x:is>
          <x:t xml:space="preserve">pd.read_excel(), isna(), sum(), fillna(), dropna(), duplicated(), drop_duplicates(), astype().</x:t>
        </x:is>
      </x:c>
      <x:c r="C5" s="2" t="n"/>
      <x:c r="D5" s="2" t="n"/>
      <x:c r="E5" s="2" t="n"/>
      <x:c r="F5" s="2" t="n"/>
    </x:row>
    <x:row r="6">
      <x:c r="A6" s="3" t="inlineStr">
        <x:is>
          <x:t xml:space="preserve">Ключевые действия в Excel</x:t>
        </x:is>
      </x:c>
      <x:c r="B6" s="2" t="inlineStr">
        <x:is>
          <x:t xml:space="preserve">COUNTBLANK, IF, COUNTIFS, копирование формул и финальная таблица без дублей.</x:t>
        </x:is>
      </x:c>
      <x:c r="C6" s="2" t="n"/>
      <x:c r="D6" s="2" t="n"/>
      <x:c r="E6" s="2" t="n"/>
      <x:c r="F6" s="2" t="n"/>
    </x:row>
    <x:row r="7">
      <x:c r="A7" s="3" t="inlineStr">
        <x:is>
          <x:t xml:space="preserve">Что будет в ноутбуке</x:t>
        </x:is>
      </x:c>
      <x:c r="B7" s="2" t="inlineStr">
        <x:is>
          <x:t xml:space="preserve">Сначала загрузим грязные данные, потом найдём пропуски, заполним их, уберём дубликаты и посчитаем итоговую выручку.</x:t>
        </x:is>
      </x:c>
      <x:c r="C7" s="2" t="n"/>
      <x:c r="D7" s="2" t="n"/>
      <x:c r="E7" s="2" t="n"/>
      <x:c r="F7" s="2" t="n"/>
    </x:row>
    <x:row r="8">
      <x:c r="A8" s="3" t="inlineStr">
        <x:is>
          <x:t xml:space="preserve">Как использовать</x:t>
        </x:is>
      </x:c>
      <x:c r="B8" s="2" t="inlineStr">
        <x:is>
          <x:t xml:space="preserve">Положите ноутбук и этот Excel-файл в одну папку. В ноутбуке открывайте лист dirty_data.</x:t>
        </x:is>
      </x:c>
      <x:c r="C8" s="2" t="n"/>
      <x:c r="D8" s="2" t="n"/>
      <x:c r="E8" s="2" t="n"/>
      <x:c r="F8" s="2" t="n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4" customWidth="1"/>
    <x:col min="4" max="4" width="14" customWidth="1"/>
    <x:col min="5" max="5" width="18" customWidth="1"/>
    <x:col min="6" max="6" width="10" customWidth="1"/>
    <x:col min="7" max="7" width="12" customWidth="1"/>
    <x:col min="8" max="8" width="14" customWidth="1"/>
  </x:cols>
  <x:sheetData>
    <x:row r="1" ht="24" customHeight="1">
      <x:c r="A1" s="1" t="inlineStr">
        <x:is>
          <x:t xml:space="preserve">Лист dirty_data — исходные «грязные» данные для ноутбука</x:t>
        </x:is>
      </x:c>
    </x:row>
    <x:row r="2">
      <x:c r="A2" s="4" t="inlineStr">
        <x:is>
          <x:t xml:space="preserve">order_id</x:t>
        </x:is>
      </x:c>
      <x:c r="B2" s="4" t="inlineStr">
        <x:is>
          <x:t xml:space="preserve">client</x:t>
        </x:is>
      </x:c>
      <x:c r="C2" s="4" t="inlineStr">
        <x:is>
          <x:t xml:space="preserve">city</x:t>
        </x:is>
      </x:c>
      <x:c r="D2" s="4" t="inlineStr">
        <x:is>
          <x:t xml:space="preserve">category</x:t>
        </x:is>
      </x:c>
      <x:c r="E2" s="4" t="inlineStr">
        <x:is>
          <x:t xml:space="preserve">product</x:t>
        </x:is>
      </x:c>
      <x:c r="F2" s="4" t="inlineStr">
        <x:is>
          <x:t xml:space="preserve">quantity</x:t>
        </x:is>
      </x:c>
      <x:c r="G2" s="4" t="inlineStr">
        <x:is>
          <x:t xml:space="preserve">price</x:t>
        </x:is>
      </x:c>
      <x:c r="H2" s="4" t="inlineStr">
        <x:is>
          <x:t xml:space="preserve">manager</x:t>
        </x:is>
      </x:c>
    </x:row>
    <x:row r="3">
      <x:c r="A3" s="5" t="n">
        <x:v>101</x:v>
      </x:c>
      <x:c r="B3" s="2" t="inlineStr">
        <x:is>
          <x:t xml:space="preserve">ООО Альфа</x:t>
        </x:is>
      </x:c>
      <x:c r="C3" s="2" t="inlineStr">
        <x:is>
          <x:t xml:space="preserve">Москва</x:t>
        </x:is>
      </x:c>
      <x:c r="D3" s="2" t="inlineStr">
        <x:is>
          <x:t xml:space="preserve">Ноутбуки</x:t>
        </x:is>
      </x:c>
      <x:c r="E3" s="2" t="inlineStr">
        <x:is>
          <x:t xml:space="preserve">Notebook Air</x:t>
        </x:is>
      </x:c>
      <x:c r="F3" s="5" t="n">
        <x:v>2</x:v>
      </x:c>
      <x:c r="G3" s="6" t="n">
        <x:v>55000</x:v>
      </x:c>
      <x:c r="H3" s="2" t="inlineStr">
        <x:is>
          <x:t xml:space="preserve">Анна</x:t>
        </x:is>
      </x:c>
    </x:row>
    <x:row r="4">
      <x:c r="A4" s="7" t="n">
        <x:v>102</x:v>
      </x:c>
      <x:c r="B4" s="8" t="inlineStr">
        <x:is>
          <x:t xml:space="preserve">ООО Бета</x:t>
        </x:is>
      </x:c>
      <x:c r="C4" s="9" t="n"/>
      <x:c r="D4" s="8" t="inlineStr">
        <x:is>
          <x:t xml:space="preserve">Мониторы</x:t>
        </x:is>
      </x:c>
      <x:c r="E4" s="8" t="inlineStr">
        <x:is>
          <x:t xml:space="preserve">Монитор 24</x:t>
        </x:is>
      </x:c>
      <x:c r="F4" s="7" t="n">
        <x:v>1</x:v>
      </x:c>
      <x:c r="G4" s="10" t="n">
        <x:v>18000</x:v>
      </x:c>
      <x:c r="H4" s="8" t="inlineStr">
        <x:is>
          <x:t xml:space="preserve">Борис</x:t>
        </x:is>
      </x:c>
    </x:row>
    <x:row r="5">
      <x:c r="A5" s="7" t="n">
        <x:v>103</x:v>
      </x:c>
      <x:c r="B5" s="8" t="inlineStr">
        <x:is>
          <x:t xml:space="preserve">ИП Гамма</x:t>
        </x:is>
      </x:c>
      <x:c r="C5" s="8" t="inlineStr">
        <x:is>
          <x:t xml:space="preserve">Уфа</x:t>
        </x:is>
      </x:c>
      <x:c r="D5" s="8" t="inlineStr">
        <x:is>
          <x:t xml:space="preserve">Периферия</x:t>
        </x:is>
      </x:c>
      <x:c r="E5" s="8" t="inlineStr">
        <x:is>
          <x:t xml:space="preserve">Мышь Pro</x:t>
        </x:is>
      </x:c>
      <x:c r="F5" s="11" t="n"/>
      <x:c r="G5" s="10" t="n">
        <x:v>1500</x:v>
      </x:c>
      <x:c r="H5" s="8" t="inlineStr">
        <x:is>
          <x:t xml:space="preserve">Анна</x:t>
        </x:is>
      </x:c>
    </x:row>
    <x:row r="6">
      <x:c r="A6" s="7" t="n">
        <x:v>104</x:v>
      </x:c>
      <x:c r="B6" s="8" t="inlineStr">
        <x:is>
          <x:t xml:space="preserve">ООО Дельта</x:t>
        </x:is>
      </x:c>
      <x:c r="C6" s="8" t="inlineStr">
        <x:is>
          <x:t xml:space="preserve">Самара</x:t>
        </x:is>
      </x:c>
      <x:c r="D6" s="8" t="inlineStr">
        <x:is>
          <x:t xml:space="preserve">Ноутбуки</x:t>
        </x:is>
      </x:c>
      <x:c r="E6" s="8" t="inlineStr">
        <x:is>
          <x:t xml:space="preserve">Notebook Pro</x:t>
        </x:is>
      </x:c>
      <x:c r="F6" s="7" t="n">
        <x:v>1</x:v>
      </x:c>
      <x:c r="G6" s="12" t="n"/>
      <x:c r="H6" s="8" t="inlineStr">
        <x:is>
          <x:t xml:space="preserve">Виктор</x:t>
        </x:is>
      </x:c>
    </x:row>
    <x:row r="7">
      <x:c r="A7" s="5" t="n">
        <x:v>105</x:v>
      </x:c>
      <x:c r="B7" s="2" t="inlineStr">
        <x:is>
          <x:t xml:space="preserve">ИП Омега</x:t>
        </x:is>
      </x:c>
      <x:c r="C7" s="2" t="inlineStr">
        <x:is>
          <x:t xml:space="preserve">Омск</x:t>
        </x:is>
      </x:c>
      <x:c r="D7" s="2" t="inlineStr">
        <x:is>
          <x:t xml:space="preserve">Периферия</x:t>
        </x:is>
      </x:c>
      <x:c r="E7" s="2" t="inlineStr">
        <x:is>
          <x:t xml:space="preserve">Клавиатура</x:t>
        </x:is>
      </x:c>
      <x:c r="F7" s="5" t="n">
        <x:v>4</x:v>
      </x:c>
      <x:c r="G7" s="6" t="n">
        <x:v>3200</x:v>
      </x:c>
      <x:c r="H7" s="2" t="inlineStr">
        <x:is>
          <x:t xml:space="preserve">Анна</x:t>
        </x:is>
      </x:c>
    </x:row>
    <x:row r="8">
      <x:c r="A8" s="5" t="n">
        <x:v>105</x:v>
      </x:c>
      <x:c r="B8" s="2" t="inlineStr">
        <x:is>
          <x:t xml:space="preserve">ИП Омега</x:t>
        </x:is>
      </x:c>
      <x:c r="C8" s="2" t="inlineStr">
        <x:is>
          <x:t xml:space="preserve">Омск</x:t>
        </x:is>
      </x:c>
      <x:c r="D8" s="2" t="inlineStr">
        <x:is>
          <x:t xml:space="preserve">Периферия</x:t>
        </x:is>
      </x:c>
      <x:c r="E8" s="2" t="inlineStr">
        <x:is>
          <x:t xml:space="preserve">Клавиатура</x:t>
        </x:is>
      </x:c>
      <x:c r="F8" s="5" t="n">
        <x:v>4</x:v>
      </x:c>
      <x:c r="G8" s="6" t="n">
        <x:v>3200</x:v>
      </x:c>
      <x:c r="H8" s="2" t="inlineStr">
        <x:is>
          <x:t xml:space="preserve">Анна</x:t>
        </x:is>
      </x:c>
    </x:row>
    <x:row r="9">
      <x:c r="A9" s="5" t="n">
        <x:v>106</x:v>
      </x:c>
      <x:c r="B9" s="2" t="inlineStr">
        <x:is>
          <x:t xml:space="preserve">ООО Сигма</x:t>
        </x:is>
      </x:c>
      <x:c r="C9" s="2" t="inlineStr">
        <x:is>
          <x:t xml:space="preserve">Казань</x:t>
        </x:is>
      </x:c>
      <x:c r="D9" s="2" t="inlineStr">
        <x:is>
          <x:t xml:space="preserve">Мониторы</x:t>
        </x:is>
      </x:c>
      <x:c r="E9" s="2" t="inlineStr">
        <x:is>
          <x:t xml:space="preserve">Монитор 27</x:t>
        </x:is>
      </x:c>
      <x:c r="F9" s="5" t="n">
        <x:v>3</x:v>
      </x:c>
      <x:c r="G9" s="6" t="n">
        <x:v>21000</x:v>
      </x:c>
      <x:c r="H9" s="2" t="inlineStr">
        <x:is>
          <x:t xml:space="preserve">Елена</x:t>
        </x:is>
      </x:c>
    </x:row>
    <x:row r="10">
      <x:c r="A10" s="7" t="n">
        <x:v>107</x:v>
      </x:c>
      <x:c r="B10" s="8" t="inlineStr">
        <x:is>
          <x:t xml:space="preserve">ООО Тета</x:t>
        </x:is>
      </x:c>
      <x:c r="C10" s="8" t="inlineStr">
        <x:is>
          <x:t xml:space="preserve">Пермь</x:t>
        </x:is>
      </x:c>
      <x:c r="D10" s="8" t="inlineStr">
        <x:is>
          <x:t xml:space="preserve">Периферия</x:t>
        </x:is>
      </x:c>
      <x:c r="E10" s="8" t="inlineStr">
        <x:is>
          <x:t xml:space="preserve">Кабель HDMI</x:t>
        </x:is>
      </x:c>
      <x:c r="F10" s="7" t="n">
        <x:v>5</x:v>
      </x:c>
      <x:c r="G10" s="10" t="n">
        <x:v>900</x:v>
      </x:c>
      <x:c r="H10" s="9" t="n"/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abc9a56218044be2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42" customWidth="1"/>
    <x:col min="4" max="4" width="12" customWidth="1"/>
    <x:col min="5" max="5" width="18" customWidth="1"/>
    <x:col min="6" max="6" width="14" customWidth="1"/>
    <x:col min="7" max="7" width="14" customWidth="1"/>
    <x:col min="8" max="8" width="18" customWidth="1"/>
    <x:col min="9" max="9" width="10" customWidth="1"/>
    <x:col min="10" max="10" width="12" customWidth="1"/>
    <x:col min="11" max="11" width="14" customWidth="1"/>
  </x:cols>
  <x:sheetData>
    <x:row r="1" ht="24" customHeight="1">
      <x:c r="A1" s="1" t="inlineStr">
        <x:is>
          <x:t xml:space="preserve">Шаг 1. Загружаем таблицу и смотрим на её структуру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>
      <x:c r="A3" s="4" t="inlineStr">
        <x:is>
          <x:t xml:space="preserve">Показатель</x:t>
        </x:is>
      </x:c>
      <x:c r="B3" s="4" t="inlineStr">
        <x:is>
          <x:t xml:space="preserve">Значение</x:t>
        </x:is>
      </x:c>
      <x:c r="C3" s="2" t="n"/>
      <x:c r="D3" s="3" t="inlineStr">
        <x:is>
          <x:t xml:space="preserve">Первые строки raw-таблицы</x:t>
        </x:is>
      </x:c>
      <x:c r="E3" s="2" t="n"/>
      <x:c r="F3" s="2" t="n"/>
      <x:c r="G3" s="2" t="n"/>
      <x:c r="H3" s="2" t="n"/>
      <x:c r="I3" s="2" t="n"/>
      <x:c r="J3" s="2" t="n"/>
      <x:c r="K3" s="2" t="n"/>
    </x:row>
    <x:row r="4">
      <x:c r="A4" s="4" t="inlineStr">
        <x:is>
          <x:t xml:space="preserve">Количество строк</x:t>
        </x:is>
      </x:c>
      <x:c r="B4" s="13">
        <x:f>COUNTA(dirty_data!A3:A10)</x:f>
        <x:v>8</x:v>
      </x:c>
      <x:c r="C4" s="4" t="n"/>
      <x:c r="D4" s="4" t="inlineStr">
        <x:is>
          <x:t xml:space="preserve">order_id</x:t>
        </x:is>
      </x:c>
      <x:c r="E4" s="4" t="inlineStr">
        <x:is>
          <x:t xml:space="preserve">client</x:t>
        </x:is>
      </x:c>
      <x:c r="F4" s="4" t="inlineStr">
        <x:is>
          <x:t xml:space="preserve">city</x:t>
        </x:is>
      </x:c>
      <x:c r="G4" s="4" t="inlineStr">
        <x:is>
          <x:t xml:space="preserve">category</x:t>
        </x:is>
      </x:c>
      <x:c r="H4" s="4" t="inlineStr">
        <x:is>
          <x:t xml:space="preserve">product</x:t>
        </x:is>
      </x:c>
      <x:c r="I4" s="4" t="inlineStr">
        <x:is>
          <x:t xml:space="preserve">quantity</x:t>
        </x:is>
      </x:c>
      <x:c r="J4" s="4" t="inlineStr">
        <x:is>
          <x:t xml:space="preserve">price</x:t>
        </x:is>
      </x:c>
      <x:c r="K4" s="4" t="inlineStr">
        <x:is>
          <x:t xml:space="preserve">manager</x:t>
        </x:is>
      </x:c>
    </x:row>
    <x:row r="5">
      <x:c r="A5" s="2" t="inlineStr">
        <x:is>
          <x:t xml:space="preserve">Количество столбцов</x:t>
        </x:is>
      </x:c>
      <x:c r="B5" s="14">
        <x:f>COUNTA(dirty_data!A2:H2)</x:f>
        <x:v>8</x:v>
      </x:c>
      <x:c r="C5" s="2" t="n"/>
      <x:c r="D5" s="14">
        <x:f>dirty_data!A3</x:f>
        <x:v>101</x:v>
      </x:c>
      <x:c r="E5" s="14" t="str">
        <x:f>dirty_data!B3</x:f>
        <x:v>ООО Альфа</x:v>
      </x:c>
      <x:c r="F5" s="14" t="str">
        <x:f>dirty_data!C3</x:f>
        <x:v>Москва</x:v>
      </x:c>
      <x:c r="G5" s="14" t="str">
        <x:f>dirty_data!D3</x:f>
        <x:v>Ноутбуки</x:v>
      </x:c>
      <x:c r="H5" s="14" t="str">
        <x:f>dirty_data!E3</x:f>
        <x:v>Notebook Air</x:v>
      </x:c>
      <x:c r="I5" s="14">
        <x:f>dirty_data!F3</x:f>
        <x:v>2</x:v>
      </x:c>
      <x:c r="J5" s="14">
        <x:f>dirty_data!G3</x:f>
        <x:v>55000</x:v>
      </x:c>
      <x:c r="K5" s="14" t="str">
        <x:f>dirty_data!H3</x:f>
        <x:v>Анна</x:v>
      </x:c>
    </x:row>
    <x:row r="6">
      <x:c r="A6" s="2" t="inlineStr">
        <x:is>
          <x:t xml:space="preserve">Есть ли пропуски?</x:t>
        </x:is>
      </x:c>
      <x:c r="B6" s="14" t="str">
        <x:f>IF(SUM(COUNTBLANK(dirty_data!A3:H10))&gt;0,"Да","Нет")</x:f>
        <x:v>Да</x:v>
      </x:c>
      <x:c r="C6" s="2" t="n"/>
      <x:c r="D6" s="14">
        <x:f>dirty_data!A4</x:f>
        <x:v>102</x:v>
      </x:c>
      <x:c r="E6" s="14" t="str">
        <x:f>dirty_data!B4</x:f>
        <x:v>ООО Бета</x:v>
      </x:c>
      <x:c r="F6" s="14">
        <x:f>dirty_data!C4</x:f>
        <x:v>0</x:v>
      </x:c>
      <x:c r="G6" s="14" t="str">
        <x:f>dirty_data!D4</x:f>
        <x:v>Мониторы</x:v>
      </x:c>
      <x:c r="H6" s="14" t="str">
        <x:f>dirty_data!E4</x:f>
        <x:v>Монитор 24</x:v>
      </x:c>
      <x:c r="I6" s="14">
        <x:f>dirty_data!F4</x:f>
        <x:v>1</x:v>
      </x:c>
      <x:c r="J6" s="14">
        <x:f>dirty_data!G4</x:f>
        <x:v>18000</x:v>
      </x:c>
      <x:c r="K6" s="14" t="str">
        <x:f>dirty_data!H4</x:f>
        <x:v>Борис</x:v>
      </x:c>
    </x:row>
    <x:row r="7">
      <x:c r="A7" s="2" t="inlineStr">
        <x:is>
          <x:t xml:space="preserve">Есть ли дубликаты?</x:t>
        </x:is>
      </x:c>
      <x:c r="B7" s="14" t="str">
        <x:f>IF(COUNTIFS(dirty_data!A3:A10,dirty_data!A3:A10,dirty_data!B3:B10,dirty_data!B3:B10,dirty_data!C3:C10,dirty_data!C3:C10,dirty_data!D3:D10,dirty_data!D3:D10,dirty_data!E3:E10,dirty_data!E3:E10,dirty_data!F3:F10,dirty_data!F3:F10,dirty_data!G3:G10,dirty_data!G3:G10,dirty_data!H3:H10,dirty_data!H3:H10)&gt;8,"Да","Проверить вручную")</x:f>
        <x:v>Проверить вручную</x:v>
      </x:c>
      <x:c r="C7" s="2" t="n"/>
      <x:c r="D7" s="14">
        <x:f>dirty_data!A5</x:f>
        <x:v>103</x:v>
      </x:c>
      <x:c r="E7" s="14" t="str">
        <x:f>dirty_data!B5</x:f>
        <x:v>ИП Гамма</x:v>
      </x:c>
      <x:c r="F7" s="14" t="str">
        <x:f>dirty_data!C5</x:f>
        <x:v>Уфа</x:v>
      </x:c>
      <x:c r="G7" s="14" t="str">
        <x:f>dirty_data!D5</x:f>
        <x:v>Периферия</x:v>
      </x:c>
      <x:c r="H7" s="14" t="str">
        <x:f>dirty_data!E5</x:f>
        <x:v>Мышь Pro</x:v>
      </x:c>
      <x:c r="I7" s="14">
        <x:f>dirty_data!F5</x:f>
        <x:v>0</x:v>
      </x:c>
      <x:c r="J7" s="14">
        <x:f>dirty_data!G5</x:f>
        <x:v>1500</x:v>
      </x:c>
      <x:c r="K7" s="14" t="str">
        <x:f>dirty_data!H5</x:f>
        <x:v>Анна</x:v>
      </x:c>
    </x:row>
    <x:row r="8">
      <x:c r="A8" s="2" t="inlineStr">
        <x:is>
          <x:t xml:space="preserve">Комментарий по типам</x:t>
        </x:is>
      </x:c>
      <x:c r="B8" s="2" t="inlineStr">
        <x:is>
          <x:t xml:space="preserve">quantity и price после чтения в pandas будут числами с возможными пропусками.</x:t>
        </x:is>
      </x:c>
      <x:c r="C8" s="2" t="n"/>
      <x:c r="D8" s="14">
        <x:f>dirty_data!A6</x:f>
        <x:v>104</x:v>
      </x:c>
      <x:c r="E8" s="14" t="str">
        <x:f>dirty_data!B6</x:f>
        <x:v>ООО Дельта</x:v>
      </x:c>
      <x:c r="F8" s="14" t="str">
        <x:f>dirty_data!C6</x:f>
        <x:v>Самара</x:v>
      </x:c>
      <x:c r="G8" s="14" t="str">
        <x:f>dirty_data!D6</x:f>
        <x:v>Ноутбуки</x:v>
      </x:c>
      <x:c r="H8" s="14" t="str">
        <x:f>dirty_data!E6</x:f>
        <x:v>Notebook Pro</x:v>
      </x:c>
      <x:c r="I8" s="14">
        <x:f>dirty_data!F6</x:f>
        <x:v>1</x:v>
      </x:c>
      <x:c r="J8" s="14">
        <x:f>dirty_data!G6</x:f>
        <x:v>0</x:v>
      </x:c>
      <x:c r="K8" s="14" t="str">
        <x:f>dirty_data!H6</x:f>
        <x:v>Виктор</x:v>
      </x:c>
    </x:row>
    <x:row r="9">
      <x:c r="A9" s="2" t="n"/>
      <x:c r="B9" s="2" t="n"/>
      <x:c r="C9" s="2" t="n"/>
      <x:c r="D9" s="14">
        <x:f>dirty_data!A7</x:f>
        <x:v>105</x:v>
      </x:c>
      <x:c r="E9" s="14" t="str">
        <x:f>dirty_data!B7</x:f>
        <x:v>ИП Омега</x:v>
      </x:c>
      <x:c r="F9" s="14" t="str">
        <x:f>dirty_data!C7</x:f>
        <x:v>Омск</x:v>
      </x:c>
      <x:c r="G9" s="14" t="str">
        <x:f>dirty_data!D7</x:f>
        <x:v>Периферия</x:v>
      </x:c>
      <x:c r="H9" s="14" t="str">
        <x:f>dirty_data!E7</x:f>
        <x:v>Клавиатура</x:v>
      </x:c>
      <x:c r="I9" s="14">
        <x:f>dirty_data!F7</x:f>
        <x:v>4</x:v>
      </x:c>
      <x:c r="J9" s="14">
        <x:f>dirty_data!G7</x:f>
        <x:v>3200</x:v>
      </x:c>
      <x:c r="K9" s="14" t="str">
        <x:f>dirty_data!H7</x:f>
        <x:v>Анна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4" max="4" width="10" customWidth="1"/>
    <x:col min="5" max="5" width="18" customWidth="1"/>
    <x:col min="6" max="6" width="14" customWidth="1"/>
    <x:col min="7" max="7" width="14" customWidth="1"/>
    <x:col min="8" max="8" width="18" customWidth="1"/>
    <x:col min="9" max="9" width="10" customWidth="1"/>
    <x:col min="10" max="10" width="12" customWidth="1"/>
    <x:col min="11" max="11" width="14" customWidth="1"/>
  </x:cols>
  <x:sheetData>
    <x:row r="1" ht="24" customHeight="1">
      <x:c r="A1" s="1" t="inlineStr">
        <x:is>
          <x:t xml:space="preserve">Шаг 2. Находим пропуски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>
      <x:c r="A3" s="4" t="inlineStr">
        <x:is>
          <x:t xml:space="preserve">Столбец</x:t>
        </x:is>
      </x:c>
      <x:c r="B3" s="4" t="inlineStr">
        <x:is>
          <x:t xml:space="preserve">Количество пропусков</x:t>
        </x:is>
      </x:c>
      <x:c r="C3" s="2" t="n"/>
      <x:c r="D3" s="15" t="inlineStr">
        <x:is>
          <x:t xml:space="preserve">Строки, где есть пропуски</x:t>
        </x:is>
      </x:c>
      <x:c r="E3" s="2" t="n"/>
      <x:c r="F3" s="2" t="n"/>
      <x:c r="G3" s="2" t="n"/>
      <x:c r="H3" s="2" t="n"/>
      <x:c r="I3" s="2" t="n"/>
      <x:c r="J3" s="2" t="n"/>
      <x:c r="K3" s="2" t="n"/>
    </x:row>
    <x:row r="4">
      <x:c r="A4" s="4" t="inlineStr">
        <x:is>
          <x:t xml:space="preserve">city</x:t>
        </x:is>
      </x:c>
      <x:c r="B4" s="13">
        <x:f>COUNTBLANK(dirty_data!C3:C10)</x:f>
        <x:v>1</x:v>
      </x:c>
      <x:c r="C4" s="4" t="n"/>
      <x:c r="D4" s="4" t="inlineStr">
        <x:is>
          <x:t xml:space="preserve">order_id</x:t>
        </x:is>
      </x:c>
      <x:c r="E4" s="4" t="inlineStr">
        <x:is>
          <x:t xml:space="preserve">client</x:t>
        </x:is>
      </x:c>
      <x:c r="F4" s="4" t="inlineStr">
        <x:is>
          <x:t xml:space="preserve">city</x:t>
        </x:is>
      </x:c>
      <x:c r="G4" s="4" t="inlineStr">
        <x:is>
          <x:t xml:space="preserve">category</x:t>
        </x:is>
      </x:c>
      <x:c r="H4" s="4" t="inlineStr">
        <x:is>
          <x:t xml:space="preserve">product</x:t>
        </x:is>
      </x:c>
      <x:c r="I4" s="4" t="inlineStr">
        <x:is>
          <x:t xml:space="preserve">quantity</x:t>
        </x:is>
      </x:c>
      <x:c r="J4" s="4" t="inlineStr">
        <x:is>
          <x:t xml:space="preserve">price</x:t>
        </x:is>
      </x:c>
      <x:c r="K4" s="4" t="inlineStr">
        <x:is>
          <x:t xml:space="preserve">manager</x:t>
        </x:is>
      </x:c>
    </x:row>
    <x:row r="5">
      <x:c r="A5" s="2" t="inlineStr">
        <x:is>
          <x:t xml:space="preserve">quantity</x:t>
        </x:is>
      </x:c>
      <x:c r="B5" s="14">
        <x:f>COUNTBLANK(dirty_data!F3:F10)</x:f>
        <x:v>1</x:v>
      </x:c>
      <x:c r="C5" s="2" t="n"/>
      <x:c r="D5" s="14">
        <x:f>dirty_data!A4</x:f>
        <x:v>102</x:v>
      </x:c>
      <x:c r="E5" s="14" t="str">
        <x:f>dirty_data!B4</x:f>
        <x:v>ООО Бета</x:v>
      </x:c>
      <x:c r="F5" s="14">
        <x:f>dirty_data!C4</x:f>
        <x:v>0</x:v>
      </x:c>
      <x:c r="G5" s="14" t="str">
        <x:f>dirty_data!D4</x:f>
        <x:v>Мониторы</x:v>
      </x:c>
      <x:c r="H5" s="14" t="str">
        <x:f>dirty_data!E4</x:f>
        <x:v>Монитор 24</x:v>
      </x:c>
      <x:c r="I5" s="14">
        <x:f>dirty_data!F4</x:f>
        <x:v>1</x:v>
      </x:c>
      <x:c r="J5" s="14">
        <x:f>dirty_data!G4</x:f>
        <x:v>18000</x:v>
      </x:c>
      <x:c r="K5" s="14" t="str">
        <x:f>dirty_data!H4</x:f>
        <x:v>Борис</x:v>
      </x:c>
    </x:row>
    <x:row r="6">
      <x:c r="A6" s="2" t="inlineStr">
        <x:is>
          <x:t xml:space="preserve">price</x:t>
        </x:is>
      </x:c>
      <x:c r="B6" s="14">
        <x:f>COUNTBLANK(dirty_data!G3:G10)</x:f>
        <x:v>1</x:v>
      </x:c>
      <x:c r="C6" s="2" t="n"/>
      <x:c r="D6" s="14">
        <x:f>dirty_data!A5</x:f>
        <x:v>103</x:v>
      </x:c>
      <x:c r="E6" s="14" t="str">
        <x:f>dirty_data!B5</x:f>
        <x:v>ИП Гамма</x:v>
      </x:c>
      <x:c r="F6" s="14" t="str">
        <x:f>dirty_data!C5</x:f>
        <x:v>Уфа</x:v>
      </x:c>
      <x:c r="G6" s="14" t="str">
        <x:f>dirty_data!D5</x:f>
        <x:v>Периферия</x:v>
      </x:c>
      <x:c r="H6" s="14" t="str">
        <x:f>dirty_data!E5</x:f>
        <x:v>Мышь Pro</x:v>
      </x:c>
      <x:c r="I6" s="14">
        <x:f>dirty_data!F5</x:f>
        <x:v>0</x:v>
      </x:c>
      <x:c r="J6" s="14">
        <x:f>dirty_data!G5</x:f>
        <x:v>1500</x:v>
      </x:c>
      <x:c r="K6" s="14" t="str">
        <x:f>dirty_data!H5</x:f>
        <x:v>Анна</x:v>
      </x:c>
    </x:row>
    <x:row r="7">
      <x:c r="A7" s="2" t="inlineStr">
        <x:is>
          <x:t xml:space="preserve">manager</x:t>
        </x:is>
      </x:c>
      <x:c r="B7" s="14">
        <x:f>COUNTBLANK(dirty_data!H3:H10)</x:f>
        <x:v>1</x:v>
      </x:c>
      <x:c r="C7" s="2" t="n"/>
      <x:c r="D7" s="14">
        <x:f>dirty_data!A6</x:f>
        <x:v>104</x:v>
      </x:c>
      <x:c r="E7" s="14" t="str">
        <x:f>dirty_data!B6</x:f>
        <x:v>ООО Дельта</x:v>
      </x:c>
      <x:c r="F7" s="14" t="str">
        <x:f>dirty_data!C6</x:f>
        <x:v>Самара</x:v>
      </x:c>
      <x:c r="G7" s="14" t="str">
        <x:f>dirty_data!D6</x:f>
        <x:v>Ноутбуки</x:v>
      </x:c>
      <x:c r="H7" s="14" t="str">
        <x:f>dirty_data!E6</x:f>
        <x:v>Notebook Pro</x:v>
      </x:c>
      <x:c r="I7" s="14">
        <x:f>dirty_data!F6</x:f>
        <x:v>1</x:v>
      </x:c>
      <x:c r="J7" s="14">
        <x:f>dirty_data!G6</x:f>
        <x:v>0</x:v>
      </x:c>
      <x:c r="K7" s="14" t="str">
        <x:f>dirty_data!H6</x:f>
        <x:v>Виктор</x:v>
      </x:c>
    </x:row>
    <x:row r="8">
      <x:c r="A8" s="2" t="n"/>
      <x:c r="B8" s="2" t="n"/>
      <x:c r="C8" s="2" t="n"/>
      <x:c r="D8" s="14">
        <x:f>dirty_data!A10</x:f>
        <x:v>107</x:v>
      </x:c>
      <x:c r="E8" s="14" t="str">
        <x:f>dirty_data!B10</x:f>
        <x:v>ООО Тета</x:v>
      </x:c>
      <x:c r="F8" s="14" t="str">
        <x:f>dirty_data!C10</x:f>
        <x:v>Пермь</x:v>
      </x:c>
      <x:c r="G8" s="14" t="str">
        <x:f>dirty_data!D10</x:f>
        <x:v>Периферия</x:v>
      </x:c>
      <x:c r="H8" s="14" t="str">
        <x:f>dirty_data!E10</x:f>
        <x:v>Кабель HDMI</x:v>
      </x:c>
      <x:c r="I8" s="14">
        <x:f>dirty_data!F10</x:f>
        <x:v>5</x:v>
      </x:c>
      <x:c r="J8" s="14">
        <x:f>dirty_data!G10</x:f>
        <x:v>900</x:v>
      </x:c>
      <x:c r="K8" s="14">
        <x:f>dirty_data!H10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4" customWidth="1"/>
    <x:col min="4" max="4" width="14" customWidth="1"/>
    <x:col min="5" max="5" width="18" customWidth="1"/>
    <x:col min="6" max="6" width="10" customWidth="1"/>
    <x:col min="7" max="7" width="12" customWidth="1"/>
    <x:col min="8" max="8" width="14" customWidth="1"/>
    <x:col min="10" max="10" width="30" customWidth="1"/>
    <x:col min="11" max="11" width="18" customWidth="1"/>
  </x:cols>
  <x:sheetData>
    <x:row r="1" ht="24" customHeight="1">
      <x:c r="A1" s="1" t="inlineStr">
        <x:is>
          <x:t xml:space="preserve">Шаг 3. Заполняем пропуски и показываем пример dropna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>
      <x:c r="A3" s="4" t="inlineStr">
        <x:is>
          <x:t xml:space="preserve">order_id</x:t>
        </x:is>
      </x:c>
      <x:c r="B3" s="4" t="inlineStr">
        <x:is>
          <x:t xml:space="preserve">client</x:t>
        </x:is>
      </x:c>
      <x:c r="C3" s="4" t="inlineStr">
        <x:is>
          <x:t xml:space="preserve">city</x:t>
        </x:is>
      </x:c>
      <x:c r="D3" s="4" t="inlineStr">
        <x:is>
          <x:t xml:space="preserve">category</x:t>
        </x:is>
      </x:c>
      <x:c r="E3" s="4" t="inlineStr">
        <x:is>
          <x:t xml:space="preserve">product</x:t>
        </x:is>
      </x:c>
      <x:c r="F3" s="4" t="inlineStr">
        <x:is>
          <x:t xml:space="preserve">quantity</x:t>
        </x:is>
      </x:c>
      <x:c r="G3" s="4" t="inlineStr">
        <x:is>
          <x:t xml:space="preserve">price</x:t>
        </x:is>
      </x:c>
      <x:c r="H3" s="4" t="inlineStr">
        <x:is>
          <x:t xml:space="preserve">manager</x:t>
        </x:is>
      </x:c>
      <x:c r="I3" s="4" t="n"/>
      <x:c r="J3" s="4" t="inlineStr">
        <x:is>
          <x:t xml:space="preserve">Показатель</x:t>
        </x:is>
      </x:c>
      <x:c r="K3" s="4" t="inlineStr">
        <x:is>
          <x:t xml:space="preserve">Значение</x:t>
        </x:is>
      </x:c>
    </x:row>
    <x:row r="4">
      <x:c r="A4" s="16">
        <x:f>dirty_data!A3</x:f>
        <x:v>101</x:v>
      </x:c>
      <x:c r="B4" s="14" t="str">
        <x:f>dirty_data!B3</x:f>
        <x:v>ООО Альфа</x:v>
      </x:c>
      <x:c r="C4" s="14" t="str">
        <x:f>IF(dirty_data!C3="","Не указан",dirty_data!C3)</x:f>
        <x:v>Москва</x:v>
      </x:c>
      <x:c r="D4" s="14" t="str">
        <x:f>dirty_data!D3</x:f>
        <x:v>Ноутбуки</x:v>
      </x:c>
      <x:c r="E4" s="14" t="str">
        <x:f>dirty_data!E3</x:f>
        <x:v>Notebook Air</x:v>
      </x:c>
      <x:c r="F4" s="16">
        <x:f>IF(dirty_data!F3="",1,dirty_data!F3)</x:f>
        <x:v>2</x:v>
      </x:c>
      <x:c r="G4" s="17">
        <x:f>IF(dirty_data!G3="",0,dirty_data!G3)</x:f>
        <x:v>55000</x:v>
      </x:c>
      <x:c r="H4" s="14" t="str">
        <x:f>IF(dirty_data!H3="","Не назначен",dirty_data!H3)</x:f>
        <x:v>Анна</x:v>
      </x:c>
      <x:c r="I4" s="2" t="n"/>
      <x:c r="J4" s="2" t="inlineStr">
        <x:is>
          <x:t xml:space="preserve">Строки после dropna(quantity, price)</x:t>
        </x:is>
      </x:c>
      <x:c r="K4" s="14">
        <x:f>COUNTIFS(dirty_data!F3:F10,"&lt;&gt;",dirty_data!G3:G10,"&lt;&gt;")</x:f>
        <x:v>6</x:v>
      </x:c>
    </x:row>
    <x:row r="5">
      <x:c r="A5" s="16">
        <x:f>dirty_data!A4</x:f>
        <x:v>102</x:v>
      </x:c>
      <x:c r="B5" s="14" t="str">
        <x:f>dirty_data!B4</x:f>
        <x:v>ООО Бета</x:v>
      </x:c>
      <x:c r="C5" s="14" t="str">
        <x:f>IF(dirty_data!C4="","Не указан",dirty_data!C4)</x:f>
        <x:v>Не указан</x:v>
      </x:c>
      <x:c r="D5" s="14" t="str">
        <x:f>dirty_data!D4</x:f>
        <x:v>Мониторы</x:v>
      </x:c>
      <x:c r="E5" s="14" t="str">
        <x:f>dirty_data!E4</x:f>
        <x:v>Монитор 24</x:v>
      </x:c>
      <x:c r="F5" s="16">
        <x:f>IF(dirty_data!F4="",1,dirty_data!F4)</x:f>
        <x:v>1</x:v>
      </x:c>
      <x:c r="G5" s="17">
        <x:f>IF(dirty_data!G4="",0,dirty_data!G4)</x:f>
        <x:v>18000</x:v>
      </x:c>
      <x:c r="H5" s="14" t="str">
        <x:f>IF(dirty_data!H4="","Не назначен",dirty_data!H4)</x:f>
        <x:v>Борис</x:v>
      </x:c>
      <x:c r="I5" s="2" t="n"/>
      <x:c r="J5" s="2" t="inlineStr">
        <x:is>
          <x:t xml:space="preserve">Пропусков после fillna</x:t>
        </x:is>
      </x:c>
      <x:c r="K5" s="14">
        <x:f>COUNTBLANK(C4:C11)+COUNTBLANK(F4:F11)+COUNTBLANK(G4:G11)+COUNTBLANK(H4:H11)</x:f>
        <x:v>0</x:v>
      </x:c>
    </x:row>
    <x:row r="6">
      <x:c r="A6" s="16">
        <x:f>dirty_data!A5</x:f>
        <x:v>103</x:v>
      </x:c>
      <x:c r="B6" s="14" t="str">
        <x:f>dirty_data!B5</x:f>
        <x:v>ИП Гамма</x:v>
      </x:c>
      <x:c r="C6" s="14" t="str">
        <x:f>IF(dirty_data!C5="","Не указан",dirty_data!C5)</x:f>
        <x:v>Уфа</x:v>
      </x:c>
      <x:c r="D6" s="14" t="str">
        <x:f>dirty_data!D5</x:f>
        <x:v>Периферия</x:v>
      </x:c>
      <x:c r="E6" s="14" t="str">
        <x:f>dirty_data!E5</x:f>
        <x:v>Мышь Pro</x:v>
      </x:c>
      <x:c r="F6" s="16">
        <x:f>IF(dirty_data!F5="",1,dirty_data!F5)</x:f>
        <x:v>1</x:v>
      </x:c>
      <x:c r="G6" s="17">
        <x:f>IF(dirty_data!G5="",0,dirty_data!G5)</x:f>
        <x:v>1500</x:v>
      </x:c>
      <x:c r="H6" s="14" t="str">
        <x:f>IF(dirty_data!H5="","Не назначен",dirty_data!H5)</x:f>
        <x:v>Анна</x:v>
      </x:c>
      <x:c r="I6" s="2" t="n"/>
      <x:c r="J6" s="2" t="n"/>
      <x:c r="K6" s="2" t="n"/>
    </x:row>
    <x:row r="7">
      <x:c r="A7" s="16">
        <x:f>dirty_data!A6</x:f>
        <x:v>104</x:v>
      </x:c>
      <x:c r="B7" s="14" t="str">
        <x:f>dirty_data!B6</x:f>
        <x:v>ООО Дельта</x:v>
      </x:c>
      <x:c r="C7" s="14" t="str">
        <x:f>IF(dirty_data!C6="","Не указан",dirty_data!C6)</x:f>
        <x:v>Самара</x:v>
      </x:c>
      <x:c r="D7" s="14" t="str">
        <x:f>dirty_data!D6</x:f>
        <x:v>Ноутбуки</x:v>
      </x:c>
      <x:c r="E7" s="14" t="str">
        <x:f>dirty_data!E6</x:f>
        <x:v>Notebook Pro</x:v>
      </x:c>
      <x:c r="F7" s="16">
        <x:f>IF(dirty_data!F6="",1,dirty_data!F6)</x:f>
        <x:v>1</x:v>
      </x:c>
      <x:c r="G7" s="17">
        <x:f>IF(dirty_data!G6="",0,dirty_data!G6)</x:f>
        <x:v>0</x:v>
      </x:c>
      <x:c r="H7" s="14" t="str">
        <x:f>IF(dirty_data!H6="","Не назначен",dirty_data!H6)</x:f>
        <x:v>Виктор</x:v>
      </x:c>
      <x:c r="I7" s="2" t="n"/>
      <x:c r="J7" s="2" t="n"/>
      <x:c r="K7" s="2" t="n"/>
    </x:row>
    <x:row r="8">
      <x:c r="A8" s="16">
        <x:f>dirty_data!A7</x:f>
        <x:v>105</x:v>
      </x:c>
      <x:c r="B8" s="14" t="str">
        <x:f>dirty_data!B7</x:f>
        <x:v>ИП Омега</x:v>
      </x:c>
      <x:c r="C8" s="14" t="str">
        <x:f>IF(dirty_data!C7="","Не указан",dirty_data!C7)</x:f>
        <x:v>Омск</x:v>
      </x:c>
      <x:c r="D8" s="14" t="str">
        <x:f>dirty_data!D7</x:f>
        <x:v>Периферия</x:v>
      </x:c>
      <x:c r="E8" s="14" t="str">
        <x:f>dirty_data!E7</x:f>
        <x:v>Клавиатура</x:v>
      </x:c>
      <x:c r="F8" s="16">
        <x:f>IF(dirty_data!F7="",1,dirty_data!F7)</x:f>
        <x:v>4</x:v>
      </x:c>
      <x:c r="G8" s="17">
        <x:f>IF(dirty_data!G7="",0,dirty_data!G7)</x:f>
        <x:v>3200</x:v>
      </x:c>
      <x:c r="H8" s="14" t="str">
        <x:f>IF(dirty_data!H7="","Не назначен",dirty_data!H7)</x:f>
        <x:v>Анна</x:v>
      </x:c>
      <x:c r="I8" s="2" t="n"/>
      <x:c r="J8" s="2" t="n"/>
      <x:c r="K8" s="2" t="n"/>
    </x:row>
    <x:row r="9">
      <x:c r="A9" s="16">
        <x:f>dirty_data!A8</x:f>
        <x:v>105</x:v>
      </x:c>
      <x:c r="B9" s="14" t="str">
        <x:f>dirty_data!B8</x:f>
        <x:v>ИП Омега</x:v>
      </x:c>
      <x:c r="C9" s="14" t="str">
        <x:f>IF(dirty_data!C8="","Не указан",dirty_data!C8)</x:f>
        <x:v>Омск</x:v>
      </x:c>
      <x:c r="D9" s="14" t="str">
        <x:f>dirty_data!D8</x:f>
        <x:v>Периферия</x:v>
      </x:c>
      <x:c r="E9" s="14" t="str">
        <x:f>dirty_data!E8</x:f>
        <x:v>Клавиатура</x:v>
      </x:c>
      <x:c r="F9" s="16">
        <x:f>IF(dirty_data!F8="",1,dirty_data!F8)</x:f>
        <x:v>4</x:v>
      </x:c>
      <x:c r="G9" s="17">
        <x:f>IF(dirty_data!G8="",0,dirty_data!G8)</x:f>
        <x:v>3200</x:v>
      </x:c>
      <x:c r="H9" s="14" t="str">
        <x:f>IF(dirty_data!H8="","Не назначен",dirty_data!H8)</x:f>
        <x:v>Анна</x:v>
      </x:c>
      <x:c r="I9" s="2" t="n"/>
      <x:c r="J9" s="2" t="n"/>
      <x:c r="K9" s="2" t="n"/>
    </x:row>
    <x:row r="10">
      <x:c r="A10" s="16">
        <x:f>dirty_data!A9</x:f>
        <x:v>106</x:v>
      </x:c>
      <x:c r="B10" s="14" t="str">
        <x:f>dirty_data!B9</x:f>
        <x:v>ООО Сигма</x:v>
      </x:c>
      <x:c r="C10" s="14" t="str">
        <x:f>IF(dirty_data!C9="","Не указан",dirty_data!C9)</x:f>
        <x:v>Казань</x:v>
      </x:c>
      <x:c r="D10" s="14" t="str">
        <x:f>dirty_data!D9</x:f>
        <x:v>Мониторы</x:v>
      </x:c>
      <x:c r="E10" s="14" t="str">
        <x:f>dirty_data!E9</x:f>
        <x:v>Монитор 27</x:v>
      </x:c>
      <x:c r="F10" s="16">
        <x:f>IF(dirty_data!F9="",1,dirty_data!F9)</x:f>
        <x:v>3</x:v>
      </x:c>
      <x:c r="G10" s="17">
        <x:f>IF(dirty_data!G9="",0,dirty_data!G9)</x:f>
        <x:v>21000</x:v>
      </x:c>
      <x:c r="H10" s="14" t="str">
        <x:f>IF(dirty_data!H9="","Не назначен",dirty_data!H9)</x:f>
        <x:v>Елена</x:v>
      </x:c>
      <x:c r="I10" s="2" t="n"/>
      <x:c r="J10" s="2" t="n"/>
      <x:c r="K10" s="2" t="n"/>
    </x:row>
    <x:row r="11">
      <x:c r="A11" s="16">
        <x:f>dirty_data!A10</x:f>
        <x:v>107</x:v>
      </x:c>
      <x:c r="B11" s="14" t="str">
        <x:f>dirty_data!B10</x:f>
        <x:v>ООО Тета</x:v>
      </x:c>
      <x:c r="C11" s="14" t="str">
        <x:f>IF(dirty_data!C10="","Не указан",dirty_data!C10)</x:f>
        <x:v>Пермь</x:v>
      </x:c>
      <x:c r="D11" s="14" t="str">
        <x:f>dirty_data!D10</x:f>
        <x:v>Периферия</x:v>
      </x:c>
      <x:c r="E11" s="14" t="str">
        <x:f>dirty_data!E10</x:f>
        <x:v>Кабель HDMI</x:v>
      </x:c>
      <x:c r="F11" s="16">
        <x:f>IF(dirty_data!F10="",1,dirty_data!F10)</x:f>
        <x:v>5</x:v>
      </x:c>
      <x:c r="G11" s="17">
        <x:f>IF(dirty_data!G10="",0,dirty_data!G10)</x:f>
        <x:v>900</x:v>
      </x:c>
      <x:c r="H11" s="14" t="str">
        <x:f>IF(dirty_data!H10="","Не назначен",dirty_data!H10)</x:f>
        <x:v>Не назначен</x:v>
      </x:c>
      <x:c r="I11" s="2" t="n"/>
      <x:c r="J11" s="2" t="n"/>
      <x:c r="K11" s="2" t="n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4" customWidth="1"/>
    <x:col min="4" max="4" width="14" customWidth="1"/>
    <x:col min="5" max="5" width="18" customWidth="1"/>
    <x:col min="6" max="6" width="10" customWidth="1"/>
    <x:col min="7" max="7" width="12" customWidth="1"/>
    <x:col min="8" max="8" width="14" customWidth="1"/>
    <x:col min="9" max="9" width="16" customWidth="1"/>
    <x:col min="11" max="11" width="24" customWidth="1"/>
    <x:col min="12" max="12" width="16" customWidth="1"/>
  </x:cols>
  <x:sheetData>
    <x:row r="1" ht="24" customHeight="1">
      <x:c r="A1" s="1" t="inlineStr">
        <x:is>
          <x:t xml:space="preserve">Шаг 4. Ищем дубликаты и удаляем их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>
      <x:c r="A3" s="4" t="inlineStr">
        <x:is>
          <x:t xml:space="preserve">order_id</x:t>
        </x:is>
      </x:c>
      <x:c r="B3" s="4" t="inlineStr">
        <x:is>
          <x:t xml:space="preserve">client</x:t>
        </x:is>
      </x:c>
      <x:c r="C3" s="4" t="inlineStr">
        <x:is>
          <x:t xml:space="preserve">city</x:t>
        </x:is>
      </x:c>
      <x:c r="D3" s="4" t="inlineStr">
        <x:is>
          <x:t xml:space="preserve">category</x:t>
        </x:is>
      </x:c>
      <x:c r="E3" s="4" t="inlineStr">
        <x:is>
          <x:t xml:space="preserve">product</x:t>
        </x:is>
      </x:c>
      <x:c r="F3" s="4" t="inlineStr">
        <x:is>
          <x:t xml:space="preserve">quantity</x:t>
        </x:is>
      </x:c>
      <x:c r="G3" s="4" t="inlineStr">
        <x:is>
          <x:t xml:space="preserve">price</x:t>
        </x:is>
      </x:c>
      <x:c r="H3" s="4" t="inlineStr">
        <x:is>
          <x:t xml:space="preserve">manager</x:t>
        </x:is>
      </x:c>
      <x:c r="I3" s="4" t="inlineStr">
        <x:is>
          <x:t xml:space="preserve">flag_duplicate</x:t>
        </x:is>
      </x:c>
      <x:c r="J3" s="4" t="n"/>
      <x:c r="K3" s="4" t="inlineStr">
        <x:is>
          <x:t xml:space="preserve">Итог</x:t>
        </x:is>
      </x:c>
      <x:c r="L3" s="4" t="inlineStr">
        <x:is>
          <x:t xml:space="preserve">Значение</x:t>
        </x:is>
      </x:c>
    </x:row>
    <x:row r="4">
      <x:c r="A4" s="16">
        <x:f>'3_Заполнение'!A4</x:f>
        <x:v>101</x:v>
      </x:c>
      <x:c r="B4" s="14" t="str">
        <x:f>'3_Заполнение'!B4</x:f>
        <x:v>ООО Альфа</x:v>
      </x:c>
      <x:c r="C4" s="14" t="str">
        <x:f>'3_Заполнение'!C4</x:f>
        <x:v>Москва</x:v>
      </x:c>
      <x:c r="D4" s="14" t="str">
        <x:f>'3_Заполнение'!D4</x:f>
        <x:v>Ноутбуки</x:v>
      </x:c>
      <x:c r="E4" s="14" t="str">
        <x:f>'3_Заполнение'!E4</x:f>
        <x:v>Notebook Air</x:v>
      </x:c>
      <x:c r="F4" s="16">
        <x:f>'3_Заполнение'!F4</x:f>
        <x:v>2</x:v>
      </x:c>
      <x:c r="G4" s="17">
        <x:f>'3_Заполнение'!G4</x:f>
        <x:v>55000</x:v>
      </x:c>
      <x:c r="H4" s="14" t="str">
        <x:f>'3_Заполнение'!H4</x:f>
        <x:v>Анна</x:v>
      </x:c>
      <x:c r="I4" s="14" t="str">
        <x:f>IF(COUNTIFS($A$4:A4,A4,$B$4:B4,B4,$C$4:C4,C4,$D$4:D4,D4,$E$4:E4,E4,$F$4:F4,F4,$G$4:G4,G4,$H$4:H4,H4)&gt;1,"Дубликат","Уникальная")</x:f>
        <x:v>Уникальная</x:v>
      </x:c>
      <x:c r="J4" s="2" t="n"/>
      <x:c r="K4" s="2" t="inlineStr">
        <x:is>
          <x:t xml:space="preserve">Количество дубликатов</x:t>
        </x:is>
      </x:c>
      <x:c r="L4" s="14">
        <x:f>COUNTIF(I4:I11,"Дубликат")</x:f>
        <x:v>1</x:v>
      </x:c>
    </x:row>
    <x:row r="5">
      <x:c r="A5" s="16">
        <x:f>'3_Заполнение'!A5</x:f>
        <x:v>102</x:v>
      </x:c>
      <x:c r="B5" s="14" t="str">
        <x:f>'3_Заполнение'!B5</x:f>
        <x:v>ООО Бета</x:v>
      </x:c>
      <x:c r="C5" s="14" t="str">
        <x:f>'3_Заполнение'!C5</x:f>
        <x:v>Не указан</x:v>
      </x:c>
      <x:c r="D5" s="14" t="str">
        <x:f>'3_Заполнение'!D5</x:f>
        <x:v>Мониторы</x:v>
      </x:c>
      <x:c r="E5" s="14" t="str">
        <x:f>'3_Заполнение'!E5</x:f>
        <x:v>Монитор 24</x:v>
      </x:c>
      <x:c r="F5" s="16">
        <x:f>'3_Заполнение'!F5</x:f>
        <x:v>1</x:v>
      </x:c>
      <x:c r="G5" s="17">
        <x:f>'3_Заполнение'!G5</x:f>
        <x:v>18000</x:v>
      </x:c>
      <x:c r="H5" s="14" t="str">
        <x:f>'3_Заполнение'!H5</x:f>
        <x:v>Борис</x:v>
      </x:c>
      <x:c r="I5" s="14" t="str">
        <x:f>IF(COUNTIFS($A$4:A5,A5,$B$4:B5,B5,$C$4:C5,C5,$D$4:D5,D5,$E$4:E5,E5,$F$4:F5,F5,$G$4:G5,G5,$H$4:H5,H5)&gt;1,"Дубликат","Уникальная")</x:f>
        <x:v>Уникальная</x:v>
      </x:c>
      <x:c r="J5" s="2" t="n"/>
      <x:c r="K5" s="2" t="n"/>
      <x:c r="L5" s="2" t="n"/>
    </x:row>
    <x:row r="6">
      <x:c r="A6" s="16">
        <x:f>'3_Заполнение'!A6</x:f>
        <x:v>103</x:v>
      </x:c>
      <x:c r="B6" s="14" t="str">
        <x:f>'3_Заполнение'!B6</x:f>
        <x:v>ИП Гамма</x:v>
      </x:c>
      <x:c r="C6" s="14" t="str">
        <x:f>'3_Заполнение'!C6</x:f>
        <x:v>Уфа</x:v>
      </x:c>
      <x:c r="D6" s="14" t="str">
        <x:f>'3_Заполнение'!D6</x:f>
        <x:v>Периферия</x:v>
      </x:c>
      <x:c r="E6" s="14" t="str">
        <x:f>'3_Заполнение'!E6</x:f>
        <x:v>Мышь Pro</x:v>
      </x:c>
      <x:c r="F6" s="16">
        <x:f>'3_Заполнение'!F6</x:f>
        <x:v>1</x:v>
      </x:c>
      <x:c r="G6" s="17">
        <x:f>'3_Заполнение'!G6</x:f>
        <x:v>1500</x:v>
      </x:c>
      <x:c r="H6" s="14" t="str">
        <x:f>'3_Заполнение'!H6</x:f>
        <x:v>Анна</x:v>
      </x:c>
      <x:c r="I6" s="14" t="str">
        <x:f>IF(COUNTIFS($A$4:A6,A6,$B$4:B6,B6,$C$4:C6,C6,$D$4:D6,D6,$E$4:E6,E6,$F$4:F6,F6,$G$4:G6,G6,$H$4:H6,H6)&gt;1,"Дубликат","Уникальная")</x:f>
        <x:v>Уникальная</x:v>
      </x:c>
      <x:c r="J6" s="2" t="n"/>
      <x:c r="K6" s="2" t="n"/>
      <x:c r="L6" s="2" t="n"/>
    </x:row>
    <x:row r="7">
      <x:c r="A7" s="16">
        <x:f>'3_Заполнение'!A7</x:f>
        <x:v>104</x:v>
      </x:c>
      <x:c r="B7" s="14" t="str">
        <x:f>'3_Заполнение'!B7</x:f>
        <x:v>ООО Дельта</x:v>
      </x:c>
      <x:c r="C7" s="14" t="str">
        <x:f>'3_Заполнение'!C7</x:f>
        <x:v>Самара</x:v>
      </x:c>
      <x:c r="D7" s="14" t="str">
        <x:f>'3_Заполнение'!D7</x:f>
        <x:v>Ноутбуки</x:v>
      </x:c>
      <x:c r="E7" s="14" t="str">
        <x:f>'3_Заполнение'!E7</x:f>
        <x:v>Notebook Pro</x:v>
      </x:c>
      <x:c r="F7" s="16">
        <x:f>'3_Заполнение'!F7</x:f>
        <x:v>1</x:v>
      </x:c>
      <x:c r="G7" s="17">
        <x:f>'3_Заполнение'!G7</x:f>
        <x:v>0</x:v>
      </x:c>
      <x:c r="H7" s="14" t="str">
        <x:f>'3_Заполнение'!H7</x:f>
        <x:v>Виктор</x:v>
      </x:c>
      <x:c r="I7" s="14" t="str">
        <x:f>IF(COUNTIFS($A$4:A7,A7,$B$4:B7,B7,$C$4:C7,C7,$D$4:D7,D7,$E$4:E7,E7,$F$4:F7,F7,$G$4:G7,G7,$H$4:H7,H7)&gt;1,"Дубликат","Уникальная")</x:f>
        <x:v>Уникальная</x:v>
      </x:c>
      <x:c r="J7" s="2" t="n"/>
      <x:c r="K7" s="2" t="n"/>
      <x:c r="L7" s="2" t="n"/>
    </x:row>
    <x:row r="8">
      <x:c r="A8" s="16">
        <x:f>'3_Заполнение'!A8</x:f>
        <x:v>105</x:v>
      </x:c>
      <x:c r="B8" s="14" t="str">
        <x:f>'3_Заполнение'!B8</x:f>
        <x:v>ИП Омега</x:v>
      </x:c>
      <x:c r="C8" s="14" t="str">
        <x:f>'3_Заполнение'!C8</x:f>
        <x:v>Омск</x:v>
      </x:c>
      <x:c r="D8" s="14" t="str">
        <x:f>'3_Заполнение'!D8</x:f>
        <x:v>Периферия</x:v>
      </x:c>
      <x:c r="E8" s="14" t="str">
        <x:f>'3_Заполнение'!E8</x:f>
        <x:v>Клавиатура</x:v>
      </x:c>
      <x:c r="F8" s="16">
        <x:f>'3_Заполнение'!F8</x:f>
        <x:v>4</x:v>
      </x:c>
      <x:c r="G8" s="17">
        <x:f>'3_Заполнение'!G8</x:f>
        <x:v>3200</x:v>
      </x:c>
      <x:c r="H8" s="14" t="str">
        <x:f>'3_Заполнение'!H8</x:f>
        <x:v>Анна</x:v>
      </x:c>
      <x:c r="I8" s="14" t="str">
        <x:f>IF(COUNTIFS($A$4:A8,A8,$B$4:B8,B8,$C$4:C8,C8,$D$4:D8,D8,$E$4:E8,E8,$F$4:F8,F8,$G$4:G8,G8,$H$4:H8,H8)&gt;1,"Дубликат","Уникальная")</x:f>
        <x:v>Уникальная</x:v>
      </x:c>
      <x:c r="J8" s="2" t="n"/>
      <x:c r="K8" s="2" t="n"/>
      <x:c r="L8" s="2" t="n"/>
    </x:row>
    <x:row r="9">
      <x:c r="A9" s="16">
        <x:f>'3_Заполнение'!A9</x:f>
        <x:v>105</x:v>
      </x:c>
      <x:c r="B9" s="14" t="str">
        <x:f>'3_Заполнение'!B9</x:f>
        <x:v>ИП Омега</x:v>
      </x:c>
      <x:c r="C9" s="14" t="str">
        <x:f>'3_Заполнение'!C9</x:f>
        <x:v>Омск</x:v>
      </x:c>
      <x:c r="D9" s="14" t="str">
        <x:f>'3_Заполнение'!D9</x:f>
        <x:v>Периферия</x:v>
      </x:c>
      <x:c r="E9" s="14" t="str">
        <x:f>'3_Заполнение'!E9</x:f>
        <x:v>Клавиатура</x:v>
      </x:c>
      <x:c r="F9" s="16">
        <x:f>'3_Заполнение'!F9</x:f>
        <x:v>4</x:v>
      </x:c>
      <x:c r="G9" s="17">
        <x:f>'3_Заполнение'!G9</x:f>
        <x:v>3200</x:v>
      </x:c>
      <x:c r="H9" s="14" t="str">
        <x:f>'3_Заполнение'!H9</x:f>
        <x:v>Анна</x:v>
      </x:c>
      <x:c r="I9" s="14" t="str">
        <x:f>IF(COUNTIFS($A$4:A9,A9,$B$4:B9,B9,$C$4:C9,C9,$D$4:D9,D9,$E$4:E9,E9,$F$4:F9,F9,$G$4:G9,G9,$H$4:H9,H9)&gt;1,"Дубликат","Уникальная")</x:f>
        <x:v>Дубликат</x:v>
      </x:c>
      <x:c r="J9" s="2" t="n"/>
      <x:c r="K9" s="2" t="n"/>
      <x:c r="L9" s="2" t="n"/>
    </x:row>
    <x:row r="10">
      <x:c r="A10" s="16">
        <x:f>'3_Заполнение'!A10</x:f>
        <x:v>106</x:v>
      </x:c>
      <x:c r="B10" s="14" t="str">
        <x:f>'3_Заполнение'!B10</x:f>
        <x:v>ООО Сигма</x:v>
      </x:c>
      <x:c r="C10" s="14" t="str">
        <x:f>'3_Заполнение'!C10</x:f>
        <x:v>Казань</x:v>
      </x:c>
      <x:c r="D10" s="14" t="str">
        <x:f>'3_Заполнение'!D10</x:f>
        <x:v>Мониторы</x:v>
      </x:c>
      <x:c r="E10" s="14" t="str">
        <x:f>'3_Заполнение'!E10</x:f>
        <x:v>Монитор 27</x:v>
      </x:c>
      <x:c r="F10" s="16">
        <x:f>'3_Заполнение'!F10</x:f>
        <x:v>3</x:v>
      </x:c>
      <x:c r="G10" s="17">
        <x:f>'3_Заполнение'!G10</x:f>
        <x:v>21000</x:v>
      </x:c>
      <x:c r="H10" s="14" t="str">
        <x:f>'3_Заполнение'!H10</x:f>
        <x:v>Елена</x:v>
      </x:c>
      <x:c r="I10" s="14" t="str">
        <x:f>IF(COUNTIFS($A$4:A10,A10,$B$4:B10,B10,$C$4:C10,C10,$D$4:D10,D10,$E$4:E10,E10,$F$4:F10,F10,$G$4:G10,G10,$H$4:H10,H10)&gt;1,"Дубликат","Уникальная")</x:f>
        <x:v>Уникальная</x:v>
      </x:c>
      <x:c r="J10" s="2" t="n"/>
      <x:c r="K10" s="2" t="n"/>
      <x:c r="L10" s="2" t="n"/>
    </x:row>
    <x:row r="11">
      <x:c r="A11" s="16">
        <x:f>'3_Заполнение'!A11</x:f>
        <x:v>107</x:v>
      </x:c>
      <x:c r="B11" s="14" t="str">
        <x:f>'3_Заполнение'!B11</x:f>
        <x:v>ООО Тета</x:v>
      </x:c>
      <x:c r="C11" s="14" t="str">
        <x:f>'3_Заполнение'!C11</x:f>
        <x:v>Пермь</x:v>
      </x:c>
      <x:c r="D11" s="14" t="str">
        <x:f>'3_Заполнение'!D11</x:f>
        <x:v>Периферия</x:v>
      </x:c>
      <x:c r="E11" s="14" t="str">
        <x:f>'3_Заполнение'!E11</x:f>
        <x:v>Кабель HDMI</x:v>
      </x:c>
      <x:c r="F11" s="16">
        <x:f>'3_Заполнение'!F11</x:f>
        <x:v>5</x:v>
      </x:c>
      <x:c r="G11" s="17">
        <x:f>'3_Заполнение'!G11</x:f>
        <x:v>900</x:v>
      </x:c>
      <x:c r="H11" s="14" t="str">
        <x:f>'3_Заполнение'!H11</x:f>
        <x:v>Не назначен</x:v>
      </x:c>
      <x:c r="I11" s="14" t="str">
        <x:f>IF(COUNTIFS($A$4:A11,A11,$B$4:B11,B11,$C$4:C11,C11,$D$4:D11,D11,$E$4:E11,E11,$F$4:F11,F11,$G$4:G11,G11,$H$4:H11,H11)&gt;1,"Дубликат","Уникальная")</x:f>
        <x:v>Уникальная</x:v>
      </x:c>
      <x:c r="J11" s="2" t="n"/>
      <x:c r="K11" s="2" t="n"/>
      <x:c r="L11" s="2" t="n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4" customWidth="1"/>
    <x:col min="4" max="4" width="14" customWidth="1"/>
    <x:col min="5" max="5" width="18" customWidth="1"/>
    <x:col min="6" max="6" width="10" customWidth="1"/>
    <x:col min="7" max="7" width="12" customWidth="1"/>
    <x:col min="8" max="8" width="14" customWidth="1"/>
    <x:col min="9" max="9" width="14" customWidth="1"/>
    <x:col min="11" max="11" width="30" customWidth="1"/>
    <x:col min="12" max="12" width="16" customWidth="1"/>
  </x:cols>
  <x:sheetData>
    <x:row r="1" ht="24" customHeight="1">
      <x:c r="A1" s="1" t="inlineStr">
        <x:is>
          <x:t xml:space="preserve">Шаг 5. Финальная чистая таблица и итоговая выручка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>
      <x:c r="A3" s="4" t="inlineStr">
        <x:is>
          <x:t xml:space="preserve">order_id</x:t>
        </x:is>
      </x:c>
      <x:c r="B3" s="4" t="inlineStr">
        <x:is>
          <x:t xml:space="preserve">client</x:t>
        </x:is>
      </x:c>
      <x:c r="C3" s="4" t="inlineStr">
        <x:is>
          <x:t xml:space="preserve">city</x:t>
        </x:is>
      </x:c>
      <x:c r="D3" s="4" t="inlineStr">
        <x:is>
          <x:t xml:space="preserve">category</x:t>
        </x:is>
      </x:c>
      <x:c r="E3" s="4" t="inlineStr">
        <x:is>
          <x:t xml:space="preserve">product</x:t>
        </x:is>
      </x:c>
      <x:c r="F3" s="4" t="inlineStr">
        <x:is>
          <x:t xml:space="preserve">quantity</x:t>
        </x:is>
      </x:c>
      <x:c r="G3" s="4" t="inlineStr">
        <x:is>
          <x:t xml:space="preserve">price</x:t>
        </x:is>
      </x:c>
      <x:c r="H3" s="4" t="inlineStr">
        <x:is>
          <x:t xml:space="preserve">manager</x:t>
        </x:is>
      </x:c>
      <x:c r="I3" s="4" t="inlineStr">
        <x:is>
          <x:t xml:space="preserve">revenue</x:t>
        </x:is>
      </x:c>
      <x:c r="J3" s="4" t="n"/>
      <x:c r="K3" s="4" t="inlineStr">
        <x:is>
          <x:t xml:space="preserve">Показатель</x:t>
        </x:is>
      </x:c>
      <x:c r="L3" s="4" t="inlineStr">
        <x:is>
          <x:t xml:space="preserve">Значение</x:t>
        </x:is>
      </x:c>
    </x:row>
    <x:row r="4">
      <x:c r="A4" s="16">
        <x:f>'3_Заполнение'!A4</x:f>
        <x:v>101</x:v>
      </x:c>
      <x:c r="B4" s="14" t="str">
        <x:f>'3_Заполнение'!B4</x:f>
        <x:v>ООО Альфа</x:v>
      </x:c>
      <x:c r="C4" s="14" t="str">
        <x:f>'3_Заполнение'!C4</x:f>
        <x:v>Москва</x:v>
      </x:c>
      <x:c r="D4" s="14" t="str">
        <x:f>'3_Заполнение'!D4</x:f>
        <x:v>Ноутбуки</x:v>
      </x:c>
      <x:c r="E4" s="14" t="str">
        <x:f>'3_Заполнение'!E4</x:f>
        <x:v>Notebook Air</x:v>
      </x:c>
      <x:c r="F4" s="16">
        <x:f>'3_Заполнение'!F4</x:f>
        <x:v>2</x:v>
      </x:c>
      <x:c r="G4" s="17">
        <x:f>'3_Заполнение'!G4</x:f>
        <x:v>55000</x:v>
      </x:c>
      <x:c r="H4" s="14" t="str">
        <x:f>'3_Заполнение'!H4</x:f>
        <x:v>Анна</x:v>
      </x:c>
      <x:c r="I4" s="17">
        <x:f>F4*G4</x:f>
        <x:v>110000</x:v>
      </x:c>
      <x:c r="J4" s="2" t="n"/>
      <x:c r="K4" s="2" t="inlineStr">
        <x:is>
          <x:t xml:space="preserve">Количество строк после очистки</x:t>
        </x:is>
      </x:c>
      <x:c r="L4" s="17">
        <x:f>COUNTA(A4:A10)</x:f>
        <x:v>7</x:v>
      </x:c>
    </x:row>
    <x:row r="5">
      <x:c r="A5" s="16">
        <x:f>'3_Заполнение'!A5</x:f>
        <x:v>102</x:v>
      </x:c>
      <x:c r="B5" s="14" t="str">
        <x:f>'3_Заполнение'!B5</x:f>
        <x:v>ООО Бета</x:v>
      </x:c>
      <x:c r="C5" s="14" t="str">
        <x:f>'3_Заполнение'!C5</x:f>
        <x:v>Не указан</x:v>
      </x:c>
      <x:c r="D5" s="14" t="str">
        <x:f>'3_Заполнение'!D5</x:f>
        <x:v>Мониторы</x:v>
      </x:c>
      <x:c r="E5" s="14" t="str">
        <x:f>'3_Заполнение'!E5</x:f>
        <x:v>Монитор 24</x:v>
      </x:c>
      <x:c r="F5" s="16">
        <x:f>'3_Заполнение'!F5</x:f>
        <x:v>1</x:v>
      </x:c>
      <x:c r="G5" s="17">
        <x:f>'3_Заполнение'!G5</x:f>
        <x:v>18000</x:v>
      </x:c>
      <x:c r="H5" s="14" t="str">
        <x:f>'3_Заполнение'!H5</x:f>
        <x:v>Борис</x:v>
      </x:c>
      <x:c r="I5" s="17">
        <x:f>F5*G5</x:f>
        <x:v>18000</x:v>
      </x:c>
      <x:c r="J5" s="2" t="n"/>
      <x:c r="K5" s="2" t="inlineStr">
        <x:is>
          <x:t xml:space="preserve">Тип quantity в Python</x:t>
        </x:is>
      </x:c>
      <x:c r="L5" s="2" t="inlineStr">
        <x:is>
          <x:t xml:space="preserve">int</x:t>
        </x:is>
      </x:c>
    </x:row>
    <x:row r="6">
      <x:c r="A6" s="16">
        <x:f>'3_Заполнение'!A6</x:f>
        <x:v>103</x:v>
      </x:c>
      <x:c r="B6" s="14" t="str">
        <x:f>'3_Заполнение'!B6</x:f>
        <x:v>ИП Гамма</x:v>
      </x:c>
      <x:c r="C6" s="14" t="str">
        <x:f>'3_Заполнение'!C6</x:f>
        <x:v>Уфа</x:v>
      </x:c>
      <x:c r="D6" s="14" t="str">
        <x:f>'3_Заполнение'!D6</x:f>
        <x:v>Периферия</x:v>
      </x:c>
      <x:c r="E6" s="14" t="str">
        <x:f>'3_Заполнение'!E6</x:f>
        <x:v>Мышь Pro</x:v>
      </x:c>
      <x:c r="F6" s="16">
        <x:f>'3_Заполнение'!F6</x:f>
        <x:v>1</x:v>
      </x:c>
      <x:c r="G6" s="17">
        <x:f>'3_Заполнение'!G6</x:f>
        <x:v>1500</x:v>
      </x:c>
      <x:c r="H6" s="14" t="str">
        <x:f>'3_Заполнение'!H6</x:f>
        <x:v>Анна</x:v>
      </x:c>
      <x:c r="I6" s="17">
        <x:f>F6*G6</x:f>
        <x:v>1500</x:v>
      </x:c>
      <x:c r="J6" s="2" t="n"/>
      <x:c r="K6" s="2" t="inlineStr">
        <x:is>
          <x:t xml:space="preserve">Тип price в Python</x:t>
        </x:is>
      </x:c>
      <x:c r="L6" s="2" t="inlineStr">
        <x:is>
          <x:t xml:space="preserve">int</x:t>
        </x:is>
      </x:c>
    </x:row>
    <x:row r="7">
      <x:c r="A7" s="16">
        <x:f>'3_Заполнение'!A7</x:f>
        <x:v>104</x:v>
      </x:c>
      <x:c r="B7" s="14" t="str">
        <x:f>'3_Заполнение'!B7</x:f>
        <x:v>ООО Дельта</x:v>
      </x:c>
      <x:c r="C7" s="14" t="str">
        <x:f>'3_Заполнение'!C7</x:f>
        <x:v>Самара</x:v>
      </x:c>
      <x:c r="D7" s="14" t="str">
        <x:f>'3_Заполнение'!D7</x:f>
        <x:v>Ноутбуки</x:v>
      </x:c>
      <x:c r="E7" s="14" t="str">
        <x:f>'3_Заполнение'!E7</x:f>
        <x:v>Notebook Pro</x:v>
      </x:c>
      <x:c r="F7" s="16">
        <x:f>'3_Заполнение'!F7</x:f>
        <x:v>1</x:v>
      </x:c>
      <x:c r="G7" s="17">
        <x:f>'3_Заполнение'!G7</x:f>
        <x:v>0</x:v>
      </x:c>
      <x:c r="H7" s="14" t="str">
        <x:f>'3_Заполнение'!H7</x:f>
        <x:v>Виктор</x:v>
      </x:c>
      <x:c r="I7" s="17">
        <x:f>F7*G7</x:f>
        <x:v>0</x:v>
      </x:c>
      <x:c r="J7" s="2" t="n"/>
      <x:c r="K7" s="2" t="inlineStr">
        <x:is>
          <x:t xml:space="preserve">Итоговая выручка</x:t>
        </x:is>
      </x:c>
      <x:c r="L7" s="17">
        <x:f>SUM(I4:I10)</x:f>
        <x:v>209800</x:v>
      </x:c>
    </x:row>
    <x:row r="8">
      <x:c r="A8" s="16">
        <x:f>'3_Заполнение'!A8</x:f>
        <x:v>105</x:v>
      </x:c>
      <x:c r="B8" s="14" t="str">
        <x:f>'3_Заполнение'!B8</x:f>
        <x:v>ИП Омега</x:v>
      </x:c>
      <x:c r="C8" s="14" t="str">
        <x:f>'3_Заполнение'!C8</x:f>
        <x:v>Омск</x:v>
      </x:c>
      <x:c r="D8" s="14" t="str">
        <x:f>'3_Заполнение'!D8</x:f>
        <x:v>Периферия</x:v>
      </x:c>
      <x:c r="E8" s="14" t="str">
        <x:f>'3_Заполнение'!E8</x:f>
        <x:v>Клавиатура</x:v>
      </x:c>
      <x:c r="F8" s="16">
        <x:f>'3_Заполнение'!F8</x:f>
        <x:v>4</x:v>
      </x:c>
      <x:c r="G8" s="17">
        <x:f>'3_Заполнение'!G8</x:f>
        <x:v>3200</x:v>
      </x:c>
      <x:c r="H8" s="14" t="str">
        <x:f>'3_Заполнение'!H8</x:f>
        <x:v>Анна</x:v>
      </x:c>
      <x:c r="I8" s="17">
        <x:f>F8*G8</x:f>
        <x:v>12800</x:v>
      </x:c>
      <x:c r="J8" s="2" t="n"/>
      <x:c r="K8" s="2" t="n"/>
      <x:c r="L8" s="2" t="n"/>
    </x:row>
    <x:row r="9">
      <x:c r="A9" s="16">
        <x:f>'3_Заполнение'!A10</x:f>
        <x:v>106</x:v>
      </x:c>
      <x:c r="B9" s="14" t="str">
        <x:f>'3_Заполнение'!B10</x:f>
        <x:v>ООО Сигма</x:v>
      </x:c>
      <x:c r="C9" s="14" t="str">
        <x:f>'3_Заполнение'!C10</x:f>
        <x:v>Казань</x:v>
      </x:c>
      <x:c r="D9" s="14" t="str">
        <x:f>'3_Заполнение'!D10</x:f>
        <x:v>Мониторы</x:v>
      </x:c>
      <x:c r="E9" s="14" t="str">
        <x:f>'3_Заполнение'!E10</x:f>
        <x:v>Монитор 27</x:v>
      </x:c>
      <x:c r="F9" s="16">
        <x:f>'3_Заполнение'!F10</x:f>
        <x:v>3</x:v>
      </x:c>
      <x:c r="G9" s="17">
        <x:f>'3_Заполнение'!G10</x:f>
        <x:v>21000</x:v>
      </x:c>
      <x:c r="H9" s="14" t="str">
        <x:f>'3_Заполнение'!H10</x:f>
        <x:v>Елена</x:v>
      </x:c>
      <x:c r="I9" s="17">
        <x:f>F9*G9</x:f>
        <x:v>63000</x:v>
      </x:c>
      <x:c r="J9" s="2" t="n"/>
      <x:c r="K9" s="2" t="n"/>
      <x:c r="L9" s="2" t="n"/>
    </x:row>
    <x:row r="10">
      <x:c r="A10" s="16">
        <x:f>'3_Заполнение'!A11</x:f>
        <x:v>107</x:v>
      </x:c>
      <x:c r="B10" s="14" t="str">
        <x:f>'3_Заполнение'!B11</x:f>
        <x:v>ООО Тета</x:v>
      </x:c>
      <x:c r="C10" s="14" t="str">
        <x:f>'3_Заполнение'!C11</x:f>
        <x:v>Пермь</x:v>
      </x:c>
      <x:c r="D10" s="14" t="str">
        <x:f>'3_Заполнение'!D11</x:f>
        <x:v>Периферия</x:v>
      </x:c>
      <x:c r="E10" s="14" t="str">
        <x:f>'3_Заполнение'!E11</x:f>
        <x:v>Кабель HDMI</x:v>
      </x:c>
      <x:c r="F10" s="16">
        <x:f>'3_Заполнение'!F11</x:f>
        <x:v>5</x:v>
      </x:c>
      <x:c r="G10" s="17">
        <x:f>'3_Заполнение'!G11</x:f>
        <x:v>900</x:v>
      </x:c>
      <x:c r="H10" s="14" t="str">
        <x:f>'3_Заполнение'!H11</x:f>
        <x:v>Не назначен</x:v>
      </x:c>
      <x:c r="I10" s="17">
        <x:f>F10*G10</x:f>
        <x:v>4500</x:v>
      </x:c>
      <x:c r="J10" s="2" t="n"/>
      <x:c r="K10" s="2" t="n"/>
      <x:c r="L10" s="2" t="n"/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52" customWidth="1"/>
    <x:col min="2" max="2" width="18" customWidth="1"/>
    <x:col min="3" max="3" width="30" customWidth="1"/>
    <x:col min="4" max="4" width="12" customWidth="1"/>
  </x:cols>
  <x:sheetData>
    <x:row r="1" ht="24" customHeight="1">
      <x:c r="A1" s="1" t="inlineStr">
        <x:is>
          <x:t xml:space="preserve">Тест по занятию 7</x:t>
        </x:is>
      </x:c>
    </x:row>
    <x:row r="2">
      <x:c r="A2" s="2" t="n"/>
      <x:c r="B2" s="2" t="n"/>
      <x:c r="C2" s="2" t="n"/>
      <x:c r="D2" s="2" t="n"/>
    </x:row>
    <x:row r="3">
      <x:c r="A3" s="4" t="inlineStr">
        <x:is>
          <x:t xml:space="preserve">Вопрос</x:t>
        </x:is>
      </x:c>
      <x:c r="B3" s="4" t="inlineStr">
        <x:is>
          <x:t xml:space="preserve">Правильный ответ</x:t>
        </x:is>
      </x:c>
      <x:c r="C3" s="4" t="inlineStr">
        <x:is>
          <x:t xml:space="preserve">Подсказка</x:t>
        </x:is>
      </x:c>
      <x:c r="D3" s="2" t="n"/>
    </x:row>
    <x:row r="4" ht="30" customHeight="1">
      <x:c r="A4" s="2" t="inlineStr">
        <x:is>
          <x:t xml:space="preserve">Сколько строк в исходной таблице?</x:t>
        </x:is>
      </x:c>
      <x:c r="B4" s="14">
        <x:f>COUNTA(dirty_data!A3:A10)</x:f>
        <x:v>8</x:v>
      </x:c>
      <x:c r="C4" s="2" t="inlineStr">
        <x:is>
          <x:t xml:space="preserve">Аналог df.shape[0]</x:t>
        </x:is>
      </x:c>
      <x:c r="D4" s="2" t="n"/>
    </x:row>
    <x:row r="5" ht="30" customHeight="1">
      <x:c r="A5" s="2" t="inlineStr">
        <x:is>
          <x:t xml:space="preserve">Сколько пропусков в столбце city?</x:t>
        </x:is>
      </x:c>
      <x:c r="B5" s="14">
        <x:f>COUNTBLANK(dirty_data!C3:C10)</x:f>
        <x:v>1</x:v>
      </x:c>
      <x:c r="C5" s="2" t="inlineStr">
        <x:is>
          <x:t xml:space="preserve">Проверяли через isna().sum()</x:t>
        </x:is>
      </x:c>
      <x:c r="D5" s="2" t="n"/>
    </x:row>
    <x:row r="6" ht="30" customHeight="1">
      <x:c r="A6" s="2" t="inlineStr">
        <x:is>
          <x:t xml:space="preserve">Сколько дубликатов после заполнения пропусков?</x:t>
        </x:is>
      </x:c>
      <x:c r="B6" s="14">
        <x:f>COUNTIF('4_Дубликаты'!I4:I11,"Дубликат")</x:f>
        <x:v>1</x:v>
      </x:c>
      <x:c r="C6" s="2" t="inlineStr">
        <x:is>
          <x:t xml:space="preserve">Смотрите duplicated()</x:t>
        </x:is>
      </x:c>
      <x:c r="D6" s="2" t="n"/>
    </x:row>
    <x:row r="7" ht="30" customHeight="1">
      <x:c r="A7" s="2" t="inlineStr">
        <x:is>
          <x:t xml:space="preserve">Сколько строк осталось после удаления дубликатов?</x:t>
        </x:is>
      </x:c>
      <x:c r="B7" s="14">
        <x:f>COUNTA('5_Типы_и_Итог'!A4:A10)</x:f>
        <x:v>7</x:v>
      </x:c>
      <x:c r="C7" s="2" t="inlineStr">
        <x:is>
          <x:t xml:space="preserve">Это размер clean-таблицы</x:t>
        </x:is>
      </x:c>
      <x:c r="D7" s="2" t="n"/>
    </x:row>
    <x:row r="8" ht="30" customHeight="1">
      <x:c r="A8" s="2" t="inlineStr">
        <x:is>
          <x:t xml:space="preserve">Какая итоговая выручка?</x:t>
        </x:is>
      </x:c>
      <x:c r="B8" s="14">
        <x:f>SUM('5_Типы_и_Итог'!I4:I10)</x:f>
        <x:v>209800</x:v>
      </x:c>
      <x:c r="C8" s="2" t="inlineStr">
        <x:is>
          <x:t xml:space="preserve">Это сумма столбца revenue</x:t>
        </x:is>
      </x:c>
      <x:c r="D8" s="2" t="n"/>
    </x:row>
  </x:sheetData>
  <x:mergeCells>
    <x:mergeCell ref="A1:D1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044E10-4202-4B10-AC2E-26EA1ED631F5}"/>
</file>

<file path=customXml/itemProps2.xml><?xml version="1.0" encoding="utf-8"?>
<ds:datastoreItem xmlns:ds="http://schemas.openxmlformats.org/officeDocument/2006/customXml" ds:itemID="{6905F6D6-1F6A-4A2E-A4CB-E0233C62AC2D}"/>
</file>

<file path=customXml/itemProps3.xml><?xml version="1.0" encoding="utf-8"?>
<ds:datastoreItem xmlns:ds="http://schemas.openxmlformats.org/officeDocument/2006/customXml" ds:itemID="{1364C016-B7F9-483E-9586-8DABD58C8AB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