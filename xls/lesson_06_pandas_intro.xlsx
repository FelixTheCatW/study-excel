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0_Теория" sheetId="1" state="visible" r:id="rId3"/>
    <sheet name="data" sheetId="2" state="visible" r:id="rId4"/>
    <sheet name="1_CSV" sheetId="3" state="visible" r:id="rId5"/>
    <sheet name="2_Excel" sheetId="4" state="visible" r:id="rId6"/>
    <sheet name="3_Просмотр" sheetId="5" state="visible" r:id="rId7"/>
    <sheet name="4_Столбцы" sheetId="6" state="visible" r:id="rId8"/>
    <sheet name="5_Минизадача" sheetId="7" state="visible" r:id="rId9"/>
    <sheet name="6_Тест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<sst xmlns="http://schemas.openxmlformats.org/spreadsheetml/2006/main" count="107" uniqueCount="99">
  <si>
    <t xml:space="preserve">Занятие 6. Загрузка данных из CSV и Excel. Первое знакомство с pandas</t>
  </si>
  <si>
    <t xml:space="preserve">Тема</t>
  </si>
  <si>
    <t xml:space="preserve">Загрузка CSV и Excel, структура DataFrame, просмотр строк и столбцов.</t>
  </si>
  <si>
    <t xml:space="preserve">Ключевые термины</t>
  </si>
  <si>
    <t xml:space="preserve">CSV, Excel, pandas, DataFrame, строки, столбцы, sheet_name.</t>
  </si>
  <si>
    <t xml:space="preserve">Что делает ноутбук</t>
  </si>
  <si>
    <t xml:space="preserve">Создаёт CSV, читает CSV и Excel, показывает head/tail, shape, columns и выбор столбцов.</t>
  </si>
  <si>
    <t xml:space="preserve">Как использовать</t>
  </si>
  <si>
    <t xml:space="preserve">Положите ноутбук и этот Excel-файл в одну папку, затем откройте файл в ячейке 2 через pd.read_excel(...).</t>
  </si>
  <si>
    <t xml:space="preserve">Лист для чтения</t>
  </si>
  <si>
    <t xml:space="preserve">data</t>
  </si>
  <si>
    <t xml:space="preserve">Практические шаги</t>
  </si>
  <si>
    <t xml:space="preserve">1. Импорт pandas и чтение CSV</t>
  </si>
  <si>
    <t xml:space="preserve">2. Чтение Excel-листа data</t>
  </si>
  <si>
    <t xml:space="preserve">3. Просмотр head, tail, shape, columns</t>
  </si>
  <si>
    <t xml:space="preserve">4. Выбор одного и нескольких столбцов</t>
  </si>
  <si>
    <t xml:space="preserve">5. Мини-задача по описанию структуры таблицы</t>
  </si>
  <si>
    <t xml:space="preserve">product_id</t>
  </si>
  <si>
    <t xml:space="preserve">product_name</t>
  </si>
  <si>
    <t xml:space="preserve">category</t>
  </si>
  <si>
    <t xml:space="preserve">calories</t>
  </si>
  <si>
    <t xml:space="preserve">protein</t>
  </si>
  <si>
    <t xml:space="preserve">fat</t>
  </si>
  <si>
    <t xml:space="preserve">carbs</t>
  </si>
  <si>
    <t xml:space="preserve">fiber</t>
  </si>
  <si>
    <t xml:space="preserve">Яблоко</t>
  </si>
  <si>
    <t xml:space="preserve">Фрукты</t>
  </si>
  <si>
    <t xml:space="preserve">Куриная грудка</t>
  </si>
  <si>
    <t xml:space="preserve">Мясо</t>
  </si>
  <si>
    <t xml:space="preserve">Овсянка</t>
  </si>
  <si>
    <t xml:space="preserve">Крупы</t>
  </si>
  <si>
    <t xml:space="preserve">Творог 5%</t>
  </si>
  <si>
    <t xml:space="preserve">Молочные</t>
  </si>
  <si>
    <t xml:space="preserve">Лосось</t>
  </si>
  <si>
    <t xml:space="preserve">Рыба</t>
  </si>
  <si>
    <t xml:space="preserve">Брокколи</t>
  </si>
  <si>
    <t xml:space="preserve">Овощи</t>
  </si>
  <si>
    <t xml:space="preserve">Миндаль</t>
  </si>
  <si>
    <t xml:space="preserve">Орехи</t>
  </si>
  <si>
    <t xml:space="preserve">Банан</t>
  </si>
  <si>
    <t xml:space="preserve">Как выглядит CSV</t>
  </si>
  <si>
    <t xml:space="preserve">В ноутбуке эти строки сохраняются в файл lesson_06_sales_data.csv</t>
  </si>
  <si>
    <t xml:space="preserve">Строка CSV</t>
  </si>
  <si>
    <t xml:space="preserve">order_id,client,city,category,product,quantity,price,revenue</t>
  </si>
  <si>
    <t xml:space="preserve">1,ООО Альфа,Москва,Ноутбуки,Notebook Air,2,55000,110000</t>
  </si>
  <si>
    <t xml:space="preserve">2,ООО Бета,Казань,Мониторы,Монитор 24,3,18000,54000</t>
  </si>
  <si>
    <t xml:space="preserve">3,ИП Гамма,Уфа,Периферия,Мышь Pro,5,1500,7500</t>
  </si>
  <si>
    <t xml:space="preserve">4,ООО Дельта,Самара,Ноутбуки,Notebook Pro,1,87000,87000</t>
  </si>
  <si>
    <t xml:space="preserve">5,ИП Омега,Омск,Периферия,Клавиатура,4,3200,12800</t>
  </si>
  <si>
    <t xml:space="preserve">6,ООО Вектор,Томск,Мониторы,Монитор 27,2,24000,48000</t>
  </si>
  <si>
    <t xml:space="preserve">Чтение Excel-листа data</t>
  </si>
  <si>
    <t xml:space="preserve">Имя файла</t>
  </si>
  <si>
    <t xml:space="preserve">lesson_06_pandas_intro.xlsx</t>
  </si>
  <si>
    <t xml:space="preserve">Команда в pandas</t>
  </si>
  <si>
    <t xml:space="preserve">pd.read_excel("lesson_06_pandas_intro.xlsx", sheet_name="data")</t>
  </si>
  <si>
    <t xml:space="preserve">Что получится</t>
  </si>
  <si>
    <t xml:space="preserve">DataFrame из 6 строк и 8 столбцов</t>
  </si>
  <si>
    <t xml:space="preserve">Первые 3 строки листа data</t>
  </si>
  <si>
    <t xml:space="preserve">Просмотр структуры таблицы</t>
  </si>
  <si>
    <t xml:space="preserve">Показатель</t>
  </si>
  <si>
    <t xml:space="preserve">Значение</t>
  </si>
  <si>
    <t xml:space="preserve">Аналог df.head()</t>
  </si>
  <si>
    <t xml:space="preserve">Количество строк</t>
  </si>
  <si>
    <t xml:space="preserve">Количество столбцов</t>
  </si>
  <si>
    <t xml:space="preserve">Список столбцов</t>
  </si>
  <si>
    <t xml:space="preserve">order_id, client, city, category, product, quantity, price, revenue</t>
  </si>
  <si>
    <t xml:space="preserve">Аналог команды</t>
  </si>
  <si>
    <t xml:space="preserve">df.head(), df.tail(3), df.shape, list(df.columns)</t>
  </si>
  <si>
    <t xml:space="preserve">Аналог df.tail(3)</t>
  </si>
  <si>
    <t xml:space="preserve">Выбор одного и нескольких столбцов</t>
  </si>
  <si>
    <t xml:space="preserve">Один столбец: quantity</t>
  </si>
  <si>
    <t xml:space="preserve">Несколько столбцов: client, product, revenue</t>
  </si>
  <si>
    <t xml:space="preserve">Мини-задача: описываем структуру набора данных</t>
  </si>
  <si>
    <t xml:space="preserve">Что найти</t>
  </si>
  <si>
    <t xml:space="preserve">Ответ</t>
  </si>
  <si>
    <t xml:space="preserve">Общая выручка</t>
  </si>
  <si>
    <t xml:space="preserve">Первые 3 товара</t>
  </si>
  <si>
    <t xml:space="preserve">order_id</t>
  </si>
  <si>
    <t xml:space="preserve">client</t>
  </si>
  <si>
    <t xml:space="preserve">city</t>
  </si>
  <si>
    <t xml:space="preserve">product</t>
  </si>
  <si>
    <t xml:space="preserve">quantity</t>
  </si>
  <si>
    <t xml:space="preserve">price</t>
  </si>
  <si>
    <t xml:space="preserve">revenue</t>
  </si>
  <si>
    <t xml:space="preserve">Тест по занятию</t>
  </si>
  <si>
    <t xml:space="preserve">Вопрос</t>
  </si>
  <si>
    <t xml:space="preserve">Правильный ответ</t>
  </si>
  <si>
    <t xml:space="preserve">Подсказка</t>
  </si>
  <si>
    <t xml:space="preserve">Сколько строк в таблице?</t>
  </si>
  <si>
    <t xml:space="preserve">Аналог df.shape[0]</t>
  </si>
  <si>
    <t xml:space="preserve">Сколько столбцов в таблице?</t>
  </si>
  <si>
    <t xml:space="preserve">Аналог df.shape[1]</t>
  </si>
  <si>
    <t xml:space="preserve">Как называется лист для чтения?</t>
  </si>
  <si>
    <t xml:space="preserve">sheet_name="data"</t>
  </si>
  <si>
    <t xml:space="preserve">Какая сумма в столбце calories?</t>
  </si>
  <si>
    <t xml:space="preserve">df["calories"].sum()</t>
  </si>
  <si>
    <t xml:space="preserve">Проверка</t>
  </si>
  <si>
    <t xml:space="preserve">Формула в pandas</t>
  </si>
  <si>
    <t xml:space="preserve">df[["client", "product", "revenue"]]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</si>
</sst>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CE4D6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2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CE4D6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<Relationship Id="rId12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SalesData" displayName="SalesData" ref="A1:H7" headerRowCount="1" totalsRowCount="0" totalsRowShown="0">
  <autoFilter ref="A1:H7"/>
  <tableColumns count="8">
    <tableColumn id="1" name="product_id"/>
    <tableColumn id="2" name="product_name"/>
    <tableColumn id="3" name="category"/>
    <tableColumn id="4" name="calories"/>
    <tableColumn id="5" name="protein"/>
    <tableColumn id="6" name="fat"/>
    <tableColumn id="7" name="carbs"/>
    <tableColumn id="8" name="fiber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29.52"/>
    <col collapsed="false" customWidth="true" hidden="false" outlineLevel="0" max="2" min="2" style="0" width="104.43"/>
  </cols>
  <sheetData>
    <row r="1" customFormat="false" ht="20.85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6.4" hidden="false" customHeight="false" outlineLevel="0" collapsed="false">
      <c r="A3" s="2" t="s">
        <v>1</v>
      </c>
      <c r="B3" s="3" t="s">
        <v>2</v>
      </c>
    </row>
    <row r="4" customFormat="false" ht="16.4" hidden="false" customHeight="false" outlineLevel="0" collapsed="false">
      <c r="A4" s="2" t="s">
        <v>3</v>
      </c>
      <c r="B4" s="3" t="s">
        <v>4</v>
      </c>
    </row>
    <row r="5" customFormat="false" ht="16.4" hidden="false" customHeight="false" outlineLevel="0" collapsed="false">
      <c r="A5" s="2" t="s">
        <v>5</v>
      </c>
      <c r="B5" s="3" t="s">
        <v>6</v>
      </c>
    </row>
    <row r="6" customFormat="false" ht="31.3" hidden="false" customHeight="false" outlineLevel="0" collapsed="false">
      <c r="A6" s="2" t="s">
        <v>7</v>
      </c>
      <c r="B6" s="3" t="s">
        <v>8</v>
      </c>
    </row>
    <row r="7" customFormat="false" ht="16.4" hidden="false" customHeight="false" outlineLevel="0" collapsed="false">
      <c r="A7" s="2" t="s">
        <v>9</v>
      </c>
      <c r="B7" s="3" t="s">
        <v>10</v>
      </c>
    </row>
    <row r="10" customFormat="false" ht="16.4" hidden="false" customHeight="false" outlineLevel="0" collapsed="false">
      <c r="A10" s="4" t="s">
        <v>11</v>
      </c>
    </row>
    <row r="11" customFormat="false" ht="31.3" hidden="false" customHeight="false" outlineLevel="0" collapsed="false">
      <c r="A11" s="3" t="s">
        <v>12</v>
      </c>
    </row>
    <row r="12" customFormat="false" ht="16.4" hidden="false" customHeight="false" outlineLevel="0" collapsed="false">
      <c r="A12" s="3" t="s">
        <v>13</v>
      </c>
    </row>
    <row r="13" customFormat="false" ht="31.3" hidden="false" customHeight="false" outlineLevel="0" collapsed="false">
      <c r="A13" s="3" t="s">
        <v>14</v>
      </c>
    </row>
    <row r="14" customFormat="false" ht="31.3" hidden="false" customHeight="false" outlineLevel="0" collapsed="false">
      <c r="A14" s="3" t="s">
        <v>15</v>
      </c>
    </row>
    <row r="15" customFormat="false" ht="46.25" hidden="false" customHeight="false" outlineLevel="0" collapsed="false">
      <c r="A15" s="3" t="s">
        <v>16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11.35"/>
    <col collapsed="false" customWidth="true" hidden="false" outlineLevel="0" max="2" min="2" style="0" width="20.43"/>
    <col collapsed="false" customWidth="true" hidden="false" outlineLevel="0" max="4" min="3" style="0" width="15.89"/>
    <col collapsed="false" customWidth="true" hidden="false" outlineLevel="0" max="5" min="5" style="0" width="20.43"/>
    <col collapsed="false" customWidth="true" hidden="false" outlineLevel="0" max="6" min="6" style="0" width="11.35"/>
    <col collapsed="false" customWidth="true" hidden="false" outlineLevel="0" max="8" min="7" style="0" width="13.62"/>
  </cols>
  <sheetData>
    <row r="1" customFormat="false" ht="15" hidden="false" customHeight="false" outlineLevel="0" collapsed="false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</row>
    <row r="2" customFormat="false" ht="15" hidden="false" customHeight="false" outlineLevel="0" collapsed="false">
      <c r="A2" s="0" t="n">
        <v>1</v>
      </c>
      <c r="B2" s="0" t="s">
        <v>25</v>
      </c>
      <c r="C2" s="0" t="s">
        <v>26</v>
      </c>
      <c r="D2" s="0" t="n">
        <v>52</v>
      </c>
      <c r="E2" s="0" t="n">
        <v>0.3</v>
      </c>
      <c r="F2" s="0" t="n">
        <v>0.2</v>
      </c>
      <c r="G2" s="0" t="n">
        <v>14</v>
      </c>
      <c r="H2" s="0" t="n">
        <v>2.4</v>
      </c>
    </row>
    <row r="3" customFormat="false" ht="15" hidden="false" customHeight="false" outlineLevel="0" collapsed="false">
      <c r="A3" s="0" t="n">
        <v>2</v>
      </c>
      <c r="B3" s="0" t="s">
        <v>27</v>
      </c>
      <c r="C3" s="0" t="s">
        <v>28</v>
      </c>
      <c r="D3" s="0" t="n">
        <v>165</v>
      </c>
      <c r="E3" s="0" t="n">
        <v>31</v>
      </c>
      <c r="F3" s="0" t="n">
        <v>3.6</v>
      </c>
      <c r="G3" s="0" t="n">
        <v>0</v>
      </c>
      <c r="H3" s="0" t="n">
        <v>0</v>
      </c>
    </row>
    <row r="4" customFormat="false" ht="15" hidden="false" customHeight="false" outlineLevel="0" collapsed="false">
      <c r="A4" s="0" t="n">
        <v>3</v>
      </c>
      <c r="B4" s="0" t="s">
        <v>29</v>
      </c>
      <c r="C4" s="0" t="s">
        <v>30</v>
      </c>
      <c r="D4" s="0" t="n">
        <v>389</v>
      </c>
      <c r="E4" s="0" t="n">
        <v>16.9</v>
      </c>
      <c r="F4" s="0" t="n">
        <v>6.9</v>
      </c>
      <c r="G4" s="0" t="n">
        <v>66.3</v>
      </c>
      <c r="H4" s="0" t="n">
        <v>10.6</v>
      </c>
    </row>
    <row r="5" customFormat="false" ht="15" hidden="false" customHeight="false" outlineLevel="0" collapsed="false">
      <c r="A5" s="0" t="n">
        <v>4</v>
      </c>
      <c r="B5" s="0" t="s">
        <v>31</v>
      </c>
      <c r="C5" s="0" t="s">
        <v>32</v>
      </c>
      <c r="D5" s="0" t="n">
        <v>121</v>
      </c>
      <c r="E5" s="0" t="n">
        <v>17</v>
      </c>
      <c r="F5" s="0" t="n">
        <v>5</v>
      </c>
      <c r="G5" s="0" t="n">
        <v>3</v>
      </c>
      <c r="H5" s="0" t="n">
        <v>0</v>
      </c>
    </row>
    <row r="6" customFormat="false" ht="15" hidden="false" customHeight="false" outlineLevel="0" collapsed="false">
      <c r="A6" s="0" t="n">
        <v>5</v>
      </c>
      <c r="B6" s="0" t="s">
        <v>33</v>
      </c>
      <c r="C6" s="0" t="s">
        <v>34</v>
      </c>
      <c r="D6" s="0" t="n">
        <v>208</v>
      </c>
      <c r="E6" s="0" t="n">
        <v>20</v>
      </c>
      <c r="F6" s="0" t="n">
        <v>13</v>
      </c>
      <c r="G6" s="0" t="n">
        <v>0</v>
      </c>
      <c r="H6" s="0" t="n">
        <v>0</v>
      </c>
    </row>
    <row r="7" customFormat="false" ht="15" hidden="false" customHeight="false" outlineLevel="0" collapsed="false">
      <c r="A7" s="0" t="n">
        <v>6</v>
      </c>
      <c r="B7" s="0" t="s">
        <v>35</v>
      </c>
      <c r="C7" s="0" t="s">
        <v>36</v>
      </c>
      <c r="D7" s="0" t="n">
        <v>34</v>
      </c>
      <c r="E7" s="0" t="n">
        <v>2.8</v>
      </c>
      <c r="F7" s="0" t="n">
        <v>0.4</v>
      </c>
      <c r="G7" s="0" t="n">
        <v>7</v>
      </c>
      <c r="H7" s="0" t="n">
        <v>2.6</v>
      </c>
    </row>
    <row r="8" customFormat="false" ht="15" hidden="false" customHeight="false" outlineLevel="0" collapsed="false">
      <c r="A8" s="0" t="n">
        <v>7</v>
      </c>
      <c r="B8" s="0" t="s">
        <v>37</v>
      </c>
      <c r="C8" s="0" t="s">
        <v>38</v>
      </c>
      <c r="D8" s="0" t="n">
        <v>579</v>
      </c>
      <c r="E8" s="0" t="n">
        <v>21</v>
      </c>
      <c r="F8" s="0" t="n">
        <v>49</v>
      </c>
      <c r="G8" s="0" t="n">
        <v>22</v>
      </c>
      <c r="H8" s="0" t="n">
        <v>12</v>
      </c>
    </row>
    <row r="9" customFormat="false" ht="15" hidden="false" customHeight="false" outlineLevel="0" collapsed="false">
      <c r="A9" s="0" t="n">
        <v>8</v>
      </c>
      <c r="B9" s="0" t="s">
        <v>39</v>
      </c>
      <c r="C9" s="0" t="s">
        <v>26</v>
      </c>
      <c r="D9" s="0" t="n">
        <v>89</v>
      </c>
      <c r="E9" s="0" t="n">
        <v>1.1</v>
      </c>
      <c r="F9" s="0" t="n">
        <v>0.3</v>
      </c>
      <c r="G9" s="0" t="n">
        <v>23</v>
      </c>
      <c r="H9" s="0" t="n">
        <v>2.6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107.84"/>
  </cols>
  <sheetData>
    <row r="1" customFormat="false" ht="20.85" hidden="false" customHeight="true" outlineLevel="0" collapsed="false">
      <c r="A1" s="1" t="s">
        <v>40</v>
      </c>
      <c r="B1" s="1"/>
    </row>
    <row r="3" customFormat="false" ht="16.4" hidden="false" customHeight="false" outlineLevel="0" collapsed="false">
      <c r="A3" s="6" t="s">
        <v>41</v>
      </c>
    </row>
    <row r="5" customFormat="false" ht="16.4" hidden="false" customHeight="false" outlineLevel="0" collapsed="false">
      <c r="A5" s="7" t="s">
        <v>42</v>
      </c>
    </row>
    <row r="6" customFormat="false" ht="15" hidden="false" customHeight="false" outlineLevel="0" collapsed="false">
      <c r="A6" s="8" t="s">
        <v>43</v>
      </c>
    </row>
    <row r="7" customFormat="false" ht="15" hidden="false" customHeight="false" outlineLevel="0" collapsed="false">
      <c r="A7" s="8" t="s">
        <v>44</v>
      </c>
    </row>
    <row r="8" customFormat="false" ht="15" hidden="false" customHeight="false" outlineLevel="0" collapsed="false">
      <c r="A8" s="8" t="s">
        <v>45</v>
      </c>
    </row>
    <row r="9" customFormat="false" ht="15" hidden="false" customHeight="false" outlineLevel="0" collapsed="false">
      <c r="A9" s="8" t="s">
        <v>46</v>
      </c>
    </row>
    <row r="10" customFormat="false" ht="15" hidden="false" customHeight="false" outlineLevel="0" collapsed="false">
      <c r="A10" s="8" t="s">
        <v>47</v>
      </c>
    </row>
    <row r="11" customFormat="false" ht="15" hidden="false" customHeight="false" outlineLevel="0" collapsed="false">
      <c r="A11" s="8" t="s">
        <v>48</v>
      </c>
    </row>
    <row r="12" customFormat="false" ht="15" hidden="false" customHeight="false" outlineLevel="0" collapsed="false">
      <c r="A12" s="8" t="s">
        <v>49</v>
      </c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22.7"/>
    <col collapsed="false" customWidth="true" hidden="false" outlineLevel="0" max="2" min="2" style="0" width="73.78"/>
    <col collapsed="false" customWidth="true" hidden="false" outlineLevel="0" max="3" min="3" style="0" width="13.62"/>
    <col collapsed="false" customWidth="true" hidden="false" outlineLevel="0" max="6" min="4" style="0" width="15.89"/>
    <col collapsed="false" customWidth="true" hidden="false" outlineLevel="0" max="8" min="7" style="0" width="13.62"/>
  </cols>
  <sheetData>
    <row r="1" customFormat="false" ht="20.85" hidden="false" customHeight="true" outlineLevel="0" collapsed="false">
      <c r="A1" s="1" t="s">
        <v>50</v>
      </c>
      <c r="B1" s="1"/>
      <c r="C1" s="1"/>
      <c r="D1" s="1"/>
      <c r="E1" s="1"/>
      <c r="F1" s="1"/>
    </row>
    <row r="3" customFormat="false" ht="16.4" hidden="false" customHeight="false" outlineLevel="0" collapsed="false">
      <c r="A3" s="2" t="s">
        <v>51</v>
      </c>
      <c r="B3" s="3" t="s">
        <v>52</v>
      </c>
    </row>
    <row r="4" customFormat="false" ht="16.4" hidden="false" customHeight="false" outlineLevel="0" collapsed="false">
      <c r="A4" s="2" t="s">
        <v>9</v>
      </c>
      <c r="B4" s="3" t="s">
        <v>10</v>
      </c>
    </row>
    <row r="5" customFormat="false" ht="16.4" hidden="false" customHeight="false" outlineLevel="0" collapsed="false">
      <c r="A5" s="2" t="s">
        <v>53</v>
      </c>
      <c r="B5" s="3" t="s">
        <v>54</v>
      </c>
    </row>
    <row r="6" customFormat="false" ht="16.4" hidden="false" customHeight="false" outlineLevel="0" collapsed="false">
      <c r="A6" s="2" t="s">
        <v>55</v>
      </c>
      <c r="B6" s="3" t="s">
        <v>56</v>
      </c>
    </row>
    <row r="9" customFormat="false" ht="31.3" hidden="false" customHeight="false" outlineLevel="0" collapsed="false">
      <c r="A9" s="4" t="s">
        <v>57</v>
      </c>
    </row>
    <row r="10" customFormat="false" ht="16.4" hidden="false" customHeight="false" outlineLevel="0" collapsed="false">
      <c r="A10" s="3" t="str">
        <f aca="false">data!A1</f>
        <v>product_id</v>
      </c>
      <c r="B10" s="3" t="str">
        <f aca="false">data!B1</f>
        <v>product_name</v>
      </c>
      <c r="C10" s="3" t="str">
        <f aca="false">data!C1</f>
        <v>category</v>
      </c>
      <c r="D10" s="3" t="str">
        <f aca="false">data!D1</f>
        <v>calories</v>
      </c>
      <c r="E10" s="3" t="str">
        <f aca="false">data!E1</f>
        <v>protein</v>
      </c>
      <c r="F10" s="3" t="str">
        <f aca="false">data!F1</f>
        <v>fat</v>
      </c>
      <c r="G10" s="3" t="str">
        <f aca="false">data!G1</f>
        <v>carbs</v>
      </c>
      <c r="H10" s="3" t="str">
        <f aca="false">data!H1</f>
        <v>fiber</v>
      </c>
    </row>
    <row r="11" customFormat="false" ht="16.4" hidden="false" customHeight="false" outlineLevel="0" collapsed="false">
      <c r="A11" s="3" t="n">
        <f aca="false">data!A2</f>
        <v>1</v>
      </c>
      <c r="B11" s="3" t="str">
        <f aca="false">data!B2</f>
        <v>Яблоко</v>
      </c>
      <c r="C11" s="3" t="str">
        <f aca="false">data!C2</f>
        <v>Фрукты</v>
      </c>
      <c r="D11" s="9" t="n">
        <f aca="false">data!D2</f>
        <v>52</v>
      </c>
      <c r="E11" s="9" t="n">
        <f aca="false">data!E2</f>
        <v>0.3</v>
      </c>
      <c r="F11" s="3" t="n">
        <f aca="false">data!F2</f>
        <v>0.2</v>
      </c>
      <c r="G11" s="3" t="n">
        <f aca="false">data!G2</f>
        <v>14</v>
      </c>
      <c r="H11" s="3" t="n">
        <f aca="false">data!H2</f>
        <v>2.4</v>
      </c>
    </row>
    <row r="12" customFormat="false" ht="16.4" hidden="false" customHeight="false" outlineLevel="0" collapsed="false">
      <c r="A12" s="3" t="n">
        <f aca="false">data!A3</f>
        <v>2</v>
      </c>
      <c r="B12" s="3" t="str">
        <f aca="false">data!B3</f>
        <v>Куриная грудка</v>
      </c>
      <c r="C12" s="3" t="str">
        <f aca="false">data!C3</f>
        <v>Мясо</v>
      </c>
      <c r="D12" s="9" t="n">
        <f aca="false">data!D3</f>
        <v>165</v>
      </c>
      <c r="E12" s="9" t="n">
        <f aca="false">data!E3</f>
        <v>31</v>
      </c>
      <c r="F12" s="3" t="n">
        <f aca="false">data!F3</f>
        <v>3.6</v>
      </c>
      <c r="G12" s="3" t="n">
        <f aca="false">data!G3</f>
        <v>0</v>
      </c>
      <c r="H12" s="3" t="n">
        <f aca="false">data!H3</f>
        <v>0</v>
      </c>
    </row>
    <row r="13" customFormat="false" ht="16.4" hidden="false" customHeight="false" outlineLevel="0" collapsed="false">
      <c r="A13" s="3" t="n">
        <f aca="false">data!A4</f>
        <v>3</v>
      </c>
      <c r="B13" s="3" t="str">
        <f aca="false">data!B4</f>
        <v>Овсянка</v>
      </c>
      <c r="C13" s="3" t="str">
        <f aca="false">data!C4</f>
        <v>Крупы</v>
      </c>
      <c r="D13" s="9" t="n">
        <f aca="false">data!D4</f>
        <v>389</v>
      </c>
      <c r="E13" s="9" t="n">
        <f aca="false">data!E4</f>
        <v>16.9</v>
      </c>
      <c r="F13" s="3" t="n">
        <f aca="false">data!F4</f>
        <v>6.9</v>
      </c>
      <c r="G13" s="3" t="n">
        <f aca="false">data!G4</f>
        <v>66.3</v>
      </c>
      <c r="H13" s="3" t="n">
        <f aca="false">data!H4</f>
        <v>10.6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22.7"/>
    <col collapsed="false" customWidth="true" hidden="false" outlineLevel="0" max="2" min="2" style="0" width="54.49"/>
    <col collapsed="false" customWidth="true" hidden="false" outlineLevel="0" max="3" min="3" style="0" width="4.54"/>
    <col collapsed="false" customWidth="true" hidden="false" outlineLevel="0" max="4" min="4" style="0" width="13.62"/>
    <col collapsed="false" customWidth="true" hidden="false" outlineLevel="0" max="5" min="5" style="0" width="20.43"/>
    <col collapsed="false" customWidth="true" hidden="false" outlineLevel="0" max="7" min="6" style="0" width="15.89"/>
    <col collapsed="false" customWidth="true" hidden="false" outlineLevel="0" max="8" min="8" style="0" width="20.43"/>
    <col collapsed="false" customWidth="true" hidden="false" outlineLevel="0" max="9" min="9" style="0" width="11.35"/>
    <col collapsed="false" customWidth="true" hidden="false" outlineLevel="0" max="11" min="10" style="0" width="13.62"/>
  </cols>
  <sheetData>
    <row r="1" customFormat="false" ht="20.85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customFormat="false" ht="31.3" hidden="false" customHeight="false" outlineLevel="0" collapsed="false">
      <c r="A3" s="7" t="s">
        <v>59</v>
      </c>
      <c r="B3" s="7" t="s">
        <v>60</v>
      </c>
      <c r="D3" s="4" t="s">
        <v>61</v>
      </c>
    </row>
    <row r="4" customFormat="false" ht="16.4" hidden="false" customHeight="false" outlineLevel="0" collapsed="false">
      <c r="A4" s="3" t="s">
        <v>62</v>
      </c>
      <c r="B4" s="3" t="n">
        <f aca="false">COUNTA(data!A:A)-1</f>
        <v>8</v>
      </c>
      <c r="D4" s="3" t="str">
        <f aca="false">data!A1</f>
        <v>product_id</v>
      </c>
      <c r="E4" s="3" t="str">
        <f aca="false">data!B1</f>
        <v>product_name</v>
      </c>
      <c r="F4" s="3" t="str">
        <f aca="false">data!C1</f>
        <v>category</v>
      </c>
      <c r="G4" s="3" t="str">
        <f aca="false">data!D1</f>
        <v>calories</v>
      </c>
      <c r="H4" s="3" t="str">
        <f aca="false">data!E1</f>
        <v>protein</v>
      </c>
      <c r="I4" s="3" t="str">
        <f aca="false">data!F1</f>
        <v>fat</v>
      </c>
      <c r="J4" s="3" t="str">
        <f aca="false">data!G1</f>
        <v>carbs</v>
      </c>
      <c r="K4" s="3" t="str">
        <f aca="false">data!H1</f>
        <v>fiber</v>
      </c>
    </row>
    <row r="5" customFormat="false" ht="16.4" hidden="false" customHeight="false" outlineLevel="0" collapsed="false">
      <c r="A5" s="3" t="s">
        <v>63</v>
      </c>
      <c r="B5" s="3" t="n">
        <f aca="false">COUNTA(data!1:1)</f>
        <v>8</v>
      </c>
      <c r="D5" s="3" t="n">
        <f aca="false">data!A2</f>
        <v>1</v>
      </c>
      <c r="E5" s="3" t="str">
        <f aca="false">data!B2</f>
        <v>Яблоко</v>
      </c>
      <c r="F5" s="3" t="str">
        <f aca="false">data!C2</f>
        <v>Фрукты</v>
      </c>
      <c r="G5" s="9" t="n">
        <f aca="false">data!D2</f>
        <v>52</v>
      </c>
      <c r="H5" s="9" t="n">
        <f aca="false">data!E2</f>
        <v>0.3</v>
      </c>
      <c r="I5" s="3" t="n">
        <f aca="false">data!F2</f>
        <v>0.2</v>
      </c>
      <c r="J5" s="3" t="n">
        <f aca="false">data!G2</f>
        <v>14</v>
      </c>
      <c r="K5" s="3" t="n">
        <f aca="false">data!H2</f>
        <v>2.4</v>
      </c>
    </row>
    <row r="6" customFormat="false" ht="31.3" hidden="false" customHeight="false" outlineLevel="0" collapsed="false">
      <c r="A6" s="3" t="s">
        <v>64</v>
      </c>
      <c r="B6" s="3" t="s">
        <v>65</v>
      </c>
      <c r="D6" s="3" t="n">
        <f aca="false">data!A3</f>
        <v>2</v>
      </c>
      <c r="E6" s="3" t="str">
        <f aca="false">data!B3</f>
        <v>Куриная грудка</v>
      </c>
      <c r="F6" s="3" t="str">
        <f aca="false">data!C3</f>
        <v>Мясо</v>
      </c>
      <c r="G6" s="9" t="n">
        <f aca="false">data!D3</f>
        <v>165</v>
      </c>
      <c r="H6" s="9" t="n">
        <f aca="false">data!E3</f>
        <v>31</v>
      </c>
      <c r="I6" s="3" t="n">
        <f aca="false">data!F3</f>
        <v>3.6</v>
      </c>
      <c r="J6" s="3" t="n">
        <f aca="false">data!G3</f>
        <v>0</v>
      </c>
      <c r="K6" s="3" t="n">
        <f aca="false">data!H3</f>
        <v>0</v>
      </c>
    </row>
    <row r="7" customFormat="false" ht="16.4" hidden="false" customHeight="false" outlineLevel="0" collapsed="false">
      <c r="A7" s="3" t="s">
        <v>66</v>
      </c>
      <c r="B7" s="3" t="s">
        <v>67</v>
      </c>
      <c r="D7" s="3" t="n">
        <f aca="false">data!A4</f>
        <v>3</v>
      </c>
      <c r="E7" s="3" t="str">
        <f aca="false">data!B4</f>
        <v>Овсянка</v>
      </c>
      <c r="F7" s="3" t="str">
        <f aca="false">data!C4</f>
        <v>Крупы</v>
      </c>
      <c r="G7" s="9" t="n">
        <f aca="false">data!D4</f>
        <v>389</v>
      </c>
      <c r="H7" s="9" t="n">
        <f aca="false">data!E4</f>
        <v>16.9</v>
      </c>
      <c r="I7" s="3" t="n">
        <f aca="false">data!F4</f>
        <v>6.9</v>
      </c>
      <c r="J7" s="3" t="n">
        <f aca="false">data!G4</f>
        <v>66.3</v>
      </c>
      <c r="K7" s="3" t="n">
        <f aca="false">data!H4</f>
        <v>10.6</v>
      </c>
    </row>
    <row r="8" customFormat="false" ht="16.4" hidden="false" customHeight="false" outlineLevel="0" collapsed="false">
      <c r="D8" s="3" t="n">
        <f aca="false">data!A5</f>
        <v>4</v>
      </c>
      <c r="E8" s="3" t="str">
        <f aca="false">data!B5</f>
        <v>Творог 5%</v>
      </c>
      <c r="F8" s="3" t="str">
        <f aca="false">data!C5</f>
        <v>Молочные</v>
      </c>
      <c r="G8" s="9" t="n">
        <f aca="false">data!D5</f>
        <v>121</v>
      </c>
      <c r="H8" s="9" t="n">
        <f aca="false">data!E5</f>
        <v>17</v>
      </c>
      <c r="I8" s="3" t="n">
        <f aca="false">data!F5</f>
        <v>5</v>
      </c>
      <c r="J8" s="3" t="n">
        <f aca="false">data!G5</f>
        <v>3</v>
      </c>
      <c r="K8" s="3" t="n">
        <f aca="false">data!H5</f>
        <v>0</v>
      </c>
    </row>
    <row r="9" customFormat="false" ht="16.4" hidden="false" customHeight="false" outlineLevel="0" collapsed="false">
      <c r="D9" s="3" t="n">
        <f aca="false">data!A6</f>
        <v>5</v>
      </c>
      <c r="E9" s="3" t="str">
        <f aca="false">data!B6</f>
        <v>Лосось</v>
      </c>
      <c r="F9" s="3" t="str">
        <f aca="false">data!C6</f>
        <v>Рыба</v>
      </c>
      <c r="G9" s="9" t="n">
        <f aca="false">data!D6</f>
        <v>208</v>
      </c>
      <c r="H9" s="9" t="n">
        <f aca="false">data!E6</f>
        <v>20</v>
      </c>
      <c r="I9" s="3" t="n">
        <f aca="false">data!F6</f>
        <v>13</v>
      </c>
      <c r="J9" s="3" t="n">
        <f aca="false">data!G6</f>
        <v>0</v>
      </c>
      <c r="K9" s="3" t="n">
        <f aca="false">data!H6</f>
        <v>0</v>
      </c>
    </row>
    <row r="12" customFormat="false" ht="31.3" hidden="false" customHeight="false" outlineLevel="0" collapsed="false">
      <c r="D12" s="10" t="s">
        <v>68</v>
      </c>
    </row>
    <row r="13" customFormat="false" ht="16.4" hidden="false" customHeight="false" outlineLevel="0" collapsed="false">
      <c r="D13" s="3" t="str">
        <f aca="false">data!A1</f>
        <v>product_id</v>
      </c>
      <c r="E13" s="3" t="str">
        <f aca="false">data!B1</f>
        <v>product_name</v>
      </c>
      <c r="F13" s="3" t="str">
        <f aca="false">data!C1</f>
        <v>category</v>
      </c>
      <c r="G13" s="3" t="str">
        <f aca="false">data!D1</f>
        <v>calories</v>
      </c>
      <c r="H13" s="3" t="str">
        <f aca="false">data!E1</f>
        <v>protein</v>
      </c>
      <c r="I13" s="3" t="str">
        <f aca="false">data!F1</f>
        <v>fat</v>
      </c>
      <c r="J13" s="3" t="str">
        <f aca="false">data!G1</f>
        <v>carbs</v>
      </c>
      <c r="K13" s="3" t="str">
        <f aca="false">data!H1</f>
        <v>fiber</v>
      </c>
    </row>
    <row r="14" customFormat="false" ht="16.4" hidden="false" customHeight="false" outlineLevel="0" collapsed="false">
      <c r="D14" s="3" t="n">
        <f aca="false">data!A5</f>
        <v>4</v>
      </c>
      <c r="E14" s="3" t="str">
        <f aca="false">data!B5</f>
        <v>Творог 5%</v>
      </c>
      <c r="F14" s="3" t="str">
        <f aca="false">data!C5</f>
        <v>Молочные</v>
      </c>
      <c r="G14" s="9" t="n">
        <f aca="false">data!D5</f>
        <v>121</v>
      </c>
      <c r="H14" s="9" t="n">
        <f aca="false">data!E5</f>
        <v>17</v>
      </c>
      <c r="I14" s="3" t="n">
        <f aca="false">data!F5</f>
        <v>5</v>
      </c>
      <c r="J14" s="3" t="n">
        <f aca="false">data!G5</f>
        <v>3</v>
      </c>
      <c r="K14" s="3" t="n">
        <f aca="false">data!H5</f>
        <v>0</v>
      </c>
    </row>
    <row r="15" customFormat="false" ht="16.4" hidden="false" customHeight="false" outlineLevel="0" collapsed="false">
      <c r="D15" s="3" t="n">
        <f aca="false">data!A6</f>
        <v>5</v>
      </c>
      <c r="E15" s="3" t="str">
        <f aca="false">data!B6</f>
        <v>Лосось</v>
      </c>
      <c r="F15" s="3" t="str">
        <f aca="false">data!C6</f>
        <v>Рыба</v>
      </c>
      <c r="G15" s="9" t="n">
        <f aca="false">data!D6</f>
        <v>208</v>
      </c>
      <c r="H15" s="9" t="n">
        <f aca="false">data!E6</f>
        <v>20</v>
      </c>
      <c r="I15" s="3" t="n">
        <f aca="false">data!F6</f>
        <v>13</v>
      </c>
      <c r="J15" s="3" t="n">
        <f aca="false">data!G6</f>
        <v>0</v>
      </c>
      <c r="K15" s="3" t="n">
        <f aca="false">data!H6</f>
        <v>0</v>
      </c>
    </row>
    <row r="16" customFormat="false" ht="16.4" hidden="false" customHeight="false" outlineLevel="0" collapsed="false">
      <c r="D16" s="3" t="n">
        <f aca="false">data!A7</f>
        <v>6</v>
      </c>
      <c r="E16" s="3" t="str">
        <f aca="false">data!B7</f>
        <v>Брокколи</v>
      </c>
      <c r="F16" s="3" t="str">
        <f aca="false">data!C7</f>
        <v>Овощи</v>
      </c>
      <c r="G16" s="9" t="n">
        <f aca="false">data!D7</f>
        <v>34</v>
      </c>
      <c r="H16" s="9" t="n">
        <f aca="false">data!E7</f>
        <v>2.8</v>
      </c>
      <c r="I16" s="3" t="n">
        <f aca="false">data!F7</f>
        <v>0.4</v>
      </c>
      <c r="J16" s="3" t="n">
        <f aca="false">data!G7</f>
        <v>7</v>
      </c>
      <c r="K16" s="3" t="n">
        <f aca="false">data!H7</f>
        <v>2.6</v>
      </c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13.62"/>
    <col collapsed="false" customWidth="true" hidden="false" outlineLevel="0" max="4" min="3" style="0" width="20.43"/>
    <col collapsed="false" customWidth="true" hidden="false" outlineLevel="0" max="5" min="5" style="0" width="13.62"/>
  </cols>
  <sheetData>
    <row r="1" customFormat="false" ht="20.85" hidden="false" customHeight="true" outlineLevel="0" collapsed="false">
      <c r="A1" s="1" t="s">
        <v>69</v>
      </c>
      <c r="B1" s="1"/>
      <c r="C1" s="1"/>
      <c r="D1" s="1"/>
      <c r="E1" s="1"/>
      <c r="F1" s="1"/>
      <c r="G1" s="1"/>
      <c r="H1" s="1"/>
    </row>
    <row r="3" customFormat="false" ht="46.25" hidden="false" customHeight="false" outlineLevel="0" collapsed="false">
      <c r="A3" s="4" t="s">
        <v>70</v>
      </c>
      <c r="C3" s="4" t="s">
        <v>71</v>
      </c>
    </row>
    <row r="4" customFormat="false" ht="16.4" hidden="false" customHeight="false" outlineLevel="0" collapsed="false">
      <c r="A4" s="7" t="str">
        <f aca="false">data!H1</f>
        <v>fiber</v>
      </c>
      <c r="C4" s="7" t="str">
        <f aca="false">data!B1</f>
        <v>product_name</v>
      </c>
      <c r="D4" s="7" t="str">
        <f aca="false">data!D1</f>
        <v>calories</v>
      </c>
      <c r="E4" s="7" t="str">
        <f aca="false">data!E1</f>
        <v>protein</v>
      </c>
    </row>
    <row r="5" customFormat="false" ht="16.4" hidden="false" customHeight="false" outlineLevel="0" collapsed="false">
      <c r="A5" s="3" t="n">
        <f aca="false">data!H2</f>
        <v>2.4</v>
      </c>
      <c r="C5" s="3" t="str">
        <f aca="false">data!B2</f>
        <v>Яблоко</v>
      </c>
      <c r="D5" s="11" t="n">
        <f aca="false">data!D2</f>
        <v>52</v>
      </c>
      <c r="E5" s="3" t="n">
        <f aca="false">data!E2</f>
        <v>0.3</v>
      </c>
    </row>
    <row r="6" customFormat="false" ht="16.4" hidden="false" customHeight="false" outlineLevel="0" collapsed="false">
      <c r="A6" s="3" t="n">
        <f aca="false">data!H3</f>
        <v>0</v>
      </c>
      <c r="C6" s="3" t="str">
        <f aca="false">data!B3</f>
        <v>Куриная грудка</v>
      </c>
      <c r="D6" s="11" t="n">
        <f aca="false">data!D3</f>
        <v>165</v>
      </c>
      <c r="E6" s="3" t="n">
        <f aca="false">data!E3</f>
        <v>31</v>
      </c>
    </row>
    <row r="7" customFormat="false" ht="16.4" hidden="false" customHeight="false" outlineLevel="0" collapsed="false">
      <c r="A7" s="3" t="n">
        <f aca="false">data!H4</f>
        <v>10.6</v>
      </c>
      <c r="C7" s="3" t="str">
        <f aca="false">data!B4</f>
        <v>Овсянка</v>
      </c>
      <c r="D7" s="11" t="n">
        <f aca="false">data!D4</f>
        <v>389</v>
      </c>
      <c r="E7" s="3" t="n">
        <f aca="false">data!E4</f>
        <v>16.9</v>
      </c>
    </row>
    <row r="8" customFormat="false" ht="16.4" hidden="false" customHeight="false" outlineLevel="0" collapsed="false">
      <c r="A8" s="3" t="n">
        <f aca="false">data!H5</f>
        <v>0</v>
      </c>
      <c r="C8" s="3" t="str">
        <f aca="false">data!B5</f>
        <v>Творог 5%</v>
      </c>
      <c r="D8" s="11" t="n">
        <f aca="false">data!D5</f>
        <v>121</v>
      </c>
      <c r="E8" s="3" t="n">
        <f aca="false">data!E5</f>
        <v>17</v>
      </c>
    </row>
    <row r="9" customFormat="false" ht="16.4" hidden="false" customHeight="false" outlineLevel="0" collapsed="false">
      <c r="A9" s="3" t="n">
        <f aca="false">data!H6</f>
        <v>0</v>
      </c>
      <c r="C9" s="3" t="str">
        <f aca="false">data!B6</f>
        <v>Лосось</v>
      </c>
      <c r="D9" s="11" t="n">
        <f aca="false">data!D6</f>
        <v>208</v>
      </c>
      <c r="E9" s="3" t="n">
        <f aca="false">data!E6</f>
        <v>20</v>
      </c>
    </row>
    <row r="10" customFormat="false" ht="16.4" hidden="false" customHeight="false" outlineLevel="0" collapsed="false">
      <c r="A10" s="3" t="n">
        <f aca="false">data!H7</f>
        <v>2.6</v>
      </c>
      <c r="C10" s="3" t="str">
        <f aca="false">data!B7</f>
        <v>Брокколи</v>
      </c>
      <c r="D10" s="11" t="n">
        <f aca="false">data!D7</f>
        <v>34</v>
      </c>
      <c r="E10" s="3" t="n">
        <f aca="false">data!E7</f>
        <v>2.8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27.24"/>
    <col collapsed="false" customWidth="true" hidden="false" outlineLevel="0" max="2" min="2" style="0" width="18.16"/>
    <col collapsed="false" customWidth="true" hidden="false" outlineLevel="0" max="3" min="3" style="0" width="20.43"/>
  </cols>
  <sheetData>
    <row r="1" customFormat="false" ht="20.85" hidden="false" customHeight="true" outlineLevel="0" collapsed="false">
      <c r="A1" s="1" t="s">
        <v>72</v>
      </c>
      <c r="B1" s="1"/>
      <c r="C1" s="1"/>
      <c r="D1" s="1"/>
      <c r="E1" s="1"/>
      <c r="F1" s="1"/>
    </row>
    <row r="3" customFormat="false" ht="16.4" hidden="false" customHeight="false" outlineLevel="0" collapsed="false">
      <c r="A3" s="7" t="s">
        <v>73</v>
      </c>
      <c r="B3" s="7" t="s">
        <v>74</v>
      </c>
    </row>
    <row r="4" customFormat="false" ht="16.4" hidden="false" customHeight="false" outlineLevel="0" collapsed="false">
      <c r="A4" s="3" t="s">
        <v>62</v>
      </c>
      <c r="B4" s="3" t="n">
        <f aca="false">COUNTA(data!A:A)-1</f>
        <v>8</v>
      </c>
    </row>
    <row r="5" customFormat="false" ht="16.4" hidden="false" customHeight="false" outlineLevel="0" collapsed="false">
      <c r="A5" s="3" t="s">
        <v>63</v>
      </c>
      <c r="B5" s="3" t="n">
        <f aca="false">COUNTA(data!1:1)</f>
        <v>8</v>
      </c>
    </row>
    <row r="6" customFormat="false" ht="16.4" hidden="false" customHeight="false" outlineLevel="0" collapsed="false">
      <c r="A6" s="3" t="s">
        <v>75</v>
      </c>
      <c r="B6" s="12" t="n">
        <f aca="false">SUM(data!H2:H9)</f>
        <v>30.2</v>
      </c>
    </row>
    <row r="8" customFormat="false" ht="16.4" hidden="false" customHeight="false" outlineLevel="0" collapsed="false">
      <c r="A8" s="4" t="s">
        <v>76</v>
      </c>
      <c r="C8" s="4" t="s">
        <v>64</v>
      </c>
    </row>
    <row r="9" customFormat="false" ht="16.4" hidden="false" customHeight="false" outlineLevel="0" collapsed="false">
      <c r="A9" s="3" t="str">
        <f aca="false">data!D1</f>
        <v>calories</v>
      </c>
      <c r="C9" s="3" t="s">
        <v>77</v>
      </c>
    </row>
    <row r="10" customFormat="false" ht="16.4" hidden="false" customHeight="false" outlineLevel="0" collapsed="false">
      <c r="A10" s="9" t="n">
        <f aca="false">data!D2</f>
        <v>52</v>
      </c>
      <c r="C10" s="3" t="s">
        <v>78</v>
      </c>
    </row>
    <row r="11" customFormat="false" ht="16.4" hidden="false" customHeight="false" outlineLevel="0" collapsed="false">
      <c r="A11" s="9" t="n">
        <f aca="false">data!D3</f>
        <v>165</v>
      </c>
      <c r="C11" s="3" t="s">
        <v>79</v>
      </c>
    </row>
    <row r="12" customFormat="false" ht="16.4" hidden="false" customHeight="false" outlineLevel="0" collapsed="false">
      <c r="A12" s="9" t="n">
        <f aca="false">data!D4</f>
        <v>389</v>
      </c>
      <c r="C12" s="3" t="s">
        <v>19</v>
      </c>
    </row>
    <row r="13" customFormat="false" ht="16.4" hidden="false" customHeight="false" outlineLevel="0" collapsed="false">
      <c r="C13" s="3" t="s">
        <v>80</v>
      </c>
    </row>
    <row r="14" customFormat="false" ht="16.4" hidden="false" customHeight="false" outlineLevel="0" collapsed="false">
      <c r="C14" s="3" t="s">
        <v>81</v>
      </c>
    </row>
    <row r="15" customFormat="false" ht="16.4" hidden="false" customHeight="false" outlineLevel="0" collapsed="false">
      <c r="C15" s="3" t="s">
        <v>82</v>
      </c>
    </row>
    <row r="16" customFormat="false" ht="16.4" hidden="false" customHeight="false" outlineLevel="0" collapsed="false">
      <c r="C16" s="3" t="s">
        <v>83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38.6"/>
    <col collapsed="false" customWidth="true" hidden="false" outlineLevel="0" max="2" min="2" style="0" width="27.24"/>
    <col collapsed="false" customWidth="true" hidden="false" outlineLevel="0" max="3" min="3" style="0" width="31.78"/>
  </cols>
  <sheetData>
    <row r="1" customFormat="false" ht="20.85" hidden="false" customHeight="true" outlineLevel="0" collapsed="false">
      <c r="A1" s="1" t="s">
        <v>84</v>
      </c>
      <c r="B1" s="1"/>
      <c r="C1" s="1"/>
      <c r="D1" s="1"/>
    </row>
    <row r="3" customFormat="false" ht="16.4" hidden="false" customHeight="false" outlineLevel="0" collapsed="false">
      <c r="A3" s="13" t="s">
        <v>85</v>
      </c>
      <c r="B3" s="13" t="s">
        <v>86</v>
      </c>
      <c r="C3" s="13" t="s">
        <v>87</v>
      </c>
    </row>
    <row r="4" customFormat="false" ht="16.4" hidden="false" customHeight="false" outlineLevel="0" collapsed="false">
      <c r="A4" s="3" t="s">
        <v>88</v>
      </c>
      <c r="B4" s="3" t="n">
        <f aca="false">COUNTA(data!A:A)-1</f>
        <v>8</v>
      </c>
      <c r="C4" s="3" t="s">
        <v>89</v>
      </c>
    </row>
    <row r="5" customFormat="false" ht="16.4" hidden="false" customHeight="false" outlineLevel="0" collapsed="false">
      <c r="A5" s="3" t="s">
        <v>90</v>
      </c>
      <c r="B5" s="3" t="n">
        <f aca="false">COUNTA(data!1:1)</f>
        <v>8</v>
      </c>
      <c r="C5" s="3" t="s">
        <v>91</v>
      </c>
    </row>
    <row r="6" customFormat="false" ht="16.4" hidden="false" customHeight="false" outlineLevel="0" collapsed="false">
      <c r="A6" s="3" t="s">
        <v>92</v>
      </c>
      <c r="B6" s="3" t="s">
        <v>10</v>
      </c>
      <c r="C6" s="3" t="s">
        <v>93</v>
      </c>
    </row>
    <row r="7" customFormat="false" ht="16.4" hidden="false" customHeight="false" outlineLevel="0" collapsed="false">
      <c r="A7" s="3" t="s">
        <v>94</v>
      </c>
      <c r="B7" s="3" t="n">
        <f aca="false">SUM(data!D2:D9)</f>
        <v>1637</v>
      </c>
      <c r="C7" s="3" t="s">
        <v>95</v>
      </c>
    </row>
    <row r="9" customFormat="false" ht="16.4" hidden="false" customHeight="false" outlineLevel="0" collapsed="false">
      <c r="A9" s="4" t="s">
        <v>96</v>
      </c>
    </row>
    <row r="10" customFormat="false" ht="31.3" hidden="false" customHeight="false" outlineLevel="0" collapsed="false">
      <c r="A10" s="3" t="s">
        <v>97</v>
      </c>
      <c r="B10" s="3" t="s">
        <v>98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9DEAEBEBB66B4B88D66787F055A81B" ma:contentTypeVersion="11" ma:contentTypeDescription="Create a new document." ma:contentTypeScope="" ma:versionID="1b88847c9fe6b26fa67261bbb8b1c80a">
  <xsd:schema xmlns:xsd="http://www.w3.org/2001/XMLSchema" xmlns:xs="http://www.w3.org/2001/XMLSchema" xmlns:p="http://schemas.microsoft.com/office/2006/metadata/properties" xmlns:ns2="36208828-9969-4b73-bb77-f045d89e9554" xmlns:ns3="19a417cd-1461-4943-a860-4cb4d05c96be" targetNamespace="http://schemas.microsoft.com/office/2006/metadata/properties" ma:root="true" ma:fieldsID="4b81e6e864b9c373d4615dbe59b7e60e" ns2:_="" ns3:_="">
    <xsd:import namespace="36208828-9969-4b73-bb77-f045d89e9554"/>
    <xsd:import namespace="19a417cd-1461-4943-a860-4cb4d05c96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208828-9969-4b73-bb77-f045d89e955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337a3fc-4456-4954-9b0b-07bfd45f79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417cd-1461-4943-a860-4cb4d05c96b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9379c40-fa90-4dde-8395-12c6c804e41a}" ma:internalName="TaxCatchAll" ma:showField="CatchAllData" ma:web="19a417cd-1461-4943-a860-4cb4d05c96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9a417cd-1461-4943-a860-4cb4d05c96be" xsi:nil="true"/>
    <lcf76f155ced4ddcb4097134ff3c332f xmlns="36208828-9969-4b73-bb77-f045d89e955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16E37CB-67ED-437F-BDC7-7545087DBFDC}"/>
</file>

<file path=customXml/itemProps2.xml><?xml version="1.0" encoding="utf-8"?>
<ds:datastoreItem xmlns:ds="http://schemas.openxmlformats.org/officeDocument/2006/customXml" ds:itemID="{B7DC126F-0FFC-4F0B-B805-999A8C7DB688}"/>
</file>

<file path=customXml/itemProps3.xml><?xml version="1.0" encoding="utf-8"?>
<ds:datastoreItem xmlns:ds="http://schemas.openxmlformats.org/officeDocument/2006/customXml" ds:itemID="{0FEA1B1B-0170-4B60-B87E-7AF7CCA98FC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2026-08-23T13:25:28Z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0x010100619DEAEBEBB66B4B88D66787F055A81B</vt:lpwstr>
  </property>
</Properties>
</file>