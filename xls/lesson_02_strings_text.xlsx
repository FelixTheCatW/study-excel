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tudy\excel\study-excel\xls\"/>
    </mc:Choice>
  </mc:AlternateContent>
  <xr:revisionPtr revIDLastSave="0" documentId="13_ncr:1_{60DC2BAA-D8D9-4ED5-8A15-F3C0B2A6030C}" xr6:coauthVersionLast="47" xr6:coauthVersionMax="47" xr10:uidLastSave="{00000000-0000-0000-0000-000000000000}"/>
  <bookViews>
    <workbookView xWindow="-120" yWindow="-120" windowWidth="37440" windowHeight="16440" activeTab="6" xr2:uid="{00000000-000D-0000-FFFF-FFFF00000000}"/>
  </bookViews>
  <sheets>
    <sheet name="0_Теория" sheetId="1" r:id="rId1"/>
    <sheet name="1_Строки" sheetId="2" r:id="rId2"/>
    <sheet name="2_Срезы" sheetId="3" r:id="rId3"/>
    <sheet name="3_Очистка" sheetId="4" r:id="rId4"/>
    <sheet name="4_Склейка" sheetId="5" r:id="rId5"/>
    <sheet name="5_Минизадача" sheetId="6" r:id="rId6"/>
    <sheet name="6_Тест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7" l="1"/>
  <c r="E10" i="7" s="1"/>
  <c r="G10" i="7" s="1"/>
  <c r="C9" i="7"/>
  <c r="E9" i="7"/>
  <c r="G9" i="7" s="1"/>
  <c r="C8" i="7"/>
  <c r="E8" i="7" s="1"/>
  <c r="G8" i="7" s="1"/>
  <c r="C7" i="7"/>
  <c r="E7" i="7" s="1"/>
  <c r="G7" i="7" s="1"/>
  <c r="C6" i="7"/>
  <c r="E6" i="7" s="1"/>
  <c r="G6" i="7" s="1"/>
  <c r="D9" i="6"/>
  <c r="D11" i="5"/>
  <c r="D10" i="5"/>
  <c r="D9" i="5"/>
  <c r="B9" i="5"/>
  <c r="D8" i="6"/>
  <c r="D7" i="6"/>
  <c r="D6" i="6"/>
  <c r="D9" i="4"/>
  <c r="D8" i="4"/>
  <c r="D7" i="4"/>
  <c r="D6" i="4"/>
  <c r="D8" i="3"/>
  <c r="D7" i="3"/>
  <c r="D6" i="3"/>
  <c r="D8" i="2"/>
  <c r="D7" i="2"/>
  <c r="D6" i="2"/>
  <c r="G12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TRIM — аналог Python-метода .strip()</t>
        </r>
      </text>
    </comment>
    <comment ref="D9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SUBSTITUTE заменяет символы так же, как .replace()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0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CONCAT объединяет части текста в одну строку.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9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Итоговая карточка товара собирается из уже очищенных значений.</t>
        </r>
      </text>
    </comment>
  </commentList>
</comments>
</file>

<file path=xl/sharedStrings.xml><?xml version="1.0" encoding="utf-8"?>
<sst xmlns="http://schemas.openxmlformats.org/spreadsheetml/2006/main" count="189" uniqueCount="150">
  <si>
    <t>Занятие 2. Строки и очистка текстовых данных</t>
  </si>
  <si>
    <t>Цель занятия</t>
  </si>
  <si>
    <t>Научиться очищать и преобразовывать текстовые данные в Excel и Python.</t>
  </si>
  <si>
    <t>Темы</t>
  </si>
  <si>
    <t>Длина строки, срезы, очистка пробелов, регистр, замена символов, склейка строк.</t>
  </si>
  <si>
    <t>Связь с Python</t>
  </si>
  <si>
    <t>Каждый лист соответствует одной практической ячейке из ноутбука занятия 2.</t>
  </si>
  <si>
    <t>Excel ↔ Python</t>
  </si>
  <si>
    <t>LEN ↔ len, LEFT/RIGHT/MID ↔ срезы, TRIM ↔ strip, LOWER/UPPER ↔ lower/upper, SUBSTITUTE ↔ replace, CONCAT ↔ склейка строк.</t>
  </si>
  <si>
    <t>Листы 1–5 зеркалят практические шаги из ноутбуков TODO и SOLVED.</t>
  </si>
  <si>
    <t>Практическая ячейка 1. Строки и длина текста</t>
  </si>
  <si>
    <t>Excel-аналог базовой работы со строками: хранение текста и подсчёт длины через LEN().</t>
  </si>
  <si>
    <t>Переменная</t>
  </si>
  <si>
    <t>Значение</t>
  </si>
  <si>
    <t>Формула Excel</t>
  </si>
  <si>
    <t>Результат</t>
  </si>
  <si>
    <t>Аналог в Python</t>
  </si>
  <si>
    <t>Комментарий</t>
  </si>
  <si>
    <t>client_name</t>
  </si>
  <si>
    <t xml:space="preserve">  Ирина Смирнова  </t>
  </si>
  <si>
    <t>'=LEN(B6)</t>
  </si>
  <si>
    <t>len(client_name)</t>
  </si>
  <si>
    <t>Пробелы тоже считаются</t>
  </si>
  <si>
    <t>product_code</t>
  </si>
  <si>
    <t>AI-COURSE-2025</t>
  </si>
  <si>
    <t>'=LEN(B7)</t>
  </si>
  <si>
    <t>len(product_code)</t>
  </si>
  <si>
    <t>Длина кода</t>
  </si>
  <si>
    <t>city</t>
  </si>
  <si>
    <t>Москва</t>
  </si>
  <si>
    <t>'=LEN(B8)</t>
  </si>
  <si>
    <t>len(city)</t>
  </si>
  <si>
    <t>Длина названия города</t>
  </si>
  <si>
    <t>Практическая ячейка 2. Индексация и срезы</t>
  </si>
  <si>
    <t>Excel-аналоги срезов: LEFT(), RIGHT(), MID().</t>
  </si>
  <si>
    <t>Строка</t>
  </si>
  <si>
    <t>Исходное значение</t>
  </si>
  <si>
    <t>Что получаем</t>
  </si>
  <si>
    <t>'=LEFT(B6,2)</t>
  </si>
  <si>
    <t>Префикс</t>
  </si>
  <si>
    <t>product_code[0:2]</t>
  </si>
  <si>
    <t>LEFT</t>
  </si>
  <si>
    <t>'=RIGHT(B7,4)</t>
  </si>
  <si>
    <t>Год</t>
  </si>
  <si>
    <t>product_code[-4:]</t>
  </si>
  <si>
    <t>RIGHT</t>
  </si>
  <si>
    <t>'=MID(B8,4,6)</t>
  </si>
  <si>
    <t>COURSE</t>
  </si>
  <si>
    <t>product_code[3:9]</t>
  </si>
  <si>
    <t>MID</t>
  </si>
  <si>
    <t>Практическая ячейка 3. Очистка текста</t>
  </si>
  <si>
    <t>TRIM, LOWER, UPPER и SUBSTITUTE показывают те же действия, что .strip(), .lower(), .upper(), .replace() в Python.</t>
  </si>
  <si>
    <t>Параметр</t>
  </si>
  <si>
    <t>Шаг</t>
  </si>
  <si>
    <t>raw_category</t>
  </si>
  <si>
    <t xml:space="preserve">  Аналитика-ДАННЫХ  </t>
  </si>
  <si>
    <t>'=TRIM(B6)</t>
  </si>
  <si>
    <t>raw_category.strip()</t>
  </si>
  <si>
    <t>Удаление пробелов</t>
  </si>
  <si>
    <t>strip</t>
  </si>
  <si>
    <t>clean_category</t>
  </si>
  <si>
    <t>Аналитика-ДАННЫХ</t>
  </si>
  <si>
    <t>'=LOWER(B7)</t>
  </si>
  <si>
    <t>clean_category.lower()</t>
  </si>
  <si>
    <t>Нижний регистр</t>
  </si>
  <si>
    <t>lower</t>
  </si>
  <si>
    <t>'=UPPER(B8)</t>
  </si>
  <si>
    <t>clean_category.upper()</t>
  </si>
  <si>
    <t>Верхний регистр</t>
  </si>
  <si>
    <t>upper</t>
  </si>
  <si>
    <t>lower_category</t>
  </si>
  <si>
    <t>аналитика-данных</t>
  </si>
  <si>
    <t>'=SUBSTITUTE(B9,"-"," ")</t>
  </si>
  <si>
    <t>lower_category.replace("-", " ")</t>
  </si>
  <si>
    <t>Замена символа</t>
  </si>
  <si>
    <t>replace</t>
  </si>
  <si>
    <t>Практическая ячейка 4. Склейка строк</t>
  </si>
  <si>
    <t>CONCAT в Excel соответствует склейке строк и f-строкам в Python.</t>
  </si>
  <si>
    <t>Показатель</t>
  </si>
  <si>
    <t>first_name</t>
  </si>
  <si>
    <t>Ирина</t>
  </si>
  <si>
    <t/>
  </si>
  <si>
    <t>first_name = "Ирина"</t>
  </si>
  <si>
    <t>Входное значение</t>
  </si>
  <si>
    <t>last_name</t>
  </si>
  <si>
    <t>Смирнова</t>
  </si>
  <si>
    <t>last_name = "Смирнова"</t>
  </si>
  <si>
    <t>department</t>
  </si>
  <si>
    <t>AI Lab</t>
  </si>
  <si>
    <t>department = "AI Lab"</t>
  </si>
  <si>
    <t>full_name</t>
  </si>
  <si>
    <t>'=CONCAT(B6," ",B7)</t>
  </si>
  <si>
    <t>first_name + " " + last_name</t>
  </si>
  <si>
    <t>Полное имя</t>
  </si>
  <si>
    <t>email</t>
  </si>
  <si>
    <t>'=LOWER(CONCAT(B6,".",B7,"@example.com"))</t>
  </si>
  <si>
    <t>first_name.lower()+"."+last_name.lower()+"@example.com"</t>
  </si>
  <si>
    <t>E-mail</t>
  </si>
  <si>
    <t>label</t>
  </si>
  <si>
    <t>'=CONCAT(D9," | отдел: ",B8)</t>
  </si>
  <si>
    <t>f"{full_name} | отдел: {department}"</t>
  </si>
  <si>
    <t>Подпись</t>
  </si>
  <si>
    <t>Практическая ячейка 5. Мини-задача: очистка карточки товара</t>
  </si>
  <si>
    <t>Комплексная практика: очистка названия, бренда и категории, затем сбор итоговой карточки.</t>
  </si>
  <si>
    <t>Поле</t>
  </si>
  <si>
    <t>raw_product_name</t>
  </si>
  <si>
    <t xml:space="preserve">  ноутбук-Игровой  </t>
  </si>
  <si>
    <t>'=SUBSTITUTE(TRIM(B6),"-"," ")</t>
  </si>
  <si>
    <t>raw_product_name.strip().replace("-", " ")</t>
  </si>
  <si>
    <t>Очистка названия</t>
  </si>
  <si>
    <t>product_name</t>
  </si>
  <si>
    <t>raw_brand</t>
  </si>
  <si>
    <t xml:space="preserve">  tecHVision </t>
  </si>
  <si>
    <t>'=UPPER(TRIM(B7))</t>
  </si>
  <si>
    <t>raw_brand.strip().upper()</t>
  </si>
  <si>
    <t>Нормализация бренда</t>
  </si>
  <si>
    <t>brand</t>
  </si>
  <si>
    <t xml:space="preserve">  ЭЛЕКТРОНИКА </t>
  </si>
  <si>
    <t>'=LOWER(TRIM(B8))</t>
  </si>
  <si>
    <t>raw_category.strip().lower()</t>
  </si>
  <si>
    <t>Нормализация категории</t>
  </si>
  <si>
    <t>category</t>
  </si>
  <si>
    <t>card_label</t>
  </si>
  <si>
    <t>'=CONCAT(D7," | ",D6," | категория: ",D8)</t>
  </si>
  <si>
    <t>f"{brand} | {product_name} | категория: {category}"</t>
  </si>
  <si>
    <t>Итоговая карточка</t>
  </si>
  <si>
    <t>Ячейка 6. Самопроверка по теме строк</t>
  </si>
  <si>
    <t>Введите свой ответ в столбец C и проверьте себя автоматически.</t>
  </si>
  <si>
    <t>№</t>
  </si>
  <si>
    <t>Вопрос</t>
  </si>
  <si>
    <t>Ваш ответ</t>
  </si>
  <si>
    <t>Ожидается</t>
  </si>
  <si>
    <t>Проверка</t>
  </si>
  <si>
    <t>Что проверяем</t>
  </si>
  <si>
    <t>Баллы</t>
  </si>
  <si>
    <t>Сколько символов в строке 'AI system'?</t>
  </si>
  <si>
    <t>LEN / len</t>
  </si>
  <si>
    <t>Что вернёт RIGHT('ML-2025',4)?</t>
  </si>
  <si>
    <t>2025</t>
  </si>
  <si>
    <t>RIGHT / срез</t>
  </si>
  <si>
    <t>Что вернёт TRIM('  Ivan  ')?</t>
  </si>
  <si>
    <t>Ivan</t>
  </si>
  <si>
    <t>TRIM / strip</t>
  </si>
  <si>
    <t>Что вернёт LOWER('DataScience')?</t>
  </si>
  <si>
    <t>datascience</t>
  </si>
  <si>
    <t>LOWER / lower</t>
  </si>
  <si>
    <t>Что вернёт SUBSTITUTE('ai-course-basic','-','_')?</t>
  </si>
  <si>
    <t>ai_course_basic</t>
  </si>
  <si>
    <t>SUBSTITUTE / replace</t>
  </si>
  <si>
    <t>Итого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</si>
</sst>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666666"/>
      <name val="Calibri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3FF"/>
      </patternFill>
    </fill>
    <fill>
      <patternFill patternType="solid">
        <fgColor rgb="FFF7F7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0" fontId="7" fillId="0" borderId="0"/>
  </cellStyleXfs>
  <cellXfs count="18">
    <xf numFmtId="0" fontId="0" fillId="0" borderId="0" xfId="0"/>
    <xf numFmtId="0" fontId="2" fillId="3" borderId="1" xfId="1" applyFont="1" applyFill="1" applyBorder="1" applyAlignment="1">
      <alignment vertical="top" wrapText="1"/>
    </xf>
    <xf numFmtId="0" fontId="0" fillId="0" borderId="1" xfId="1" applyFont="1" applyBorder="1" applyAlignment="1">
      <alignment vertical="top" wrapText="1"/>
    </xf>
    <xf numFmtId="0" fontId="3" fillId="2" borderId="1" xfId="1" applyFont="1" applyFill="1" applyBorder="1" applyAlignment="1">
      <alignment vertical="top" wrapText="1"/>
    </xf>
    <xf numFmtId="0" fontId="4" fillId="4" borderId="1" xfId="1" applyFont="1" applyFill="1" applyBorder="1" applyAlignment="1">
      <alignment vertical="top" wrapText="1"/>
    </xf>
    <xf numFmtId="0" fontId="5" fillId="5" borderId="1" xfId="1" applyFont="1" applyFill="1" applyBorder="1" applyAlignment="1">
      <alignment vertical="top" wrapText="1"/>
    </xf>
    <xf numFmtId="0" fontId="6" fillId="0" borderId="1" xfId="1" applyFont="1" applyBorder="1" applyAlignment="1">
      <alignment vertical="top" wrapText="1"/>
    </xf>
    <xf numFmtId="0" fontId="0" fillId="5" borderId="1" xfId="1" applyFont="1" applyFill="1" applyBorder="1" applyAlignment="1">
      <alignment vertical="top" wrapText="1"/>
    </xf>
    <xf numFmtId="0" fontId="0" fillId="6" borderId="1" xfId="1" applyFont="1" applyFill="1" applyBorder="1" applyAlignment="1">
      <alignment vertical="top" wrapText="1"/>
    </xf>
    <xf numFmtId="0" fontId="0" fillId="7" borderId="1" xfId="1" applyFont="1" applyFill="1" applyBorder="1" applyAlignment="1">
      <alignment vertical="top" wrapText="1"/>
    </xf>
    <xf numFmtId="0" fontId="2" fillId="0" borderId="1" xfId="1" applyFont="1" applyBorder="1" applyAlignment="1">
      <alignment vertical="top" wrapText="1"/>
    </xf>
    <xf numFmtId="0" fontId="2" fillId="7" borderId="1" xfId="1" applyFont="1" applyFill="1" applyBorder="1" applyAlignment="1">
      <alignment vertical="top" wrapText="1"/>
    </xf>
    <xf numFmtId="0" fontId="0" fillId="0" borderId="1" xfId="1" applyFont="1" applyBorder="1" applyAlignment="1">
      <alignment vertical="top" wrapText="1"/>
    </xf>
    <xf numFmtId="0" fontId="0" fillId="0" borderId="2" xfId="1" applyFont="1" applyBorder="1"/>
    <xf numFmtId="0" fontId="0" fillId="0" borderId="3" xfId="1" applyFont="1" applyBorder="1"/>
    <xf numFmtId="0" fontId="1" fillId="2" borderId="0" xfId="1" applyFont="1" applyFill="1" applyAlignment="1">
      <alignment horizontal="center" vertical="center"/>
    </xf>
    <xf numFmtId="0" fontId="0" fillId="0" borderId="0" xfId="0"/>
    <xf numFmtId="0" fontId="2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30194d07b0f942cd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723900</xdr:colOff>
      <xdr:row>48</xdr:row>
      <xdr:rowOff>76200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435EC3C5-1848-44F6-B5D9-8A38F83968F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57150</xdr:colOff>
      <xdr:row>45</xdr:row>
      <xdr:rowOff>76200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22855EDC-BF8F-4B9A-A426-E8CCE0DFAB3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590550</xdr:colOff>
      <xdr:row>46</xdr:row>
      <xdr:rowOff>76200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7D5A21E0-18B8-4C28-99FC-525442E95AC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5E9F2FA4-4A8E-4426-94E7-288BBE9FD295}"/>
  <xltc:person displayName="OpenAI" id="{00B287F2-68FD-A199-B487-8E3AC01FC9EB}"/>
  <xltc:person displayName="OpenAI" id="{1B11AF93-65F7-A843-221F-E006143D7750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niTextTable" displayName="MiniTextTable" ref="A5:D9">
  <autoFilter ref="A5:D9" xr:uid="{00000000-0009-0000-0100-000001000000}"/>
  <tableColumns count="4">
    <tableColumn id="1" xr3:uid="{00000000-0010-0000-0000-000001000000}" name="Поле"/>
    <tableColumn id="2" xr3:uid="{00000000-0010-0000-0000-000002000000}" name="Исходное значение"/>
    <tableColumn id="3" xr3:uid="{00000000-0010-0000-0000-000003000000}" name="Формула Excel"/>
    <tableColumn id="4" xr3:uid="{00000000-0010-0000-0000-000004000000}" name="Результа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B13" sqref="B13"/>
    </sheetView>
  </sheetViews>
  <sheetFormatPr defaultRowHeight="15" x14ac:dyDescent="0.25"/>
  <cols>
    <col min="1" max="1" width="22" customWidth="1"/>
    <col min="2" max="2" width="28" customWidth="1"/>
    <col min="3" max="4" width="24" customWidth="1"/>
    <col min="5" max="5" width="22" customWidth="1"/>
    <col min="6" max="7" width="18" customWidth="1"/>
  </cols>
  <sheetData>
    <row r="1" spans="1:7" ht="24" customHeight="1" x14ac:dyDescent="0.25">
      <c r="A1" s="15" t="s">
        <v>0</v>
      </c>
      <c r="B1" s="16"/>
      <c r="C1" s="16"/>
      <c r="D1" s="16"/>
      <c r="E1" s="16"/>
      <c r="F1" s="16"/>
      <c r="G1" s="16"/>
    </row>
    <row r="3" spans="1:7" x14ac:dyDescent="0.25">
      <c r="A3" s="1" t="s">
        <v>1</v>
      </c>
      <c r="B3" s="12" t="s">
        <v>2</v>
      </c>
      <c r="C3" s="13"/>
      <c r="D3" s="13"/>
      <c r="E3" s="13"/>
      <c r="F3" s="13"/>
      <c r="G3" s="14"/>
    </row>
    <row r="5" spans="1:7" x14ac:dyDescent="0.25">
      <c r="A5" s="1" t="s">
        <v>3</v>
      </c>
      <c r="B5" s="12" t="s">
        <v>4</v>
      </c>
      <c r="C5" s="13"/>
      <c r="D5" s="13"/>
      <c r="E5" s="13"/>
      <c r="F5" s="13"/>
      <c r="G5" s="14"/>
    </row>
    <row r="7" spans="1:7" x14ac:dyDescent="0.25">
      <c r="A7" s="1" t="s">
        <v>5</v>
      </c>
      <c r="B7" s="12" t="s">
        <v>6</v>
      </c>
      <c r="C7" s="13"/>
      <c r="D7" s="13"/>
      <c r="E7" s="13"/>
      <c r="F7" s="13"/>
      <c r="G7" s="14"/>
    </row>
    <row r="9" spans="1:7" x14ac:dyDescent="0.25">
      <c r="A9" s="1" t="s">
        <v>7</v>
      </c>
      <c r="B9" s="12" t="s">
        <v>8</v>
      </c>
      <c r="C9" s="13"/>
      <c r="D9" s="13"/>
      <c r="E9" s="13"/>
      <c r="F9" s="13"/>
      <c r="G9" s="14"/>
    </row>
    <row r="11" spans="1:7" x14ac:dyDescent="0.25">
      <c r="A11" s="17" t="s">
        <v>9</v>
      </c>
      <c r="B11" s="16"/>
      <c r="C11" s="16"/>
      <c r="D11" s="16"/>
      <c r="E11" s="16"/>
      <c r="F11" s="16"/>
      <c r="G11" s="16"/>
    </row>
  </sheetData>
  <mergeCells count="6">
    <mergeCell ref="B3:G3"/>
    <mergeCell ref="A1:G1"/>
    <mergeCell ref="B5:G5"/>
    <mergeCell ref="B9:G9"/>
    <mergeCell ref="A11:G11"/>
    <mergeCell ref="B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D6" sqref="D6"/>
    </sheetView>
  </sheetViews>
  <sheetFormatPr defaultRowHeight="15" x14ac:dyDescent="0.25"/>
  <cols>
    <col min="1" max="1" width="18" customWidth="1"/>
    <col min="2" max="2" width="24" customWidth="1"/>
    <col min="3" max="3" width="20" customWidth="1"/>
    <col min="4" max="4" width="18" customWidth="1"/>
    <col min="5" max="5" width="24" customWidth="1"/>
    <col min="6" max="6" width="22" customWidth="1"/>
  </cols>
  <sheetData>
    <row r="1" spans="1:6" ht="24" customHeight="1" x14ac:dyDescent="0.25">
      <c r="A1" s="15" t="s">
        <v>10</v>
      </c>
      <c r="B1" s="16"/>
      <c r="C1" s="16"/>
      <c r="D1" s="16"/>
      <c r="E1" s="16"/>
      <c r="F1" s="16"/>
    </row>
    <row r="3" spans="1:6" x14ac:dyDescent="0.25">
      <c r="A3" s="17" t="s">
        <v>11</v>
      </c>
      <c r="B3" s="16"/>
      <c r="C3" s="16"/>
      <c r="D3" s="16"/>
      <c r="E3" s="16"/>
      <c r="F3" s="16"/>
    </row>
    <row r="5" spans="1:6" x14ac:dyDescent="0.25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</row>
    <row r="6" spans="1:6" ht="30" x14ac:dyDescent="0.25">
      <c r="A6" s="2" t="s">
        <v>18</v>
      </c>
      <c r="B6" s="4" t="s">
        <v>19</v>
      </c>
      <c r="C6" s="2" t="s">
        <v>20</v>
      </c>
      <c r="D6" s="5">
        <f>LEN(B6)</f>
        <v>18</v>
      </c>
      <c r="E6" s="6" t="s">
        <v>21</v>
      </c>
      <c r="F6" s="6" t="s">
        <v>22</v>
      </c>
    </row>
    <row r="7" spans="1:6" x14ac:dyDescent="0.25">
      <c r="A7" s="2" t="s">
        <v>23</v>
      </c>
      <c r="B7" s="4" t="s">
        <v>24</v>
      </c>
      <c r="C7" s="2" t="s">
        <v>25</v>
      </c>
      <c r="D7" s="5">
        <f>LEN(B7)</f>
        <v>14</v>
      </c>
      <c r="E7" s="6" t="s">
        <v>26</v>
      </c>
      <c r="F7" s="6" t="s">
        <v>27</v>
      </c>
    </row>
    <row r="8" spans="1:6" ht="30" x14ac:dyDescent="0.25">
      <c r="A8" s="2" t="s">
        <v>28</v>
      </c>
      <c r="B8" s="4" t="s">
        <v>29</v>
      </c>
      <c r="C8" s="2" t="s">
        <v>30</v>
      </c>
      <c r="D8" s="5">
        <f>LEN(B8)</f>
        <v>6</v>
      </c>
      <c r="E8" s="6" t="s">
        <v>31</v>
      </c>
      <c r="F8" s="6" t="s">
        <v>32</v>
      </c>
    </row>
  </sheetData>
  <mergeCells count="2">
    <mergeCell ref="A3:F3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G6" sqref="G6"/>
    </sheetView>
  </sheetViews>
  <sheetFormatPr defaultRowHeight="15" x14ac:dyDescent="0.25"/>
  <cols>
    <col min="1" max="1" width="18" customWidth="1"/>
    <col min="2" max="2" width="20" customWidth="1"/>
    <col min="3" max="5" width="18" customWidth="1"/>
    <col min="6" max="6" width="22" customWidth="1"/>
    <col min="7" max="7" width="20" customWidth="1"/>
  </cols>
  <sheetData>
    <row r="1" spans="1:7" ht="24" customHeight="1" x14ac:dyDescent="0.25">
      <c r="A1" s="15" t="s">
        <v>33</v>
      </c>
      <c r="B1" s="16"/>
      <c r="C1" s="16"/>
      <c r="D1" s="16"/>
      <c r="E1" s="16"/>
      <c r="F1" s="16"/>
      <c r="G1" s="16"/>
    </row>
    <row r="3" spans="1:7" x14ac:dyDescent="0.25">
      <c r="A3" s="17" t="s">
        <v>34</v>
      </c>
      <c r="B3" s="16"/>
      <c r="C3" s="16"/>
      <c r="D3" s="16"/>
      <c r="E3" s="16"/>
      <c r="F3" s="16"/>
      <c r="G3" s="16"/>
    </row>
    <row r="5" spans="1:7" x14ac:dyDescent="0.25">
      <c r="A5" s="3" t="s">
        <v>35</v>
      </c>
      <c r="B5" s="3" t="s">
        <v>36</v>
      </c>
      <c r="C5" s="3" t="s">
        <v>14</v>
      </c>
      <c r="D5" s="3" t="s">
        <v>15</v>
      </c>
      <c r="E5" s="3" t="s">
        <v>37</v>
      </c>
      <c r="F5" s="3" t="s">
        <v>16</v>
      </c>
      <c r="G5" s="3" t="s">
        <v>17</v>
      </c>
    </row>
    <row r="6" spans="1:7" x14ac:dyDescent="0.25">
      <c r="A6" s="2" t="s">
        <v>23</v>
      </c>
      <c r="B6" s="4" t="s">
        <v>24</v>
      </c>
      <c r="C6" s="2" t="s">
        <v>38</v>
      </c>
      <c r="D6" s="7" t="str">
        <f>LEFT(B6,2)</f>
        <v>AI</v>
      </c>
      <c r="E6" s="2" t="s">
        <v>39</v>
      </c>
      <c r="F6" s="6" t="s">
        <v>40</v>
      </c>
      <c r="G6" s="6" t="s">
        <v>41</v>
      </c>
    </row>
    <row r="7" spans="1:7" x14ac:dyDescent="0.25">
      <c r="A7" s="2" t="s">
        <v>23</v>
      </c>
      <c r="B7" s="4" t="s">
        <v>24</v>
      </c>
      <c r="C7" s="2" t="s">
        <v>42</v>
      </c>
      <c r="D7" s="7" t="str">
        <f>RIGHT(B7,4)</f>
        <v>2025</v>
      </c>
      <c r="E7" s="2" t="s">
        <v>43</v>
      </c>
      <c r="F7" s="6" t="s">
        <v>44</v>
      </c>
      <c r="G7" s="6" t="s">
        <v>45</v>
      </c>
    </row>
    <row r="8" spans="1:7" x14ac:dyDescent="0.25">
      <c r="A8" s="2" t="s">
        <v>23</v>
      </c>
      <c r="B8" s="4" t="s">
        <v>24</v>
      </c>
      <c r="C8" s="2" t="s">
        <v>46</v>
      </c>
      <c r="D8" s="7" t="str">
        <f>MID(B8,4,6)</f>
        <v>COURSE</v>
      </c>
      <c r="E8" s="2" t="s">
        <v>47</v>
      </c>
      <c r="F8" s="6" t="s">
        <v>48</v>
      </c>
      <c r="G8" s="6" t="s">
        <v>49</v>
      </c>
    </row>
  </sheetData>
  <mergeCells count="2">
    <mergeCell ref="A3:G3"/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B9" sqref="B9"/>
    </sheetView>
  </sheetViews>
  <sheetFormatPr defaultRowHeight="15" x14ac:dyDescent="0.25"/>
  <cols>
    <col min="1" max="1" width="18" customWidth="1"/>
    <col min="2" max="2" width="24" customWidth="1"/>
    <col min="3" max="5" width="22" customWidth="1"/>
    <col min="6" max="6" width="24" customWidth="1"/>
    <col min="7" max="7" width="20" customWidth="1"/>
  </cols>
  <sheetData>
    <row r="1" spans="1:7" ht="24" customHeight="1" x14ac:dyDescent="0.25">
      <c r="A1" s="15" t="s">
        <v>50</v>
      </c>
      <c r="B1" s="16"/>
      <c r="C1" s="16"/>
      <c r="D1" s="16"/>
      <c r="E1" s="16"/>
      <c r="F1" s="16"/>
      <c r="G1" s="16"/>
    </row>
    <row r="3" spans="1:7" x14ac:dyDescent="0.25">
      <c r="A3" s="17" t="s">
        <v>51</v>
      </c>
      <c r="B3" s="16"/>
      <c r="C3" s="16"/>
      <c r="D3" s="16"/>
      <c r="E3" s="16"/>
      <c r="F3" s="16"/>
      <c r="G3" s="16"/>
    </row>
    <row r="5" spans="1:7" x14ac:dyDescent="0.25">
      <c r="A5" s="3" t="s">
        <v>52</v>
      </c>
      <c r="B5" s="3" t="s">
        <v>36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53</v>
      </c>
    </row>
    <row r="6" spans="1:7" x14ac:dyDescent="0.25">
      <c r="A6" s="2" t="s">
        <v>54</v>
      </c>
      <c r="B6" s="4" t="s">
        <v>55</v>
      </c>
      <c r="C6" s="2" t="s">
        <v>56</v>
      </c>
      <c r="D6" s="7" t="str">
        <f>TRIM(B6)</f>
        <v>Аналитика-ДАННЫХ</v>
      </c>
      <c r="E6" s="6" t="s">
        <v>57</v>
      </c>
      <c r="F6" s="6" t="s">
        <v>58</v>
      </c>
      <c r="G6" s="6" t="s">
        <v>59</v>
      </c>
    </row>
    <row r="7" spans="1:7" x14ac:dyDescent="0.25">
      <c r="A7" s="2" t="s">
        <v>60</v>
      </c>
      <c r="B7" s="4" t="s">
        <v>61</v>
      </c>
      <c r="C7" s="2" t="s">
        <v>62</v>
      </c>
      <c r="D7" s="7" t="str">
        <f>LOWER(B7)</f>
        <v>аналитика-данных</v>
      </c>
      <c r="E7" s="6" t="s">
        <v>63</v>
      </c>
      <c r="F7" s="6" t="s">
        <v>64</v>
      </c>
      <c r="G7" s="6" t="s">
        <v>65</v>
      </c>
    </row>
    <row r="8" spans="1:7" x14ac:dyDescent="0.25">
      <c r="A8" s="2" t="s">
        <v>60</v>
      </c>
      <c r="B8" s="4" t="s">
        <v>61</v>
      </c>
      <c r="C8" s="2" t="s">
        <v>66</v>
      </c>
      <c r="D8" s="7" t="str">
        <f>UPPER(B8)</f>
        <v>АНАЛИТИКА-ДАННЫХ</v>
      </c>
      <c r="E8" s="6" t="s">
        <v>67</v>
      </c>
      <c r="F8" s="6" t="s">
        <v>68</v>
      </c>
      <c r="G8" s="6" t="s">
        <v>69</v>
      </c>
    </row>
    <row r="9" spans="1:7" ht="30" x14ac:dyDescent="0.25">
      <c r="A9" s="2" t="s">
        <v>70</v>
      </c>
      <c r="B9" s="4" t="s">
        <v>71</v>
      </c>
      <c r="C9" s="2" t="s">
        <v>72</v>
      </c>
      <c r="D9" s="7" t="str">
        <f>SUBSTITUTE(B9,"-"," ")</f>
        <v>аналитика данных</v>
      </c>
      <c r="E9" s="6" t="s">
        <v>73</v>
      </c>
      <c r="F9" s="6" t="s">
        <v>74</v>
      </c>
      <c r="G9" s="6" t="s">
        <v>75</v>
      </c>
    </row>
  </sheetData>
  <mergeCells count="2">
    <mergeCell ref="A3:G3"/>
    <mergeCell ref="A1:G1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activeCell="D13" sqref="D13"/>
    </sheetView>
  </sheetViews>
  <sheetFormatPr defaultRowHeight="15" x14ac:dyDescent="0.25"/>
  <cols>
    <col min="1" max="1" width="18" customWidth="1"/>
    <col min="2" max="2" width="20" customWidth="1"/>
    <col min="3" max="3" width="18" customWidth="1"/>
    <col min="4" max="4" width="32" customWidth="1"/>
    <col min="5" max="5" width="34" customWidth="1"/>
    <col min="6" max="6" width="20" customWidth="1"/>
  </cols>
  <sheetData>
    <row r="1" spans="1:6" ht="24" customHeight="1" x14ac:dyDescent="0.25">
      <c r="A1" s="15" t="s">
        <v>76</v>
      </c>
      <c r="B1" s="16"/>
      <c r="C1" s="16"/>
      <c r="D1" s="16"/>
      <c r="E1" s="16"/>
      <c r="F1" s="16"/>
    </row>
    <row r="3" spans="1:6" x14ac:dyDescent="0.25">
      <c r="A3" s="17" t="s">
        <v>77</v>
      </c>
      <c r="B3" s="16"/>
      <c r="C3" s="16"/>
      <c r="D3" s="16"/>
      <c r="E3" s="16"/>
      <c r="F3" s="16"/>
    </row>
    <row r="5" spans="1:6" x14ac:dyDescent="0.25">
      <c r="A5" s="3" t="s">
        <v>78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</row>
    <row r="6" spans="1:6" x14ac:dyDescent="0.25">
      <c r="A6" s="2" t="s">
        <v>79</v>
      </c>
      <c r="B6" s="4" t="s">
        <v>80</v>
      </c>
      <c r="C6" s="2" t="s">
        <v>81</v>
      </c>
      <c r="D6" s="2" t="s">
        <v>81</v>
      </c>
      <c r="E6" s="6" t="s">
        <v>82</v>
      </c>
      <c r="F6" s="6" t="s">
        <v>83</v>
      </c>
    </row>
    <row r="7" spans="1:6" x14ac:dyDescent="0.25">
      <c r="A7" s="2" t="s">
        <v>84</v>
      </c>
      <c r="B7" s="4" t="s">
        <v>85</v>
      </c>
      <c r="C7" s="2" t="s">
        <v>81</v>
      </c>
      <c r="D7" s="2" t="s">
        <v>81</v>
      </c>
      <c r="E7" s="6" t="s">
        <v>86</v>
      </c>
      <c r="F7" s="6" t="s">
        <v>83</v>
      </c>
    </row>
    <row r="8" spans="1:6" x14ac:dyDescent="0.25">
      <c r="A8" s="2" t="s">
        <v>87</v>
      </c>
      <c r="B8" s="4" t="s">
        <v>88</v>
      </c>
      <c r="C8" s="2" t="s">
        <v>81</v>
      </c>
      <c r="D8" s="2" t="s">
        <v>81</v>
      </c>
      <c r="E8" s="6" t="s">
        <v>89</v>
      </c>
      <c r="F8" s="6" t="s">
        <v>83</v>
      </c>
    </row>
    <row r="9" spans="1:6" ht="30" x14ac:dyDescent="0.25">
      <c r="A9" s="2" t="s">
        <v>90</v>
      </c>
      <c r="B9" s="2" t="str">
        <f>_xlfn.CONCAT(B6," ",B7)</f>
        <v>Ирина Смирнова</v>
      </c>
      <c r="C9" s="2" t="s">
        <v>91</v>
      </c>
      <c r="D9" s="7" t="str">
        <f>_xlfn.CONCAT(B6," ",B7)</f>
        <v>Ирина Смирнова</v>
      </c>
      <c r="E9" s="6" t="s">
        <v>92</v>
      </c>
      <c r="F9" s="6" t="s">
        <v>93</v>
      </c>
    </row>
    <row r="10" spans="1:6" ht="45" x14ac:dyDescent="0.25">
      <c r="A10" s="2" t="s">
        <v>94</v>
      </c>
      <c r="B10" s="2"/>
      <c r="C10" s="2" t="s">
        <v>95</v>
      </c>
      <c r="D10" s="7" t="str">
        <f>LOWER(_xlfn.CONCAT(B6,".",B7,"@example.com"))</f>
        <v>ирина.смирнова@example.com</v>
      </c>
      <c r="E10" s="6" t="s">
        <v>96</v>
      </c>
      <c r="F10" s="6" t="s">
        <v>97</v>
      </c>
    </row>
    <row r="11" spans="1:6" ht="30" x14ac:dyDescent="0.25">
      <c r="A11" s="2" t="s">
        <v>98</v>
      </c>
      <c r="B11" s="2" t="s">
        <v>81</v>
      </c>
      <c r="C11" s="2" t="s">
        <v>99</v>
      </c>
      <c r="D11" s="7" t="str">
        <f>_xlfn.CONCAT(D9," | отдел: ",B8)</f>
        <v>Ирина Смирнова | отдел: AI Lab</v>
      </c>
      <c r="E11" s="6" t="s">
        <v>100</v>
      </c>
      <c r="F11" s="6" t="s">
        <v>101</v>
      </c>
    </row>
  </sheetData>
  <mergeCells count="2">
    <mergeCell ref="A3:F3"/>
    <mergeCell ref="A1:F1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>
      <selection activeCell="F9" sqref="F9"/>
    </sheetView>
  </sheetViews>
  <sheetFormatPr defaultRowHeight="15" x14ac:dyDescent="0.25"/>
  <cols>
    <col min="1" max="1" width="18" customWidth="1"/>
    <col min="2" max="2" width="26" customWidth="1"/>
    <col min="3" max="3" width="32" customWidth="1"/>
    <col min="4" max="4" width="24" customWidth="1"/>
    <col min="5" max="5" width="34" customWidth="1"/>
    <col min="6" max="6" width="30" customWidth="1"/>
    <col min="7" max="7" width="16" customWidth="1"/>
  </cols>
  <sheetData>
    <row r="1" spans="1:7" ht="24" customHeight="1" x14ac:dyDescent="0.25">
      <c r="A1" s="15" t="s">
        <v>102</v>
      </c>
      <c r="B1" s="16"/>
      <c r="C1" s="16"/>
      <c r="D1" s="16"/>
      <c r="E1" s="16"/>
      <c r="F1" s="16"/>
      <c r="G1" s="16"/>
    </row>
    <row r="3" spans="1:7" x14ac:dyDescent="0.25">
      <c r="A3" s="17" t="s">
        <v>103</v>
      </c>
      <c r="B3" s="16"/>
      <c r="C3" s="16"/>
      <c r="D3" s="16"/>
      <c r="E3" s="16"/>
      <c r="F3" s="16"/>
      <c r="G3" s="16"/>
    </row>
    <row r="5" spans="1:7" x14ac:dyDescent="0.25">
      <c r="A5" s="3" t="s">
        <v>104</v>
      </c>
      <c r="B5" s="3" t="s">
        <v>36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53</v>
      </c>
    </row>
    <row r="6" spans="1:7" ht="30" x14ac:dyDescent="0.25">
      <c r="A6" s="2" t="s">
        <v>105</v>
      </c>
      <c r="B6" s="4" t="s">
        <v>106</v>
      </c>
      <c r="C6" s="2" t="s">
        <v>107</v>
      </c>
      <c r="D6" s="7" t="str">
        <f>SUBSTITUTE(TRIM(B6),"-"," ")</f>
        <v>ноутбук Игровой</v>
      </c>
      <c r="E6" s="6" t="s">
        <v>108</v>
      </c>
      <c r="F6" s="6" t="s">
        <v>109</v>
      </c>
      <c r="G6" s="6" t="s">
        <v>110</v>
      </c>
    </row>
    <row r="7" spans="1:7" x14ac:dyDescent="0.25">
      <c r="A7" s="2" t="s">
        <v>111</v>
      </c>
      <c r="B7" s="4" t="s">
        <v>112</v>
      </c>
      <c r="C7" s="2" t="s">
        <v>113</v>
      </c>
      <c r="D7" s="7" t="str">
        <f>UPPER(TRIM(B7))</f>
        <v>TECHVISION</v>
      </c>
      <c r="E7" s="6" t="s">
        <v>114</v>
      </c>
      <c r="F7" s="6" t="s">
        <v>115</v>
      </c>
      <c r="G7" s="6" t="s">
        <v>116</v>
      </c>
    </row>
    <row r="8" spans="1:7" x14ac:dyDescent="0.25">
      <c r="A8" s="2" t="s">
        <v>54</v>
      </c>
      <c r="B8" s="4" t="s">
        <v>117</v>
      </c>
      <c r="C8" s="2" t="s">
        <v>118</v>
      </c>
      <c r="D8" s="7" t="str">
        <f>LOWER(TRIM(B8))</f>
        <v>электроника</v>
      </c>
      <c r="E8" s="6" t="s">
        <v>119</v>
      </c>
      <c r="F8" s="6" t="s">
        <v>120</v>
      </c>
      <c r="G8" s="6" t="s">
        <v>121</v>
      </c>
    </row>
    <row r="9" spans="1:7" ht="45" x14ac:dyDescent="0.25">
      <c r="A9" s="2" t="s">
        <v>122</v>
      </c>
      <c r="B9" s="2" t="s">
        <v>81</v>
      </c>
      <c r="C9" s="2" t="s">
        <v>123</v>
      </c>
      <c r="D9" s="7" t="str">
        <f>_xlfn.CONCAT(D7," | ",D6," | категория: ",D8)</f>
        <v>TECHVISION | ноутбук Игровой | категория: электроника</v>
      </c>
      <c r="E9" s="6" t="s">
        <v>124</v>
      </c>
      <c r="F9" s="6" t="s">
        <v>125</v>
      </c>
      <c r="G9" s="6" t="s">
        <v>98</v>
      </c>
    </row>
  </sheetData>
  <mergeCells count="2">
    <mergeCell ref="A3:G3"/>
    <mergeCell ref="A1:G1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tabSelected="1" workbookViewId="0">
      <selection activeCell="E25" sqref="E25"/>
    </sheetView>
  </sheetViews>
  <sheetFormatPr defaultRowHeight="15" x14ac:dyDescent="0.25"/>
  <cols>
    <col min="1" max="1" width="8" customWidth="1"/>
    <col min="2" max="2" width="42" customWidth="1"/>
    <col min="3" max="4" width="16" customWidth="1"/>
    <col min="5" max="5" width="18" customWidth="1"/>
    <col min="6" max="6" width="22" customWidth="1"/>
    <col min="7" max="7" width="16" customWidth="1"/>
  </cols>
  <sheetData>
    <row r="1" spans="1:7" ht="24" customHeight="1" x14ac:dyDescent="0.25">
      <c r="A1" s="15" t="s">
        <v>126</v>
      </c>
      <c r="B1" s="16"/>
      <c r="C1" s="16"/>
      <c r="D1" s="16"/>
      <c r="E1" s="16"/>
      <c r="F1" s="16"/>
      <c r="G1" s="16"/>
    </row>
    <row r="3" spans="1:7" x14ac:dyDescent="0.25">
      <c r="A3" s="17" t="s">
        <v>127</v>
      </c>
      <c r="B3" s="16"/>
      <c r="C3" s="16"/>
      <c r="D3" s="16"/>
      <c r="E3" s="16"/>
      <c r="F3" s="16"/>
      <c r="G3" s="16"/>
    </row>
    <row r="5" spans="1:7" x14ac:dyDescent="0.25">
      <c r="A5" s="3" t="s">
        <v>128</v>
      </c>
      <c r="B5" s="3" t="s">
        <v>129</v>
      </c>
      <c r="C5" s="3" t="s">
        <v>130</v>
      </c>
      <c r="D5" s="3" t="s">
        <v>131</v>
      </c>
      <c r="E5" s="3" t="s">
        <v>132</v>
      </c>
      <c r="F5" s="3" t="s">
        <v>133</v>
      </c>
      <c r="G5" s="3" t="s">
        <v>134</v>
      </c>
    </row>
    <row r="6" spans="1:7" x14ac:dyDescent="0.25">
      <c r="A6" s="2">
        <v>1</v>
      </c>
      <c r="B6" s="2" t="s">
        <v>135</v>
      </c>
      <c r="C6" s="8">
        <f>LEN("AI system")</f>
        <v>9</v>
      </c>
      <c r="D6" s="9">
        <v>9</v>
      </c>
      <c r="E6" s="7" t="str">
        <f>IF(C6=D6,"Верно","Проверьте")</f>
        <v>Верно</v>
      </c>
      <c r="F6" s="6" t="s">
        <v>136</v>
      </c>
      <c r="G6" s="7">
        <f>IF(E6="Верно",1,0)</f>
        <v>1</v>
      </c>
    </row>
    <row r="7" spans="1:7" x14ac:dyDescent="0.25">
      <c r="A7" s="2">
        <v>2</v>
      </c>
      <c r="B7" s="2" t="s">
        <v>137</v>
      </c>
      <c r="C7" s="8" t="str">
        <f>RIGHT("ML-2025",4)</f>
        <v>2025</v>
      </c>
      <c r="D7" s="9" t="s">
        <v>138</v>
      </c>
      <c r="E7" s="7" t="str">
        <f>IF(C7=D7,"Верно","Проверьте")</f>
        <v>Верно</v>
      </c>
      <c r="F7" s="6" t="s">
        <v>139</v>
      </c>
      <c r="G7" s="7">
        <f>IF(E7="Верно",1,0)</f>
        <v>1</v>
      </c>
    </row>
    <row r="8" spans="1:7" x14ac:dyDescent="0.25">
      <c r="A8" s="2">
        <v>3</v>
      </c>
      <c r="B8" s="2" t="s">
        <v>140</v>
      </c>
      <c r="C8" s="8" t="str">
        <f>TRIM("  Ivan   ")</f>
        <v>Ivan</v>
      </c>
      <c r="D8" s="9" t="s">
        <v>141</v>
      </c>
      <c r="E8" s="7" t="str">
        <f>IF(C8=D8,"Верно","Проверьте")</f>
        <v>Верно</v>
      </c>
      <c r="F8" s="6" t="s">
        <v>142</v>
      </c>
      <c r="G8" s="7">
        <f>IF(E8="Верно",1,0)</f>
        <v>1</v>
      </c>
    </row>
    <row r="9" spans="1:7" x14ac:dyDescent="0.25">
      <c r="A9" s="2">
        <v>4</v>
      </c>
      <c r="B9" s="2" t="s">
        <v>143</v>
      </c>
      <c r="C9" s="8" t="str">
        <f>LOWER("DataScience")</f>
        <v>datascience</v>
      </c>
      <c r="D9" s="9" t="s">
        <v>144</v>
      </c>
      <c r="E9" s="7" t="str">
        <f>IF(C9=D9,"Верно","Проверьте")</f>
        <v>Верно</v>
      </c>
      <c r="F9" s="6" t="s">
        <v>145</v>
      </c>
      <c r="G9" s="7">
        <f>IF(E9="Верно",1,0)</f>
        <v>1</v>
      </c>
    </row>
    <row r="10" spans="1:7" ht="30" x14ac:dyDescent="0.25">
      <c r="A10" s="2">
        <v>5</v>
      </c>
      <c r="B10" s="2" t="s">
        <v>146</v>
      </c>
      <c r="C10" s="8" t="str">
        <f>SUBSTITUTE("ai-course-basic","-","_")</f>
        <v>ai_course_basic</v>
      </c>
      <c r="D10" s="9" t="s">
        <v>147</v>
      </c>
      <c r="E10" s="7" t="str">
        <f>IF(C10=D10,"Верно","Проверьте")</f>
        <v>Верно</v>
      </c>
      <c r="F10" s="6" t="s">
        <v>148</v>
      </c>
      <c r="G10" s="7">
        <f>IF(E10="Верно",1,0)</f>
        <v>1</v>
      </c>
    </row>
    <row r="12" spans="1:7" x14ac:dyDescent="0.25">
      <c r="F12" s="10" t="s">
        <v>149</v>
      </c>
      <c r="G12" s="11">
        <f>SUM(G6:G10)</f>
        <v>5</v>
      </c>
    </row>
  </sheetData>
  <mergeCells count="2">
    <mergeCell ref="A3:G3"/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a417cd-1461-4943-a860-4cb4d05c96be" xsi:nil="true"/>
    <lcf76f155ced4ddcb4097134ff3c332f xmlns="36208828-9969-4b73-bb77-f045d89e955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DEAEBEBB66B4B88D66787F055A81B" ma:contentTypeVersion="11" ma:contentTypeDescription="Create a new document." ma:contentTypeScope="" ma:versionID="1b88847c9fe6b26fa67261bbb8b1c80a">
  <xsd:schema xmlns:xsd="http://www.w3.org/2001/XMLSchema" xmlns:xs="http://www.w3.org/2001/XMLSchema" xmlns:p="http://schemas.microsoft.com/office/2006/metadata/properties" xmlns:ns2="36208828-9969-4b73-bb77-f045d89e9554" xmlns:ns3="19a417cd-1461-4943-a860-4cb4d05c96be" targetNamespace="http://schemas.microsoft.com/office/2006/metadata/properties" ma:root="true" ma:fieldsID="4b81e6e864b9c373d4615dbe59b7e60e" ns2:_="" ns3:_="">
    <xsd:import namespace="36208828-9969-4b73-bb77-f045d89e9554"/>
    <xsd:import namespace="19a417cd-1461-4943-a860-4cb4d05c96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08828-9969-4b73-bb77-f045d89e95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337a3fc-4456-4954-9b0b-07bfd45f7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417cd-1461-4943-a860-4cb4d05c96b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9379c40-fa90-4dde-8395-12c6c804e41a}" ma:internalName="TaxCatchAll" ma:showField="CatchAllData" ma:web="19a417cd-1461-4943-a860-4cb4d05c96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931620-183E-4B82-BB11-53B7D030B1B9}">
  <ds:schemaRefs>
    <ds:schemaRef ds:uri="http://schemas.microsoft.com/office/2006/metadata/properties"/>
    <ds:schemaRef ds:uri="http://schemas.microsoft.com/office/infopath/2007/PartnerControls"/>
    <ds:schemaRef ds:uri="19a417cd-1461-4943-a860-4cb4d05c96be"/>
    <ds:schemaRef ds:uri="36208828-9969-4b73-bb77-f045d89e9554"/>
  </ds:schemaRefs>
</ds:datastoreItem>
</file>

<file path=customXml/itemProps2.xml><?xml version="1.0" encoding="utf-8"?>
<ds:datastoreItem xmlns:ds="http://schemas.openxmlformats.org/officeDocument/2006/customXml" ds:itemID="{D5DD82DB-AFD8-43DF-874B-AD1EA66730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349B64-5F4A-4496-A0F4-FA34DC1577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208828-9969-4b73-bb77-f045d89e9554"/>
    <ds:schemaRef ds:uri="19a417cd-1461-4943-a860-4cb4d05c96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0_Теория</vt:lpstr>
      <vt:lpstr>1_Строки</vt:lpstr>
      <vt:lpstr>2_Срезы</vt:lpstr>
      <vt:lpstr>3_Очистка</vt:lpstr>
      <vt:lpstr>4_Склейка</vt:lpstr>
      <vt:lpstr>5_Минизадача</vt:lpstr>
      <vt:lpstr>6_Тест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Konyshev</cp:lastModifiedBy>
  <dcterms:modified xsi:type="dcterms:W3CDTF">2026-08-17T12:54:16Z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0x010100619DEAEBEBB66B4B88D66787F055A81B</vt:lpwstr>
  </property>
</Properties>
</file>