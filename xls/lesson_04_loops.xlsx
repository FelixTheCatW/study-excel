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tudy\excel\study-excel\xls\"/>
    </mc:Choice>
  </mc:AlternateContent>
  <xr:revisionPtr revIDLastSave="0" documentId="13_ncr:1_{289B1D67-764F-4600-87AF-F53D8A36EE56}" xr6:coauthVersionLast="47" xr6:coauthVersionMax="47" xr10:uidLastSave="{00000000-0000-0000-0000-000000000000}"/>
  <bookViews>
    <workbookView xWindow="-120" yWindow="-120" windowWidth="37440" windowHeight="16440" activeTab="6" xr2:uid="{00000000-000D-0000-FFFF-FFFF00000000}"/>
  </bookViews>
  <sheets>
    <sheet name="0_Теория" sheetId="1" r:id="rId1"/>
    <sheet name="1_Range" sheetId="2" r:id="rId2"/>
    <sheet name="2_Список" sheetId="3" r:id="rId3"/>
    <sheet name="3_Накопление" sheetId="4" r:id="rId4"/>
    <sheet name="4_Подсчет" sheetId="5" r:id="rId5"/>
    <sheet name="5_Минизадача" sheetId="6" r:id="rId6"/>
    <sheet name="6_Тест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6" l="1"/>
  <c r="D7" i="6" s="1"/>
  <c r="B8" i="6"/>
  <c r="D8" i="6" s="1"/>
  <c r="B9" i="6"/>
  <c r="D9" i="6" s="1"/>
  <c r="B10" i="6"/>
  <c r="D10" i="6" s="1"/>
  <c r="B11" i="6"/>
  <c r="D11" i="6" s="1"/>
  <c r="B12" i="6"/>
  <c r="B6" i="6"/>
  <c r="B7" i="5"/>
  <c r="E7" i="5" s="1"/>
  <c r="B8" i="5"/>
  <c r="E8" i="5" s="1"/>
  <c r="B9" i="5"/>
  <c r="E9" i="5" s="1"/>
  <c r="B10" i="5"/>
  <c r="E10" i="5" s="1"/>
  <c r="B6" i="5"/>
  <c r="E6" i="5" s="1"/>
  <c r="C7" i="2"/>
  <c r="C8" i="2"/>
  <c r="C9" i="2"/>
  <c r="C10" i="2"/>
  <c r="C6" i="2"/>
  <c r="E9" i="7"/>
  <c r="G9" i="7" s="1"/>
  <c r="E8" i="7"/>
  <c r="G8" i="7" s="1"/>
  <c r="E7" i="7"/>
  <c r="G7" i="7" s="1"/>
  <c r="E6" i="7"/>
  <c r="G6" i="7" s="1"/>
  <c r="D12" i="6"/>
  <c r="G12" i="4"/>
  <c r="G6" i="4"/>
  <c r="D6" i="4"/>
  <c r="D7" i="4" s="1"/>
  <c r="D8" i="4" s="1"/>
  <c r="D9" i="4" s="1"/>
  <c r="D10" i="4" s="1"/>
  <c r="D10" i="3"/>
  <c r="D9" i="3"/>
  <c r="D8" i="3"/>
  <c r="D7" i="3"/>
  <c r="D6" i="3"/>
  <c r="I8" i="6" l="1"/>
  <c r="I6" i="6"/>
  <c r="D6" i="6"/>
  <c r="I9" i="6" s="1"/>
  <c r="I7" i="6"/>
  <c r="H12" i="5"/>
  <c r="G11" i="7"/>
</calcChain>
</file>

<file path=xl/sharedStrings.xml><?xml version="1.0" encoding="utf-8"?>
<sst xmlns="http://schemas.openxmlformats.org/spreadsheetml/2006/main" count="171" uniqueCount="96">
  <si>
    <t>Занятие 4. Циклы и повторяющиеся расчёты</t>
  </si>
  <si>
    <t>Цель занятия</t>
  </si>
  <si>
    <t>Научиться использовать циклы for, range(), накопление суммы и подсчёт по условию.</t>
  </si>
  <si>
    <t>Темы</t>
  </si>
  <si>
    <t>Циклы, range(), перебор списка, накопление суммы, счётчики, мини-анализ продаж.</t>
  </si>
  <si>
    <t>Связь с Python</t>
  </si>
  <si>
    <t>Каждый лист соответствует одной практической ячейке из ноутбука занятия 4.</t>
  </si>
  <si>
    <t>Бизнес-контекст</t>
  </si>
  <si>
    <t>Продажи по дням, суммирование, число дней выше порога и сводные показатели.</t>
  </si>
  <si>
    <t>Практическая ячейка 1. Цикл for и range()</t>
  </si>
  <si>
    <t>Excel-аналог повторяющихся шагов: одна и та же формула выполняется для нескольких строк.</t>
  </si>
  <si>
    <t>Итерация</t>
  </si>
  <si>
    <t>Формула Excel</t>
  </si>
  <si>
    <t>Результат</t>
  </si>
  <si>
    <t>Аналог в Python</t>
  </si>
  <si>
    <t>Комментарий</t>
  </si>
  <si>
    <t>Шаг</t>
  </si>
  <si>
    <t>'="День "&amp;A6&amp;": обработка данных завершена"</t>
  </si>
  <si>
    <t>for day in range(1, 6): print(...)</t>
  </si>
  <si>
    <t>Один повтор = одна итерация</t>
  </si>
  <si>
    <t>Шаг 1</t>
  </si>
  <si>
    <t>'="День "&amp;A7&amp;": обработка данных завершена"</t>
  </si>
  <si>
    <t>Шаг 2</t>
  </si>
  <si>
    <t>'="День "&amp;A8&amp;": обработка данных завершена"</t>
  </si>
  <si>
    <t>Шаг 3</t>
  </si>
  <si>
    <t>'="День "&amp;A9&amp;": обработка данных завершена"</t>
  </si>
  <si>
    <t>Шаг 4</t>
  </si>
  <si>
    <t>'="День "&amp;A10&amp;": обработка данных завершена"</t>
  </si>
  <si>
    <t>Шаг 5</t>
  </si>
  <si>
    <t>Практическая ячейка 2. Цикл по списку значений</t>
  </si>
  <si>
    <t>Перебираем список продаж. Excel показывает те же значения по строкам.</t>
  </si>
  <si>
    <t>День</t>
  </si>
  <si>
    <t>Продажа</t>
  </si>
  <si>
    <t>'="Продажа за день: "&amp;B6</t>
  </si>
  <si>
    <t>for sale in sales: print(...)</t>
  </si>
  <si>
    <t>Перебор значений списка</t>
  </si>
  <si>
    <t>'="Продажа за день: "&amp;B7</t>
  </si>
  <si>
    <t>'="Продажа за день: "&amp;B8</t>
  </si>
  <si>
    <t>'="Продажа за день: "&amp;B9</t>
  </si>
  <si>
    <t>'="Продажа за день: "&amp;B10</t>
  </si>
  <si>
    <t>Практическая ячейка 3. Накопление суммы</t>
  </si>
  <si>
    <t>Накопитель в Python аналогичен бегущей сумме в Excel.</t>
  </si>
  <si>
    <t>Бегущая сумма</t>
  </si>
  <si>
    <t>Итог</t>
  </si>
  <si>
    <t>'=B6</t>
  </si>
  <si>
    <t>total_sales += sale</t>
  </si>
  <si>
    <t>Шаг накопления</t>
  </si>
  <si>
    <t>'=D6+B7</t>
  </si>
  <si>
    <t>'=D7+B8</t>
  </si>
  <si>
    <t>'=D8+B9</t>
  </si>
  <si>
    <t>'=D9+B10</t>
  </si>
  <si>
    <t>Общая сумма</t>
  </si>
  <si>
    <t>Практическая ячейка 4. Подсчёт количества по условию</t>
  </si>
  <si>
    <t>Считаем, сколько продаж выше заданного порога.</t>
  </si>
  <si>
    <t>Порог</t>
  </si>
  <si>
    <t>Флаг</t>
  </si>
  <si>
    <t>Счётчик</t>
  </si>
  <si>
    <t>'=IF(B6&gt;C6,1,0)</t>
  </si>
  <si>
    <t>if sale &gt; threshold: count += 1</t>
  </si>
  <si>
    <t>Проверка условия</t>
  </si>
  <si>
    <t>'=IF(B7&gt;C7,1,0)</t>
  </si>
  <si>
    <t>'=IF(B8&gt;C8,1,0)</t>
  </si>
  <si>
    <t>'=IF(B9&gt;C9,1,0)</t>
  </si>
  <si>
    <t>'=IF(B10&gt;C10,1,0)</t>
  </si>
  <si>
    <t>Количество выше порога</t>
  </si>
  <si>
    <t>Практическая ячейка 5. Мини-задача: анализ списка продаж</t>
  </si>
  <si>
    <t>Собираем несколько показателей: сумма, число дней, среднее и дни выше порога.</t>
  </si>
  <si>
    <t>Выше порога?</t>
  </si>
  <si>
    <t>Показатель</t>
  </si>
  <si>
    <t>Значение</t>
  </si>
  <si>
    <t>цикл + if</t>
  </si>
  <si>
    <t>Флаг для подсчёта</t>
  </si>
  <si>
    <t>Количество дней</t>
  </si>
  <si>
    <t>Средняя продажа</t>
  </si>
  <si>
    <t>Дней выше порога</t>
  </si>
  <si>
    <t>'=IF(B11&gt;C11,1,0)</t>
  </si>
  <si>
    <t>'=IF(B12&gt;C12,1,0)</t>
  </si>
  <si>
    <t>Ячейка 6. Самопроверка по теме циклов</t>
  </si>
  <si>
    <t>Введите свой ответ в столбец C и проверьте себя автоматически.</t>
  </si>
  <si>
    <t>№</t>
  </si>
  <si>
    <t>Вопрос</t>
  </si>
  <si>
    <t>Ваш ответ</t>
  </si>
  <si>
    <t>Ожидается</t>
  </si>
  <si>
    <t>Проверка</t>
  </si>
  <si>
    <t>Что проверяем</t>
  </si>
  <si>
    <t>Баллы</t>
  </si>
  <si>
    <t>Какие числа даёт range(1,4)?</t>
  </si>
  <si>
    <t/>
  </si>
  <si>
    <t>[1, 2, 3]</t>
  </si>
  <si>
    <t>range()</t>
  </si>
  <si>
    <t>Чему равна сумма [10, 20, 30]?</t>
  </si>
  <si>
    <t>Накопление</t>
  </si>
  <si>
    <t>Сколько значений &gt;1000 в [900,1600,1700,800]?</t>
  </si>
  <si>
    <t>Подсчёт по условию</t>
  </si>
  <si>
    <t>Чему равно среднее [1000,2000,3000]?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</si>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</sst>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E8F1FF"/>
      </patternFill>
    </fill>
    <fill>
      <patternFill patternType="solid">
        <fgColor rgb="FFF4F4F4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3" borderId="0" xfId="1" applyFont="1" applyFill="1"/>
    <xf numFmtId="0" fontId="0" fillId="0" borderId="0" xfId="1" applyFont="1" applyAlignment="1">
      <alignment vertical="top" wrapText="1"/>
    </xf>
    <xf numFmtId="0" fontId="2" fillId="4" borderId="1" xfId="1" applyFont="1" applyFill="1" applyBorder="1" applyAlignment="1">
      <alignment vertical="top" wrapText="1"/>
    </xf>
    <xf numFmtId="0" fontId="0" fillId="5" borderId="1" xfId="1" applyFont="1" applyFill="1" applyBorder="1" applyAlignment="1">
      <alignment vertical="top" wrapText="1"/>
    </xf>
    <xf numFmtId="0" fontId="0" fillId="0" borderId="1" xfId="1" applyFont="1" applyBorder="1" applyAlignment="1">
      <alignment vertical="top" wrapText="1"/>
    </xf>
    <xf numFmtId="0" fontId="0" fillId="6" borderId="1" xfId="1" applyFont="1" applyFill="1" applyBorder="1" applyAlignment="1">
      <alignment vertical="top" wrapText="1"/>
    </xf>
    <xf numFmtId="0" fontId="0" fillId="7" borderId="1" xfId="1" applyFont="1" applyFill="1" applyBorder="1" applyAlignment="1">
      <alignment vertical="top" wrapText="1"/>
    </xf>
    <xf numFmtId="0" fontId="0" fillId="3" borderId="1" xfId="1" applyFont="1" applyFill="1" applyBorder="1" applyAlignment="1">
      <alignment vertical="top" wrapText="1"/>
    </xf>
    <xf numFmtId="0" fontId="0" fillId="8" borderId="1" xfId="1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0" fillId="0" borderId="0" xfId="0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/>
  </sheetViews>
  <sheetFormatPr defaultRowHeight="15" x14ac:dyDescent="0.25"/>
  <cols>
    <col min="1" max="1" width="22" customWidth="1"/>
    <col min="2" max="2" width="84" customWidth="1"/>
    <col min="3" max="4" width="18" customWidth="1"/>
    <col min="5" max="5" width="34" customWidth="1"/>
    <col min="6" max="6" width="28" customWidth="1"/>
    <col min="7" max="7" width="24" customWidth="1"/>
  </cols>
  <sheetData>
    <row r="1" spans="1:7" ht="18.75" x14ac:dyDescent="0.25">
      <c r="A1" s="10" t="s">
        <v>0</v>
      </c>
      <c r="B1" s="11"/>
      <c r="C1" s="11"/>
      <c r="D1" s="11"/>
      <c r="E1" s="11"/>
      <c r="F1" s="11"/>
      <c r="G1" s="11"/>
    </row>
    <row r="3" spans="1:7" ht="38.1" customHeight="1" x14ac:dyDescent="0.25">
      <c r="A3" s="1" t="s">
        <v>1</v>
      </c>
      <c r="B3" s="2" t="s">
        <v>2</v>
      </c>
    </row>
    <row r="5" spans="1:7" ht="38.1" customHeight="1" x14ac:dyDescent="0.25">
      <c r="A5" s="1" t="s">
        <v>3</v>
      </c>
      <c r="B5" s="2" t="s">
        <v>4</v>
      </c>
    </row>
    <row r="7" spans="1:7" ht="38.1" customHeight="1" x14ac:dyDescent="0.25">
      <c r="A7" s="1" t="s">
        <v>5</v>
      </c>
      <c r="B7" s="2" t="s">
        <v>6</v>
      </c>
    </row>
    <row r="9" spans="1:7" ht="38.1" customHeight="1" x14ac:dyDescent="0.25">
      <c r="A9" s="1" t="s">
        <v>7</v>
      </c>
      <c r="B9" s="2" t="s">
        <v>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F9" sqref="F9"/>
    </sheetView>
  </sheetViews>
  <sheetFormatPr defaultRowHeight="15" x14ac:dyDescent="0.25"/>
  <cols>
    <col min="1" max="1" width="10" customWidth="1"/>
    <col min="2" max="2" width="20" customWidth="1"/>
    <col min="3" max="4" width="18" customWidth="1"/>
    <col min="5" max="5" width="34" customWidth="1"/>
    <col min="6" max="6" width="28" customWidth="1"/>
  </cols>
  <sheetData>
    <row r="1" spans="1:6" ht="18.75" x14ac:dyDescent="0.25">
      <c r="A1" s="10" t="s">
        <v>9</v>
      </c>
      <c r="B1" s="11"/>
      <c r="C1" s="11"/>
      <c r="D1" s="11"/>
      <c r="E1" s="11"/>
      <c r="F1" s="11"/>
    </row>
    <row r="3" spans="1:6" ht="180" x14ac:dyDescent="0.25">
      <c r="A3" s="2" t="s">
        <v>10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</row>
    <row r="6" spans="1:6" ht="45" x14ac:dyDescent="0.25">
      <c r="A6" s="4">
        <v>1</v>
      </c>
      <c r="B6" s="5" t="s">
        <v>17</v>
      </c>
      <c r="C6" s="6" t="str">
        <f>"День "&amp;$A6&amp;": обработка данных завершена"</f>
        <v>День 1: обработка данных завершена</v>
      </c>
      <c r="D6" s="5" t="s">
        <v>18</v>
      </c>
      <c r="E6" s="5" t="s">
        <v>19</v>
      </c>
      <c r="F6" s="5" t="s">
        <v>20</v>
      </c>
    </row>
    <row r="7" spans="1:6" ht="45" x14ac:dyDescent="0.25">
      <c r="A7" s="4">
        <v>2</v>
      </c>
      <c r="B7" s="5" t="s">
        <v>21</v>
      </c>
      <c r="C7" s="6" t="str">
        <f t="shared" ref="C7:C10" si="0">"День "&amp;$A7&amp;": обработка данных завершена"</f>
        <v>День 2: обработка данных завершена</v>
      </c>
      <c r="D7" s="5" t="s">
        <v>18</v>
      </c>
      <c r="E7" s="5" t="s">
        <v>19</v>
      </c>
      <c r="F7" s="5" t="s">
        <v>22</v>
      </c>
    </row>
    <row r="8" spans="1:6" ht="45" x14ac:dyDescent="0.25">
      <c r="A8" s="4">
        <v>3</v>
      </c>
      <c r="B8" s="5" t="s">
        <v>23</v>
      </c>
      <c r="C8" s="6" t="str">
        <f t="shared" si="0"/>
        <v>День 3: обработка данных завершена</v>
      </c>
      <c r="D8" s="5" t="s">
        <v>18</v>
      </c>
      <c r="E8" s="5" t="s">
        <v>19</v>
      </c>
      <c r="F8" s="5" t="s">
        <v>24</v>
      </c>
    </row>
    <row r="9" spans="1:6" ht="45" x14ac:dyDescent="0.25">
      <c r="A9" s="4">
        <v>4</v>
      </c>
      <c r="B9" s="5" t="s">
        <v>25</v>
      </c>
      <c r="C9" s="6" t="str">
        <f t="shared" si="0"/>
        <v>День 4: обработка данных завершена</v>
      </c>
      <c r="D9" s="5" t="s">
        <v>18</v>
      </c>
      <c r="E9" s="5" t="s">
        <v>19</v>
      </c>
      <c r="F9" s="5" t="s">
        <v>26</v>
      </c>
    </row>
    <row r="10" spans="1:6" ht="45" x14ac:dyDescent="0.25">
      <c r="A10" s="4">
        <v>5</v>
      </c>
      <c r="B10" s="5" t="s">
        <v>27</v>
      </c>
      <c r="C10" s="6" t="str">
        <f t="shared" si="0"/>
        <v>День 5: обработка данных завершена</v>
      </c>
      <c r="D10" s="5" t="s">
        <v>18</v>
      </c>
      <c r="E10" s="5" t="s">
        <v>19</v>
      </c>
      <c r="F10" s="5" t="s">
        <v>28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F10" sqref="F10"/>
    </sheetView>
  </sheetViews>
  <sheetFormatPr defaultRowHeight="15" x14ac:dyDescent="0.25"/>
  <cols>
    <col min="1" max="1" width="10" customWidth="1"/>
    <col min="2" max="2" width="20" customWidth="1"/>
    <col min="3" max="4" width="18" customWidth="1"/>
    <col min="5" max="5" width="34" customWidth="1"/>
    <col min="6" max="6" width="28" customWidth="1"/>
  </cols>
  <sheetData>
    <row r="1" spans="1:6" ht="18.75" x14ac:dyDescent="0.25">
      <c r="A1" s="10" t="s">
        <v>29</v>
      </c>
      <c r="B1" s="11"/>
      <c r="C1" s="11"/>
      <c r="D1" s="11"/>
      <c r="E1" s="11"/>
      <c r="F1" s="11"/>
    </row>
    <row r="3" spans="1:6" ht="150" x14ac:dyDescent="0.25">
      <c r="A3" s="2" t="s">
        <v>30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3" t="s">
        <v>31</v>
      </c>
      <c r="B5" s="3" t="s">
        <v>32</v>
      </c>
      <c r="C5" s="3" t="s">
        <v>12</v>
      </c>
      <c r="D5" s="3" t="s">
        <v>13</v>
      </c>
      <c r="E5" s="3" t="s">
        <v>14</v>
      </c>
      <c r="F5" s="3" t="s">
        <v>15</v>
      </c>
    </row>
    <row r="6" spans="1:6" ht="30" x14ac:dyDescent="0.25">
      <c r="A6" s="5">
        <v>1</v>
      </c>
      <c r="B6" s="4">
        <v>1300</v>
      </c>
      <c r="C6" s="5" t="s">
        <v>33</v>
      </c>
      <c r="D6" s="6" t="str">
        <f>"Продажа за день: "&amp;B6</f>
        <v>Продажа за день: 1300</v>
      </c>
      <c r="E6" s="5" t="s">
        <v>34</v>
      </c>
      <c r="F6" s="5" t="s">
        <v>35</v>
      </c>
    </row>
    <row r="7" spans="1:6" ht="30" x14ac:dyDescent="0.25">
      <c r="A7" s="5">
        <v>2</v>
      </c>
      <c r="B7" s="4">
        <v>500</v>
      </c>
      <c r="C7" s="5" t="s">
        <v>36</v>
      </c>
      <c r="D7" s="6" t="str">
        <f>"Продажа за день: "&amp;B7</f>
        <v>Продажа за день: 500</v>
      </c>
      <c r="E7" s="5" t="s">
        <v>34</v>
      </c>
      <c r="F7" s="5" t="s">
        <v>35</v>
      </c>
    </row>
    <row r="8" spans="1:6" ht="30" x14ac:dyDescent="0.25">
      <c r="A8" s="5">
        <v>3</v>
      </c>
      <c r="B8" s="4">
        <v>3000</v>
      </c>
      <c r="C8" s="5" t="s">
        <v>37</v>
      </c>
      <c r="D8" s="6" t="str">
        <f>"Продажа за день: "&amp;B8</f>
        <v>Продажа за день: 3000</v>
      </c>
      <c r="E8" s="5" t="s">
        <v>34</v>
      </c>
      <c r="F8" s="5" t="s">
        <v>35</v>
      </c>
    </row>
    <row r="9" spans="1:6" ht="30" x14ac:dyDescent="0.25">
      <c r="A9" s="5">
        <v>4</v>
      </c>
      <c r="B9" s="4">
        <v>2000</v>
      </c>
      <c r="C9" s="5" t="s">
        <v>38</v>
      </c>
      <c r="D9" s="6" t="str">
        <f>"Продажа за день: "&amp;B9</f>
        <v>Продажа за день: 2000</v>
      </c>
      <c r="E9" s="5" t="s">
        <v>34</v>
      </c>
      <c r="F9" s="5" t="s">
        <v>35</v>
      </c>
    </row>
    <row r="10" spans="1:6" ht="30" x14ac:dyDescent="0.25">
      <c r="A10" s="5">
        <v>5</v>
      </c>
      <c r="B10" s="4">
        <v>1800</v>
      </c>
      <c r="C10" s="5" t="s">
        <v>39</v>
      </c>
      <c r="D10" s="6" t="str">
        <f>"Продажа за день: "&amp;B10</f>
        <v>Продажа за день: 1800</v>
      </c>
      <c r="E10" s="5" t="s">
        <v>34</v>
      </c>
      <c r="F10" s="5" t="s">
        <v>35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G12" sqref="G12"/>
    </sheetView>
  </sheetViews>
  <sheetFormatPr defaultRowHeight="15" x14ac:dyDescent="0.25"/>
  <cols>
    <col min="1" max="1" width="10" customWidth="1"/>
    <col min="2" max="2" width="20" customWidth="1"/>
    <col min="3" max="4" width="18" customWidth="1"/>
    <col min="5" max="5" width="34" customWidth="1"/>
    <col min="6" max="6" width="28" customWidth="1"/>
    <col min="7" max="7" width="24" customWidth="1"/>
  </cols>
  <sheetData>
    <row r="1" spans="1:7" ht="18.75" x14ac:dyDescent="0.25">
      <c r="A1" s="10" t="s">
        <v>40</v>
      </c>
      <c r="B1" s="11"/>
      <c r="C1" s="11"/>
      <c r="D1" s="11"/>
      <c r="E1" s="11"/>
      <c r="F1" s="11"/>
      <c r="G1" s="11"/>
    </row>
    <row r="3" spans="1:7" ht="120" x14ac:dyDescent="0.25">
      <c r="A3" s="2" t="s">
        <v>41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3" t="s">
        <v>31</v>
      </c>
      <c r="B5" s="3" t="s">
        <v>32</v>
      </c>
      <c r="C5" s="3" t="s">
        <v>12</v>
      </c>
      <c r="D5" s="3" t="s">
        <v>42</v>
      </c>
      <c r="E5" s="3" t="s">
        <v>14</v>
      </c>
      <c r="F5" s="3" t="s">
        <v>15</v>
      </c>
      <c r="G5" s="3" t="s">
        <v>43</v>
      </c>
    </row>
    <row r="6" spans="1:7" x14ac:dyDescent="0.25">
      <c r="A6" s="5">
        <v>1</v>
      </c>
      <c r="B6" s="4">
        <v>1300</v>
      </c>
      <c r="C6" s="5" t="s">
        <v>44</v>
      </c>
      <c r="D6" s="6">
        <f>B6</f>
        <v>1300</v>
      </c>
      <c r="E6" s="5" t="s">
        <v>45</v>
      </c>
      <c r="F6" s="5" t="s">
        <v>46</v>
      </c>
      <c r="G6" s="5">
        <f>SUM(B6:B10)</f>
        <v>13632</v>
      </c>
    </row>
    <row r="7" spans="1:7" x14ac:dyDescent="0.25">
      <c r="A7" s="5">
        <v>2</v>
      </c>
      <c r="B7" s="4">
        <v>1400</v>
      </c>
      <c r="C7" s="5" t="s">
        <v>47</v>
      </c>
      <c r="D7" s="6">
        <f>D6+B7</f>
        <v>2700</v>
      </c>
      <c r="E7" s="5" t="s">
        <v>45</v>
      </c>
      <c r="F7" s="5" t="s">
        <v>46</v>
      </c>
      <c r="G7" s="5"/>
    </row>
    <row r="8" spans="1:7" x14ac:dyDescent="0.25">
      <c r="A8" s="5">
        <v>3</v>
      </c>
      <c r="B8" s="4">
        <v>265</v>
      </c>
      <c r="C8" s="5" t="s">
        <v>48</v>
      </c>
      <c r="D8" s="6">
        <f>D7+B8</f>
        <v>2965</v>
      </c>
      <c r="E8" s="5" t="s">
        <v>45</v>
      </c>
      <c r="F8" s="5" t="s">
        <v>46</v>
      </c>
      <c r="G8" s="5"/>
    </row>
    <row r="9" spans="1:7" x14ac:dyDescent="0.25">
      <c r="A9" s="5">
        <v>4</v>
      </c>
      <c r="B9" s="4">
        <v>9554</v>
      </c>
      <c r="C9" s="5" t="s">
        <v>49</v>
      </c>
      <c r="D9" s="6">
        <f>D8+B9</f>
        <v>12519</v>
      </c>
      <c r="E9" s="5" t="s">
        <v>45</v>
      </c>
      <c r="F9" s="5" t="s">
        <v>46</v>
      </c>
      <c r="G9" s="5"/>
    </row>
    <row r="10" spans="1:7" x14ac:dyDescent="0.25">
      <c r="A10" s="5">
        <v>5</v>
      </c>
      <c r="B10" s="4">
        <v>1113</v>
      </c>
      <c r="C10" s="5" t="s">
        <v>50</v>
      </c>
      <c r="D10" s="6">
        <f>D9+B10</f>
        <v>13632</v>
      </c>
      <c r="E10" s="5" t="s">
        <v>45</v>
      </c>
      <c r="F10" s="5" t="s">
        <v>46</v>
      </c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 t="s">
        <v>51</v>
      </c>
      <c r="G12" s="7">
        <f>SUM(B6:B10)</f>
        <v>13632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activeCell="D12" sqref="D12"/>
    </sheetView>
  </sheetViews>
  <sheetFormatPr defaultRowHeight="15" x14ac:dyDescent="0.25"/>
  <cols>
    <col min="1" max="1" width="10" customWidth="1"/>
    <col min="2" max="2" width="20" customWidth="1"/>
    <col min="3" max="4" width="18" customWidth="1"/>
    <col min="5" max="5" width="34" customWidth="1"/>
    <col min="6" max="6" width="28" customWidth="1"/>
    <col min="7" max="7" width="24" customWidth="1"/>
    <col min="8" max="8" width="20" customWidth="1"/>
  </cols>
  <sheetData>
    <row r="1" spans="1:8" ht="18.75" x14ac:dyDescent="0.25">
      <c r="A1" s="10" t="s">
        <v>52</v>
      </c>
      <c r="B1" s="11"/>
      <c r="C1" s="11"/>
      <c r="D1" s="11"/>
      <c r="E1" s="11"/>
      <c r="F1" s="11"/>
      <c r="G1" s="11"/>
      <c r="H1" s="11"/>
    </row>
    <row r="3" spans="1:8" ht="90" x14ac:dyDescent="0.25">
      <c r="A3" s="2" t="s">
        <v>53</v>
      </c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3" t="s">
        <v>31</v>
      </c>
      <c r="B5" s="3" t="s">
        <v>32</v>
      </c>
      <c r="C5" s="3" t="s">
        <v>54</v>
      </c>
      <c r="D5" s="3" t="s">
        <v>12</v>
      </c>
      <c r="E5" s="3" t="s">
        <v>55</v>
      </c>
      <c r="F5" s="3" t="s">
        <v>14</v>
      </c>
      <c r="G5" s="3" t="s">
        <v>15</v>
      </c>
      <c r="H5" s="3" t="s">
        <v>56</v>
      </c>
    </row>
    <row r="6" spans="1:8" x14ac:dyDescent="0.25">
      <c r="A6" s="5">
        <v>1</v>
      </c>
      <c r="B6" s="4">
        <f ca="1">RANDBETWEEN(80,300)*10</f>
        <v>2560</v>
      </c>
      <c r="C6" s="8">
        <v>1500</v>
      </c>
      <c r="D6" s="5" t="s">
        <v>57</v>
      </c>
      <c r="E6" s="6">
        <f ca="1">IF(B6&gt;C6,1,0)</f>
        <v>1</v>
      </c>
      <c r="F6" s="5" t="s">
        <v>58</v>
      </c>
      <c r="G6" s="5" t="s">
        <v>59</v>
      </c>
      <c r="H6" s="5"/>
    </row>
    <row r="7" spans="1:8" x14ac:dyDescent="0.25">
      <c r="A7" s="5">
        <v>2</v>
      </c>
      <c r="B7" s="4">
        <f t="shared" ref="B7:B10" ca="1" si="0">RANDBETWEEN(80,300)*10</f>
        <v>2840</v>
      </c>
      <c r="C7" s="8">
        <v>1500</v>
      </c>
      <c r="D7" s="5" t="s">
        <v>60</v>
      </c>
      <c r="E7" s="6">
        <f ca="1">IF(B7&gt;C7,1,0)</f>
        <v>1</v>
      </c>
      <c r="F7" s="5" t="s">
        <v>58</v>
      </c>
      <c r="G7" s="5" t="s">
        <v>59</v>
      </c>
      <c r="H7" s="5"/>
    </row>
    <row r="8" spans="1:8" x14ac:dyDescent="0.25">
      <c r="A8" s="5">
        <v>3</v>
      </c>
      <c r="B8" s="4">
        <f t="shared" ca="1" si="0"/>
        <v>1340</v>
      </c>
      <c r="C8" s="8">
        <v>1500</v>
      </c>
      <c r="D8" s="5" t="s">
        <v>61</v>
      </c>
      <c r="E8" s="6">
        <f ca="1">IF(B8&gt;C8,1,0)</f>
        <v>0</v>
      </c>
      <c r="F8" s="5" t="s">
        <v>58</v>
      </c>
      <c r="G8" s="5" t="s">
        <v>59</v>
      </c>
      <c r="H8" s="5"/>
    </row>
    <row r="9" spans="1:8" x14ac:dyDescent="0.25">
      <c r="A9" s="5">
        <v>4</v>
      </c>
      <c r="B9" s="4">
        <f t="shared" ca="1" si="0"/>
        <v>2900</v>
      </c>
      <c r="C9" s="8">
        <v>1500</v>
      </c>
      <c r="D9" s="5" t="s">
        <v>62</v>
      </c>
      <c r="E9" s="6">
        <f ca="1">IF(B9&gt;C9,1,0)</f>
        <v>1</v>
      </c>
      <c r="F9" s="5" t="s">
        <v>58</v>
      </c>
      <c r="G9" s="5" t="s">
        <v>59</v>
      </c>
      <c r="H9" s="5"/>
    </row>
    <row r="10" spans="1:8" x14ac:dyDescent="0.25">
      <c r="A10" s="5">
        <v>5</v>
      </c>
      <c r="B10" s="4">
        <f t="shared" ca="1" si="0"/>
        <v>1400</v>
      </c>
      <c r="C10" s="8">
        <v>1500</v>
      </c>
      <c r="D10" s="5" t="s">
        <v>63</v>
      </c>
      <c r="E10" s="6">
        <f ca="1">IF(B10&gt;C10,1,0)</f>
        <v>0</v>
      </c>
      <c r="F10" s="5" t="s">
        <v>58</v>
      </c>
      <c r="G10" s="5" t="s">
        <v>59</v>
      </c>
      <c r="H10" s="5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ht="30" x14ac:dyDescent="0.25">
      <c r="A12" s="5"/>
      <c r="B12" s="5"/>
      <c r="C12" s="5"/>
      <c r="D12" s="5"/>
      <c r="E12" s="5"/>
      <c r="F12" s="5"/>
      <c r="G12" s="5" t="s">
        <v>64</v>
      </c>
      <c r="H12" s="7">
        <f ca="1">SUM(E6:E10)</f>
        <v>3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>
      <selection activeCell="I6" sqref="I6"/>
    </sheetView>
  </sheetViews>
  <sheetFormatPr defaultRowHeight="15" x14ac:dyDescent="0.25"/>
  <cols>
    <col min="1" max="1" width="10" customWidth="1"/>
    <col min="2" max="2" width="20" customWidth="1"/>
    <col min="3" max="4" width="18" customWidth="1"/>
    <col min="5" max="5" width="34" customWidth="1"/>
    <col min="6" max="6" width="28" customWidth="1"/>
    <col min="7" max="7" width="24" customWidth="1"/>
    <col min="8" max="8" width="20" customWidth="1"/>
    <col min="9" max="9" width="18" customWidth="1"/>
  </cols>
  <sheetData>
    <row r="1" spans="1:9" ht="18.75" x14ac:dyDescent="0.25">
      <c r="A1" s="10" t="s">
        <v>65</v>
      </c>
      <c r="B1" s="11"/>
      <c r="C1" s="11"/>
      <c r="D1" s="11"/>
      <c r="E1" s="11"/>
      <c r="F1" s="11"/>
      <c r="G1" s="11"/>
      <c r="H1" s="11"/>
      <c r="I1" s="11"/>
    </row>
    <row r="3" spans="1:9" ht="195" x14ac:dyDescent="0.25">
      <c r="A3" s="2" t="s">
        <v>66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3" t="s">
        <v>31</v>
      </c>
      <c r="B5" s="3" t="s">
        <v>32</v>
      </c>
      <c r="C5" s="3" t="s">
        <v>54</v>
      </c>
      <c r="D5" s="3" t="s">
        <v>67</v>
      </c>
      <c r="E5" s="3" t="s">
        <v>12</v>
      </c>
      <c r="F5" s="3" t="s">
        <v>14</v>
      </c>
      <c r="G5" s="3" t="s">
        <v>15</v>
      </c>
      <c r="H5" s="3" t="s">
        <v>68</v>
      </c>
      <c r="I5" s="3" t="s">
        <v>69</v>
      </c>
    </row>
    <row r="6" spans="1:9" x14ac:dyDescent="0.25">
      <c r="A6" s="5">
        <v>1</v>
      </c>
      <c r="B6" s="4">
        <f ca="1">RANDBETWEEN(40,300)*10</f>
        <v>2020</v>
      </c>
      <c r="C6" s="8">
        <v>1500</v>
      </c>
      <c r="D6" s="6">
        <f t="shared" ref="D6:D12" ca="1" si="0">IF(B6&gt;C6,1,0)</f>
        <v>1</v>
      </c>
      <c r="E6" s="5" t="s">
        <v>57</v>
      </c>
      <c r="F6" s="5" t="s">
        <v>70</v>
      </c>
      <c r="G6" s="5" t="s">
        <v>71</v>
      </c>
      <c r="H6" s="5" t="s">
        <v>51</v>
      </c>
      <c r="I6" s="7">
        <f ca="1">SUM(B6:B12)</f>
        <v>11840</v>
      </c>
    </row>
    <row r="7" spans="1:9" x14ac:dyDescent="0.25">
      <c r="A7" s="5">
        <v>2</v>
      </c>
      <c r="B7" s="4">
        <f t="shared" ref="B7:B12" ca="1" si="1">RANDBETWEEN(40,300)*10</f>
        <v>1200</v>
      </c>
      <c r="C7" s="8">
        <v>1500</v>
      </c>
      <c r="D7" s="6">
        <f t="shared" ca="1" si="0"/>
        <v>0</v>
      </c>
      <c r="E7" s="5" t="s">
        <v>60</v>
      </c>
      <c r="F7" s="5" t="s">
        <v>70</v>
      </c>
      <c r="G7" s="5" t="s">
        <v>71</v>
      </c>
      <c r="H7" s="5" t="s">
        <v>72</v>
      </c>
      <c r="I7" s="7">
        <f ca="1">COUNT(B6:B12)</f>
        <v>7</v>
      </c>
    </row>
    <row r="8" spans="1:9" x14ac:dyDescent="0.25">
      <c r="A8" s="5">
        <v>3</v>
      </c>
      <c r="B8" s="4">
        <f t="shared" ca="1" si="1"/>
        <v>2260</v>
      </c>
      <c r="C8" s="8">
        <v>1500</v>
      </c>
      <c r="D8" s="6">
        <f t="shared" ca="1" si="0"/>
        <v>1</v>
      </c>
      <c r="E8" s="5" t="s">
        <v>61</v>
      </c>
      <c r="F8" s="5" t="s">
        <v>70</v>
      </c>
      <c r="G8" s="5" t="s">
        <v>71</v>
      </c>
      <c r="H8" s="5" t="s">
        <v>73</v>
      </c>
      <c r="I8" s="7">
        <f ca="1">AVERAGE(B6:B12)</f>
        <v>1691.4285714285713</v>
      </c>
    </row>
    <row r="9" spans="1:9" x14ac:dyDescent="0.25">
      <c r="A9" s="5">
        <v>4</v>
      </c>
      <c r="B9" s="4">
        <f t="shared" ca="1" si="1"/>
        <v>1600</v>
      </c>
      <c r="C9" s="8">
        <v>1500</v>
      </c>
      <c r="D9" s="6">
        <f t="shared" ca="1" si="0"/>
        <v>1</v>
      </c>
      <c r="E9" s="5" t="s">
        <v>62</v>
      </c>
      <c r="F9" s="5" t="s">
        <v>70</v>
      </c>
      <c r="G9" s="5" t="s">
        <v>71</v>
      </c>
      <c r="H9" s="5" t="s">
        <v>74</v>
      </c>
      <c r="I9" s="7">
        <f ca="1">SUM(D6:D12)</f>
        <v>4</v>
      </c>
    </row>
    <row r="10" spans="1:9" x14ac:dyDescent="0.25">
      <c r="A10" s="5">
        <v>5</v>
      </c>
      <c r="B10" s="4">
        <f t="shared" ca="1" si="1"/>
        <v>1170</v>
      </c>
      <c r="C10" s="8">
        <v>1500</v>
      </c>
      <c r="D10" s="6">
        <f t="shared" ca="1" si="0"/>
        <v>0</v>
      </c>
      <c r="E10" s="5" t="s">
        <v>63</v>
      </c>
      <c r="F10" s="5" t="s">
        <v>70</v>
      </c>
      <c r="G10" s="5" t="s">
        <v>71</v>
      </c>
      <c r="H10" s="5"/>
      <c r="I10" s="5"/>
    </row>
    <row r="11" spans="1:9" x14ac:dyDescent="0.25">
      <c r="A11" s="5">
        <v>6</v>
      </c>
      <c r="B11" s="4">
        <f t="shared" ca="1" si="1"/>
        <v>2190</v>
      </c>
      <c r="C11" s="8">
        <v>1500</v>
      </c>
      <c r="D11" s="6">
        <f t="shared" ca="1" si="0"/>
        <v>1</v>
      </c>
      <c r="E11" s="5" t="s">
        <v>75</v>
      </c>
      <c r="F11" s="5" t="s">
        <v>70</v>
      </c>
      <c r="G11" s="5" t="s">
        <v>71</v>
      </c>
      <c r="H11" s="5"/>
      <c r="I11" s="5"/>
    </row>
    <row r="12" spans="1:9" x14ac:dyDescent="0.25">
      <c r="A12" s="5">
        <v>7</v>
      </c>
      <c r="B12" s="4">
        <f t="shared" ca="1" si="1"/>
        <v>1400</v>
      </c>
      <c r="C12" s="8">
        <v>1500</v>
      </c>
      <c r="D12" s="6">
        <f t="shared" ca="1" si="0"/>
        <v>0</v>
      </c>
      <c r="E12" s="5" t="s">
        <v>76</v>
      </c>
      <c r="F12" s="5" t="s">
        <v>70</v>
      </c>
      <c r="G12" s="5" t="s">
        <v>71</v>
      </c>
      <c r="H12" s="5"/>
      <c r="I12" s="5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tabSelected="1" workbookViewId="0">
      <selection activeCell="C10" sqref="C10"/>
    </sheetView>
  </sheetViews>
  <sheetFormatPr defaultRowHeight="15" x14ac:dyDescent="0.25"/>
  <cols>
    <col min="1" max="1" width="10" customWidth="1"/>
    <col min="2" max="2" width="20" customWidth="1"/>
    <col min="3" max="4" width="18" customWidth="1"/>
    <col min="5" max="5" width="34" customWidth="1"/>
    <col min="6" max="6" width="28" customWidth="1"/>
    <col min="7" max="7" width="24" customWidth="1"/>
  </cols>
  <sheetData>
    <row r="1" spans="1:7" ht="18.75" x14ac:dyDescent="0.25">
      <c r="A1" s="10" t="s">
        <v>77</v>
      </c>
      <c r="B1" s="11"/>
      <c r="C1" s="11"/>
      <c r="D1" s="11"/>
      <c r="E1" s="11"/>
      <c r="F1" s="11"/>
      <c r="G1" s="11"/>
    </row>
    <row r="3" spans="1:7" ht="135" x14ac:dyDescent="0.25">
      <c r="A3" s="2" t="s">
        <v>78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3" t="s">
        <v>79</v>
      </c>
      <c r="B5" s="3" t="s">
        <v>80</v>
      </c>
      <c r="C5" s="3" t="s">
        <v>81</v>
      </c>
      <c r="D5" s="3" t="s">
        <v>82</v>
      </c>
      <c r="E5" s="3" t="s">
        <v>83</v>
      </c>
      <c r="F5" s="3" t="s">
        <v>84</v>
      </c>
      <c r="G5" s="3" t="s">
        <v>85</v>
      </c>
    </row>
    <row r="6" spans="1:7" ht="30" x14ac:dyDescent="0.25">
      <c r="A6" s="5">
        <v>1</v>
      </c>
      <c r="B6" s="5" t="s">
        <v>86</v>
      </c>
      <c r="C6" s="9" t="s">
        <v>88</v>
      </c>
      <c r="D6" s="5" t="s">
        <v>88</v>
      </c>
      <c r="E6" s="6" t="str">
        <f>IF(C6=D6,"Верно","Проверьте")</f>
        <v>Верно</v>
      </c>
      <c r="F6" s="5" t="s">
        <v>89</v>
      </c>
      <c r="G6" s="6">
        <f>IF(E6="Верно",1,0)</f>
        <v>1</v>
      </c>
    </row>
    <row r="7" spans="1:7" ht="30" x14ac:dyDescent="0.25">
      <c r="A7" s="5">
        <v>2</v>
      </c>
      <c r="B7" s="5" t="s">
        <v>90</v>
      </c>
      <c r="C7" s="9">
        <v>60</v>
      </c>
      <c r="D7" s="5">
        <v>60</v>
      </c>
      <c r="E7" s="6" t="str">
        <f>IF(C7=D7,"Верно","Проверьте")</f>
        <v>Верно</v>
      </c>
      <c r="F7" s="5" t="s">
        <v>91</v>
      </c>
      <c r="G7" s="6">
        <f>IF(E7="Верно",1,0)</f>
        <v>1</v>
      </c>
    </row>
    <row r="8" spans="1:7" ht="45" x14ac:dyDescent="0.25">
      <c r="A8" s="5">
        <v>3</v>
      </c>
      <c r="B8" s="5" t="s">
        <v>92</v>
      </c>
      <c r="C8" s="9">
        <v>2</v>
      </c>
      <c r="D8" s="5">
        <v>2</v>
      </c>
      <c r="E8" s="6" t="str">
        <f>IF(C8=D8,"Верно","Проверьте")</f>
        <v>Верно</v>
      </c>
      <c r="F8" s="5" t="s">
        <v>93</v>
      </c>
      <c r="G8" s="6">
        <f>IF(E8="Верно",1,0)</f>
        <v>1</v>
      </c>
    </row>
    <row r="9" spans="1:7" ht="30" x14ac:dyDescent="0.25">
      <c r="A9" s="5">
        <v>4</v>
      </c>
      <c r="B9" s="5" t="s">
        <v>94</v>
      </c>
      <c r="C9" s="9">
        <v>2000</v>
      </c>
      <c r="D9" s="5">
        <v>2000</v>
      </c>
      <c r="E9" s="6" t="str">
        <f>IF(C9=D9,"Верно","Проверьте")</f>
        <v>Верно</v>
      </c>
      <c r="F9" s="5" t="s">
        <v>95</v>
      </c>
      <c r="G9" s="6">
        <f>IF(E9="Верно",1,0)</f>
        <v>1</v>
      </c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7" t="s">
        <v>43</v>
      </c>
      <c r="G11" s="7">
        <f>SUM(G6:G9)</f>
        <v>4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DEAEBEBB66B4B88D66787F055A81B" ma:contentTypeVersion="11" ma:contentTypeDescription="Create a new document." ma:contentTypeScope="" ma:versionID="1b88847c9fe6b26fa67261bbb8b1c80a">
  <xsd:schema xmlns:xsd="http://www.w3.org/2001/XMLSchema" xmlns:xs="http://www.w3.org/2001/XMLSchema" xmlns:p="http://schemas.microsoft.com/office/2006/metadata/properties" xmlns:ns2="36208828-9969-4b73-bb77-f045d89e9554" xmlns:ns3="19a417cd-1461-4943-a860-4cb4d05c96be" targetNamespace="http://schemas.microsoft.com/office/2006/metadata/properties" ma:root="true" ma:fieldsID="4b81e6e864b9c373d4615dbe59b7e60e" ns2:_="" ns3:_="">
    <xsd:import namespace="36208828-9969-4b73-bb77-f045d89e9554"/>
    <xsd:import namespace="19a417cd-1461-4943-a860-4cb4d05c96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08828-9969-4b73-bb77-f045d89e9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337a3fc-4456-4954-9b0b-07bfd45f7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417cd-1461-4943-a860-4cb4d05c96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9379c40-fa90-4dde-8395-12c6c804e41a}" ma:internalName="TaxCatchAll" ma:showField="CatchAllData" ma:web="19a417cd-1461-4943-a860-4cb4d05c96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a417cd-1461-4943-a860-4cb4d05c96be" xsi:nil="true"/>
    <lcf76f155ced4ddcb4097134ff3c332f xmlns="36208828-9969-4b73-bb77-f045d89e955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56C0B8-924A-4831-BB93-4B40EAE81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208828-9969-4b73-bb77-f045d89e9554"/>
    <ds:schemaRef ds:uri="19a417cd-1461-4943-a860-4cb4d05c96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9D3963-91CE-4044-9860-4241F8F2E50A}">
  <ds:schemaRefs>
    <ds:schemaRef ds:uri="http://schemas.microsoft.com/office/2006/metadata/properties"/>
    <ds:schemaRef ds:uri="http://schemas.microsoft.com/office/infopath/2007/PartnerControls"/>
    <ds:schemaRef ds:uri="19a417cd-1461-4943-a860-4cb4d05c96be"/>
    <ds:schemaRef ds:uri="36208828-9969-4b73-bb77-f045d89e9554"/>
  </ds:schemaRefs>
</ds:datastoreItem>
</file>

<file path=customXml/itemProps3.xml><?xml version="1.0" encoding="utf-8"?>
<ds:datastoreItem xmlns:ds="http://schemas.openxmlformats.org/officeDocument/2006/customXml" ds:itemID="{2F28D231-3B56-47C9-A658-139B199C40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0_Теория</vt:lpstr>
      <vt:lpstr>1_Range</vt:lpstr>
      <vt:lpstr>2_Список</vt:lpstr>
      <vt:lpstr>3_Накопление</vt:lpstr>
      <vt:lpstr>4_Подсчет</vt:lpstr>
      <vt:lpstr>5_Минизадача</vt:lpstr>
      <vt:lpstr>6_Тест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Konyshev</cp:lastModifiedBy>
  <dcterms:modified xsi:type="dcterms:W3CDTF">2026-08-22T07:51:34Z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0x010100619DEAEBEBB66B4B88D66787F055A81B</vt:lpwstr>
  </property>
</Properties>
</file>