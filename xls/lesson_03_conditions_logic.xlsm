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/>
  <mc:AlternateContent xmlns:mc="http://schemas.openxmlformats.org/markup-compatibility/2006">
    <mc:Choice Requires="x15">
      <x15ac:absPath xmlns:x15ac="http://schemas.microsoft.com/office/spreadsheetml/2010/11/ac" url="D:\study\excel\study-excel\xls\"/>
    </mc:Choice>
  </mc:AlternateContent>
  <xr:revisionPtr revIDLastSave="0" documentId="13_ncr:1_{4B9DF917-1364-48F7-9F68-5B876A370059}" xr6:coauthVersionLast="47" xr6:coauthVersionMax="47" xr10:uidLastSave="{00000000-0000-0000-0000-000000000000}"/>
  <bookViews>
    <workbookView xWindow="-120" yWindow="-120" windowWidth="37440" windowHeight="16440" activeTab="1" xr2:uid="{00000000-000D-0000-FFFF-FFFF00000000}"/>
  </bookViews>
  <sheets>
    <sheet name="0_Теория" sheetId="1" r:id="rId1"/>
    <sheet name="1_Сравнения" sheetId="2" r:id="rId2"/>
    <sheet name="2_IF" sheetId="3" r:id="rId3"/>
    <sheet name="3_Elif" sheetId="4" r:id="rId4"/>
    <sheet name="4_Логика" sheetId="5" r:id="rId5"/>
    <sheet name="5_Минизадача" sheetId="6" r:id="rId6"/>
    <sheet name="6_Тест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1" roundtripDataChecksum="CFaGvTmMnTY6L2WvvQ4lPeA+uncf0mKhWI9Vfso02RQ="/>
    </ext>
  </extLst>
</workbook>
</file>

<file path=xl/calcChain.xml><?xml version="1.0" encoding="utf-8"?>
<calcChain xmlns="http://schemas.openxmlformats.org/spreadsheetml/2006/main">
  <c r="F11" i="6" l="1"/>
  <c r="E9" i="7"/>
  <c r="C7" i="7"/>
  <c r="E7" i="7" s="1"/>
  <c r="G7" i="7" s="1"/>
  <c r="E6" i="7"/>
  <c r="C9" i="7"/>
  <c r="F10" i="6"/>
  <c r="C10" i="7" s="1"/>
  <c r="E10" i="7" s="1"/>
  <c r="G10" i="7" s="1"/>
  <c r="F6" i="6"/>
  <c r="C8" i="7"/>
  <c r="E8" i="7" s="1"/>
  <c r="G8" i="7" s="1"/>
  <c r="F9" i="6"/>
  <c r="F8" i="6"/>
  <c r="F7" i="6"/>
  <c r="I8" i="5"/>
  <c r="F8" i="5"/>
  <c r="I7" i="5"/>
  <c r="F7" i="5"/>
  <c r="I6" i="5"/>
  <c r="F6" i="5"/>
  <c r="C9" i="4"/>
  <c r="C8" i="4"/>
  <c r="C7" i="4"/>
  <c r="C6" i="4"/>
  <c r="E7" i="3"/>
  <c r="E6" i="3"/>
  <c r="E9" i="2"/>
  <c r="E8" i="2"/>
  <c r="E7" i="2"/>
  <c r="E6" i="2"/>
  <c r="G9" i="7" l="1"/>
  <c r="G6" i="7"/>
  <c r="G12" i="7" l="1"/>
</calcChain>
</file>

<file path=xl/sharedStrings.xml><?xml version="1.0" encoding="utf-8"?>
<sst xmlns="http://schemas.openxmlformats.org/spreadsheetml/2006/main" count="146" uniqueCount="106">
  <si>
    <t>Занятие 3. Условия, логика и принятие решений</t>
  </si>
  <si>
    <t>Цель занятия</t>
  </si>
  <si>
    <t>Научиться использовать сравнения, IF, AND, OR, NOT и условия if/elif/else для принятия решений в Excel и Python.</t>
  </si>
  <si>
    <t>Темы</t>
  </si>
  <si>
    <t>Сравнения, логические значения, IF, несколько веток решения, сложные условия, мини-задача по обработке заявки.</t>
  </si>
  <si>
    <t>Связь с Python</t>
  </si>
  <si>
    <t>Каждый лист соответствует одной практической ячейке из ноутбука занятия 3.</t>
  </si>
  <si>
    <t>Бизнес-контекст</t>
  </si>
  <si>
    <t>Заказы, скидки, доставка, ручная проверка и обработка заявки клиента.</t>
  </si>
  <si>
    <t>Практическая ячейка 1. Сравнения и логические значения</t>
  </si>
  <si>
    <t>Excel-аналог сравнений: формулы возвращают TRUE или FALSE, как и выражения в Python.</t>
  </si>
  <si>
    <t>Показатель</t>
  </si>
  <si>
    <t>Значение 1</t>
  </si>
  <si>
    <t>Значение 2</t>
  </si>
  <si>
    <t>Формула Excel</t>
  </si>
  <si>
    <t>Результат</t>
  </si>
  <si>
    <t>Аналог в Python</t>
  </si>
  <si>
    <t>Комментарий</t>
  </si>
  <si>
    <t>order_amount</t>
  </si>
  <si>
    <t>'=B6&gt;C6</t>
  </si>
  <si>
    <t>order_amount &gt; free_delivery_threshold</t>
  </si>
  <si>
    <t>Больше порога</t>
  </si>
  <si>
    <t>'=B7=C7</t>
  </si>
  <si>
    <t>order_amount == free_delivery_threshold</t>
  </si>
  <si>
    <t>Равно порогу</t>
  </si>
  <si>
    <t>discount_percent</t>
  </si>
  <si>
    <t>'=B8&lt;&gt;C8</t>
  </si>
  <si>
    <t>discount_percent != 0</t>
  </si>
  <si>
    <t>Не равно нулю</t>
  </si>
  <si>
    <t>'=B9&lt;=C9</t>
  </si>
  <si>
    <t>discount_percent &lt;= 15</t>
  </si>
  <si>
    <t>Не больше 15%</t>
  </si>
  <si>
    <t>Практическая ячейка 2. Простое условие IF / ELSE</t>
  </si>
  <si>
    <t>IF в Excel соответствует if/else в Python: проверяем, положена ли бесплатная доставка.</t>
  </si>
  <si>
    <t>Значение</t>
  </si>
  <si>
    <t>Порог</t>
  </si>
  <si>
    <t>'=IF(B6&gt;=C6,"Бесплатная доставка","Платная доставка")</t>
  </si>
  <si>
    <t>if order_amount &gt;= free_delivery_threshold: ...</t>
  </si>
  <si>
    <t>Проверка доставки</t>
  </si>
  <si>
    <t>'=IF(B7&gt;=C7,"Бесплатная доставка","Платная доставка")</t>
  </si>
  <si>
    <t>Порог превышен</t>
  </si>
  <si>
    <t>Практическая ячейка 3. Несколько веток: IF / ELIF / ELSE</t>
  </si>
  <si>
    <t>В Excel для нескольких веток можно вкладывать IF. Это аналог if/elif/else в Python.</t>
  </si>
  <si>
    <t>Сумма заказа</t>
  </si>
  <si>
    <t>Порог 1</t>
  </si>
  <si>
    <t>Порог 2</t>
  </si>
  <si>
    <t>Порог 3</t>
  </si>
  <si>
    <t>'==IF(A6&gt;=F6,"Скидка 15%",IF(A6&gt;=G6,"Скидка 10%",IF(A6&gt;=H6,"Скидка 5%","Скидки нет")))</t>
  </si>
  <si>
    <t>if/elif/else</t>
  </si>
  <si>
    <t>Определение уровня скидки</t>
  </si>
  <si>
    <t>'==IF(A7&gt;=F7,"Скидка 15%",IF(A7&gt;=G7,"Скидка 10%",IF(A7&gt;=H7,"Скидка 5%","Скидки нет")))</t>
  </si>
  <si>
    <t>'==IF(A8&gt;=F8,"Скидка 15%",IF(A8&gt;=G8,"Скидка 10%",IF(A8&gt;=H8,"Скидка 5%","Скидки нет")))</t>
  </si>
  <si>
    <t>'==IF(A9&gt;=F9,"Скидка 15%",IF(A9&gt;=G9,"Скидка 10%",IF(A9&gt;=H9,"Скидка 5%","Скидки нет")))</t>
  </si>
  <si>
    <t>Практическая ячейка 4. Сложные условия: AND, OR, NOT</t>
  </si>
  <si>
    <t>Комбинируем несколько признаков для ручной проверки заказа.</t>
  </si>
  <si>
    <t>Новый клиент</t>
  </si>
  <si>
    <t>Есть долг</t>
  </si>
  <si>
    <t>Срочная доставка</t>
  </si>
  <si>
    <t>Без долга?</t>
  </si>
  <si>
    <t>'==OR(AND(A6&gt;20000,B6=TRUE),C6=TRUE,D6=TRUE)</t>
  </si>
  <si>
    <t>(order_amount &gt; 20000 and is_new_client) or has_debt or express_delivery</t>
  </si>
  <si>
    <t>Нужна ли ручная проверка</t>
  </si>
  <si>
    <t>'==OR(AND(A7&gt;20000,B7=TRUE),C7=TRUE,D7=TRUE)</t>
  </si>
  <si>
    <t>Практическая ячейка 5. Мини-задача: обработка заявки клиента</t>
  </si>
  <si>
    <t>По нескольким признакам присваиваем итоговый статус заявки. Это аналог бизнес-правил в Python.</t>
  </si>
  <si>
    <t>Сумма заявки</t>
  </si>
  <si>
    <t>Документы готовы</t>
  </si>
  <si>
    <t>Одобрено менеджером</t>
  </si>
  <si>
    <t>Чёрный список</t>
  </si>
  <si>
    <t>Сценарий</t>
  </si>
  <si>
    <t>'==IF(D6=TRUE,"Отклонить заявку",IF(AND(B6=TRUE,C6=TRUE,A6&lt;=15000),"Одобрить автоматически",IF(AND(B6=TRUE,C6=FALSE),"Отправить менеджеру","Запросить документы")))</t>
  </si>
  <si>
    <t>if/elif/else с and и not</t>
  </si>
  <si>
    <t>Определение статуса заявки</t>
  </si>
  <si>
    <t>Автоодобрение</t>
  </si>
  <si>
    <t>'==IF(D7=TRUE,"Отклонить заявку",IF(AND(B7=TRUE,C7=TRUE,A7&lt;=15000),"Одобрить автоматически",IF(AND(B7=TRUE,C7=FALSE),"Отправить менеджеру","Запросить документы")))</t>
  </si>
  <si>
    <t>Проверка менеджера</t>
  </si>
  <si>
    <t>'==IF(D8=TRUE,"Отклонить заявку",IF(AND(B8=TRUE,C8=TRUE,A8&lt;=15000),"Одобрить автоматически",IF(AND(B8=TRUE,C8=FALSE),"Отправить менеджеру","Запросить документы")))</t>
  </si>
  <si>
    <t>Нужны документы</t>
  </si>
  <si>
    <t>'==IF(D9=TRUE,"Отклонить заявку",IF(AND(B9=TRUE,C9=TRUE,A9&lt;=15000),"Одобрить автоматически",IF(AND(B9=TRUE,C9=FALSE),"Отправить менеджеру","Запросить документы")))</t>
  </si>
  <si>
    <t>Отклонение</t>
  </si>
  <si>
    <t>Ячейка 6. Самопроверка по теме условий и логики</t>
  </si>
  <si>
    <t>Введите свой ответ в столбец C и проверьте себя автоматически.</t>
  </si>
  <si>
    <t>№</t>
  </si>
  <si>
    <t>Вопрос</t>
  </si>
  <si>
    <t>Ваш ответ</t>
  </si>
  <si>
    <t>Ожидается</t>
  </si>
  <si>
    <t>Проверка</t>
  </si>
  <si>
    <t>Что проверяем</t>
  </si>
  <si>
    <t>Баллы</t>
  </si>
  <si>
    <t>Что вернёт выражение 12000&gt;10000?</t>
  </si>
  <si>
    <t>Сравнение</t>
  </si>
  <si>
    <t>Какой статус вернёт IF для 8700 и порога 10000?</t>
  </si>
  <si>
    <t>Платная доставка</t>
  </si>
  <si>
    <t>IF</t>
  </si>
  <si>
    <t>Какой уровень скидки при сумме 7200?</t>
  </si>
  <si>
    <t>Скидка 5%</t>
  </si>
  <si>
    <t>Вложенный IF</t>
  </si>
  <si>
    <t>Что вернёт NOT(TRUE)?</t>
  </si>
  <si>
    <t>NOT</t>
  </si>
  <si>
    <t>Статус заявки: документы готовы=TRUE, менеджер одобрил=FALSE, чёрный список=FALSE</t>
  </si>
  <si>
    <t>Отправить менеджеру</t>
  </si>
  <si>
    <t>Комплексное правило</t>
  </si>
  <si>
    <t>Итог</t>
  </si>
  <si>
    <t>==OR(AND(A8&gt;20000,B8=TRUE),C8=TRUE,D8=TRUE)</t>
  </si>
  <si>
    <t>=ЕСЛИ(D10=ИСТИНА;"Отклонить заявку";ЕСЛИ(И(B10=ИСТИНА;C10=ИСТИНА;A10&lt;=15000);"Одобрить автоматически";ЕСЛИ(И(B10=ИСТИНА;C10=ЛОЖЬ);"Отправить менеджеру";"Запросить документы")))</t>
  </si>
  <si>
    <t>Запросить документы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</si>
</sst>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scheme val="minor"/>
    </font>
    <font>
      <b/>
      <sz val="14"/>
      <color rgb="FFFFFFFF"/>
      <name val="Calibri"/>
      <scheme val="minor"/>
    </font>
    <font>
      <sz val="11"/>
      <name val="Calibri"/>
    </font>
    <font>
      <sz val="11"/>
      <color theme="1"/>
      <name val="Calibri"/>
    </font>
    <font>
      <b/>
      <sz val="11"/>
      <color theme="1"/>
      <name val="Calibri"/>
      <scheme val="minor"/>
    </font>
    <font>
      <sz val="10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EAF3F8"/>
        <bgColor rgb="FFEAF3F8"/>
      </patternFill>
    </fill>
    <fill>
      <patternFill patternType="solid">
        <fgColor rgb="FFD9EAF7"/>
        <bgColor rgb="FFD9EAF7"/>
      </patternFill>
    </fill>
    <fill>
      <patternFill patternType="solid">
        <fgColor rgb="FFE8F1FF"/>
        <bgColor rgb="FFE8F1FF"/>
      </patternFill>
    </fill>
    <fill>
      <patternFill patternType="solid">
        <fgColor rgb="FFF4F4F4"/>
        <bgColor rgb="FFF4F4F4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3" fillId="0" borderId="0" xfId="0" applyFont="1" applyAlignment="1">
      <alignment vertical="top" wrapText="1"/>
    </xf>
    <xf numFmtId="0" fontId="4" fillId="3" borderId="4" xfId="0" applyFont="1" applyFill="1" applyBorder="1" applyAlignment="1">
      <alignment vertical="top" wrapText="1"/>
    </xf>
    <xf numFmtId="0" fontId="4" fillId="3" borderId="5" xfId="0" applyFont="1" applyFill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4" borderId="5" xfId="0" applyFont="1" applyFill="1" applyBorder="1" applyAlignment="1">
      <alignment vertical="top" wrapText="1"/>
    </xf>
    <xf numFmtId="0" fontId="5" fillId="5" borderId="5" xfId="0" applyFont="1" applyFill="1" applyBorder="1" applyAlignment="1">
      <alignment vertical="top" wrapText="1"/>
    </xf>
    <xf numFmtId="0" fontId="5" fillId="6" borderId="5" xfId="0" applyFont="1" applyFill="1" applyBorder="1" applyAlignment="1">
      <alignment vertical="top" wrapText="1"/>
    </xf>
    <xf numFmtId="0" fontId="5" fillId="3" borderId="5" xfId="0" applyFont="1" applyFill="1" applyBorder="1" applyAlignment="1">
      <alignment vertical="top" wrapText="1"/>
    </xf>
    <xf numFmtId="0" fontId="5" fillId="7" borderId="5" xfId="0" applyFont="1" applyFill="1" applyBorder="1" applyAlignment="1">
      <alignment vertical="top" wrapText="1"/>
    </xf>
    <xf numFmtId="0" fontId="5" fillId="8" borderId="5" xfId="0" applyFont="1" applyFill="1" applyBorder="1" applyAlignment="1">
      <alignment vertical="top" wrapText="1"/>
    </xf>
    <xf numFmtId="0" fontId="5" fillId="0" borderId="0" xfId="0" quotePrefix="1" applyFont="1" applyAlignment="1">
      <alignment vertical="top" wrapText="1"/>
    </xf>
    <xf numFmtId="0" fontId="1" fillId="2" borderId="1" xfId="0" applyFont="1" applyFill="1" applyBorder="1" applyAlignment="1">
      <alignment vertical="top" wrapText="1"/>
    </xf>
    <xf numFmtId="0" fontId="2" fillId="0" borderId="2" xfId="0" applyFont="1" applyBorder="1"/>
    <xf numFmtId="0" fontId="2" fillId="0" borderId="3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000"/>
  <sheetViews>
    <sheetView workbookViewId="0"/>
  </sheetViews>
  <sheetFormatPr defaultColWidth="14.42578125" defaultRowHeight="15" customHeight="1" x14ac:dyDescent="0.25"/>
  <cols>
    <col min="1" max="1" width="22" customWidth="1"/>
    <col min="2" max="2" width="85" customWidth="1"/>
    <col min="3" max="7" width="18" customWidth="1"/>
    <col min="8" max="26" width="8.7109375" customWidth="1"/>
  </cols>
  <sheetData>
    <row r="1" spans="1:7" ht="24" customHeight="1" x14ac:dyDescent="0.25">
      <c r="A1" s="12" t="s">
        <v>0</v>
      </c>
      <c r="B1" s="13"/>
      <c r="C1" s="13"/>
      <c r="D1" s="13"/>
      <c r="E1" s="13"/>
      <c r="F1" s="13"/>
      <c r="G1" s="14"/>
    </row>
    <row r="2" spans="1:7" ht="21.75" customHeight="1" x14ac:dyDescent="0.25">
      <c r="A2" s="1"/>
      <c r="B2" s="1"/>
      <c r="C2" s="1"/>
      <c r="D2" s="1"/>
      <c r="E2" s="1"/>
      <c r="F2" s="1"/>
      <c r="G2" s="1"/>
    </row>
    <row r="3" spans="1:7" ht="42" customHeight="1" x14ac:dyDescent="0.25">
      <c r="A3" s="2" t="s">
        <v>1</v>
      </c>
      <c r="B3" s="1" t="s">
        <v>2</v>
      </c>
      <c r="C3" s="1"/>
      <c r="D3" s="1"/>
      <c r="E3" s="1"/>
      <c r="F3" s="1"/>
      <c r="G3" s="1"/>
    </row>
    <row r="4" spans="1:7" ht="21.75" customHeight="1" x14ac:dyDescent="0.25">
      <c r="A4" s="1"/>
      <c r="B4" s="1"/>
      <c r="C4" s="1"/>
      <c r="D4" s="1"/>
      <c r="E4" s="1"/>
      <c r="F4" s="1"/>
      <c r="G4" s="1"/>
    </row>
    <row r="5" spans="1:7" ht="42" customHeight="1" x14ac:dyDescent="0.25">
      <c r="A5" s="3" t="s">
        <v>3</v>
      </c>
      <c r="B5" s="1" t="s">
        <v>4</v>
      </c>
      <c r="C5" s="1"/>
      <c r="D5" s="1"/>
      <c r="E5" s="1"/>
      <c r="F5" s="1"/>
      <c r="G5" s="1"/>
    </row>
    <row r="6" spans="1:7" ht="21.75" customHeight="1" x14ac:dyDescent="0.25">
      <c r="A6" s="1"/>
      <c r="B6" s="1"/>
      <c r="C6" s="1"/>
      <c r="D6" s="1"/>
      <c r="E6" s="1"/>
      <c r="F6" s="1"/>
      <c r="G6" s="1"/>
    </row>
    <row r="7" spans="1:7" ht="42" customHeight="1" x14ac:dyDescent="0.25">
      <c r="A7" s="3" t="s">
        <v>5</v>
      </c>
      <c r="B7" s="1" t="s">
        <v>6</v>
      </c>
      <c r="C7" s="1"/>
      <c r="D7" s="1"/>
      <c r="E7" s="1"/>
      <c r="F7" s="1"/>
      <c r="G7" s="1"/>
    </row>
    <row r="8" spans="1:7" ht="21.75" customHeight="1" x14ac:dyDescent="0.25">
      <c r="A8" s="1"/>
      <c r="B8" s="1"/>
      <c r="C8" s="1"/>
      <c r="D8" s="1"/>
      <c r="E8" s="1"/>
      <c r="F8" s="1"/>
      <c r="G8" s="1"/>
    </row>
    <row r="9" spans="1:7" ht="42" customHeight="1" x14ac:dyDescent="0.25">
      <c r="A9" s="3" t="s">
        <v>7</v>
      </c>
      <c r="B9" s="1" t="s">
        <v>8</v>
      </c>
      <c r="C9" s="1"/>
      <c r="D9" s="1"/>
      <c r="E9" s="1"/>
      <c r="F9" s="1"/>
      <c r="G9" s="1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:G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00"/>
  <sheetViews>
    <sheetView tabSelected="1" workbookViewId="0">
      <selection activeCell="C9" sqref="C9"/>
    </sheetView>
  </sheetViews>
  <sheetFormatPr defaultColWidth="14.42578125" defaultRowHeight="15" customHeight="1" x14ac:dyDescent="0.25"/>
  <cols>
    <col min="1" max="4" width="18" customWidth="1"/>
    <col min="5" max="5" width="40" customWidth="1"/>
    <col min="6" max="6" width="28" customWidth="1"/>
    <col min="7" max="7" width="34" customWidth="1"/>
    <col min="8" max="26" width="8.7109375" customWidth="1"/>
  </cols>
  <sheetData>
    <row r="1" spans="1:7" ht="24" customHeight="1" x14ac:dyDescent="0.25">
      <c r="A1" s="12" t="s">
        <v>9</v>
      </c>
      <c r="B1" s="13"/>
      <c r="C1" s="13"/>
      <c r="D1" s="13"/>
      <c r="E1" s="13"/>
      <c r="F1" s="13"/>
      <c r="G1" s="14"/>
    </row>
    <row r="2" spans="1:7" ht="21.75" customHeight="1" x14ac:dyDescent="0.25">
      <c r="A2" s="1"/>
      <c r="B2" s="1"/>
      <c r="C2" s="1"/>
      <c r="D2" s="1"/>
      <c r="E2" s="1"/>
      <c r="F2" s="1"/>
      <c r="G2" s="1"/>
    </row>
    <row r="3" spans="1:7" ht="21.75" customHeight="1" x14ac:dyDescent="0.25">
      <c r="A3" s="4" t="s">
        <v>10</v>
      </c>
      <c r="B3" s="4"/>
      <c r="C3" s="4"/>
      <c r="D3" s="4"/>
      <c r="E3" s="4"/>
      <c r="F3" s="4"/>
      <c r="G3" s="4"/>
    </row>
    <row r="4" spans="1:7" ht="21.75" customHeight="1" x14ac:dyDescent="0.25">
      <c r="A4" s="4"/>
      <c r="B4" s="4"/>
      <c r="C4" s="4"/>
      <c r="D4" s="4"/>
      <c r="E4" s="4"/>
      <c r="F4" s="4"/>
      <c r="G4" s="4"/>
    </row>
    <row r="5" spans="1:7" x14ac:dyDescent="0.25">
      <c r="A5" s="5" t="s">
        <v>11</v>
      </c>
      <c r="B5" s="5" t="s">
        <v>12</v>
      </c>
      <c r="C5" s="5" t="s">
        <v>13</v>
      </c>
      <c r="D5" s="5" t="s">
        <v>14</v>
      </c>
      <c r="E5" s="5" t="s">
        <v>15</v>
      </c>
      <c r="F5" s="5" t="s">
        <v>16</v>
      </c>
      <c r="G5" s="5" t="s">
        <v>17</v>
      </c>
    </row>
    <row r="6" spans="1:7" ht="21.75" customHeight="1" x14ac:dyDescent="0.25">
      <c r="A6" s="4" t="s">
        <v>18</v>
      </c>
      <c r="B6" s="6">
        <v>6000</v>
      </c>
      <c r="C6" s="6">
        <v>10000</v>
      </c>
      <c r="D6" s="4" t="s">
        <v>19</v>
      </c>
      <c r="E6" s="7" t="b">
        <f>B6&gt;C6</f>
        <v>0</v>
      </c>
      <c r="F6" s="4" t="s">
        <v>20</v>
      </c>
      <c r="G6" s="4" t="s">
        <v>21</v>
      </c>
    </row>
    <row r="7" spans="1:7" ht="21.75" customHeight="1" x14ac:dyDescent="0.25">
      <c r="A7" s="4" t="s">
        <v>18</v>
      </c>
      <c r="B7" s="6">
        <v>125000</v>
      </c>
      <c r="C7" s="6">
        <v>10000</v>
      </c>
      <c r="D7" s="4" t="s">
        <v>22</v>
      </c>
      <c r="E7" s="7" t="b">
        <f>B7=C7</f>
        <v>0</v>
      </c>
      <c r="F7" s="4" t="s">
        <v>23</v>
      </c>
      <c r="G7" s="4" t="s">
        <v>24</v>
      </c>
    </row>
    <row r="8" spans="1:7" ht="21.75" customHeight="1" x14ac:dyDescent="0.25">
      <c r="A8" s="4" t="s">
        <v>25</v>
      </c>
      <c r="B8" s="6">
        <v>25</v>
      </c>
      <c r="C8" s="6">
        <v>20</v>
      </c>
      <c r="D8" s="4" t="s">
        <v>26</v>
      </c>
      <c r="E8" s="7" t="b">
        <f>B8&lt;&gt;C8</f>
        <v>1</v>
      </c>
      <c r="F8" s="4" t="s">
        <v>27</v>
      </c>
      <c r="G8" s="4" t="s">
        <v>28</v>
      </c>
    </row>
    <row r="9" spans="1:7" ht="21.75" customHeight="1" x14ac:dyDescent="0.25">
      <c r="A9" s="4" t="s">
        <v>25</v>
      </c>
      <c r="B9" s="6">
        <v>10</v>
      </c>
      <c r="C9" s="6">
        <v>15</v>
      </c>
      <c r="D9" s="4" t="s">
        <v>29</v>
      </c>
      <c r="E9" s="7" t="b">
        <f>B9&lt;=C9</f>
        <v>1</v>
      </c>
      <c r="F9" s="4" t="s">
        <v>30</v>
      </c>
      <c r="G9" s="4" t="s">
        <v>31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:G1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>
      <selection activeCell="E7" sqref="E7"/>
    </sheetView>
  </sheetViews>
  <sheetFormatPr defaultColWidth="14.42578125" defaultRowHeight="15" customHeight="1" x14ac:dyDescent="0.25"/>
  <cols>
    <col min="1" max="3" width="18" customWidth="1"/>
    <col min="4" max="4" width="29.85546875" customWidth="1"/>
    <col min="5" max="5" width="40" customWidth="1"/>
    <col min="6" max="6" width="28" customWidth="1"/>
    <col min="7" max="7" width="34" customWidth="1"/>
    <col min="8" max="26" width="8.7109375" customWidth="1"/>
  </cols>
  <sheetData>
    <row r="1" spans="1:7" ht="24" customHeight="1" x14ac:dyDescent="0.25">
      <c r="A1" s="12" t="s">
        <v>32</v>
      </c>
      <c r="B1" s="13"/>
      <c r="C1" s="13"/>
      <c r="D1" s="13"/>
      <c r="E1" s="13"/>
      <c r="F1" s="13"/>
      <c r="G1" s="14"/>
    </row>
    <row r="2" spans="1:7" ht="21.75" customHeight="1" x14ac:dyDescent="0.25">
      <c r="A2" s="1"/>
      <c r="B2" s="1"/>
      <c r="C2" s="1"/>
      <c r="D2" s="1"/>
      <c r="E2" s="1"/>
      <c r="F2" s="1"/>
      <c r="G2" s="1"/>
    </row>
    <row r="3" spans="1:7" ht="21.75" customHeight="1" x14ac:dyDescent="0.25">
      <c r="A3" s="4" t="s">
        <v>33</v>
      </c>
      <c r="B3" s="4"/>
      <c r="C3" s="4"/>
      <c r="D3" s="4"/>
      <c r="E3" s="4"/>
      <c r="F3" s="4"/>
      <c r="G3" s="4"/>
    </row>
    <row r="4" spans="1:7" ht="21.75" customHeight="1" x14ac:dyDescent="0.25">
      <c r="A4" s="4"/>
      <c r="B4" s="4"/>
      <c r="C4" s="4"/>
      <c r="D4" s="4"/>
      <c r="E4" s="4"/>
      <c r="F4" s="4"/>
      <c r="G4" s="4"/>
    </row>
    <row r="5" spans="1:7" x14ac:dyDescent="0.25">
      <c r="A5" s="5" t="s">
        <v>11</v>
      </c>
      <c r="B5" s="5" t="s">
        <v>34</v>
      </c>
      <c r="C5" s="5" t="s">
        <v>35</v>
      </c>
      <c r="D5" s="5" t="s">
        <v>14</v>
      </c>
      <c r="E5" s="5" t="s">
        <v>15</v>
      </c>
      <c r="F5" s="5" t="s">
        <v>16</v>
      </c>
      <c r="G5" s="5" t="s">
        <v>17</v>
      </c>
    </row>
    <row r="6" spans="1:7" ht="21.75" customHeight="1" x14ac:dyDescent="0.25">
      <c r="A6" s="4" t="s">
        <v>18</v>
      </c>
      <c r="B6" s="6">
        <v>8700</v>
      </c>
      <c r="C6" s="6">
        <v>10000</v>
      </c>
      <c r="D6" s="4" t="s">
        <v>36</v>
      </c>
      <c r="E6" s="7" t="str">
        <f t="shared" ref="E6:E7" si="0">IF(B6&gt;=C6,"Бесплатная доставка","Платная доставка")</f>
        <v>Платная доставка</v>
      </c>
      <c r="F6" s="4" t="s">
        <v>37</v>
      </c>
      <c r="G6" s="4" t="s">
        <v>38</v>
      </c>
    </row>
    <row r="7" spans="1:7" ht="21.75" customHeight="1" x14ac:dyDescent="0.25">
      <c r="A7" s="4" t="s">
        <v>18</v>
      </c>
      <c r="B7" s="6">
        <v>12000</v>
      </c>
      <c r="C7" s="6">
        <v>10000</v>
      </c>
      <c r="D7" s="4" t="s">
        <v>39</v>
      </c>
      <c r="E7" s="7" t="str">
        <f t="shared" si="0"/>
        <v>Бесплатная доставка</v>
      </c>
      <c r="F7" s="4" t="s">
        <v>37</v>
      </c>
      <c r="G7" s="4" t="s">
        <v>40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:G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000"/>
  <sheetViews>
    <sheetView workbookViewId="0">
      <selection activeCell="C9" sqref="C9"/>
    </sheetView>
  </sheetViews>
  <sheetFormatPr defaultColWidth="14.42578125" defaultRowHeight="15" customHeight="1" x14ac:dyDescent="0.25"/>
  <cols>
    <col min="1" max="1" width="18" customWidth="1"/>
    <col min="2" max="2" width="42.28515625" customWidth="1"/>
    <col min="3" max="4" width="18" customWidth="1"/>
    <col min="5" max="5" width="40" customWidth="1"/>
    <col min="6" max="6" width="28" customWidth="1"/>
    <col min="7" max="7" width="34" customWidth="1"/>
    <col min="8" max="8" width="22" customWidth="1"/>
    <col min="9" max="26" width="8.7109375" customWidth="1"/>
  </cols>
  <sheetData>
    <row r="1" spans="1:8" ht="24" customHeight="1" x14ac:dyDescent="0.25">
      <c r="A1" s="12" t="s">
        <v>41</v>
      </c>
      <c r="B1" s="13"/>
      <c r="C1" s="13"/>
      <c r="D1" s="13"/>
      <c r="E1" s="13"/>
      <c r="F1" s="13"/>
      <c r="G1" s="13"/>
      <c r="H1" s="14"/>
    </row>
    <row r="2" spans="1:8" ht="21.75" customHeight="1" x14ac:dyDescent="0.25">
      <c r="A2" s="1"/>
      <c r="B2" s="1"/>
      <c r="C2" s="1"/>
      <c r="D2" s="1"/>
      <c r="E2" s="1"/>
      <c r="F2" s="1"/>
      <c r="G2" s="1"/>
      <c r="H2" s="1"/>
    </row>
    <row r="3" spans="1:8" ht="21.75" customHeight="1" x14ac:dyDescent="0.25">
      <c r="A3" s="4" t="s">
        <v>42</v>
      </c>
      <c r="B3" s="4"/>
      <c r="C3" s="4"/>
      <c r="D3" s="4"/>
      <c r="E3" s="4"/>
      <c r="F3" s="4"/>
      <c r="G3" s="4"/>
      <c r="H3" s="4"/>
    </row>
    <row r="4" spans="1:8" ht="21.75" customHeight="1" x14ac:dyDescent="0.25">
      <c r="A4" s="4"/>
      <c r="B4" s="4"/>
      <c r="C4" s="4"/>
      <c r="D4" s="4"/>
      <c r="E4" s="4"/>
      <c r="F4" s="4"/>
      <c r="G4" s="4"/>
      <c r="H4" s="4"/>
    </row>
    <row r="5" spans="1:8" x14ac:dyDescent="0.25">
      <c r="A5" s="5" t="s">
        <v>43</v>
      </c>
      <c r="B5" s="5" t="s">
        <v>14</v>
      </c>
      <c r="C5" s="5" t="s">
        <v>15</v>
      </c>
      <c r="D5" s="5" t="s">
        <v>16</v>
      </c>
      <c r="E5" s="5" t="s">
        <v>17</v>
      </c>
      <c r="F5" s="5" t="s">
        <v>44</v>
      </c>
      <c r="G5" s="5" t="s">
        <v>45</v>
      </c>
      <c r="H5" s="5" t="s">
        <v>46</v>
      </c>
    </row>
    <row r="6" spans="1:8" ht="21.75" customHeight="1" x14ac:dyDescent="0.25">
      <c r="A6" s="6">
        <v>22000</v>
      </c>
      <c r="B6" s="4" t="s">
        <v>47</v>
      </c>
      <c r="C6" s="7" t="str">
        <f t="shared" ref="C6:C9" si="0">IF(A6&gt;=F6,"Скидка 15%",IF(A6&gt;=G6,"Скидка 10%",IF(A6&gt;=H6,"Скидка 5%","Скидки нет")))</f>
        <v>Скидка 15%</v>
      </c>
      <c r="D6" s="4" t="s">
        <v>48</v>
      </c>
      <c r="E6" s="4" t="s">
        <v>49</v>
      </c>
      <c r="F6" s="8">
        <v>20000</v>
      </c>
      <c r="G6" s="8">
        <v>10000</v>
      </c>
      <c r="H6" s="8">
        <v>5000</v>
      </c>
    </row>
    <row r="7" spans="1:8" ht="21.75" customHeight="1" x14ac:dyDescent="0.25">
      <c r="A7" s="6">
        <v>18500</v>
      </c>
      <c r="B7" s="4" t="s">
        <v>50</v>
      </c>
      <c r="C7" s="7" t="str">
        <f t="shared" si="0"/>
        <v>Скидка 10%</v>
      </c>
      <c r="D7" s="4" t="s">
        <v>48</v>
      </c>
      <c r="E7" s="4" t="s">
        <v>49</v>
      </c>
      <c r="F7" s="8">
        <v>20000</v>
      </c>
      <c r="G7" s="8">
        <v>10000</v>
      </c>
      <c r="H7" s="8">
        <v>5000</v>
      </c>
    </row>
    <row r="8" spans="1:8" ht="21.75" customHeight="1" x14ac:dyDescent="0.25">
      <c r="A8" s="6">
        <v>7200</v>
      </c>
      <c r="B8" s="4" t="s">
        <v>51</v>
      </c>
      <c r="C8" s="7" t="str">
        <f t="shared" si="0"/>
        <v>Скидка 5%</v>
      </c>
      <c r="D8" s="4" t="s">
        <v>48</v>
      </c>
      <c r="E8" s="4" t="s">
        <v>49</v>
      </c>
      <c r="F8" s="8">
        <v>20000</v>
      </c>
      <c r="G8" s="8">
        <v>10000</v>
      </c>
      <c r="H8" s="8">
        <v>5000</v>
      </c>
    </row>
    <row r="9" spans="1:8" ht="21.75" customHeight="1" x14ac:dyDescent="0.25">
      <c r="A9" s="6">
        <v>3000</v>
      </c>
      <c r="B9" s="4" t="s">
        <v>52</v>
      </c>
      <c r="C9" s="7" t="str">
        <f t="shared" si="0"/>
        <v>Скидки нет</v>
      </c>
      <c r="D9" s="4" t="s">
        <v>48</v>
      </c>
      <c r="E9" s="4" t="s">
        <v>49</v>
      </c>
      <c r="F9" s="8">
        <v>20000</v>
      </c>
      <c r="G9" s="8">
        <v>10000</v>
      </c>
      <c r="H9" s="8">
        <v>5000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:H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000"/>
  <sheetViews>
    <sheetView workbookViewId="0">
      <selection activeCell="F6" sqref="F6"/>
    </sheetView>
  </sheetViews>
  <sheetFormatPr defaultColWidth="14.42578125" defaultRowHeight="15" customHeight="1" x14ac:dyDescent="0.25"/>
  <cols>
    <col min="1" max="4" width="18" customWidth="1"/>
    <col min="5" max="5" width="52.5703125" customWidth="1"/>
    <col min="6" max="6" width="28" customWidth="1"/>
    <col min="7" max="7" width="34" customWidth="1"/>
    <col min="8" max="8" width="22" customWidth="1"/>
    <col min="9" max="9" width="16" customWidth="1"/>
    <col min="10" max="26" width="8.7109375" customWidth="1"/>
  </cols>
  <sheetData>
    <row r="1" spans="1:9" ht="24" customHeight="1" x14ac:dyDescent="0.25">
      <c r="A1" s="12" t="s">
        <v>53</v>
      </c>
      <c r="B1" s="13"/>
      <c r="C1" s="13"/>
      <c r="D1" s="13"/>
      <c r="E1" s="13"/>
      <c r="F1" s="13"/>
      <c r="G1" s="13"/>
      <c r="H1" s="13"/>
      <c r="I1" s="14"/>
    </row>
    <row r="2" spans="1:9" ht="21.75" customHeight="1" x14ac:dyDescent="0.25">
      <c r="A2" s="1"/>
      <c r="B2" s="1"/>
      <c r="C2" s="1"/>
      <c r="D2" s="1"/>
      <c r="E2" s="1"/>
      <c r="F2" s="1"/>
      <c r="G2" s="1"/>
      <c r="H2" s="1"/>
      <c r="I2" s="1"/>
    </row>
    <row r="3" spans="1:9" ht="21.75" customHeight="1" x14ac:dyDescent="0.25">
      <c r="A3" s="4" t="s">
        <v>54</v>
      </c>
      <c r="B3" s="4"/>
      <c r="C3" s="4"/>
      <c r="D3" s="4"/>
      <c r="E3" s="4"/>
      <c r="F3" s="4"/>
      <c r="G3" s="4"/>
      <c r="H3" s="4"/>
      <c r="I3" s="4"/>
    </row>
    <row r="4" spans="1:9" ht="21.75" customHeight="1" x14ac:dyDescent="0.25">
      <c r="A4" s="4"/>
      <c r="B4" s="4"/>
      <c r="C4" s="4"/>
      <c r="D4" s="4"/>
      <c r="E4" s="4"/>
      <c r="F4" s="4"/>
      <c r="G4" s="4"/>
      <c r="H4" s="4"/>
      <c r="I4" s="4"/>
    </row>
    <row r="5" spans="1:9" x14ac:dyDescent="0.25">
      <c r="A5" s="5" t="s">
        <v>43</v>
      </c>
      <c r="B5" s="5" t="s">
        <v>55</v>
      </c>
      <c r="C5" s="5" t="s">
        <v>56</v>
      </c>
      <c r="D5" s="5" t="s">
        <v>57</v>
      </c>
      <c r="E5" s="5" t="s">
        <v>14</v>
      </c>
      <c r="F5" s="5" t="s">
        <v>15</v>
      </c>
      <c r="G5" s="5" t="s">
        <v>16</v>
      </c>
      <c r="H5" s="5" t="s">
        <v>17</v>
      </c>
      <c r="I5" s="5" t="s">
        <v>58</v>
      </c>
    </row>
    <row r="6" spans="1:9" ht="21.75" customHeight="1" x14ac:dyDescent="0.25">
      <c r="A6" s="6">
        <v>26000</v>
      </c>
      <c r="B6" s="6" t="b">
        <v>1</v>
      </c>
      <c r="C6" s="6" t="b">
        <v>0</v>
      </c>
      <c r="D6" s="6" t="b">
        <v>1</v>
      </c>
      <c r="E6" s="4" t="s">
        <v>59</v>
      </c>
      <c r="F6" s="7" t="b">
        <f t="shared" ref="F6:F8" si="0">OR(AND(A6&gt;20000,B6=TRUE),C6=TRUE,D6=TRUE)</f>
        <v>1</v>
      </c>
      <c r="G6" s="4" t="s">
        <v>60</v>
      </c>
      <c r="H6" s="4" t="s">
        <v>61</v>
      </c>
      <c r="I6" s="7" t="b">
        <f t="shared" ref="I6:I8" si="1">NOT(C6)</f>
        <v>1</v>
      </c>
    </row>
    <row r="7" spans="1:9" ht="21.75" customHeight="1" x14ac:dyDescent="0.25">
      <c r="A7" s="6">
        <v>9000</v>
      </c>
      <c r="B7" s="6" t="b">
        <v>0</v>
      </c>
      <c r="C7" s="6" t="b">
        <v>0</v>
      </c>
      <c r="D7" s="6" t="b">
        <v>0</v>
      </c>
      <c r="E7" s="4" t="s">
        <v>62</v>
      </c>
      <c r="F7" s="7" t="b">
        <f t="shared" si="0"/>
        <v>0</v>
      </c>
      <c r="G7" s="4" t="s">
        <v>60</v>
      </c>
      <c r="H7" s="4" t="s">
        <v>61</v>
      </c>
      <c r="I7" s="7" t="b">
        <f t="shared" si="1"/>
        <v>1</v>
      </c>
    </row>
    <row r="8" spans="1:9" ht="21.75" customHeight="1" x14ac:dyDescent="0.25">
      <c r="A8" s="6">
        <v>15000</v>
      </c>
      <c r="B8" s="6" t="b">
        <v>0</v>
      </c>
      <c r="C8" s="6" t="b">
        <v>1</v>
      </c>
      <c r="D8" s="6" t="b">
        <v>0</v>
      </c>
      <c r="E8" s="11" t="s">
        <v>103</v>
      </c>
      <c r="F8" s="7" t="b">
        <f t="shared" si="0"/>
        <v>1</v>
      </c>
      <c r="G8" s="4" t="s">
        <v>60</v>
      </c>
      <c r="H8" s="4" t="s">
        <v>61</v>
      </c>
      <c r="I8" s="7" t="b">
        <f t="shared" si="1"/>
        <v>0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:I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000"/>
  <sheetViews>
    <sheetView workbookViewId="0">
      <selection activeCell="I14" sqref="I14"/>
    </sheetView>
  </sheetViews>
  <sheetFormatPr defaultColWidth="14.42578125" defaultRowHeight="15" customHeight="1" x14ac:dyDescent="0.25"/>
  <cols>
    <col min="1" max="4" width="18" customWidth="1"/>
    <col min="5" max="5" width="62" customWidth="1"/>
    <col min="6" max="6" width="28" customWidth="1"/>
    <col min="7" max="8" width="24" customWidth="1"/>
    <col min="9" max="9" width="18.85546875" bestFit="1" customWidth="1"/>
    <col min="10" max="26" width="8.7109375" customWidth="1"/>
  </cols>
  <sheetData>
    <row r="1" spans="1:9" ht="24" customHeight="1" x14ac:dyDescent="0.25">
      <c r="A1" s="12" t="s">
        <v>63</v>
      </c>
      <c r="B1" s="13"/>
      <c r="C1" s="13"/>
      <c r="D1" s="13"/>
      <c r="E1" s="13"/>
      <c r="F1" s="13"/>
      <c r="G1" s="13"/>
      <c r="H1" s="13"/>
      <c r="I1" s="14"/>
    </row>
    <row r="2" spans="1:9" ht="21.75" customHeight="1" x14ac:dyDescent="0.25">
      <c r="A2" s="1"/>
      <c r="B2" s="1"/>
      <c r="C2" s="1"/>
      <c r="D2" s="1"/>
      <c r="E2" s="1"/>
      <c r="F2" s="1"/>
      <c r="G2" s="1"/>
      <c r="H2" s="1"/>
      <c r="I2" s="1"/>
    </row>
    <row r="3" spans="1:9" ht="21.75" customHeight="1" x14ac:dyDescent="0.25">
      <c r="A3" s="4" t="s">
        <v>64</v>
      </c>
      <c r="B3" s="4"/>
      <c r="C3" s="4"/>
      <c r="D3" s="4"/>
      <c r="E3" s="4"/>
      <c r="F3" s="4"/>
      <c r="G3" s="4"/>
      <c r="H3" s="4"/>
      <c r="I3" s="4"/>
    </row>
    <row r="4" spans="1:9" ht="21.75" customHeight="1" x14ac:dyDescent="0.25">
      <c r="A4" s="4"/>
      <c r="B4" s="4"/>
      <c r="C4" s="4"/>
      <c r="D4" s="4"/>
      <c r="E4" s="4"/>
      <c r="F4" s="4"/>
      <c r="G4" s="4"/>
      <c r="H4" s="4"/>
      <c r="I4" s="4"/>
    </row>
    <row r="5" spans="1:9" ht="25.5" x14ac:dyDescent="0.25">
      <c r="A5" s="5" t="s">
        <v>65</v>
      </c>
      <c r="B5" s="5" t="s">
        <v>66</v>
      </c>
      <c r="C5" s="5" t="s">
        <v>67</v>
      </c>
      <c r="D5" s="5" t="s">
        <v>68</v>
      </c>
      <c r="E5" s="5" t="s">
        <v>14</v>
      </c>
      <c r="F5" s="5" t="s">
        <v>15</v>
      </c>
      <c r="G5" s="5" t="s">
        <v>16</v>
      </c>
      <c r="H5" s="5" t="s">
        <v>17</v>
      </c>
      <c r="I5" s="5" t="s">
        <v>69</v>
      </c>
    </row>
    <row r="6" spans="1:9" ht="33.75" customHeight="1" x14ac:dyDescent="0.25">
      <c r="A6" s="6">
        <v>14000</v>
      </c>
      <c r="B6" s="6" t="b">
        <v>1</v>
      </c>
      <c r="C6" s="6" t="b">
        <v>1</v>
      </c>
      <c r="D6" s="6" t="b">
        <v>0</v>
      </c>
      <c r="E6" s="4" t="s">
        <v>70</v>
      </c>
      <c r="F6" s="7" t="str">
        <f>IF(D6=TRUE,"Отклонить заявку",IF(AND(B6=TRUE,C6=TRUE,A6&lt;=15000),"Одобрить автоматически",IF(AND(B6=TRUE,C6=FALSE),"Отправить менеджеру","Запросить документы")))</f>
        <v>Одобрить автоматически</v>
      </c>
      <c r="G6" s="4" t="s">
        <v>71</v>
      </c>
      <c r="H6" s="4" t="s">
        <v>72</v>
      </c>
      <c r="I6" s="4" t="s">
        <v>73</v>
      </c>
    </row>
    <row r="7" spans="1:9" ht="33.75" customHeight="1" x14ac:dyDescent="0.25">
      <c r="A7" s="6">
        <v>14000</v>
      </c>
      <c r="B7" s="6" t="b">
        <v>1</v>
      </c>
      <c r="C7" s="6" t="b">
        <v>0</v>
      </c>
      <c r="D7" s="6" t="b">
        <v>0</v>
      </c>
      <c r="E7" s="4" t="s">
        <v>74</v>
      </c>
      <c r="F7" s="7" t="str">
        <f t="shared" ref="F7:F9" si="0">IF(D7=TRUE,"Отклонить заявку",IF(AND(B7=TRUE,C7=TRUE,A7&lt;=15000),"Одобрить автоматически",IF(AND(B7=TRUE,C7=FALSE),"Отправить менеджеру","Запросить документы")))</f>
        <v>Отправить менеджеру</v>
      </c>
      <c r="G7" s="4" t="s">
        <v>71</v>
      </c>
      <c r="H7" s="4" t="s">
        <v>72</v>
      </c>
      <c r="I7" s="4" t="s">
        <v>75</v>
      </c>
    </row>
    <row r="8" spans="1:9" ht="33.75" customHeight="1" x14ac:dyDescent="0.25">
      <c r="A8" s="6">
        <v>9000</v>
      </c>
      <c r="B8" s="6" t="b">
        <v>0</v>
      </c>
      <c r="C8" s="6" t="b">
        <v>0</v>
      </c>
      <c r="D8" s="6" t="b">
        <v>0</v>
      </c>
      <c r="E8" s="4" t="s">
        <v>76</v>
      </c>
      <c r="F8" s="7" t="str">
        <f t="shared" si="0"/>
        <v>Запросить документы</v>
      </c>
      <c r="G8" s="4" t="s">
        <v>71</v>
      </c>
      <c r="H8" s="4" t="s">
        <v>72</v>
      </c>
      <c r="I8" s="4" t="s">
        <v>77</v>
      </c>
    </row>
    <row r="9" spans="1:9" ht="33.75" customHeight="1" x14ac:dyDescent="0.25">
      <c r="A9" s="6">
        <v>11000</v>
      </c>
      <c r="B9" s="6" t="b">
        <v>1</v>
      </c>
      <c r="C9" s="6" t="b">
        <v>1</v>
      </c>
      <c r="D9" s="6" t="b">
        <v>1</v>
      </c>
      <c r="E9" s="4" t="s">
        <v>78</v>
      </c>
      <c r="F9" s="7" t="str">
        <f t="shared" si="0"/>
        <v>Отклонить заявку</v>
      </c>
      <c r="G9" s="4" t="s">
        <v>71</v>
      </c>
      <c r="H9" s="4" t="s">
        <v>72</v>
      </c>
      <c r="I9" s="4" t="s">
        <v>79</v>
      </c>
    </row>
    <row r="10" spans="1:9" ht="15" customHeight="1" x14ac:dyDescent="0.25">
      <c r="A10" s="6">
        <v>0</v>
      </c>
      <c r="B10" s="6" t="b">
        <v>1</v>
      </c>
      <c r="C10" s="6" t="b">
        <v>0</v>
      </c>
      <c r="D10" s="6" t="b">
        <v>0</v>
      </c>
      <c r="E10" s="11" t="s">
        <v>104</v>
      </c>
      <c r="F10" s="7" t="str">
        <f>IF(D10=TRUE,"Отклонить заявку",IF(AND(B10=TRUE,C10=TRUE,A10&lt;=15000),"Одобрить автоматически",IF(AND(B10=TRUE,C10=FALSE),"Отправить менеджеру","Запросить документы")))</f>
        <v>Отправить менеджеру</v>
      </c>
      <c r="I10" s="4" t="s">
        <v>75</v>
      </c>
    </row>
    <row r="11" spans="1:9" ht="15" customHeight="1" x14ac:dyDescent="0.25">
      <c r="A11" s="6">
        <v>11000</v>
      </c>
      <c r="B11" s="6" t="b">
        <v>0</v>
      </c>
      <c r="C11" s="6" t="b">
        <v>0</v>
      </c>
      <c r="D11" s="6" t="b">
        <v>0</v>
      </c>
      <c r="F11" s="7" t="str">
        <f>IF(D11=TRUE,"Отклонить заявку",IF(AND(B11=TRUE,C11=TRUE,A11&lt;=15000),"Одобрить автоматически",IF(AND(B11=TRUE,C11=FALSE),"Отправить менеджеру","Запросить документы")))</f>
        <v>Запросить документы</v>
      </c>
      <c r="I11" s="4" t="s">
        <v>105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:I1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000"/>
  <sheetViews>
    <sheetView workbookViewId="0">
      <selection activeCell="G10" sqref="G10"/>
    </sheetView>
  </sheetViews>
  <sheetFormatPr defaultColWidth="14.42578125" defaultRowHeight="15" customHeight="1" x14ac:dyDescent="0.25"/>
  <cols>
    <col min="1" max="1" width="18" customWidth="1"/>
    <col min="2" max="2" width="38" customWidth="1"/>
    <col min="3" max="3" width="18" customWidth="1"/>
    <col min="4" max="4" width="24" customWidth="1"/>
    <col min="5" max="5" width="40" customWidth="1"/>
    <col min="6" max="6" width="26" customWidth="1"/>
    <col min="7" max="7" width="34" customWidth="1"/>
    <col min="8" max="26" width="8.7109375" customWidth="1"/>
  </cols>
  <sheetData>
    <row r="1" spans="1:7" ht="24" customHeight="1" x14ac:dyDescent="0.25">
      <c r="A1" s="12" t="s">
        <v>80</v>
      </c>
      <c r="B1" s="13"/>
      <c r="C1" s="13"/>
      <c r="D1" s="13"/>
      <c r="E1" s="13"/>
      <c r="F1" s="13"/>
      <c r="G1" s="14"/>
    </row>
    <row r="2" spans="1:7" ht="21.75" customHeight="1" x14ac:dyDescent="0.25">
      <c r="A2" s="1"/>
      <c r="B2" s="1"/>
      <c r="C2" s="1"/>
      <c r="D2" s="1"/>
      <c r="E2" s="1"/>
      <c r="F2" s="1"/>
      <c r="G2" s="1"/>
    </row>
    <row r="3" spans="1:7" ht="21.75" customHeight="1" x14ac:dyDescent="0.25">
      <c r="A3" s="4" t="s">
        <v>81</v>
      </c>
      <c r="B3" s="4"/>
      <c r="C3" s="4"/>
      <c r="D3" s="4"/>
      <c r="E3" s="4"/>
      <c r="F3" s="4"/>
      <c r="G3" s="4"/>
    </row>
    <row r="4" spans="1:7" ht="21.75" customHeight="1" x14ac:dyDescent="0.25">
      <c r="A4" s="4"/>
      <c r="B4" s="4"/>
      <c r="C4" s="4"/>
      <c r="D4" s="4"/>
      <c r="E4" s="4"/>
      <c r="F4" s="4"/>
      <c r="G4" s="4"/>
    </row>
    <row r="5" spans="1:7" x14ac:dyDescent="0.25">
      <c r="A5" s="5" t="s">
        <v>82</v>
      </c>
      <c r="B5" s="5" t="s">
        <v>83</v>
      </c>
      <c r="C5" s="5" t="s">
        <v>84</v>
      </c>
      <c r="D5" s="5" t="s">
        <v>85</v>
      </c>
      <c r="E5" s="5" t="s">
        <v>86</v>
      </c>
      <c r="F5" s="5" t="s">
        <v>87</v>
      </c>
      <c r="G5" s="5" t="s">
        <v>88</v>
      </c>
    </row>
    <row r="6" spans="1:7" ht="33.75" customHeight="1" x14ac:dyDescent="0.25">
      <c r="A6" s="4">
        <v>1</v>
      </c>
      <c r="B6" s="4" t="s">
        <v>89</v>
      </c>
      <c r="C6" s="9" t="b">
        <v>1</v>
      </c>
      <c r="D6" s="4" t="b">
        <v>1</v>
      </c>
      <c r="E6" s="7" t="str">
        <f>IF(C6=D6,"Верно","Проверьте")</f>
        <v>Верно</v>
      </c>
      <c r="F6" s="4" t="s">
        <v>90</v>
      </c>
      <c r="G6" s="7">
        <f t="shared" ref="G6:G10" si="0">IF(E6="Верно",1,0)</f>
        <v>1</v>
      </c>
    </row>
    <row r="7" spans="1:7" ht="33.75" customHeight="1" x14ac:dyDescent="0.25">
      <c r="A7" s="4">
        <v>2</v>
      </c>
      <c r="B7" s="4" t="s">
        <v>91</v>
      </c>
      <c r="C7" s="9" t="str">
        <f>IF(8700&lt;10000,"Платная доставка","Бесплатная доставка")</f>
        <v>Платная доставка</v>
      </c>
      <c r="D7" s="4" t="s">
        <v>92</v>
      </c>
      <c r="E7" s="7" t="str">
        <f t="shared" ref="E7:E8" si="1">IF(C7=D7,"Верно","Проверьте")</f>
        <v>Верно</v>
      </c>
      <c r="F7" s="4" t="s">
        <v>93</v>
      </c>
      <c r="G7" s="7">
        <f t="shared" si="0"/>
        <v>1</v>
      </c>
    </row>
    <row r="8" spans="1:7" ht="33.75" customHeight="1" x14ac:dyDescent="0.25">
      <c r="A8" s="4">
        <v>3</v>
      </c>
      <c r="B8" s="4" t="s">
        <v>94</v>
      </c>
      <c r="C8" s="9" t="str">
        <f>IF(7200&gt;='3_Elif'!F9,"Скидка 15%",IF(7200&gt;='3_Elif'!G9,"Скидка 10%",IF(7200&gt;='3_Elif'!H9,"Скидка 5%","Скидки нет")))</f>
        <v>Скидка 5%</v>
      </c>
      <c r="D8" s="4" t="s">
        <v>95</v>
      </c>
      <c r="E8" s="7" t="str">
        <f t="shared" si="1"/>
        <v>Верно</v>
      </c>
      <c r="F8" s="4" t="s">
        <v>96</v>
      </c>
      <c r="G8" s="7">
        <f t="shared" si="0"/>
        <v>1</v>
      </c>
    </row>
    <row r="9" spans="1:7" ht="33.75" customHeight="1" x14ac:dyDescent="0.25">
      <c r="A9" s="4">
        <v>4</v>
      </c>
      <c r="B9" s="4" t="s">
        <v>97</v>
      </c>
      <c r="C9" s="9" t="b">
        <f>NOT(TRUE)</f>
        <v>0</v>
      </c>
      <c r="D9" s="4" t="b">
        <v>0</v>
      </c>
      <c r="E9" s="7" t="str">
        <f>IF(C9=D9,"Верно","Проверьте")</f>
        <v>Верно</v>
      </c>
      <c r="F9" s="4" t="s">
        <v>98</v>
      </c>
      <c r="G9" s="7">
        <f t="shared" si="0"/>
        <v>1</v>
      </c>
    </row>
    <row r="10" spans="1:7" ht="33.75" customHeight="1" x14ac:dyDescent="0.25">
      <c r="A10" s="4">
        <v>5</v>
      </c>
      <c r="B10" s="4" t="s">
        <v>99</v>
      </c>
      <c r="C10" s="9" t="str">
        <f>'5_Минизадача'!F10</f>
        <v>Отправить менеджеру</v>
      </c>
      <c r="D10" s="4" t="s">
        <v>100</v>
      </c>
      <c r="E10" s="7" t="str">
        <f>IF(C10=D10,"Верно","Проверьте")</f>
        <v>Верно</v>
      </c>
      <c r="F10" s="4" t="s">
        <v>101</v>
      </c>
      <c r="G10" s="7">
        <f t="shared" si="0"/>
        <v>1</v>
      </c>
    </row>
    <row r="11" spans="1:7" ht="21.75" customHeight="1" x14ac:dyDescent="0.25">
      <c r="A11" s="4"/>
      <c r="B11" s="4"/>
      <c r="C11" s="4"/>
      <c r="D11" s="4"/>
      <c r="E11" s="4"/>
      <c r="F11" s="4"/>
      <c r="G11" s="4"/>
    </row>
    <row r="12" spans="1:7" ht="21.75" customHeight="1" x14ac:dyDescent="0.25">
      <c r="A12" s="4"/>
      <c r="B12" s="4"/>
      <c r="C12" s="4"/>
      <c r="D12" s="4"/>
      <c r="E12" s="4"/>
      <c r="F12" s="10" t="s">
        <v>102</v>
      </c>
      <c r="G12" s="10">
        <f>SUM(G6:G10)</f>
        <v>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:G1"/>
  </mergeCells>
  <pageMargins left="0.7" right="0.7" top="0.75" bottom="0.75" header="0" footer="0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9a417cd-1461-4943-a860-4cb4d05c96be" xsi:nil="true"/>
    <lcf76f155ced4ddcb4097134ff3c332f xmlns="36208828-9969-4b73-bb77-f045d89e955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9DEAEBEBB66B4B88D66787F055A81B" ma:contentTypeVersion="11" ma:contentTypeDescription="Create a new document." ma:contentTypeScope="" ma:versionID="1b88847c9fe6b26fa67261bbb8b1c80a">
  <xsd:schema xmlns:xsd="http://www.w3.org/2001/XMLSchema" xmlns:xs="http://www.w3.org/2001/XMLSchema" xmlns:p="http://schemas.microsoft.com/office/2006/metadata/properties" xmlns:ns2="36208828-9969-4b73-bb77-f045d89e9554" xmlns:ns3="19a417cd-1461-4943-a860-4cb4d05c96be" targetNamespace="http://schemas.microsoft.com/office/2006/metadata/properties" ma:root="true" ma:fieldsID="4b81e6e864b9c373d4615dbe59b7e60e" ns2:_="" ns3:_="">
    <xsd:import namespace="36208828-9969-4b73-bb77-f045d89e9554"/>
    <xsd:import namespace="19a417cd-1461-4943-a860-4cb4d05c96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208828-9969-4b73-bb77-f045d89e955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337a3fc-4456-4954-9b0b-07bfd45f79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a417cd-1461-4943-a860-4cb4d05c96be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59379c40-fa90-4dde-8395-12c6c804e41a}" ma:internalName="TaxCatchAll" ma:showField="CatchAllData" ma:web="19a417cd-1461-4943-a860-4cb4d05c96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16D0EF-5B4F-4E5E-AE43-0B27646CCBE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4997A3-F40D-44E6-8DC9-8B5BE34B765C}">
  <ds:schemaRefs>
    <ds:schemaRef ds:uri="http://schemas.microsoft.com/office/2006/metadata/properties"/>
    <ds:schemaRef ds:uri="http://schemas.microsoft.com/office/infopath/2007/PartnerControls"/>
    <ds:schemaRef ds:uri="19a417cd-1461-4943-a860-4cb4d05c96be"/>
    <ds:schemaRef ds:uri="36208828-9969-4b73-bb77-f045d89e9554"/>
  </ds:schemaRefs>
</ds:datastoreItem>
</file>

<file path=customXml/itemProps3.xml><?xml version="1.0" encoding="utf-8"?>
<ds:datastoreItem xmlns:ds="http://schemas.openxmlformats.org/officeDocument/2006/customXml" ds:itemID="{A3B771F5-0382-4B63-AF8D-5287333F1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208828-9969-4b73-bb77-f045d89e9554"/>
    <ds:schemaRef ds:uri="19a417cd-1461-4943-a860-4cb4d05c96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0_Теория</vt:lpstr>
      <vt:lpstr>1_Сравнения</vt:lpstr>
      <vt:lpstr>2_IF</vt:lpstr>
      <vt:lpstr>3_Elif</vt:lpstr>
      <vt:lpstr>4_Логика</vt:lpstr>
      <vt:lpstr>5_Минизадача</vt:lpstr>
      <vt:lpstr>6_Тест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Ivan Konyshev</cp:lastModifiedBy>
  <dcterms:modified xsi:type="dcterms:W3CDTF">2026-08-21T12:55:34Z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0x010100619DEAEBEBB66B4B88D66787F055A81B</vt:lpwstr>
  </property>
</Properties>
</file>