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tudy\excel\study-excel\xls\"/>
    </mc:Choice>
  </mc:AlternateContent>
  <xr:revisionPtr revIDLastSave="0" documentId="13_ncr:1_{5D6ED681-A816-48FF-8F8B-2B1E622A2DCD}" xr6:coauthVersionLast="47" xr6:coauthVersionMax="47" xr10:uidLastSave="{00000000-0000-0000-0000-000000000000}"/>
  <bookViews>
    <workbookView xWindow="-120" yWindow="-120" windowWidth="37440" windowHeight="16440" activeTab="1" xr2:uid="{00000000-000D-0000-FFFF-FFFF00000000}"/>
  </bookViews>
  <sheets>
    <sheet name="0_Теория" sheetId="1" r:id="rId1"/>
    <sheet name="sales_data" sheetId="2" r:id="rId2"/>
    <sheet name="1_Обзор" sheetId="3" r:id="rId3"/>
    <sheet name="2_Фильтр_1" sheetId="4" r:id="rId4"/>
    <sheet name="3_Фильтр_2" sheetId="5" r:id="rId5"/>
    <sheet name="4_Сортировка" sheetId="6" r:id="rId6"/>
    <sheet name="5_Новые_столбцы" sheetId="7" r:id="rId7"/>
    <sheet name="6_Тест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7" l="1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L816" i="4"/>
  <c r="M816" i="4"/>
  <c r="N816" i="4"/>
  <c r="O816" i="4"/>
  <c r="P816" i="4"/>
  <c r="Q816" i="4"/>
  <c r="R816" i="4"/>
  <c r="S816" i="4"/>
  <c r="T816" i="4"/>
  <c r="U816" i="4"/>
  <c r="V816" i="4"/>
  <c r="W816" i="4"/>
  <c r="X816" i="4"/>
  <c r="Y816" i="4"/>
  <c r="Z816" i="4"/>
  <c r="L815" i="4"/>
  <c r="M815" i="4"/>
  <c r="N815" i="4"/>
  <c r="O815" i="4"/>
  <c r="P815" i="4"/>
  <c r="Q815" i="4"/>
  <c r="R815" i="4"/>
  <c r="S815" i="4"/>
  <c r="T815" i="4"/>
  <c r="U815" i="4"/>
  <c r="V815" i="4"/>
  <c r="W815" i="4"/>
  <c r="X815" i="4"/>
  <c r="Y815" i="4"/>
  <c r="Z815" i="4"/>
  <c r="L814" i="4"/>
  <c r="M814" i="4"/>
  <c r="N814" i="4"/>
  <c r="O814" i="4"/>
  <c r="P814" i="4"/>
  <c r="Q814" i="4"/>
  <c r="R814" i="4"/>
  <c r="S814" i="4"/>
  <c r="T814" i="4"/>
  <c r="U814" i="4"/>
  <c r="V814" i="4"/>
  <c r="W814" i="4"/>
  <c r="X814" i="4"/>
  <c r="Y814" i="4"/>
  <c r="Z814" i="4"/>
  <c r="L813" i="4"/>
  <c r="M813" i="4"/>
  <c r="N813" i="4"/>
  <c r="O813" i="4"/>
  <c r="P813" i="4"/>
  <c r="Q813" i="4"/>
  <c r="R813" i="4"/>
  <c r="S813" i="4"/>
  <c r="T813" i="4"/>
  <c r="U813" i="4"/>
  <c r="V813" i="4"/>
  <c r="W813" i="4"/>
  <c r="X813" i="4"/>
  <c r="Y813" i="4"/>
  <c r="Z813" i="4"/>
  <c r="L812" i="4"/>
  <c r="M812" i="4"/>
  <c r="N812" i="4"/>
  <c r="O812" i="4"/>
  <c r="P812" i="4"/>
  <c r="Q812" i="4"/>
  <c r="R812" i="4"/>
  <c r="S812" i="4"/>
  <c r="T812" i="4"/>
  <c r="U812" i="4"/>
  <c r="V812" i="4"/>
  <c r="W812" i="4"/>
  <c r="X812" i="4"/>
  <c r="Y812" i="4"/>
  <c r="Z812" i="4"/>
  <c r="L811" i="4"/>
  <c r="M811" i="4"/>
  <c r="N811" i="4"/>
  <c r="O811" i="4"/>
  <c r="P811" i="4"/>
  <c r="Q811" i="4"/>
  <c r="R811" i="4"/>
  <c r="S811" i="4"/>
  <c r="T811" i="4"/>
  <c r="U811" i="4"/>
  <c r="V811" i="4"/>
  <c r="W811" i="4"/>
  <c r="X811" i="4"/>
  <c r="Y811" i="4"/>
  <c r="Z811" i="4"/>
  <c r="L810" i="4"/>
  <c r="M810" i="4"/>
  <c r="N810" i="4"/>
  <c r="O810" i="4"/>
  <c r="P810" i="4"/>
  <c r="Q810" i="4"/>
  <c r="R810" i="4"/>
  <c r="S810" i="4"/>
  <c r="T810" i="4"/>
  <c r="U810" i="4"/>
  <c r="V810" i="4"/>
  <c r="W810" i="4"/>
  <c r="X810" i="4"/>
  <c r="Y810" i="4"/>
  <c r="Z810" i="4"/>
  <c r="L809" i="4"/>
  <c r="M809" i="4"/>
  <c r="N809" i="4"/>
  <c r="O809" i="4"/>
  <c r="P809" i="4"/>
  <c r="Q809" i="4"/>
  <c r="R809" i="4"/>
  <c r="S809" i="4"/>
  <c r="T809" i="4"/>
  <c r="U809" i="4"/>
  <c r="V809" i="4"/>
  <c r="W809" i="4"/>
  <c r="X809" i="4"/>
  <c r="Y809" i="4"/>
  <c r="Z809" i="4"/>
  <c r="L808" i="4"/>
  <c r="M808" i="4"/>
  <c r="N808" i="4"/>
  <c r="O808" i="4"/>
  <c r="P808" i="4"/>
  <c r="Q808" i="4"/>
  <c r="R808" i="4"/>
  <c r="S808" i="4"/>
  <c r="T808" i="4"/>
  <c r="U808" i="4"/>
  <c r="V808" i="4"/>
  <c r="W808" i="4"/>
  <c r="X808" i="4"/>
  <c r="Y808" i="4"/>
  <c r="Z808" i="4"/>
  <c r="L807" i="4"/>
  <c r="M807" i="4"/>
  <c r="N807" i="4"/>
  <c r="O807" i="4"/>
  <c r="P807" i="4"/>
  <c r="Q807" i="4"/>
  <c r="R807" i="4"/>
  <c r="S807" i="4"/>
  <c r="T807" i="4"/>
  <c r="U807" i="4"/>
  <c r="V807" i="4"/>
  <c r="W807" i="4"/>
  <c r="X807" i="4"/>
  <c r="Y807" i="4"/>
  <c r="Z807" i="4"/>
  <c r="L806" i="4"/>
  <c r="M806" i="4"/>
  <c r="N806" i="4"/>
  <c r="O806" i="4"/>
  <c r="P806" i="4"/>
  <c r="Q806" i="4"/>
  <c r="R806" i="4"/>
  <c r="S806" i="4"/>
  <c r="T806" i="4"/>
  <c r="U806" i="4"/>
  <c r="V806" i="4"/>
  <c r="W806" i="4"/>
  <c r="X806" i="4"/>
  <c r="Y806" i="4"/>
  <c r="Z806" i="4"/>
  <c r="L805" i="4"/>
  <c r="M805" i="4"/>
  <c r="N805" i="4"/>
  <c r="O805" i="4"/>
  <c r="P805" i="4"/>
  <c r="Q805" i="4"/>
  <c r="R805" i="4"/>
  <c r="S805" i="4"/>
  <c r="T805" i="4"/>
  <c r="U805" i="4"/>
  <c r="V805" i="4"/>
  <c r="W805" i="4"/>
  <c r="X805" i="4"/>
  <c r="Y805" i="4"/>
  <c r="Z805" i="4"/>
  <c r="L803" i="4"/>
  <c r="M803" i="4"/>
  <c r="N803" i="4"/>
  <c r="O803" i="4"/>
  <c r="P803" i="4"/>
  <c r="Q803" i="4"/>
  <c r="R803" i="4"/>
  <c r="S803" i="4"/>
  <c r="T803" i="4"/>
  <c r="U803" i="4"/>
  <c r="V803" i="4"/>
  <c r="W803" i="4"/>
  <c r="X803" i="4"/>
  <c r="Y803" i="4"/>
  <c r="Z803" i="4"/>
  <c r="L804" i="4"/>
  <c r="M804" i="4"/>
  <c r="N804" i="4"/>
  <c r="O804" i="4"/>
  <c r="P804" i="4"/>
  <c r="Q804" i="4"/>
  <c r="R804" i="4"/>
  <c r="S804" i="4"/>
  <c r="T804" i="4"/>
  <c r="U804" i="4"/>
  <c r="V804" i="4"/>
  <c r="W804" i="4"/>
  <c r="X804" i="4"/>
  <c r="Y804" i="4"/>
  <c r="Z804" i="4"/>
  <c r="L802" i="4"/>
  <c r="M802" i="4"/>
  <c r="N802" i="4"/>
  <c r="O802" i="4"/>
  <c r="P802" i="4"/>
  <c r="Q802" i="4"/>
  <c r="R802" i="4"/>
  <c r="S802" i="4"/>
  <c r="T802" i="4"/>
  <c r="U802" i="4"/>
  <c r="V802" i="4"/>
  <c r="W802" i="4"/>
  <c r="X802" i="4"/>
  <c r="Y802" i="4"/>
  <c r="Z802" i="4"/>
  <c r="L801" i="4"/>
  <c r="M801" i="4"/>
  <c r="N801" i="4"/>
  <c r="O801" i="4"/>
  <c r="P801" i="4"/>
  <c r="Q801" i="4"/>
  <c r="R801" i="4"/>
  <c r="S801" i="4"/>
  <c r="T801" i="4"/>
  <c r="U801" i="4"/>
  <c r="V801" i="4"/>
  <c r="W801" i="4"/>
  <c r="X801" i="4"/>
  <c r="Y801" i="4"/>
  <c r="Z801" i="4"/>
  <c r="L800" i="4"/>
  <c r="M800" i="4"/>
  <c r="N800" i="4"/>
  <c r="O800" i="4"/>
  <c r="P800" i="4"/>
  <c r="Q800" i="4"/>
  <c r="R800" i="4"/>
  <c r="S800" i="4"/>
  <c r="T800" i="4"/>
  <c r="U800" i="4"/>
  <c r="V800" i="4"/>
  <c r="W800" i="4"/>
  <c r="X800" i="4"/>
  <c r="Y800" i="4"/>
  <c r="Z800" i="4"/>
  <c r="L799" i="4"/>
  <c r="M799" i="4"/>
  <c r="N799" i="4"/>
  <c r="O799" i="4"/>
  <c r="P799" i="4"/>
  <c r="Q799" i="4"/>
  <c r="R799" i="4"/>
  <c r="S799" i="4"/>
  <c r="T799" i="4"/>
  <c r="U799" i="4"/>
  <c r="V799" i="4"/>
  <c r="W799" i="4"/>
  <c r="X799" i="4"/>
  <c r="Y799" i="4"/>
  <c r="Z799" i="4"/>
  <c r="L798" i="4"/>
  <c r="M798" i="4"/>
  <c r="N798" i="4"/>
  <c r="O798" i="4"/>
  <c r="P798" i="4"/>
  <c r="Q798" i="4"/>
  <c r="R798" i="4"/>
  <c r="S798" i="4"/>
  <c r="T798" i="4"/>
  <c r="U798" i="4"/>
  <c r="V798" i="4"/>
  <c r="W798" i="4"/>
  <c r="X798" i="4"/>
  <c r="Y798" i="4"/>
  <c r="Z798" i="4"/>
  <c r="L797" i="4"/>
  <c r="M797" i="4"/>
  <c r="N797" i="4"/>
  <c r="O797" i="4"/>
  <c r="P797" i="4"/>
  <c r="Q797" i="4"/>
  <c r="R797" i="4"/>
  <c r="S797" i="4"/>
  <c r="T797" i="4"/>
  <c r="U797" i="4"/>
  <c r="V797" i="4"/>
  <c r="W797" i="4"/>
  <c r="X797" i="4"/>
  <c r="Y797" i="4"/>
  <c r="Z797" i="4"/>
  <c r="L796" i="4"/>
  <c r="M796" i="4"/>
  <c r="N796" i="4"/>
  <c r="O796" i="4"/>
  <c r="P796" i="4"/>
  <c r="Q796" i="4"/>
  <c r="R796" i="4"/>
  <c r="S796" i="4"/>
  <c r="T796" i="4"/>
  <c r="U796" i="4"/>
  <c r="V796" i="4"/>
  <c r="W796" i="4"/>
  <c r="X796" i="4"/>
  <c r="Y796" i="4"/>
  <c r="Z796" i="4"/>
  <c r="L795" i="4"/>
  <c r="M795" i="4"/>
  <c r="N795" i="4"/>
  <c r="O795" i="4"/>
  <c r="P795" i="4"/>
  <c r="Q795" i="4"/>
  <c r="R795" i="4"/>
  <c r="S795" i="4"/>
  <c r="T795" i="4"/>
  <c r="U795" i="4"/>
  <c r="V795" i="4"/>
  <c r="W795" i="4"/>
  <c r="X795" i="4"/>
  <c r="Y795" i="4"/>
  <c r="Z795" i="4"/>
  <c r="L794" i="4"/>
  <c r="M794" i="4"/>
  <c r="N794" i="4"/>
  <c r="O794" i="4"/>
  <c r="P794" i="4"/>
  <c r="Q794" i="4"/>
  <c r="R794" i="4"/>
  <c r="S794" i="4"/>
  <c r="T794" i="4"/>
  <c r="U794" i="4"/>
  <c r="V794" i="4"/>
  <c r="W794" i="4"/>
  <c r="X794" i="4"/>
  <c r="Y794" i="4"/>
  <c r="Z794" i="4"/>
  <c r="L793" i="4"/>
  <c r="M793" i="4"/>
  <c r="N793" i="4"/>
  <c r="O793" i="4"/>
  <c r="P793" i="4"/>
  <c r="Q793" i="4"/>
  <c r="R793" i="4"/>
  <c r="S793" i="4"/>
  <c r="T793" i="4"/>
  <c r="U793" i="4"/>
  <c r="V793" i="4"/>
  <c r="W793" i="4"/>
  <c r="X793" i="4"/>
  <c r="Y793" i="4"/>
  <c r="Z793" i="4"/>
  <c r="L792" i="4"/>
  <c r="M792" i="4"/>
  <c r="N792" i="4"/>
  <c r="O792" i="4"/>
  <c r="P792" i="4"/>
  <c r="Q792" i="4"/>
  <c r="R792" i="4"/>
  <c r="S792" i="4"/>
  <c r="T792" i="4"/>
  <c r="U792" i="4"/>
  <c r="V792" i="4"/>
  <c r="W792" i="4"/>
  <c r="X792" i="4"/>
  <c r="Y792" i="4"/>
  <c r="Z792" i="4"/>
  <c r="L791" i="4"/>
  <c r="M791" i="4"/>
  <c r="N791" i="4"/>
  <c r="O791" i="4"/>
  <c r="P791" i="4"/>
  <c r="Q791" i="4"/>
  <c r="R791" i="4"/>
  <c r="S791" i="4"/>
  <c r="T791" i="4"/>
  <c r="U791" i="4"/>
  <c r="V791" i="4"/>
  <c r="W791" i="4"/>
  <c r="X791" i="4"/>
  <c r="Y791" i="4"/>
  <c r="Z791" i="4"/>
  <c r="L790" i="4"/>
  <c r="M790" i="4"/>
  <c r="N790" i="4"/>
  <c r="O790" i="4"/>
  <c r="P790" i="4"/>
  <c r="Q790" i="4"/>
  <c r="R790" i="4"/>
  <c r="S790" i="4"/>
  <c r="T790" i="4"/>
  <c r="U790" i="4"/>
  <c r="V790" i="4"/>
  <c r="W790" i="4"/>
  <c r="X790" i="4"/>
  <c r="Y790" i="4"/>
  <c r="Z790" i="4"/>
  <c r="L789" i="4"/>
  <c r="M789" i="4"/>
  <c r="N789" i="4"/>
  <c r="O789" i="4"/>
  <c r="P789" i="4"/>
  <c r="Q789" i="4"/>
  <c r="R789" i="4"/>
  <c r="S789" i="4"/>
  <c r="T789" i="4"/>
  <c r="U789" i="4"/>
  <c r="V789" i="4"/>
  <c r="W789" i="4"/>
  <c r="X789" i="4"/>
  <c r="Y789" i="4"/>
  <c r="Z789" i="4"/>
  <c r="L788" i="4"/>
  <c r="M788" i="4"/>
  <c r="N788" i="4"/>
  <c r="O788" i="4"/>
  <c r="P788" i="4"/>
  <c r="Q788" i="4"/>
  <c r="R788" i="4"/>
  <c r="S788" i="4"/>
  <c r="T788" i="4"/>
  <c r="U788" i="4"/>
  <c r="V788" i="4"/>
  <c r="W788" i="4"/>
  <c r="X788" i="4"/>
  <c r="Y788" i="4"/>
  <c r="Z788" i="4"/>
  <c r="L787" i="4"/>
  <c r="M787" i="4"/>
  <c r="N787" i="4"/>
  <c r="O787" i="4"/>
  <c r="P787" i="4"/>
  <c r="Q787" i="4"/>
  <c r="R787" i="4"/>
  <c r="S787" i="4"/>
  <c r="T787" i="4"/>
  <c r="U787" i="4"/>
  <c r="V787" i="4"/>
  <c r="W787" i="4"/>
  <c r="X787" i="4"/>
  <c r="Y787" i="4"/>
  <c r="Z787" i="4"/>
  <c r="L786" i="4"/>
  <c r="M786" i="4"/>
  <c r="N786" i="4"/>
  <c r="O786" i="4"/>
  <c r="P786" i="4"/>
  <c r="Q786" i="4"/>
  <c r="R786" i="4"/>
  <c r="S786" i="4"/>
  <c r="T786" i="4"/>
  <c r="U786" i="4"/>
  <c r="V786" i="4"/>
  <c r="W786" i="4"/>
  <c r="X786" i="4"/>
  <c r="Y786" i="4"/>
  <c r="Z786" i="4"/>
  <c r="L785" i="4"/>
  <c r="M785" i="4"/>
  <c r="N785" i="4"/>
  <c r="O785" i="4"/>
  <c r="P785" i="4"/>
  <c r="Q785" i="4"/>
  <c r="R785" i="4"/>
  <c r="S785" i="4"/>
  <c r="T785" i="4"/>
  <c r="U785" i="4"/>
  <c r="V785" i="4"/>
  <c r="W785" i="4"/>
  <c r="X785" i="4"/>
  <c r="Y785" i="4"/>
  <c r="Z785" i="4"/>
  <c r="L784" i="4"/>
  <c r="M784" i="4"/>
  <c r="N784" i="4"/>
  <c r="O784" i="4"/>
  <c r="P784" i="4"/>
  <c r="Q784" i="4"/>
  <c r="R784" i="4"/>
  <c r="S784" i="4"/>
  <c r="T784" i="4"/>
  <c r="U784" i="4"/>
  <c r="V784" i="4"/>
  <c r="W784" i="4"/>
  <c r="X784" i="4"/>
  <c r="Y784" i="4"/>
  <c r="Z784" i="4"/>
  <c r="L783" i="4"/>
  <c r="M783" i="4"/>
  <c r="N783" i="4"/>
  <c r="O783" i="4"/>
  <c r="P783" i="4"/>
  <c r="Q783" i="4"/>
  <c r="R783" i="4"/>
  <c r="S783" i="4"/>
  <c r="T783" i="4"/>
  <c r="U783" i="4"/>
  <c r="V783" i="4"/>
  <c r="W783" i="4"/>
  <c r="X783" i="4"/>
  <c r="Y783" i="4"/>
  <c r="Z783" i="4"/>
  <c r="L782" i="4"/>
  <c r="M782" i="4"/>
  <c r="N782" i="4"/>
  <c r="O782" i="4"/>
  <c r="P782" i="4"/>
  <c r="Q782" i="4"/>
  <c r="R782" i="4"/>
  <c r="S782" i="4"/>
  <c r="T782" i="4"/>
  <c r="U782" i="4"/>
  <c r="V782" i="4"/>
  <c r="W782" i="4"/>
  <c r="X782" i="4"/>
  <c r="Y782" i="4"/>
  <c r="Z782" i="4"/>
  <c r="L780" i="4"/>
  <c r="M780" i="4"/>
  <c r="N780" i="4"/>
  <c r="O780" i="4"/>
  <c r="P780" i="4"/>
  <c r="Q780" i="4"/>
  <c r="R780" i="4"/>
  <c r="S780" i="4"/>
  <c r="T780" i="4"/>
  <c r="U780" i="4"/>
  <c r="V780" i="4"/>
  <c r="W780" i="4"/>
  <c r="X780" i="4"/>
  <c r="Y780" i="4"/>
  <c r="Z780" i="4"/>
  <c r="L781" i="4"/>
  <c r="M781" i="4"/>
  <c r="N781" i="4"/>
  <c r="O781" i="4"/>
  <c r="P781" i="4"/>
  <c r="Q781" i="4"/>
  <c r="R781" i="4"/>
  <c r="S781" i="4"/>
  <c r="T781" i="4"/>
  <c r="U781" i="4"/>
  <c r="V781" i="4"/>
  <c r="W781" i="4"/>
  <c r="X781" i="4"/>
  <c r="Y781" i="4"/>
  <c r="Z781" i="4"/>
  <c r="L779" i="4"/>
  <c r="M779" i="4"/>
  <c r="N779" i="4"/>
  <c r="O779" i="4"/>
  <c r="P779" i="4"/>
  <c r="Q779" i="4"/>
  <c r="R779" i="4"/>
  <c r="S779" i="4"/>
  <c r="T779" i="4"/>
  <c r="U779" i="4"/>
  <c r="V779" i="4"/>
  <c r="W779" i="4"/>
  <c r="X779" i="4"/>
  <c r="Y779" i="4"/>
  <c r="Z779" i="4"/>
  <c r="L778" i="4"/>
  <c r="M778" i="4"/>
  <c r="N778" i="4"/>
  <c r="O778" i="4"/>
  <c r="P778" i="4"/>
  <c r="Q778" i="4"/>
  <c r="R778" i="4"/>
  <c r="S778" i="4"/>
  <c r="T778" i="4"/>
  <c r="U778" i="4"/>
  <c r="V778" i="4"/>
  <c r="W778" i="4"/>
  <c r="X778" i="4"/>
  <c r="Y778" i="4"/>
  <c r="Z778" i="4"/>
  <c r="L777" i="4"/>
  <c r="M777" i="4"/>
  <c r="N777" i="4"/>
  <c r="O777" i="4"/>
  <c r="P777" i="4"/>
  <c r="Q777" i="4"/>
  <c r="R777" i="4"/>
  <c r="S777" i="4"/>
  <c r="T777" i="4"/>
  <c r="U777" i="4"/>
  <c r="V777" i="4"/>
  <c r="W777" i="4"/>
  <c r="X777" i="4"/>
  <c r="Y777" i="4"/>
  <c r="Z777" i="4"/>
  <c r="L776" i="4"/>
  <c r="M776" i="4"/>
  <c r="N776" i="4"/>
  <c r="O776" i="4"/>
  <c r="P776" i="4"/>
  <c r="Q776" i="4"/>
  <c r="R776" i="4"/>
  <c r="S776" i="4"/>
  <c r="T776" i="4"/>
  <c r="U776" i="4"/>
  <c r="V776" i="4"/>
  <c r="W776" i="4"/>
  <c r="X776" i="4"/>
  <c r="Y776" i="4"/>
  <c r="Z776" i="4"/>
  <c r="L775" i="4"/>
  <c r="M775" i="4"/>
  <c r="N775" i="4"/>
  <c r="O775" i="4"/>
  <c r="P775" i="4"/>
  <c r="Q775" i="4"/>
  <c r="R775" i="4"/>
  <c r="S775" i="4"/>
  <c r="T775" i="4"/>
  <c r="U775" i="4"/>
  <c r="V775" i="4"/>
  <c r="W775" i="4"/>
  <c r="X775" i="4"/>
  <c r="Y775" i="4"/>
  <c r="Z775" i="4"/>
  <c r="L773" i="4"/>
  <c r="M773" i="4"/>
  <c r="N773" i="4"/>
  <c r="O773" i="4"/>
  <c r="P773" i="4"/>
  <c r="Q773" i="4"/>
  <c r="R773" i="4"/>
  <c r="S773" i="4"/>
  <c r="T773" i="4"/>
  <c r="U773" i="4"/>
  <c r="V773" i="4"/>
  <c r="W773" i="4"/>
  <c r="X773" i="4"/>
  <c r="Y773" i="4"/>
  <c r="Z773" i="4"/>
  <c r="L774" i="4"/>
  <c r="M774" i="4"/>
  <c r="N774" i="4"/>
  <c r="O774" i="4"/>
  <c r="P774" i="4"/>
  <c r="Q774" i="4"/>
  <c r="R774" i="4"/>
  <c r="S774" i="4"/>
  <c r="T774" i="4"/>
  <c r="U774" i="4"/>
  <c r="V774" i="4"/>
  <c r="W774" i="4"/>
  <c r="X774" i="4"/>
  <c r="Y774" i="4"/>
  <c r="Z774" i="4"/>
  <c r="L772" i="4"/>
  <c r="M772" i="4"/>
  <c r="N772" i="4"/>
  <c r="O772" i="4"/>
  <c r="P772" i="4"/>
  <c r="Q772" i="4"/>
  <c r="R772" i="4"/>
  <c r="S772" i="4"/>
  <c r="T772" i="4"/>
  <c r="U772" i="4"/>
  <c r="V772" i="4"/>
  <c r="W772" i="4"/>
  <c r="X772" i="4"/>
  <c r="Y772" i="4"/>
  <c r="Z772" i="4"/>
  <c r="L771" i="4"/>
  <c r="M771" i="4"/>
  <c r="N771" i="4"/>
  <c r="O771" i="4"/>
  <c r="P771" i="4"/>
  <c r="Q771" i="4"/>
  <c r="R771" i="4"/>
  <c r="S771" i="4"/>
  <c r="T771" i="4"/>
  <c r="U771" i="4"/>
  <c r="V771" i="4"/>
  <c r="W771" i="4"/>
  <c r="X771" i="4"/>
  <c r="Y771" i="4"/>
  <c r="Z771" i="4"/>
  <c r="L770" i="4"/>
  <c r="M770" i="4"/>
  <c r="N770" i="4"/>
  <c r="O770" i="4"/>
  <c r="P770" i="4"/>
  <c r="Q770" i="4"/>
  <c r="R770" i="4"/>
  <c r="S770" i="4"/>
  <c r="T770" i="4"/>
  <c r="U770" i="4"/>
  <c r="V770" i="4"/>
  <c r="W770" i="4"/>
  <c r="X770" i="4"/>
  <c r="Y770" i="4"/>
  <c r="Z770" i="4"/>
  <c r="L769" i="4"/>
  <c r="M769" i="4"/>
  <c r="N769" i="4"/>
  <c r="O769" i="4"/>
  <c r="P769" i="4"/>
  <c r="Q769" i="4"/>
  <c r="R769" i="4"/>
  <c r="S769" i="4"/>
  <c r="T769" i="4"/>
  <c r="U769" i="4"/>
  <c r="V769" i="4"/>
  <c r="W769" i="4"/>
  <c r="X769" i="4"/>
  <c r="Y769" i="4"/>
  <c r="Z769" i="4"/>
  <c r="L768" i="4"/>
  <c r="M768" i="4"/>
  <c r="N768" i="4"/>
  <c r="O768" i="4"/>
  <c r="P768" i="4"/>
  <c r="Q768" i="4"/>
  <c r="R768" i="4"/>
  <c r="S768" i="4"/>
  <c r="T768" i="4"/>
  <c r="U768" i="4"/>
  <c r="V768" i="4"/>
  <c r="W768" i="4"/>
  <c r="X768" i="4"/>
  <c r="Y768" i="4"/>
  <c r="Z768" i="4"/>
  <c r="L766" i="4"/>
  <c r="M766" i="4"/>
  <c r="N766" i="4"/>
  <c r="O766" i="4"/>
  <c r="P766" i="4"/>
  <c r="Q766" i="4"/>
  <c r="R766" i="4"/>
  <c r="S766" i="4"/>
  <c r="T766" i="4"/>
  <c r="U766" i="4"/>
  <c r="V766" i="4"/>
  <c r="W766" i="4"/>
  <c r="X766" i="4"/>
  <c r="Y766" i="4"/>
  <c r="Z766" i="4"/>
  <c r="L767" i="4"/>
  <c r="M767" i="4"/>
  <c r="N767" i="4"/>
  <c r="O767" i="4"/>
  <c r="P767" i="4"/>
  <c r="Q767" i="4"/>
  <c r="R767" i="4"/>
  <c r="S767" i="4"/>
  <c r="T767" i="4"/>
  <c r="U767" i="4"/>
  <c r="V767" i="4"/>
  <c r="W767" i="4"/>
  <c r="X767" i="4"/>
  <c r="Y767" i="4"/>
  <c r="Z767" i="4"/>
  <c r="L765" i="4"/>
  <c r="M765" i="4"/>
  <c r="N765" i="4"/>
  <c r="O765" i="4"/>
  <c r="P765" i="4"/>
  <c r="Q765" i="4"/>
  <c r="R765" i="4"/>
  <c r="S765" i="4"/>
  <c r="T765" i="4"/>
  <c r="U765" i="4"/>
  <c r="V765" i="4"/>
  <c r="W765" i="4"/>
  <c r="X765" i="4"/>
  <c r="Y765" i="4"/>
  <c r="Z765" i="4"/>
  <c r="L764" i="4"/>
  <c r="M764" i="4"/>
  <c r="N764" i="4"/>
  <c r="O764" i="4"/>
  <c r="P764" i="4"/>
  <c r="Q764" i="4"/>
  <c r="R764" i="4"/>
  <c r="S764" i="4"/>
  <c r="T764" i="4"/>
  <c r="U764" i="4"/>
  <c r="V764" i="4"/>
  <c r="W764" i="4"/>
  <c r="X764" i="4"/>
  <c r="Y764" i="4"/>
  <c r="Z764" i="4"/>
  <c r="L763" i="4"/>
  <c r="M763" i="4"/>
  <c r="N763" i="4"/>
  <c r="O763" i="4"/>
  <c r="P763" i="4"/>
  <c r="Q763" i="4"/>
  <c r="R763" i="4"/>
  <c r="S763" i="4"/>
  <c r="T763" i="4"/>
  <c r="U763" i="4"/>
  <c r="V763" i="4"/>
  <c r="W763" i="4"/>
  <c r="X763" i="4"/>
  <c r="Y763" i="4"/>
  <c r="Z763" i="4"/>
  <c r="L762" i="4"/>
  <c r="M762" i="4"/>
  <c r="N762" i="4"/>
  <c r="O762" i="4"/>
  <c r="P762" i="4"/>
  <c r="Q762" i="4"/>
  <c r="R762" i="4"/>
  <c r="S762" i="4"/>
  <c r="T762" i="4"/>
  <c r="U762" i="4"/>
  <c r="V762" i="4"/>
  <c r="W762" i="4"/>
  <c r="X762" i="4"/>
  <c r="Y762" i="4"/>
  <c r="Z762" i="4"/>
  <c r="L761" i="4"/>
  <c r="M761" i="4"/>
  <c r="N761" i="4"/>
  <c r="O761" i="4"/>
  <c r="P761" i="4"/>
  <c r="Q761" i="4"/>
  <c r="R761" i="4"/>
  <c r="S761" i="4"/>
  <c r="T761" i="4"/>
  <c r="U761" i="4"/>
  <c r="V761" i="4"/>
  <c r="W761" i="4"/>
  <c r="X761" i="4"/>
  <c r="Y761" i="4"/>
  <c r="Z761" i="4"/>
  <c r="L760" i="4"/>
  <c r="M760" i="4"/>
  <c r="N760" i="4"/>
  <c r="O760" i="4"/>
  <c r="P760" i="4"/>
  <c r="Q760" i="4"/>
  <c r="R760" i="4"/>
  <c r="S760" i="4"/>
  <c r="T760" i="4"/>
  <c r="U760" i="4"/>
  <c r="V760" i="4"/>
  <c r="W760" i="4"/>
  <c r="X760" i="4"/>
  <c r="Y760" i="4"/>
  <c r="Z760" i="4"/>
  <c r="L759" i="4"/>
  <c r="M759" i="4"/>
  <c r="N759" i="4"/>
  <c r="O759" i="4"/>
  <c r="P759" i="4"/>
  <c r="Q759" i="4"/>
  <c r="R759" i="4"/>
  <c r="S759" i="4"/>
  <c r="T759" i="4"/>
  <c r="U759" i="4"/>
  <c r="V759" i="4"/>
  <c r="W759" i="4"/>
  <c r="X759" i="4"/>
  <c r="Y759" i="4"/>
  <c r="Z759" i="4"/>
  <c r="L757" i="4"/>
  <c r="M757" i="4"/>
  <c r="N757" i="4"/>
  <c r="O757" i="4"/>
  <c r="P757" i="4"/>
  <c r="Q757" i="4"/>
  <c r="R757" i="4"/>
  <c r="S757" i="4"/>
  <c r="T757" i="4"/>
  <c r="U757" i="4"/>
  <c r="V757" i="4"/>
  <c r="W757" i="4"/>
  <c r="X757" i="4"/>
  <c r="Y757" i="4"/>
  <c r="Z757" i="4"/>
  <c r="L758" i="4"/>
  <c r="M758" i="4"/>
  <c r="N758" i="4"/>
  <c r="O758" i="4"/>
  <c r="P758" i="4"/>
  <c r="Q758" i="4"/>
  <c r="R758" i="4"/>
  <c r="S758" i="4"/>
  <c r="T758" i="4"/>
  <c r="U758" i="4"/>
  <c r="V758" i="4"/>
  <c r="W758" i="4"/>
  <c r="X758" i="4"/>
  <c r="Y758" i="4"/>
  <c r="Z758" i="4"/>
  <c r="L756" i="4"/>
  <c r="M756" i="4"/>
  <c r="N756" i="4"/>
  <c r="O756" i="4"/>
  <c r="P756" i="4"/>
  <c r="Q756" i="4"/>
  <c r="R756" i="4"/>
  <c r="S756" i="4"/>
  <c r="T756" i="4"/>
  <c r="U756" i="4"/>
  <c r="V756" i="4"/>
  <c r="W756" i="4"/>
  <c r="X756" i="4"/>
  <c r="Y756" i="4"/>
  <c r="Z756" i="4"/>
  <c r="L755" i="4"/>
  <c r="M755" i="4"/>
  <c r="N755" i="4"/>
  <c r="O755" i="4"/>
  <c r="P755" i="4"/>
  <c r="Q755" i="4"/>
  <c r="R755" i="4"/>
  <c r="S755" i="4"/>
  <c r="T755" i="4"/>
  <c r="U755" i="4"/>
  <c r="V755" i="4"/>
  <c r="W755" i="4"/>
  <c r="X755" i="4"/>
  <c r="Y755" i="4"/>
  <c r="Z755" i="4"/>
  <c r="L753" i="4"/>
  <c r="M753" i="4"/>
  <c r="N753" i="4"/>
  <c r="O753" i="4"/>
  <c r="P753" i="4"/>
  <c r="Q753" i="4"/>
  <c r="R753" i="4"/>
  <c r="S753" i="4"/>
  <c r="T753" i="4"/>
  <c r="U753" i="4"/>
  <c r="V753" i="4"/>
  <c r="W753" i="4"/>
  <c r="X753" i="4"/>
  <c r="Y753" i="4"/>
  <c r="Z753" i="4"/>
  <c r="L754" i="4"/>
  <c r="M754" i="4"/>
  <c r="N754" i="4"/>
  <c r="O754" i="4"/>
  <c r="P754" i="4"/>
  <c r="Q754" i="4"/>
  <c r="R754" i="4"/>
  <c r="S754" i="4"/>
  <c r="T754" i="4"/>
  <c r="U754" i="4"/>
  <c r="V754" i="4"/>
  <c r="W754" i="4"/>
  <c r="X754" i="4"/>
  <c r="Y754" i="4"/>
  <c r="Z754" i="4"/>
  <c r="L752" i="4"/>
  <c r="M752" i="4"/>
  <c r="N752" i="4"/>
  <c r="O752" i="4"/>
  <c r="P752" i="4"/>
  <c r="Q752" i="4"/>
  <c r="R752" i="4"/>
  <c r="S752" i="4"/>
  <c r="T752" i="4"/>
  <c r="U752" i="4"/>
  <c r="V752" i="4"/>
  <c r="W752" i="4"/>
  <c r="X752" i="4"/>
  <c r="Y752" i="4"/>
  <c r="Z752" i="4"/>
  <c r="L751" i="4"/>
  <c r="M751" i="4"/>
  <c r="N751" i="4"/>
  <c r="O751" i="4"/>
  <c r="P751" i="4"/>
  <c r="Q751" i="4"/>
  <c r="R751" i="4"/>
  <c r="S751" i="4"/>
  <c r="T751" i="4"/>
  <c r="U751" i="4"/>
  <c r="V751" i="4"/>
  <c r="W751" i="4"/>
  <c r="X751" i="4"/>
  <c r="Y751" i="4"/>
  <c r="Z751" i="4"/>
  <c r="L750" i="4"/>
  <c r="M750" i="4"/>
  <c r="N750" i="4"/>
  <c r="O750" i="4"/>
  <c r="P750" i="4"/>
  <c r="Q750" i="4"/>
  <c r="R750" i="4"/>
  <c r="S750" i="4"/>
  <c r="T750" i="4"/>
  <c r="U750" i="4"/>
  <c r="V750" i="4"/>
  <c r="W750" i="4"/>
  <c r="X750" i="4"/>
  <c r="Y750" i="4"/>
  <c r="Z750" i="4"/>
  <c r="L749" i="4"/>
  <c r="M749" i="4"/>
  <c r="N749" i="4"/>
  <c r="O749" i="4"/>
  <c r="P749" i="4"/>
  <c r="Q749" i="4"/>
  <c r="R749" i="4"/>
  <c r="S749" i="4"/>
  <c r="T749" i="4"/>
  <c r="U749" i="4"/>
  <c r="V749" i="4"/>
  <c r="W749" i="4"/>
  <c r="X749" i="4"/>
  <c r="Y749" i="4"/>
  <c r="Z749" i="4"/>
  <c r="L748" i="4"/>
  <c r="M748" i="4"/>
  <c r="N748" i="4"/>
  <c r="O748" i="4"/>
  <c r="P748" i="4"/>
  <c r="Q748" i="4"/>
  <c r="R748" i="4"/>
  <c r="S748" i="4"/>
  <c r="T748" i="4"/>
  <c r="U748" i="4"/>
  <c r="V748" i="4"/>
  <c r="W748" i="4"/>
  <c r="X748" i="4"/>
  <c r="Y748" i="4"/>
  <c r="Z748" i="4"/>
  <c r="L747" i="4"/>
  <c r="M747" i="4"/>
  <c r="N747" i="4"/>
  <c r="O747" i="4"/>
  <c r="P747" i="4"/>
  <c r="Q747" i="4"/>
  <c r="R747" i="4"/>
  <c r="S747" i="4"/>
  <c r="T747" i="4"/>
  <c r="U747" i="4"/>
  <c r="V747" i="4"/>
  <c r="W747" i="4"/>
  <c r="X747" i="4"/>
  <c r="Y747" i="4"/>
  <c r="Z747" i="4"/>
  <c r="L746" i="4"/>
  <c r="M746" i="4"/>
  <c r="N746" i="4"/>
  <c r="O746" i="4"/>
  <c r="P746" i="4"/>
  <c r="Q746" i="4"/>
  <c r="R746" i="4"/>
  <c r="S746" i="4"/>
  <c r="T746" i="4"/>
  <c r="U746" i="4"/>
  <c r="V746" i="4"/>
  <c r="W746" i="4"/>
  <c r="X746" i="4"/>
  <c r="Y746" i="4"/>
  <c r="Z746" i="4"/>
  <c r="L745" i="4"/>
  <c r="M745" i="4"/>
  <c r="N745" i="4"/>
  <c r="O745" i="4"/>
  <c r="P745" i="4"/>
  <c r="Q745" i="4"/>
  <c r="R745" i="4"/>
  <c r="S745" i="4"/>
  <c r="T745" i="4"/>
  <c r="U745" i="4"/>
  <c r="V745" i="4"/>
  <c r="W745" i="4"/>
  <c r="X745" i="4"/>
  <c r="Y745" i="4"/>
  <c r="Z745" i="4"/>
  <c r="L744" i="4"/>
  <c r="M744" i="4"/>
  <c r="N744" i="4"/>
  <c r="O744" i="4"/>
  <c r="P744" i="4"/>
  <c r="Q744" i="4"/>
  <c r="R744" i="4"/>
  <c r="S744" i="4"/>
  <c r="T744" i="4"/>
  <c r="U744" i="4"/>
  <c r="V744" i="4"/>
  <c r="W744" i="4"/>
  <c r="X744" i="4"/>
  <c r="Y744" i="4"/>
  <c r="Z744" i="4"/>
  <c r="L741" i="4"/>
  <c r="M741" i="4"/>
  <c r="N741" i="4"/>
  <c r="O741" i="4"/>
  <c r="P741" i="4"/>
  <c r="Q741" i="4"/>
  <c r="R741" i="4"/>
  <c r="S741" i="4"/>
  <c r="T741" i="4"/>
  <c r="U741" i="4"/>
  <c r="V741" i="4"/>
  <c r="W741" i="4"/>
  <c r="X741" i="4"/>
  <c r="Y741" i="4"/>
  <c r="Z741" i="4"/>
  <c r="L742" i="4"/>
  <c r="M742" i="4"/>
  <c r="N742" i="4"/>
  <c r="O742" i="4"/>
  <c r="P742" i="4"/>
  <c r="Q742" i="4"/>
  <c r="R742" i="4"/>
  <c r="S742" i="4"/>
  <c r="T742" i="4"/>
  <c r="U742" i="4"/>
  <c r="V742" i="4"/>
  <c r="W742" i="4"/>
  <c r="X742" i="4"/>
  <c r="Y742" i="4"/>
  <c r="Z742" i="4"/>
  <c r="L743" i="4"/>
  <c r="M743" i="4"/>
  <c r="N743" i="4"/>
  <c r="O743" i="4"/>
  <c r="P743" i="4"/>
  <c r="Q743" i="4"/>
  <c r="R743" i="4"/>
  <c r="S743" i="4"/>
  <c r="T743" i="4"/>
  <c r="U743" i="4"/>
  <c r="V743" i="4"/>
  <c r="W743" i="4"/>
  <c r="X743" i="4"/>
  <c r="Y743" i="4"/>
  <c r="Z743" i="4"/>
  <c r="L740" i="4"/>
  <c r="M740" i="4"/>
  <c r="N740" i="4"/>
  <c r="O740" i="4"/>
  <c r="P740" i="4"/>
  <c r="Q740" i="4"/>
  <c r="R740" i="4"/>
  <c r="S740" i="4"/>
  <c r="T740" i="4"/>
  <c r="U740" i="4"/>
  <c r="V740" i="4"/>
  <c r="W740" i="4"/>
  <c r="X740" i="4"/>
  <c r="Y740" i="4"/>
  <c r="Z740" i="4"/>
  <c r="L739" i="4"/>
  <c r="M739" i="4"/>
  <c r="N739" i="4"/>
  <c r="O739" i="4"/>
  <c r="P739" i="4"/>
  <c r="Q739" i="4"/>
  <c r="R739" i="4"/>
  <c r="S739" i="4"/>
  <c r="T739" i="4"/>
  <c r="U739" i="4"/>
  <c r="V739" i="4"/>
  <c r="W739" i="4"/>
  <c r="X739" i="4"/>
  <c r="Y739" i="4"/>
  <c r="Z739" i="4"/>
  <c r="L738" i="4"/>
  <c r="M738" i="4"/>
  <c r="N738" i="4"/>
  <c r="O738" i="4"/>
  <c r="P738" i="4"/>
  <c r="Q738" i="4"/>
  <c r="R738" i="4"/>
  <c r="S738" i="4"/>
  <c r="T738" i="4"/>
  <c r="U738" i="4"/>
  <c r="V738" i="4"/>
  <c r="W738" i="4"/>
  <c r="X738" i="4"/>
  <c r="Y738" i="4"/>
  <c r="Z738" i="4"/>
  <c r="L737" i="4"/>
  <c r="M737" i="4"/>
  <c r="N737" i="4"/>
  <c r="O737" i="4"/>
  <c r="P737" i="4"/>
  <c r="Q737" i="4"/>
  <c r="R737" i="4"/>
  <c r="S737" i="4"/>
  <c r="T737" i="4"/>
  <c r="U737" i="4"/>
  <c r="V737" i="4"/>
  <c r="W737" i="4"/>
  <c r="X737" i="4"/>
  <c r="Y737" i="4"/>
  <c r="Z737" i="4"/>
  <c r="L736" i="4"/>
  <c r="M736" i="4"/>
  <c r="N736" i="4"/>
  <c r="O736" i="4"/>
  <c r="P736" i="4"/>
  <c r="Q736" i="4"/>
  <c r="R736" i="4"/>
  <c r="S736" i="4"/>
  <c r="T736" i="4"/>
  <c r="U736" i="4"/>
  <c r="V736" i="4"/>
  <c r="W736" i="4"/>
  <c r="X736" i="4"/>
  <c r="Y736" i="4"/>
  <c r="Z736" i="4"/>
  <c r="L735" i="4"/>
  <c r="M735" i="4"/>
  <c r="N735" i="4"/>
  <c r="O735" i="4"/>
  <c r="P735" i="4"/>
  <c r="Q735" i="4"/>
  <c r="R735" i="4"/>
  <c r="S735" i="4"/>
  <c r="T735" i="4"/>
  <c r="U735" i="4"/>
  <c r="V735" i="4"/>
  <c r="W735" i="4"/>
  <c r="X735" i="4"/>
  <c r="Y735" i="4"/>
  <c r="Z735" i="4"/>
  <c r="L734" i="4"/>
  <c r="M734" i="4"/>
  <c r="N734" i="4"/>
  <c r="O734" i="4"/>
  <c r="P734" i="4"/>
  <c r="Q734" i="4"/>
  <c r="R734" i="4"/>
  <c r="S734" i="4"/>
  <c r="T734" i="4"/>
  <c r="U734" i="4"/>
  <c r="V734" i="4"/>
  <c r="W734" i="4"/>
  <c r="X734" i="4"/>
  <c r="Y734" i="4"/>
  <c r="Z734" i="4"/>
  <c r="L733" i="4"/>
  <c r="M733" i="4"/>
  <c r="N733" i="4"/>
  <c r="O733" i="4"/>
  <c r="P733" i="4"/>
  <c r="Q733" i="4"/>
  <c r="R733" i="4"/>
  <c r="S733" i="4"/>
  <c r="T733" i="4"/>
  <c r="U733" i="4"/>
  <c r="V733" i="4"/>
  <c r="W733" i="4"/>
  <c r="X733" i="4"/>
  <c r="Y733" i="4"/>
  <c r="Z733" i="4"/>
  <c r="L732" i="4"/>
  <c r="M732" i="4"/>
  <c r="N732" i="4"/>
  <c r="O732" i="4"/>
  <c r="P732" i="4"/>
  <c r="Q732" i="4"/>
  <c r="R732" i="4"/>
  <c r="S732" i="4"/>
  <c r="T732" i="4"/>
  <c r="U732" i="4"/>
  <c r="V732" i="4"/>
  <c r="W732" i="4"/>
  <c r="X732" i="4"/>
  <c r="Y732" i="4"/>
  <c r="Z732" i="4"/>
  <c r="L729" i="4"/>
  <c r="M729" i="4"/>
  <c r="N729" i="4"/>
  <c r="O729" i="4"/>
  <c r="P729" i="4"/>
  <c r="Q729" i="4"/>
  <c r="R729" i="4"/>
  <c r="S729" i="4"/>
  <c r="T729" i="4"/>
  <c r="U729" i="4"/>
  <c r="V729" i="4"/>
  <c r="W729" i="4"/>
  <c r="X729" i="4"/>
  <c r="Y729" i="4"/>
  <c r="Z729" i="4"/>
  <c r="L730" i="4"/>
  <c r="M730" i="4"/>
  <c r="N730" i="4"/>
  <c r="O730" i="4"/>
  <c r="P730" i="4"/>
  <c r="Q730" i="4"/>
  <c r="R730" i="4"/>
  <c r="S730" i="4"/>
  <c r="T730" i="4"/>
  <c r="U730" i="4"/>
  <c r="V730" i="4"/>
  <c r="W730" i="4"/>
  <c r="X730" i="4"/>
  <c r="Y730" i="4"/>
  <c r="Z730" i="4"/>
  <c r="L731" i="4"/>
  <c r="M731" i="4"/>
  <c r="N731" i="4"/>
  <c r="O731" i="4"/>
  <c r="P731" i="4"/>
  <c r="Q731" i="4"/>
  <c r="R731" i="4"/>
  <c r="S731" i="4"/>
  <c r="T731" i="4"/>
  <c r="U731" i="4"/>
  <c r="V731" i="4"/>
  <c r="W731" i="4"/>
  <c r="X731" i="4"/>
  <c r="Y731" i="4"/>
  <c r="Z731" i="4"/>
  <c r="L728" i="4"/>
  <c r="M728" i="4"/>
  <c r="N728" i="4"/>
  <c r="O728" i="4"/>
  <c r="P728" i="4"/>
  <c r="Q728" i="4"/>
  <c r="R728" i="4"/>
  <c r="S728" i="4"/>
  <c r="T728" i="4"/>
  <c r="U728" i="4"/>
  <c r="V728" i="4"/>
  <c r="W728" i="4"/>
  <c r="X728" i="4"/>
  <c r="Y728" i="4"/>
  <c r="Z728" i="4"/>
  <c r="L727" i="4"/>
  <c r="M727" i="4"/>
  <c r="N727" i="4"/>
  <c r="O727" i="4"/>
  <c r="P727" i="4"/>
  <c r="Q727" i="4"/>
  <c r="R727" i="4"/>
  <c r="S727" i="4"/>
  <c r="T727" i="4"/>
  <c r="U727" i="4"/>
  <c r="V727" i="4"/>
  <c r="W727" i="4"/>
  <c r="X727" i="4"/>
  <c r="Y727" i="4"/>
  <c r="Z727" i="4"/>
  <c r="L724" i="4"/>
  <c r="M724" i="4"/>
  <c r="N724" i="4"/>
  <c r="O724" i="4"/>
  <c r="P724" i="4"/>
  <c r="Q724" i="4"/>
  <c r="R724" i="4"/>
  <c r="S724" i="4"/>
  <c r="T724" i="4"/>
  <c r="U724" i="4"/>
  <c r="V724" i="4"/>
  <c r="W724" i="4"/>
  <c r="X724" i="4"/>
  <c r="Y724" i="4"/>
  <c r="Z724" i="4"/>
  <c r="L725" i="4"/>
  <c r="M725" i="4"/>
  <c r="N725" i="4"/>
  <c r="O725" i="4"/>
  <c r="P725" i="4"/>
  <c r="Q725" i="4"/>
  <c r="R725" i="4"/>
  <c r="S725" i="4"/>
  <c r="T725" i="4"/>
  <c r="U725" i="4"/>
  <c r="V725" i="4"/>
  <c r="W725" i="4"/>
  <c r="X725" i="4"/>
  <c r="Y725" i="4"/>
  <c r="Z725" i="4"/>
  <c r="L726" i="4"/>
  <c r="M726" i="4"/>
  <c r="N726" i="4"/>
  <c r="O726" i="4"/>
  <c r="P726" i="4"/>
  <c r="Q726" i="4"/>
  <c r="R726" i="4"/>
  <c r="S726" i="4"/>
  <c r="T726" i="4"/>
  <c r="U726" i="4"/>
  <c r="V726" i="4"/>
  <c r="W726" i="4"/>
  <c r="X726" i="4"/>
  <c r="Y726" i="4"/>
  <c r="Z726" i="4"/>
  <c r="L723" i="4"/>
  <c r="M723" i="4"/>
  <c r="N723" i="4"/>
  <c r="O723" i="4"/>
  <c r="P723" i="4"/>
  <c r="Q723" i="4"/>
  <c r="R723" i="4"/>
  <c r="S723" i="4"/>
  <c r="T723" i="4"/>
  <c r="U723" i="4"/>
  <c r="V723" i="4"/>
  <c r="W723" i="4"/>
  <c r="X723" i="4"/>
  <c r="Y723" i="4"/>
  <c r="Z723" i="4"/>
  <c r="L722" i="4"/>
  <c r="M722" i="4"/>
  <c r="N722" i="4"/>
  <c r="O722" i="4"/>
  <c r="P722" i="4"/>
  <c r="Q722" i="4"/>
  <c r="R722" i="4"/>
  <c r="S722" i="4"/>
  <c r="T722" i="4"/>
  <c r="U722" i="4"/>
  <c r="V722" i="4"/>
  <c r="W722" i="4"/>
  <c r="X722" i="4"/>
  <c r="Y722" i="4"/>
  <c r="Z722" i="4"/>
  <c r="L720" i="4"/>
  <c r="M720" i="4"/>
  <c r="N720" i="4"/>
  <c r="O720" i="4"/>
  <c r="P720" i="4"/>
  <c r="Q720" i="4"/>
  <c r="R720" i="4"/>
  <c r="S720" i="4"/>
  <c r="T720" i="4"/>
  <c r="U720" i="4"/>
  <c r="V720" i="4"/>
  <c r="W720" i="4"/>
  <c r="X720" i="4"/>
  <c r="Y720" i="4"/>
  <c r="Z720" i="4"/>
  <c r="L721" i="4"/>
  <c r="M721" i="4"/>
  <c r="N721" i="4"/>
  <c r="O721" i="4"/>
  <c r="P721" i="4"/>
  <c r="Q721" i="4"/>
  <c r="R721" i="4"/>
  <c r="S721" i="4"/>
  <c r="T721" i="4"/>
  <c r="U721" i="4"/>
  <c r="V721" i="4"/>
  <c r="W721" i="4"/>
  <c r="X721" i="4"/>
  <c r="Y721" i="4"/>
  <c r="Z721" i="4"/>
  <c r="L719" i="4"/>
  <c r="M719" i="4"/>
  <c r="N719" i="4"/>
  <c r="O719" i="4"/>
  <c r="P719" i="4"/>
  <c r="Q719" i="4"/>
  <c r="R719" i="4"/>
  <c r="S719" i="4"/>
  <c r="T719" i="4"/>
  <c r="U719" i="4"/>
  <c r="V719" i="4"/>
  <c r="W719" i="4"/>
  <c r="X719" i="4"/>
  <c r="Y719" i="4"/>
  <c r="Z719" i="4"/>
  <c r="L718" i="4"/>
  <c r="M718" i="4"/>
  <c r="N718" i="4"/>
  <c r="O718" i="4"/>
  <c r="P718" i="4"/>
  <c r="Q718" i="4"/>
  <c r="R718" i="4"/>
  <c r="S718" i="4"/>
  <c r="T718" i="4"/>
  <c r="U718" i="4"/>
  <c r="V718" i="4"/>
  <c r="W718" i="4"/>
  <c r="X718" i="4"/>
  <c r="Y718" i="4"/>
  <c r="Z718" i="4"/>
  <c r="L717" i="4"/>
  <c r="M717" i="4"/>
  <c r="N717" i="4"/>
  <c r="O717" i="4"/>
  <c r="P717" i="4"/>
  <c r="Q717" i="4"/>
  <c r="R717" i="4"/>
  <c r="S717" i="4"/>
  <c r="T717" i="4"/>
  <c r="U717" i="4"/>
  <c r="V717" i="4"/>
  <c r="W717" i="4"/>
  <c r="X717" i="4"/>
  <c r="Y717" i="4"/>
  <c r="Z717" i="4"/>
  <c r="L714" i="4"/>
  <c r="M714" i="4"/>
  <c r="N714" i="4"/>
  <c r="O714" i="4"/>
  <c r="P714" i="4"/>
  <c r="Q714" i="4"/>
  <c r="R714" i="4"/>
  <c r="S714" i="4"/>
  <c r="T714" i="4"/>
  <c r="U714" i="4"/>
  <c r="V714" i="4"/>
  <c r="W714" i="4"/>
  <c r="X714" i="4"/>
  <c r="Y714" i="4"/>
  <c r="Z714" i="4"/>
  <c r="L715" i="4"/>
  <c r="M715" i="4"/>
  <c r="N715" i="4"/>
  <c r="O715" i="4"/>
  <c r="P715" i="4"/>
  <c r="Q715" i="4"/>
  <c r="R715" i="4"/>
  <c r="S715" i="4"/>
  <c r="T715" i="4"/>
  <c r="U715" i="4"/>
  <c r="V715" i="4"/>
  <c r="W715" i="4"/>
  <c r="X715" i="4"/>
  <c r="Y715" i="4"/>
  <c r="Z715" i="4"/>
  <c r="L716" i="4"/>
  <c r="M716" i="4"/>
  <c r="N716" i="4"/>
  <c r="O716" i="4"/>
  <c r="P716" i="4"/>
  <c r="Q716" i="4"/>
  <c r="R716" i="4"/>
  <c r="S716" i="4"/>
  <c r="T716" i="4"/>
  <c r="U716" i="4"/>
  <c r="V716" i="4"/>
  <c r="W716" i="4"/>
  <c r="X716" i="4"/>
  <c r="Y716" i="4"/>
  <c r="Z716" i="4"/>
  <c r="L713" i="4"/>
  <c r="M713" i="4"/>
  <c r="N713" i="4"/>
  <c r="O713" i="4"/>
  <c r="P713" i="4"/>
  <c r="Q713" i="4"/>
  <c r="R713" i="4"/>
  <c r="S713" i="4"/>
  <c r="T713" i="4"/>
  <c r="U713" i="4"/>
  <c r="V713" i="4"/>
  <c r="W713" i="4"/>
  <c r="X713" i="4"/>
  <c r="Y713" i="4"/>
  <c r="Z713" i="4"/>
  <c r="L712" i="4"/>
  <c r="M712" i="4"/>
  <c r="N712" i="4"/>
  <c r="O712" i="4"/>
  <c r="P712" i="4"/>
  <c r="Q712" i="4"/>
  <c r="R712" i="4"/>
  <c r="S712" i="4"/>
  <c r="T712" i="4"/>
  <c r="U712" i="4"/>
  <c r="V712" i="4"/>
  <c r="W712" i="4"/>
  <c r="X712" i="4"/>
  <c r="Y712" i="4"/>
  <c r="Z712" i="4"/>
  <c r="L711" i="4"/>
  <c r="M711" i="4"/>
  <c r="N711" i="4"/>
  <c r="O711" i="4"/>
  <c r="P711" i="4"/>
  <c r="Q711" i="4"/>
  <c r="R711" i="4"/>
  <c r="S711" i="4"/>
  <c r="T711" i="4"/>
  <c r="U711" i="4"/>
  <c r="V711" i="4"/>
  <c r="W711" i="4"/>
  <c r="X711" i="4"/>
  <c r="Y711" i="4"/>
  <c r="Z711" i="4"/>
  <c r="L710" i="4"/>
  <c r="M710" i="4"/>
  <c r="N710" i="4"/>
  <c r="O710" i="4"/>
  <c r="P710" i="4"/>
  <c r="Q710" i="4"/>
  <c r="R710" i="4"/>
  <c r="S710" i="4"/>
  <c r="T710" i="4"/>
  <c r="U710" i="4"/>
  <c r="V710" i="4"/>
  <c r="W710" i="4"/>
  <c r="X710" i="4"/>
  <c r="Y710" i="4"/>
  <c r="Z710" i="4"/>
  <c r="L709" i="4"/>
  <c r="M709" i="4"/>
  <c r="N709" i="4"/>
  <c r="O709" i="4"/>
  <c r="P709" i="4"/>
  <c r="Q709" i="4"/>
  <c r="R709" i="4"/>
  <c r="S709" i="4"/>
  <c r="T709" i="4"/>
  <c r="U709" i="4"/>
  <c r="V709" i="4"/>
  <c r="W709" i="4"/>
  <c r="X709" i="4"/>
  <c r="Y709" i="4"/>
  <c r="Z709" i="4"/>
  <c r="L707" i="4"/>
  <c r="M707" i="4"/>
  <c r="N707" i="4"/>
  <c r="O707" i="4"/>
  <c r="P707" i="4"/>
  <c r="Q707" i="4"/>
  <c r="R707" i="4"/>
  <c r="S707" i="4"/>
  <c r="T707" i="4"/>
  <c r="U707" i="4"/>
  <c r="V707" i="4"/>
  <c r="W707" i="4"/>
  <c r="X707" i="4"/>
  <c r="Y707" i="4"/>
  <c r="Z707" i="4"/>
  <c r="L708" i="4"/>
  <c r="M708" i="4"/>
  <c r="N708" i="4"/>
  <c r="O708" i="4"/>
  <c r="P708" i="4"/>
  <c r="Q708" i="4"/>
  <c r="R708" i="4"/>
  <c r="S708" i="4"/>
  <c r="T708" i="4"/>
  <c r="U708" i="4"/>
  <c r="V708" i="4"/>
  <c r="W708" i="4"/>
  <c r="X708" i="4"/>
  <c r="Y708" i="4"/>
  <c r="Z708" i="4"/>
  <c r="L706" i="4"/>
  <c r="M706" i="4"/>
  <c r="N706" i="4"/>
  <c r="O706" i="4"/>
  <c r="P706" i="4"/>
  <c r="Q706" i="4"/>
  <c r="R706" i="4"/>
  <c r="S706" i="4"/>
  <c r="T706" i="4"/>
  <c r="U706" i="4"/>
  <c r="V706" i="4"/>
  <c r="W706" i="4"/>
  <c r="X706" i="4"/>
  <c r="Y706" i="4"/>
  <c r="Z706" i="4"/>
  <c r="L705" i="4"/>
  <c r="M705" i="4"/>
  <c r="N705" i="4"/>
  <c r="O705" i="4"/>
  <c r="P705" i="4"/>
  <c r="Q705" i="4"/>
  <c r="R705" i="4"/>
  <c r="S705" i="4"/>
  <c r="T705" i="4"/>
  <c r="U705" i="4"/>
  <c r="V705" i="4"/>
  <c r="W705" i="4"/>
  <c r="X705" i="4"/>
  <c r="Y705" i="4"/>
  <c r="Z705" i="4"/>
  <c r="L704" i="4"/>
  <c r="M704" i="4"/>
  <c r="N704" i="4"/>
  <c r="O704" i="4"/>
  <c r="P704" i="4"/>
  <c r="Q704" i="4"/>
  <c r="R704" i="4"/>
  <c r="S704" i="4"/>
  <c r="T704" i="4"/>
  <c r="U704" i="4"/>
  <c r="V704" i="4"/>
  <c r="W704" i="4"/>
  <c r="X704" i="4"/>
  <c r="Y704" i="4"/>
  <c r="Z704" i="4"/>
  <c r="L702" i="4"/>
  <c r="M702" i="4"/>
  <c r="N702" i="4"/>
  <c r="O702" i="4"/>
  <c r="P702" i="4"/>
  <c r="Q702" i="4"/>
  <c r="R702" i="4"/>
  <c r="S702" i="4"/>
  <c r="T702" i="4"/>
  <c r="U702" i="4"/>
  <c r="V702" i="4"/>
  <c r="W702" i="4"/>
  <c r="X702" i="4"/>
  <c r="Y702" i="4"/>
  <c r="Z702" i="4"/>
  <c r="L703" i="4"/>
  <c r="M703" i="4"/>
  <c r="N703" i="4"/>
  <c r="O703" i="4"/>
  <c r="P703" i="4"/>
  <c r="Q703" i="4"/>
  <c r="R703" i="4"/>
  <c r="S703" i="4"/>
  <c r="T703" i="4"/>
  <c r="U703" i="4"/>
  <c r="V703" i="4"/>
  <c r="W703" i="4"/>
  <c r="X703" i="4"/>
  <c r="Y703" i="4"/>
  <c r="Z703" i="4"/>
  <c r="L701" i="4"/>
  <c r="M701" i="4"/>
  <c r="N701" i="4"/>
  <c r="O701" i="4"/>
  <c r="P701" i="4"/>
  <c r="Q701" i="4"/>
  <c r="R701" i="4"/>
  <c r="S701" i="4"/>
  <c r="T701" i="4"/>
  <c r="U701" i="4"/>
  <c r="V701" i="4"/>
  <c r="W701" i="4"/>
  <c r="X701" i="4"/>
  <c r="Y701" i="4"/>
  <c r="Z701" i="4"/>
  <c r="L700" i="4"/>
  <c r="M700" i="4"/>
  <c r="N700" i="4"/>
  <c r="O700" i="4"/>
  <c r="P700" i="4"/>
  <c r="Q700" i="4"/>
  <c r="R700" i="4"/>
  <c r="S700" i="4"/>
  <c r="T700" i="4"/>
  <c r="U700" i="4"/>
  <c r="V700" i="4"/>
  <c r="W700" i="4"/>
  <c r="X700" i="4"/>
  <c r="Y700" i="4"/>
  <c r="Z700" i="4"/>
  <c r="L699" i="4"/>
  <c r="M699" i="4"/>
  <c r="N699" i="4"/>
  <c r="O699" i="4"/>
  <c r="P699" i="4"/>
  <c r="Q699" i="4"/>
  <c r="R699" i="4"/>
  <c r="S699" i="4"/>
  <c r="T699" i="4"/>
  <c r="U699" i="4"/>
  <c r="V699" i="4"/>
  <c r="W699" i="4"/>
  <c r="X699" i="4"/>
  <c r="Y699" i="4"/>
  <c r="Z699" i="4"/>
  <c r="L698" i="4"/>
  <c r="M698" i="4"/>
  <c r="N698" i="4"/>
  <c r="O698" i="4"/>
  <c r="P698" i="4"/>
  <c r="Q698" i="4"/>
  <c r="R698" i="4"/>
  <c r="S698" i="4"/>
  <c r="T698" i="4"/>
  <c r="U698" i="4"/>
  <c r="V698" i="4"/>
  <c r="W698" i="4"/>
  <c r="X698" i="4"/>
  <c r="Y698" i="4"/>
  <c r="Z698" i="4"/>
  <c r="L697" i="4"/>
  <c r="M697" i="4"/>
  <c r="N697" i="4"/>
  <c r="O697" i="4"/>
  <c r="P697" i="4"/>
  <c r="Q697" i="4"/>
  <c r="R697" i="4"/>
  <c r="S697" i="4"/>
  <c r="T697" i="4"/>
  <c r="U697" i="4"/>
  <c r="V697" i="4"/>
  <c r="W697" i="4"/>
  <c r="X697" i="4"/>
  <c r="Y697" i="4"/>
  <c r="Z697" i="4"/>
  <c r="L696" i="4"/>
  <c r="M696" i="4"/>
  <c r="N696" i="4"/>
  <c r="O696" i="4"/>
  <c r="P696" i="4"/>
  <c r="Q696" i="4"/>
  <c r="R696" i="4"/>
  <c r="S696" i="4"/>
  <c r="T696" i="4"/>
  <c r="U696" i="4"/>
  <c r="V696" i="4"/>
  <c r="W696" i="4"/>
  <c r="X696" i="4"/>
  <c r="Y696" i="4"/>
  <c r="Z696" i="4"/>
  <c r="L695" i="4"/>
  <c r="M695" i="4"/>
  <c r="N695" i="4"/>
  <c r="O695" i="4"/>
  <c r="P695" i="4"/>
  <c r="Q695" i="4"/>
  <c r="R695" i="4"/>
  <c r="S695" i="4"/>
  <c r="T695" i="4"/>
  <c r="U695" i="4"/>
  <c r="V695" i="4"/>
  <c r="W695" i="4"/>
  <c r="X695" i="4"/>
  <c r="Y695" i="4"/>
  <c r="Z695" i="4"/>
  <c r="L694" i="4"/>
  <c r="M694" i="4"/>
  <c r="N694" i="4"/>
  <c r="O694" i="4"/>
  <c r="P694" i="4"/>
  <c r="Q694" i="4"/>
  <c r="R694" i="4"/>
  <c r="S694" i="4"/>
  <c r="T694" i="4"/>
  <c r="U694" i="4"/>
  <c r="V694" i="4"/>
  <c r="W694" i="4"/>
  <c r="X694" i="4"/>
  <c r="Y694" i="4"/>
  <c r="Z694" i="4"/>
  <c r="L693" i="4"/>
  <c r="M693" i="4"/>
  <c r="N693" i="4"/>
  <c r="O693" i="4"/>
  <c r="P693" i="4"/>
  <c r="Q693" i="4"/>
  <c r="R693" i="4"/>
  <c r="S693" i="4"/>
  <c r="T693" i="4"/>
  <c r="U693" i="4"/>
  <c r="V693" i="4"/>
  <c r="W693" i="4"/>
  <c r="X693" i="4"/>
  <c r="Y693" i="4"/>
  <c r="Z693" i="4"/>
  <c r="L691" i="4"/>
  <c r="M691" i="4"/>
  <c r="N691" i="4"/>
  <c r="O691" i="4"/>
  <c r="P691" i="4"/>
  <c r="Q691" i="4"/>
  <c r="R691" i="4"/>
  <c r="S691" i="4"/>
  <c r="T691" i="4"/>
  <c r="U691" i="4"/>
  <c r="V691" i="4"/>
  <c r="W691" i="4"/>
  <c r="X691" i="4"/>
  <c r="Y691" i="4"/>
  <c r="Z691" i="4"/>
  <c r="L692" i="4"/>
  <c r="M692" i="4"/>
  <c r="N692" i="4"/>
  <c r="O692" i="4"/>
  <c r="P692" i="4"/>
  <c r="Q692" i="4"/>
  <c r="R692" i="4"/>
  <c r="S692" i="4"/>
  <c r="T692" i="4"/>
  <c r="U692" i="4"/>
  <c r="V692" i="4"/>
  <c r="W692" i="4"/>
  <c r="X692" i="4"/>
  <c r="Y692" i="4"/>
  <c r="Z692" i="4"/>
  <c r="L690" i="4"/>
  <c r="M690" i="4"/>
  <c r="N690" i="4"/>
  <c r="O690" i="4"/>
  <c r="P690" i="4"/>
  <c r="Q690" i="4"/>
  <c r="R690" i="4"/>
  <c r="S690" i="4"/>
  <c r="T690" i="4"/>
  <c r="U690" i="4"/>
  <c r="V690" i="4"/>
  <c r="W690" i="4"/>
  <c r="X690" i="4"/>
  <c r="Y690" i="4"/>
  <c r="Z690" i="4"/>
  <c r="L689" i="4"/>
  <c r="M689" i="4"/>
  <c r="N689" i="4"/>
  <c r="O689" i="4"/>
  <c r="P689" i="4"/>
  <c r="Q689" i="4"/>
  <c r="R689" i="4"/>
  <c r="S689" i="4"/>
  <c r="T689" i="4"/>
  <c r="U689" i="4"/>
  <c r="V689" i="4"/>
  <c r="W689" i="4"/>
  <c r="X689" i="4"/>
  <c r="Y689" i="4"/>
  <c r="Z689" i="4"/>
  <c r="L688" i="4"/>
  <c r="M688" i="4"/>
  <c r="N688" i="4"/>
  <c r="O688" i="4"/>
  <c r="P688" i="4"/>
  <c r="Q688" i="4"/>
  <c r="R688" i="4"/>
  <c r="S688" i="4"/>
  <c r="T688" i="4"/>
  <c r="U688" i="4"/>
  <c r="V688" i="4"/>
  <c r="W688" i="4"/>
  <c r="X688" i="4"/>
  <c r="Y688" i="4"/>
  <c r="Z688" i="4"/>
  <c r="L687" i="4"/>
  <c r="M687" i="4"/>
  <c r="N687" i="4"/>
  <c r="O687" i="4"/>
  <c r="P687" i="4"/>
  <c r="Q687" i="4"/>
  <c r="R687" i="4"/>
  <c r="S687" i="4"/>
  <c r="T687" i="4"/>
  <c r="U687" i="4"/>
  <c r="V687" i="4"/>
  <c r="W687" i="4"/>
  <c r="X687" i="4"/>
  <c r="Y687" i="4"/>
  <c r="Z687" i="4"/>
  <c r="L686" i="4"/>
  <c r="M686" i="4"/>
  <c r="N686" i="4"/>
  <c r="O686" i="4"/>
  <c r="P686" i="4"/>
  <c r="Q686" i="4"/>
  <c r="R686" i="4"/>
  <c r="S686" i="4"/>
  <c r="T686" i="4"/>
  <c r="U686" i="4"/>
  <c r="V686" i="4"/>
  <c r="W686" i="4"/>
  <c r="X686" i="4"/>
  <c r="Y686" i="4"/>
  <c r="Z686" i="4"/>
  <c r="L685" i="4"/>
  <c r="M685" i="4"/>
  <c r="N685" i="4"/>
  <c r="O685" i="4"/>
  <c r="P685" i="4"/>
  <c r="Q685" i="4"/>
  <c r="R685" i="4"/>
  <c r="S685" i="4"/>
  <c r="T685" i="4"/>
  <c r="U685" i="4"/>
  <c r="V685" i="4"/>
  <c r="W685" i="4"/>
  <c r="X685" i="4"/>
  <c r="Y685" i="4"/>
  <c r="Z685" i="4"/>
  <c r="L684" i="4"/>
  <c r="M684" i="4"/>
  <c r="N684" i="4"/>
  <c r="O684" i="4"/>
  <c r="P684" i="4"/>
  <c r="Q684" i="4"/>
  <c r="R684" i="4"/>
  <c r="S684" i="4"/>
  <c r="T684" i="4"/>
  <c r="U684" i="4"/>
  <c r="V684" i="4"/>
  <c r="W684" i="4"/>
  <c r="X684" i="4"/>
  <c r="Y684" i="4"/>
  <c r="Z684" i="4"/>
  <c r="L683" i="4"/>
  <c r="M683" i="4"/>
  <c r="N683" i="4"/>
  <c r="O683" i="4"/>
  <c r="P683" i="4"/>
  <c r="Q683" i="4"/>
  <c r="R683" i="4"/>
  <c r="S683" i="4"/>
  <c r="T683" i="4"/>
  <c r="U683" i="4"/>
  <c r="V683" i="4"/>
  <c r="W683" i="4"/>
  <c r="X683" i="4"/>
  <c r="Y683" i="4"/>
  <c r="Z683" i="4"/>
  <c r="L682" i="4"/>
  <c r="M682" i="4"/>
  <c r="N682" i="4"/>
  <c r="O682" i="4"/>
  <c r="P682" i="4"/>
  <c r="Q682" i="4"/>
  <c r="R682" i="4"/>
  <c r="S682" i="4"/>
  <c r="T682" i="4"/>
  <c r="U682" i="4"/>
  <c r="V682" i="4"/>
  <c r="W682" i="4"/>
  <c r="X682" i="4"/>
  <c r="Y682" i="4"/>
  <c r="Z682" i="4"/>
  <c r="L681" i="4"/>
  <c r="M681" i="4"/>
  <c r="N681" i="4"/>
  <c r="O681" i="4"/>
  <c r="P681" i="4"/>
  <c r="Q681" i="4"/>
  <c r="R681" i="4"/>
  <c r="S681" i="4"/>
  <c r="T681" i="4"/>
  <c r="U681" i="4"/>
  <c r="V681" i="4"/>
  <c r="W681" i="4"/>
  <c r="X681" i="4"/>
  <c r="Y681" i="4"/>
  <c r="Z681" i="4"/>
  <c r="L680" i="4"/>
  <c r="M680" i="4"/>
  <c r="N680" i="4"/>
  <c r="O680" i="4"/>
  <c r="P680" i="4"/>
  <c r="Q680" i="4"/>
  <c r="R680" i="4"/>
  <c r="S680" i="4"/>
  <c r="T680" i="4"/>
  <c r="U680" i="4"/>
  <c r="V680" i="4"/>
  <c r="W680" i="4"/>
  <c r="X680" i="4"/>
  <c r="Y680" i="4"/>
  <c r="Z680" i="4"/>
  <c r="L678" i="4"/>
  <c r="M678" i="4"/>
  <c r="N678" i="4"/>
  <c r="O678" i="4"/>
  <c r="P678" i="4"/>
  <c r="Q678" i="4"/>
  <c r="R678" i="4"/>
  <c r="S678" i="4"/>
  <c r="T678" i="4"/>
  <c r="U678" i="4"/>
  <c r="V678" i="4"/>
  <c r="W678" i="4"/>
  <c r="X678" i="4"/>
  <c r="Y678" i="4"/>
  <c r="Z678" i="4"/>
  <c r="L679" i="4"/>
  <c r="M679" i="4"/>
  <c r="N679" i="4"/>
  <c r="O679" i="4"/>
  <c r="P679" i="4"/>
  <c r="Q679" i="4"/>
  <c r="R679" i="4"/>
  <c r="S679" i="4"/>
  <c r="T679" i="4"/>
  <c r="U679" i="4"/>
  <c r="V679" i="4"/>
  <c r="W679" i="4"/>
  <c r="X679" i="4"/>
  <c r="Y679" i="4"/>
  <c r="Z679" i="4"/>
  <c r="L677" i="4"/>
  <c r="M677" i="4"/>
  <c r="N677" i="4"/>
  <c r="O677" i="4"/>
  <c r="P677" i="4"/>
  <c r="Q677" i="4"/>
  <c r="R677" i="4"/>
  <c r="S677" i="4"/>
  <c r="T677" i="4"/>
  <c r="U677" i="4"/>
  <c r="V677" i="4"/>
  <c r="W677" i="4"/>
  <c r="X677" i="4"/>
  <c r="Y677" i="4"/>
  <c r="Z677" i="4"/>
  <c r="L675" i="4"/>
  <c r="M675" i="4"/>
  <c r="N675" i="4"/>
  <c r="O675" i="4"/>
  <c r="P675" i="4"/>
  <c r="Q675" i="4"/>
  <c r="R675" i="4"/>
  <c r="S675" i="4"/>
  <c r="T675" i="4"/>
  <c r="U675" i="4"/>
  <c r="V675" i="4"/>
  <c r="W675" i="4"/>
  <c r="X675" i="4"/>
  <c r="Y675" i="4"/>
  <c r="Z675" i="4"/>
  <c r="L676" i="4"/>
  <c r="M676" i="4"/>
  <c r="N676" i="4"/>
  <c r="O676" i="4"/>
  <c r="P676" i="4"/>
  <c r="Q676" i="4"/>
  <c r="R676" i="4"/>
  <c r="S676" i="4"/>
  <c r="T676" i="4"/>
  <c r="U676" i="4"/>
  <c r="V676" i="4"/>
  <c r="W676" i="4"/>
  <c r="X676" i="4"/>
  <c r="Y676" i="4"/>
  <c r="Z676" i="4"/>
  <c r="L674" i="4"/>
  <c r="M674" i="4"/>
  <c r="N674" i="4"/>
  <c r="O674" i="4"/>
  <c r="P674" i="4"/>
  <c r="Q674" i="4"/>
  <c r="R674" i="4"/>
  <c r="S674" i="4"/>
  <c r="T674" i="4"/>
  <c r="U674" i="4"/>
  <c r="V674" i="4"/>
  <c r="W674" i="4"/>
  <c r="X674" i="4"/>
  <c r="Y674" i="4"/>
  <c r="Z674" i="4"/>
  <c r="L673" i="4"/>
  <c r="M673" i="4"/>
  <c r="N673" i="4"/>
  <c r="O673" i="4"/>
  <c r="P673" i="4"/>
  <c r="Q673" i="4"/>
  <c r="R673" i="4"/>
  <c r="S673" i="4"/>
  <c r="T673" i="4"/>
  <c r="U673" i="4"/>
  <c r="V673" i="4"/>
  <c r="W673" i="4"/>
  <c r="X673" i="4"/>
  <c r="Y673" i="4"/>
  <c r="Z673" i="4"/>
  <c r="L672" i="4"/>
  <c r="M672" i="4"/>
  <c r="N672" i="4"/>
  <c r="O672" i="4"/>
  <c r="P672" i="4"/>
  <c r="Q672" i="4"/>
  <c r="R672" i="4"/>
  <c r="S672" i="4"/>
  <c r="T672" i="4"/>
  <c r="U672" i="4"/>
  <c r="V672" i="4"/>
  <c r="W672" i="4"/>
  <c r="X672" i="4"/>
  <c r="Y672" i="4"/>
  <c r="Z672" i="4"/>
  <c r="L669" i="4"/>
  <c r="M669" i="4"/>
  <c r="N669" i="4"/>
  <c r="O669" i="4"/>
  <c r="P669" i="4"/>
  <c r="Q669" i="4"/>
  <c r="R669" i="4"/>
  <c r="S669" i="4"/>
  <c r="T669" i="4"/>
  <c r="U669" i="4"/>
  <c r="V669" i="4"/>
  <c r="W669" i="4"/>
  <c r="X669" i="4"/>
  <c r="Y669" i="4"/>
  <c r="Z669" i="4"/>
  <c r="L670" i="4"/>
  <c r="M670" i="4"/>
  <c r="N670" i="4"/>
  <c r="O670" i="4"/>
  <c r="P670" i="4"/>
  <c r="Q670" i="4"/>
  <c r="R670" i="4"/>
  <c r="S670" i="4"/>
  <c r="T670" i="4"/>
  <c r="U670" i="4"/>
  <c r="V670" i="4"/>
  <c r="W670" i="4"/>
  <c r="X670" i="4"/>
  <c r="Y670" i="4"/>
  <c r="Z670" i="4"/>
  <c r="L671" i="4"/>
  <c r="M671" i="4"/>
  <c r="N671" i="4"/>
  <c r="O671" i="4"/>
  <c r="P671" i="4"/>
  <c r="Q671" i="4"/>
  <c r="R671" i="4"/>
  <c r="S671" i="4"/>
  <c r="T671" i="4"/>
  <c r="U671" i="4"/>
  <c r="V671" i="4"/>
  <c r="W671" i="4"/>
  <c r="X671" i="4"/>
  <c r="Y671" i="4"/>
  <c r="Z671" i="4"/>
  <c r="L668" i="4"/>
  <c r="M668" i="4"/>
  <c r="N668" i="4"/>
  <c r="O668" i="4"/>
  <c r="P668" i="4"/>
  <c r="Q668" i="4"/>
  <c r="R668" i="4"/>
  <c r="S668" i="4"/>
  <c r="T668" i="4"/>
  <c r="U668" i="4"/>
  <c r="V668" i="4"/>
  <c r="W668" i="4"/>
  <c r="X668" i="4"/>
  <c r="Y668" i="4"/>
  <c r="Z668" i="4"/>
  <c r="L667" i="4"/>
  <c r="M667" i="4"/>
  <c r="N667" i="4"/>
  <c r="O667" i="4"/>
  <c r="P667" i="4"/>
  <c r="Q667" i="4"/>
  <c r="R667" i="4"/>
  <c r="S667" i="4"/>
  <c r="T667" i="4"/>
  <c r="U667" i="4"/>
  <c r="V667" i="4"/>
  <c r="W667" i="4"/>
  <c r="X667" i="4"/>
  <c r="Y667" i="4"/>
  <c r="Z667" i="4"/>
  <c r="L666" i="4"/>
  <c r="M666" i="4"/>
  <c r="N666" i="4"/>
  <c r="O666" i="4"/>
  <c r="P666" i="4"/>
  <c r="Q666" i="4"/>
  <c r="R666" i="4"/>
  <c r="S666" i="4"/>
  <c r="T666" i="4"/>
  <c r="U666" i="4"/>
  <c r="V666" i="4"/>
  <c r="W666" i="4"/>
  <c r="X666" i="4"/>
  <c r="Y666" i="4"/>
  <c r="Z666" i="4"/>
  <c r="L665" i="4"/>
  <c r="M665" i="4"/>
  <c r="N665" i="4"/>
  <c r="O665" i="4"/>
  <c r="P665" i="4"/>
  <c r="Q665" i="4"/>
  <c r="R665" i="4"/>
  <c r="S665" i="4"/>
  <c r="T665" i="4"/>
  <c r="U665" i="4"/>
  <c r="V665" i="4"/>
  <c r="W665" i="4"/>
  <c r="X665" i="4"/>
  <c r="Y665" i="4"/>
  <c r="Z665" i="4"/>
  <c r="L663" i="4"/>
  <c r="M663" i="4"/>
  <c r="N663" i="4"/>
  <c r="O663" i="4"/>
  <c r="P663" i="4"/>
  <c r="Q663" i="4"/>
  <c r="R663" i="4"/>
  <c r="S663" i="4"/>
  <c r="T663" i="4"/>
  <c r="U663" i="4"/>
  <c r="V663" i="4"/>
  <c r="W663" i="4"/>
  <c r="X663" i="4"/>
  <c r="Y663" i="4"/>
  <c r="Z663" i="4"/>
  <c r="L664" i="4"/>
  <c r="M664" i="4"/>
  <c r="N664" i="4"/>
  <c r="O664" i="4"/>
  <c r="P664" i="4"/>
  <c r="Q664" i="4"/>
  <c r="R664" i="4"/>
  <c r="S664" i="4"/>
  <c r="T664" i="4"/>
  <c r="U664" i="4"/>
  <c r="V664" i="4"/>
  <c r="W664" i="4"/>
  <c r="X664" i="4"/>
  <c r="Y664" i="4"/>
  <c r="Z664" i="4"/>
  <c r="L662" i="4"/>
  <c r="M662" i="4"/>
  <c r="N662" i="4"/>
  <c r="O662" i="4"/>
  <c r="P662" i="4"/>
  <c r="Q662" i="4"/>
  <c r="R662" i="4"/>
  <c r="S662" i="4"/>
  <c r="T662" i="4"/>
  <c r="U662" i="4"/>
  <c r="V662" i="4"/>
  <c r="W662" i="4"/>
  <c r="X662" i="4"/>
  <c r="Y662" i="4"/>
  <c r="Z662" i="4"/>
  <c r="L661" i="4"/>
  <c r="M661" i="4"/>
  <c r="N661" i="4"/>
  <c r="O661" i="4"/>
  <c r="P661" i="4"/>
  <c r="Q661" i="4"/>
  <c r="R661" i="4"/>
  <c r="S661" i="4"/>
  <c r="T661" i="4"/>
  <c r="U661" i="4"/>
  <c r="V661" i="4"/>
  <c r="W661" i="4"/>
  <c r="X661" i="4"/>
  <c r="Y661" i="4"/>
  <c r="Z661" i="4"/>
  <c r="L660" i="4"/>
  <c r="M660" i="4"/>
  <c r="N660" i="4"/>
  <c r="O660" i="4"/>
  <c r="P660" i="4"/>
  <c r="Q660" i="4"/>
  <c r="R660" i="4"/>
  <c r="S660" i="4"/>
  <c r="T660" i="4"/>
  <c r="U660" i="4"/>
  <c r="V660" i="4"/>
  <c r="W660" i="4"/>
  <c r="X660" i="4"/>
  <c r="Y660" i="4"/>
  <c r="Z660" i="4"/>
  <c r="L659" i="4"/>
  <c r="M659" i="4"/>
  <c r="N659" i="4"/>
  <c r="O659" i="4"/>
  <c r="P659" i="4"/>
  <c r="Q659" i="4"/>
  <c r="R659" i="4"/>
  <c r="S659" i="4"/>
  <c r="T659" i="4"/>
  <c r="U659" i="4"/>
  <c r="V659" i="4"/>
  <c r="W659" i="4"/>
  <c r="X659" i="4"/>
  <c r="Y659" i="4"/>
  <c r="Z659" i="4"/>
  <c r="L657" i="4"/>
  <c r="M657" i="4"/>
  <c r="N657" i="4"/>
  <c r="O657" i="4"/>
  <c r="P657" i="4"/>
  <c r="Q657" i="4"/>
  <c r="R657" i="4"/>
  <c r="S657" i="4"/>
  <c r="T657" i="4"/>
  <c r="U657" i="4"/>
  <c r="V657" i="4"/>
  <c r="W657" i="4"/>
  <c r="X657" i="4"/>
  <c r="Y657" i="4"/>
  <c r="Z657" i="4"/>
  <c r="L658" i="4"/>
  <c r="M658" i="4"/>
  <c r="N658" i="4"/>
  <c r="O658" i="4"/>
  <c r="P658" i="4"/>
  <c r="Q658" i="4"/>
  <c r="R658" i="4"/>
  <c r="S658" i="4"/>
  <c r="T658" i="4"/>
  <c r="U658" i="4"/>
  <c r="V658" i="4"/>
  <c r="W658" i="4"/>
  <c r="X658" i="4"/>
  <c r="Y658" i="4"/>
  <c r="Z658" i="4"/>
  <c r="L656" i="4"/>
  <c r="M656" i="4"/>
  <c r="N656" i="4"/>
  <c r="O656" i="4"/>
  <c r="P656" i="4"/>
  <c r="Q656" i="4"/>
  <c r="R656" i="4"/>
  <c r="S656" i="4"/>
  <c r="T656" i="4"/>
  <c r="U656" i="4"/>
  <c r="V656" i="4"/>
  <c r="W656" i="4"/>
  <c r="X656" i="4"/>
  <c r="Y656" i="4"/>
  <c r="Z656" i="4"/>
  <c r="L655" i="4"/>
  <c r="M655" i="4"/>
  <c r="N655" i="4"/>
  <c r="O655" i="4"/>
  <c r="P655" i="4"/>
  <c r="Q655" i="4"/>
  <c r="R655" i="4"/>
  <c r="S655" i="4"/>
  <c r="T655" i="4"/>
  <c r="U655" i="4"/>
  <c r="V655" i="4"/>
  <c r="W655" i="4"/>
  <c r="X655" i="4"/>
  <c r="Y655" i="4"/>
  <c r="Z655" i="4"/>
  <c r="L653" i="4"/>
  <c r="M653" i="4"/>
  <c r="N653" i="4"/>
  <c r="O653" i="4"/>
  <c r="P653" i="4"/>
  <c r="Q653" i="4"/>
  <c r="R653" i="4"/>
  <c r="S653" i="4"/>
  <c r="T653" i="4"/>
  <c r="U653" i="4"/>
  <c r="V653" i="4"/>
  <c r="W653" i="4"/>
  <c r="X653" i="4"/>
  <c r="Y653" i="4"/>
  <c r="Z653" i="4"/>
  <c r="L654" i="4"/>
  <c r="M654" i="4"/>
  <c r="N654" i="4"/>
  <c r="O654" i="4"/>
  <c r="P654" i="4"/>
  <c r="Q654" i="4"/>
  <c r="R654" i="4"/>
  <c r="S654" i="4"/>
  <c r="T654" i="4"/>
  <c r="U654" i="4"/>
  <c r="V654" i="4"/>
  <c r="W654" i="4"/>
  <c r="X654" i="4"/>
  <c r="Y654" i="4"/>
  <c r="Z654" i="4"/>
  <c r="L652" i="4"/>
  <c r="M652" i="4"/>
  <c r="N652" i="4"/>
  <c r="O652" i="4"/>
  <c r="P652" i="4"/>
  <c r="Q652" i="4"/>
  <c r="R652" i="4"/>
  <c r="S652" i="4"/>
  <c r="T652" i="4"/>
  <c r="U652" i="4"/>
  <c r="V652" i="4"/>
  <c r="W652" i="4"/>
  <c r="X652" i="4"/>
  <c r="Y652" i="4"/>
  <c r="Z652" i="4"/>
  <c r="L650" i="4"/>
  <c r="M650" i="4"/>
  <c r="N650" i="4"/>
  <c r="O650" i="4"/>
  <c r="P650" i="4"/>
  <c r="Q650" i="4"/>
  <c r="R650" i="4"/>
  <c r="S650" i="4"/>
  <c r="T650" i="4"/>
  <c r="U650" i="4"/>
  <c r="V650" i="4"/>
  <c r="W650" i="4"/>
  <c r="X650" i="4"/>
  <c r="Y650" i="4"/>
  <c r="Z650" i="4"/>
  <c r="L651" i="4"/>
  <c r="M651" i="4"/>
  <c r="N651" i="4"/>
  <c r="O651" i="4"/>
  <c r="P651" i="4"/>
  <c r="Q651" i="4"/>
  <c r="R651" i="4"/>
  <c r="S651" i="4"/>
  <c r="T651" i="4"/>
  <c r="U651" i="4"/>
  <c r="V651" i="4"/>
  <c r="W651" i="4"/>
  <c r="X651" i="4"/>
  <c r="Y651" i="4"/>
  <c r="Z651" i="4"/>
  <c r="L649" i="4"/>
  <c r="M649" i="4"/>
  <c r="N649" i="4"/>
  <c r="O649" i="4"/>
  <c r="P649" i="4"/>
  <c r="Q649" i="4"/>
  <c r="R649" i="4"/>
  <c r="S649" i="4"/>
  <c r="T649" i="4"/>
  <c r="U649" i="4"/>
  <c r="V649" i="4"/>
  <c r="W649" i="4"/>
  <c r="X649" i="4"/>
  <c r="Y649" i="4"/>
  <c r="Z649" i="4"/>
  <c r="L647" i="4"/>
  <c r="M647" i="4"/>
  <c r="N647" i="4"/>
  <c r="O647" i="4"/>
  <c r="P647" i="4"/>
  <c r="Q647" i="4"/>
  <c r="R647" i="4"/>
  <c r="S647" i="4"/>
  <c r="T647" i="4"/>
  <c r="U647" i="4"/>
  <c r="V647" i="4"/>
  <c r="W647" i="4"/>
  <c r="X647" i="4"/>
  <c r="Y647" i="4"/>
  <c r="Z647" i="4"/>
  <c r="L648" i="4"/>
  <c r="M648" i="4"/>
  <c r="N648" i="4"/>
  <c r="O648" i="4"/>
  <c r="P648" i="4"/>
  <c r="Q648" i="4"/>
  <c r="R648" i="4"/>
  <c r="S648" i="4"/>
  <c r="T648" i="4"/>
  <c r="U648" i="4"/>
  <c r="V648" i="4"/>
  <c r="W648" i="4"/>
  <c r="X648" i="4"/>
  <c r="Y648" i="4"/>
  <c r="Z648" i="4"/>
  <c r="L645" i="4"/>
  <c r="M645" i="4"/>
  <c r="N645" i="4"/>
  <c r="O645" i="4"/>
  <c r="P645" i="4"/>
  <c r="Q645" i="4"/>
  <c r="R645" i="4"/>
  <c r="S645" i="4"/>
  <c r="T645" i="4"/>
  <c r="U645" i="4"/>
  <c r="V645" i="4"/>
  <c r="W645" i="4"/>
  <c r="X645" i="4"/>
  <c r="Y645" i="4"/>
  <c r="Z645" i="4"/>
  <c r="L646" i="4"/>
  <c r="M646" i="4"/>
  <c r="N646" i="4"/>
  <c r="O646" i="4"/>
  <c r="P646" i="4"/>
  <c r="Q646" i="4"/>
  <c r="R646" i="4"/>
  <c r="S646" i="4"/>
  <c r="T646" i="4"/>
  <c r="U646" i="4"/>
  <c r="V646" i="4"/>
  <c r="W646" i="4"/>
  <c r="X646" i="4"/>
  <c r="Y646" i="4"/>
  <c r="Z646" i="4"/>
  <c r="L644" i="4"/>
  <c r="M644" i="4"/>
  <c r="N644" i="4"/>
  <c r="O644" i="4"/>
  <c r="P644" i="4"/>
  <c r="Q644" i="4"/>
  <c r="R644" i="4"/>
  <c r="S644" i="4"/>
  <c r="T644" i="4"/>
  <c r="U644" i="4"/>
  <c r="V644" i="4"/>
  <c r="W644" i="4"/>
  <c r="X644" i="4"/>
  <c r="Y644" i="4"/>
  <c r="Z644" i="4"/>
  <c r="L643" i="4"/>
  <c r="M643" i="4"/>
  <c r="N643" i="4"/>
  <c r="O643" i="4"/>
  <c r="P643" i="4"/>
  <c r="Q643" i="4"/>
  <c r="R643" i="4"/>
  <c r="S643" i="4"/>
  <c r="T643" i="4"/>
  <c r="U643" i="4"/>
  <c r="V643" i="4"/>
  <c r="W643" i="4"/>
  <c r="X643" i="4"/>
  <c r="Y643" i="4"/>
  <c r="Z643" i="4"/>
  <c r="L642" i="4"/>
  <c r="M642" i="4"/>
  <c r="N642" i="4"/>
  <c r="O642" i="4"/>
  <c r="P642" i="4"/>
  <c r="Q642" i="4"/>
  <c r="R642" i="4"/>
  <c r="S642" i="4"/>
  <c r="T642" i="4"/>
  <c r="U642" i="4"/>
  <c r="V642" i="4"/>
  <c r="W642" i="4"/>
  <c r="X642" i="4"/>
  <c r="Y642" i="4"/>
  <c r="Z642" i="4"/>
  <c r="L641" i="4"/>
  <c r="M641" i="4"/>
  <c r="N641" i="4"/>
  <c r="O641" i="4"/>
  <c r="P641" i="4"/>
  <c r="Q641" i="4"/>
  <c r="R641" i="4"/>
  <c r="S641" i="4"/>
  <c r="T641" i="4"/>
  <c r="U641" i="4"/>
  <c r="V641" i="4"/>
  <c r="W641" i="4"/>
  <c r="X641" i="4"/>
  <c r="Y641" i="4"/>
  <c r="Z641" i="4"/>
  <c r="L639" i="4"/>
  <c r="M639" i="4"/>
  <c r="N639" i="4"/>
  <c r="O639" i="4"/>
  <c r="P639" i="4"/>
  <c r="Q639" i="4"/>
  <c r="R639" i="4"/>
  <c r="S639" i="4"/>
  <c r="T639" i="4"/>
  <c r="U639" i="4"/>
  <c r="V639" i="4"/>
  <c r="W639" i="4"/>
  <c r="X639" i="4"/>
  <c r="Y639" i="4"/>
  <c r="Z639" i="4"/>
  <c r="L640" i="4"/>
  <c r="M640" i="4"/>
  <c r="N640" i="4"/>
  <c r="O640" i="4"/>
  <c r="P640" i="4"/>
  <c r="Q640" i="4"/>
  <c r="R640" i="4"/>
  <c r="S640" i="4"/>
  <c r="T640" i="4"/>
  <c r="U640" i="4"/>
  <c r="V640" i="4"/>
  <c r="W640" i="4"/>
  <c r="X640" i="4"/>
  <c r="Y640" i="4"/>
  <c r="Z640" i="4"/>
  <c r="L638" i="4"/>
  <c r="M638" i="4"/>
  <c r="N638" i="4"/>
  <c r="O638" i="4"/>
  <c r="P638" i="4"/>
  <c r="Q638" i="4"/>
  <c r="R638" i="4"/>
  <c r="S638" i="4"/>
  <c r="T638" i="4"/>
  <c r="U638" i="4"/>
  <c r="V638" i="4"/>
  <c r="W638" i="4"/>
  <c r="X638" i="4"/>
  <c r="Y638" i="4"/>
  <c r="Z638" i="4"/>
  <c r="L637" i="4"/>
  <c r="M637" i="4"/>
  <c r="N637" i="4"/>
  <c r="O637" i="4"/>
  <c r="P637" i="4"/>
  <c r="Q637" i="4"/>
  <c r="R637" i="4"/>
  <c r="S637" i="4"/>
  <c r="T637" i="4"/>
  <c r="U637" i="4"/>
  <c r="V637" i="4"/>
  <c r="W637" i="4"/>
  <c r="X637" i="4"/>
  <c r="Y637" i="4"/>
  <c r="Z637" i="4"/>
  <c r="L636" i="4"/>
  <c r="M636" i="4"/>
  <c r="N636" i="4"/>
  <c r="O636" i="4"/>
  <c r="P636" i="4"/>
  <c r="Q636" i="4"/>
  <c r="R636" i="4"/>
  <c r="S636" i="4"/>
  <c r="T636" i="4"/>
  <c r="U636" i="4"/>
  <c r="V636" i="4"/>
  <c r="W636" i="4"/>
  <c r="X636" i="4"/>
  <c r="Y636" i="4"/>
  <c r="Z636" i="4"/>
  <c r="L634" i="4"/>
  <c r="M634" i="4"/>
  <c r="N634" i="4"/>
  <c r="O634" i="4"/>
  <c r="P634" i="4"/>
  <c r="Q634" i="4"/>
  <c r="R634" i="4"/>
  <c r="S634" i="4"/>
  <c r="T634" i="4"/>
  <c r="U634" i="4"/>
  <c r="V634" i="4"/>
  <c r="W634" i="4"/>
  <c r="X634" i="4"/>
  <c r="Y634" i="4"/>
  <c r="Z634" i="4"/>
  <c r="L635" i="4"/>
  <c r="M635" i="4"/>
  <c r="N635" i="4"/>
  <c r="O635" i="4"/>
  <c r="P635" i="4"/>
  <c r="Q635" i="4"/>
  <c r="R635" i="4"/>
  <c r="S635" i="4"/>
  <c r="T635" i="4"/>
  <c r="U635" i="4"/>
  <c r="V635" i="4"/>
  <c r="W635" i="4"/>
  <c r="X635" i="4"/>
  <c r="Y635" i="4"/>
  <c r="Z635" i="4"/>
  <c r="L633" i="4"/>
  <c r="M633" i="4"/>
  <c r="N633" i="4"/>
  <c r="O633" i="4"/>
  <c r="P633" i="4"/>
  <c r="Q633" i="4"/>
  <c r="R633" i="4"/>
  <c r="S633" i="4"/>
  <c r="T633" i="4"/>
  <c r="U633" i="4"/>
  <c r="V633" i="4"/>
  <c r="W633" i="4"/>
  <c r="X633" i="4"/>
  <c r="Y633" i="4"/>
  <c r="Z633" i="4"/>
  <c r="L632" i="4"/>
  <c r="M632" i="4"/>
  <c r="N632" i="4"/>
  <c r="O632" i="4"/>
  <c r="P632" i="4"/>
  <c r="Q632" i="4"/>
  <c r="R632" i="4"/>
  <c r="S632" i="4"/>
  <c r="T632" i="4"/>
  <c r="U632" i="4"/>
  <c r="V632" i="4"/>
  <c r="W632" i="4"/>
  <c r="X632" i="4"/>
  <c r="Y632" i="4"/>
  <c r="Z632" i="4"/>
  <c r="L631" i="4"/>
  <c r="M631" i="4"/>
  <c r="N631" i="4"/>
  <c r="O631" i="4"/>
  <c r="P631" i="4"/>
  <c r="Q631" i="4"/>
  <c r="R631" i="4"/>
  <c r="S631" i="4"/>
  <c r="T631" i="4"/>
  <c r="U631" i="4"/>
  <c r="V631" i="4"/>
  <c r="W631" i="4"/>
  <c r="X631" i="4"/>
  <c r="Y631" i="4"/>
  <c r="Z631" i="4"/>
  <c r="L630" i="4"/>
  <c r="M630" i="4"/>
  <c r="N630" i="4"/>
  <c r="O630" i="4"/>
  <c r="P630" i="4"/>
  <c r="Q630" i="4"/>
  <c r="R630" i="4"/>
  <c r="S630" i="4"/>
  <c r="T630" i="4"/>
  <c r="U630" i="4"/>
  <c r="V630" i="4"/>
  <c r="W630" i="4"/>
  <c r="X630" i="4"/>
  <c r="Y630" i="4"/>
  <c r="Z630" i="4"/>
  <c r="L628" i="4"/>
  <c r="M628" i="4"/>
  <c r="N628" i="4"/>
  <c r="O628" i="4"/>
  <c r="P628" i="4"/>
  <c r="Q628" i="4"/>
  <c r="R628" i="4"/>
  <c r="S628" i="4"/>
  <c r="T628" i="4"/>
  <c r="U628" i="4"/>
  <c r="V628" i="4"/>
  <c r="W628" i="4"/>
  <c r="X628" i="4"/>
  <c r="Y628" i="4"/>
  <c r="Z628" i="4"/>
  <c r="L629" i="4"/>
  <c r="M629" i="4"/>
  <c r="N629" i="4"/>
  <c r="O629" i="4"/>
  <c r="P629" i="4"/>
  <c r="Q629" i="4"/>
  <c r="R629" i="4"/>
  <c r="S629" i="4"/>
  <c r="T629" i="4"/>
  <c r="U629" i="4"/>
  <c r="V629" i="4"/>
  <c r="W629" i="4"/>
  <c r="X629" i="4"/>
  <c r="Y629" i="4"/>
  <c r="Z629" i="4"/>
  <c r="L627" i="4"/>
  <c r="M627" i="4"/>
  <c r="N627" i="4"/>
  <c r="O627" i="4"/>
  <c r="P627" i="4"/>
  <c r="Q627" i="4"/>
  <c r="R627" i="4"/>
  <c r="S627" i="4"/>
  <c r="T627" i="4"/>
  <c r="U627" i="4"/>
  <c r="V627" i="4"/>
  <c r="W627" i="4"/>
  <c r="X627" i="4"/>
  <c r="Y627" i="4"/>
  <c r="Z627" i="4"/>
  <c r="L626" i="4"/>
  <c r="M626" i="4"/>
  <c r="N626" i="4"/>
  <c r="O626" i="4"/>
  <c r="P626" i="4"/>
  <c r="Q626" i="4"/>
  <c r="R626" i="4"/>
  <c r="S626" i="4"/>
  <c r="T626" i="4"/>
  <c r="U626" i="4"/>
  <c r="V626" i="4"/>
  <c r="W626" i="4"/>
  <c r="X626" i="4"/>
  <c r="Y626" i="4"/>
  <c r="Z626" i="4"/>
  <c r="L625" i="4"/>
  <c r="M625" i="4"/>
  <c r="N625" i="4"/>
  <c r="O625" i="4"/>
  <c r="P625" i="4"/>
  <c r="Q625" i="4"/>
  <c r="R625" i="4"/>
  <c r="S625" i="4"/>
  <c r="T625" i="4"/>
  <c r="U625" i="4"/>
  <c r="V625" i="4"/>
  <c r="W625" i="4"/>
  <c r="X625" i="4"/>
  <c r="Y625" i="4"/>
  <c r="Z625" i="4"/>
  <c r="L623" i="4"/>
  <c r="M623" i="4"/>
  <c r="N623" i="4"/>
  <c r="O623" i="4"/>
  <c r="P623" i="4"/>
  <c r="Q623" i="4"/>
  <c r="R623" i="4"/>
  <c r="S623" i="4"/>
  <c r="T623" i="4"/>
  <c r="U623" i="4"/>
  <c r="V623" i="4"/>
  <c r="W623" i="4"/>
  <c r="X623" i="4"/>
  <c r="Y623" i="4"/>
  <c r="Z623" i="4"/>
  <c r="L624" i="4"/>
  <c r="M624" i="4"/>
  <c r="N624" i="4"/>
  <c r="O624" i="4"/>
  <c r="P624" i="4"/>
  <c r="Q624" i="4"/>
  <c r="R624" i="4"/>
  <c r="S624" i="4"/>
  <c r="T624" i="4"/>
  <c r="U624" i="4"/>
  <c r="V624" i="4"/>
  <c r="W624" i="4"/>
  <c r="X624" i="4"/>
  <c r="Y624" i="4"/>
  <c r="Z624" i="4"/>
  <c r="L621" i="4"/>
  <c r="M621" i="4"/>
  <c r="N621" i="4"/>
  <c r="O621" i="4"/>
  <c r="P621" i="4"/>
  <c r="Q621" i="4"/>
  <c r="R621" i="4"/>
  <c r="S621" i="4"/>
  <c r="T621" i="4"/>
  <c r="U621" i="4"/>
  <c r="V621" i="4"/>
  <c r="W621" i="4"/>
  <c r="X621" i="4"/>
  <c r="Y621" i="4"/>
  <c r="Z621" i="4"/>
  <c r="L622" i="4"/>
  <c r="M622" i="4"/>
  <c r="N622" i="4"/>
  <c r="O622" i="4"/>
  <c r="P622" i="4"/>
  <c r="Q622" i="4"/>
  <c r="R622" i="4"/>
  <c r="S622" i="4"/>
  <c r="T622" i="4"/>
  <c r="U622" i="4"/>
  <c r="V622" i="4"/>
  <c r="W622" i="4"/>
  <c r="X622" i="4"/>
  <c r="Y622" i="4"/>
  <c r="Z622" i="4"/>
  <c r="L620" i="4"/>
  <c r="M620" i="4"/>
  <c r="N620" i="4"/>
  <c r="O620" i="4"/>
  <c r="P620" i="4"/>
  <c r="Q620" i="4"/>
  <c r="R620" i="4"/>
  <c r="S620" i="4"/>
  <c r="T620" i="4"/>
  <c r="U620" i="4"/>
  <c r="V620" i="4"/>
  <c r="W620" i="4"/>
  <c r="X620" i="4"/>
  <c r="Y620" i="4"/>
  <c r="Z620" i="4"/>
  <c r="L619" i="4"/>
  <c r="M619" i="4"/>
  <c r="N619" i="4"/>
  <c r="O619" i="4"/>
  <c r="P619" i="4"/>
  <c r="Q619" i="4"/>
  <c r="R619" i="4"/>
  <c r="S619" i="4"/>
  <c r="T619" i="4"/>
  <c r="U619" i="4"/>
  <c r="V619" i="4"/>
  <c r="W619" i="4"/>
  <c r="X619" i="4"/>
  <c r="Y619" i="4"/>
  <c r="Z619" i="4"/>
  <c r="L618" i="4"/>
  <c r="M618" i="4"/>
  <c r="N618" i="4"/>
  <c r="O618" i="4"/>
  <c r="P618" i="4"/>
  <c r="Q618" i="4"/>
  <c r="R618" i="4"/>
  <c r="S618" i="4"/>
  <c r="T618" i="4"/>
  <c r="U618" i="4"/>
  <c r="V618" i="4"/>
  <c r="W618" i="4"/>
  <c r="X618" i="4"/>
  <c r="Y618" i="4"/>
  <c r="Z618" i="4"/>
  <c r="L617" i="4"/>
  <c r="M617" i="4"/>
  <c r="N617" i="4"/>
  <c r="O617" i="4"/>
  <c r="P617" i="4"/>
  <c r="Q617" i="4"/>
  <c r="R617" i="4"/>
  <c r="S617" i="4"/>
  <c r="T617" i="4"/>
  <c r="U617" i="4"/>
  <c r="V617" i="4"/>
  <c r="W617" i="4"/>
  <c r="X617" i="4"/>
  <c r="Y617" i="4"/>
  <c r="Z617" i="4"/>
  <c r="L616" i="4"/>
  <c r="M616" i="4"/>
  <c r="N616" i="4"/>
  <c r="O616" i="4"/>
  <c r="P616" i="4"/>
  <c r="Q616" i="4"/>
  <c r="R616" i="4"/>
  <c r="S616" i="4"/>
  <c r="T616" i="4"/>
  <c r="U616" i="4"/>
  <c r="V616" i="4"/>
  <c r="W616" i="4"/>
  <c r="X616" i="4"/>
  <c r="Y616" i="4"/>
  <c r="Z616" i="4"/>
  <c r="L615" i="4"/>
  <c r="M615" i="4"/>
  <c r="N615" i="4"/>
  <c r="O615" i="4"/>
  <c r="P615" i="4"/>
  <c r="Q615" i="4"/>
  <c r="R615" i="4"/>
  <c r="S615" i="4"/>
  <c r="T615" i="4"/>
  <c r="U615" i="4"/>
  <c r="V615" i="4"/>
  <c r="W615" i="4"/>
  <c r="X615" i="4"/>
  <c r="Y615" i="4"/>
  <c r="Z615" i="4"/>
  <c r="L614" i="4"/>
  <c r="M614" i="4"/>
  <c r="N614" i="4"/>
  <c r="O614" i="4"/>
  <c r="P614" i="4"/>
  <c r="Q614" i="4"/>
  <c r="R614" i="4"/>
  <c r="S614" i="4"/>
  <c r="T614" i="4"/>
  <c r="U614" i="4"/>
  <c r="V614" i="4"/>
  <c r="W614" i="4"/>
  <c r="X614" i="4"/>
  <c r="Y614" i="4"/>
  <c r="Z614" i="4"/>
  <c r="L612" i="4"/>
  <c r="M612" i="4"/>
  <c r="N612" i="4"/>
  <c r="O612" i="4"/>
  <c r="P612" i="4"/>
  <c r="Q612" i="4"/>
  <c r="R612" i="4"/>
  <c r="S612" i="4"/>
  <c r="T612" i="4"/>
  <c r="U612" i="4"/>
  <c r="V612" i="4"/>
  <c r="W612" i="4"/>
  <c r="X612" i="4"/>
  <c r="Y612" i="4"/>
  <c r="Z612" i="4"/>
  <c r="L613" i="4"/>
  <c r="M613" i="4"/>
  <c r="N613" i="4"/>
  <c r="O613" i="4"/>
  <c r="P613" i="4"/>
  <c r="Q613" i="4"/>
  <c r="R613" i="4"/>
  <c r="S613" i="4"/>
  <c r="T613" i="4"/>
  <c r="U613" i="4"/>
  <c r="V613" i="4"/>
  <c r="W613" i="4"/>
  <c r="X613" i="4"/>
  <c r="Y613" i="4"/>
  <c r="Z613" i="4"/>
  <c r="L611" i="4"/>
  <c r="M611" i="4"/>
  <c r="N611" i="4"/>
  <c r="O611" i="4"/>
  <c r="P611" i="4"/>
  <c r="Q611" i="4"/>
  <c r="R611" i="4"/>
  <c r="S611" i="4"/>
  <c r="T611" i="4"/>
  <c r="U611" i="4"/>
  <c r="V611" i="4"/>
  <c r="W611" i="4"/>
  <c r="X611" i="4"/>
  <c r="Y611" i="4"/>
  <c r="Z611" i="4"/>
  <c r="L610" i="4"/>
  <c r="M610" i="4"/>
  <c r="N610" i="4"/>
  <c r="O610" i="4"/>
  <c r="P610" i="4"/>
  <c r="Q610" i="4"/>
  <c r="R610" i="4"/>
  <c r="S610" i="4"/>
  <c r="T610" i="4"/>
  <c r="U610" i="4"/>
  <c r="V610" i="4"/>
  <c r="W610" i="4"/>
  <c r="X610" i="4"/>
  <c r="Y610" i="4"/>
  <c r="Z610" i="4"/>
  <c r="L609" i="4"/>
  <c r="M609" i="4"/>
  <c r="N609" i="4"/>
  <c r="O609" i="4"/>
  <c r="P609" i="4"/>
  <c r="Q609" i="4"/>
  <c r="R609" i="4"/>
  <c r="S609" i="4"/>
  <c r="T609" i="4"/>
  <c r="U609" i="4"/>
  <c r="V609" i="4"/>
  <c r="W609" i="4"/>
  <c r="X609" i="4"/>
  <c r="Y609" i="4"/>
  <c r="Z609" i="4"/>
  <c r="L608" i="4"/>
  <c r="M608" i="4"/>
  <c r="N608" i="4"/>
  <c r="O608" i="4"/>
  <c r="P608" i="4"/>
  <c r="Q608" i="4"/>
  <c r="R608" i="4"/>
  <c r="S608" i="4"/>
  <c r="T608" i="4"/>
  <c r="U608" i="4"/>
  <c r="V608" i="4"/>
  <c r="W608" i="4"/>
  <c r="X608" i="4"/>
  <c r="Y608" i="4"/>
  <c r="Z608" i="4"/>
  <c r="L607" i="4"/>
  <c r="M607" i="4"/>
  <c r="N607" i="4"/>
  <c r="O607" i="4"/>
  <c r="P607" i="4"/>
  <c r="Q607" i="4"/>
  <c r="R607" i="4"/>
  <c r="S607" i="4"/>
  <c r="T607" i="4"/>
  <c r="U607" i="4"/>
  <c r="V607" i="4"/>
  <c r="W607" i="4"/>
  <c r="X607" i="4"/>
  <c r="Y607" i="4"/>
  <c r="Z607" i="4"/>
  <c r="L605" i="4"/>
  <c r="M605" i="4"/>
  <c r="N605" i="4"/>
  <c r="O605" i="4"/>
  <c r="P605" i="4"/>
  <c r="Q605" i="4"/>
  <c r="R605" i="4"/>
  <c r="S605" i="4"/>
  <c r="T605" i="4"/>
  <c r="U605" i="4"/>
  <c r="V605" i="4"/>
  <c r="W605" i="4"/>
  <c r="X605" i="4"/>
  <c r="Y605" i="4"/>
  <c r="Z605" i="4"/>
  <c r="L606" i="4"/>
  <c r="M606" i="4"/>
  <c r="N606" i="4"/>
  <c r="O606" i="4"/>
  <c r="P606" i="4"/>
  <c r="Q606" i="4"/>
  <c r="R606" i="4"/>
  <c r="S606" i="4"/>
  <c r="T606" i="4"/>
  <c r="U606" i="4"/>
  <c r="V606" i="4"/>
  <c r="W606" i="4"/>
  <c r="X606" i="4"/>
  <c r="Y606" i="4"/>
  <c r="Z606" i="4"/>
  <c r="L604" i="4"/>
  <c r="M604" i="4"/>
  <c r="N604" i="4"/>
  <c r="O604" i="4"/>
  <c r="P604" i="4"/>
  <c r="Q604" i="4"/>
  <c r="R604" i="4"/>
  <c r="S604" i="4"/>
  <c r="T604" i="4"/>
  <c r="U604" i="4"/>
  <c r="V604" i="4"/>
  <c r="W604" i="4"/>
  <c r="X604" i="4"/>
  <c r="Y604" i="4"/>
  <c r="Z604" i="4"/>
  <c r="L603" i="4"/>
  <c r="M603" i="4"/>
  <c r="N603" i="4"/>
  <c r="O603" i="4"/>
  <c r="P603" i="4"/>
  <c r="Q603" i="4"/>
  <c r="R603" i="4"/>
  <c r="S603" i="4"/>
  <c r="T603" i="4"/>
  <c r="U603" i="4"/>
  <c r="V603" i="4"/>
  <c r="W603" i="4"/>
  <c r="X603" i="4"/>
  <c r="Y603" i="4"/>
  <c r="Z603" i="4"/>
  <c r="L602" i="4"/>
  <c r="M602" i="4"/>
  <c r="N602" i="4"/>
  <c r="O602" i="4"/>
  <c r="P602" i="4"/>
  <c r="Q602" i="4"/>
  <c r="R602" i="4"/>
  <c r="S602" i="4"/>
  <c r="T602" i="4"/>
  <c r="U602" i="4"/>
  <c r="V602" i="4"/>
  <c r="W602" i="4"/>
  <c r="X602" i="4"/>
  <c r="Y602" i="4"/>
  <c r="Z602" i="4"/>
  <c r="L601" i="4"/>
  <c r="M601" i="4"/>
  <c r="N601" i="4"/>
  <c r="O601" i="4"/>
  <c r="P601" i="4"/>
  <c r="Q601" i="4"/>
  <c r="R601" i="4"/>
  <c r="S601" i="4"/>
  <c r="T601" i="4"/>
  <c r="U601" i="4"/>
  <c r="V601" i="4"/>
  <c r="W601" i="4"/>
  <c r="X601" i="4"/>
  <c r="Y601" i="4"/>
  <c r="Z601" i="4"/>
  <c r="L600" i="4"/>
  <c r="M600" i="4"/>
  <c r="N600" i="4"/>
  <c r="O600" i="4"/>
  <c r="P600" i="4"/>
  <c r="Q600" i="4"/>
  <c r="R600" i="4"/>
  <c r="S600" i="4"/>
  <c r="T600" i="4"/>
  <c r="U600" i="4"/>
  <c r="V600" i="4"/>
  <c r="W600" i="4"/>
  <c r="X600" i="4"/>
  <c r="Y600" i="4"/>
  <c r="Z600" i="4"/>
  <c r="L598" i="4"/>
  <c r="M598" i="4"/>
  <c r="N598" i="4"/>
  <c r="O598" i="4"/>
  <c r="P598" i="4"/>
  <c r="Q598" i="4"/>
  <c r="R598" i="4"/>
  <c r="S598" i="4"/>
  <c r="T598" i="4"/>
  <c r="U598" i="4"/>
  <c r="V598" i="4"/>
  <c r="W598" i="4"/>
  <c r="X598" i="4"/>
  <c r="Y598" i="4"/>
  <c r="Z598" i="4"/>
  <c r="L599" i="4"/>
  <c r="M599" i="4"/>
  <c r="N599" i="4"/>
  <c r="O599" i="4"/>
  <c r="P599" i="4"/>
  <c r="Q599" i="4"/>
  <c r="R599" i="4"/>
  <c r="S599" i="4"/>
  <c r="T599" i="4"/>
  <c r="U599" i="4"/>
  <c r="V599" i="4"/>
  <c r="W599" i="4"/>
  <c r="X599" i="4"/>
  <c r="Y599" i="4"/>
  <c r="Z599" i="4"/>
  <c r="L597" i="4"/>
  <c r="M597" i="4"/>
  <c r="N597" i="4"/>
  <c r="O597" i="4"/>
  <c r="P597" i="4"/>
  <c r="Q597" i="4"/>
  <c r="R597" i="4"/>
  <c r="S597" i="4"/>
  <c r="T597" i="4"/>
  <c r="U597" i="4"/>
  <c r="V597" i="4"/>
  <c r="W597" i="4"/>
  <c r="X597" i="4"/>
  <c r="Y597" i="4"/>
  <c r="Z597" i="4"/>
  <c r="L596" i="4"/>
  <c r="M596" i="4"/>
  <c r="N596" i="4"/>
  <c r="O596" i="4"/>
  <c r="P596" i="4"/>
  <c r="Q596" i="4"/>
  <c r="R596" i="4"/>
  <c r="S596" i="4"/>
  <c r="T596" i="4"/>
  <c r="U596" i="4"/>
  <c r="V596" i="4"/>
  <c r="W596" i="4"/>
  <c r="X596" i="4"/>
  <c r="Y596" i="4"/>
  <c r="Z596" i="4"/>
  <c r="L595" i="4"/>
  <c r="M595" i="4"/>
  <c r="N595" i="4"/>
  <c r="O595" i="4"/>
  <c r="P595" i="4"/>
  <c r="Q595" i="4"/>
  <c r="R595" i="4"/>
  <c r="S595" i="4"/>
  <c r="T595" i="4"/>
  <c r="U595" i="4"/>
  <c r="V595" i="4"/>
  <c r="W595" i="4"/>
  <c r="X595" i="4"/>
  <c r="Y595" i="4"/>
  <c r="Z595" i="4"/>
  <c r="L593" i="4"/>
  <c r="M593" i="4"/>
  <c r="N593" i="4"/>
  <c r="O593" i="4"/>
  <c r="P593" i="4"/>
  <c r="Q593" i="4"/>
  <c r="R593" i="4"/>
  <c r="S593" i="4"/>
  <c r="T593" i="4"/>
  <c r="U593" i="4"/>
  <c r="V593" i="4"/>
  <c r="W593" i="4"/>
  <c r="X593" i="4"/>
  <c r="Y593" i="4"/>
  <c r="Z593" i="4"/>
  <c r="L594" i="4"/>
  <c r="M594" i="4"/>
  <c r="N594" i="4"/>
  <c r="O594" i="4"/>
  <c r="P594" i="4"/>
  <c r="Q594" i="4"/>
  <c r="R594" i="4"/>
  <c r="S594" i="4"/>
  <c r="T594" i="4"/>
  <c r="U594" i="4"/>
  <c r="V594" i="4"/>
  <c r="W594" i="4"/>
  <c r="X594" i="4"/>
  <c r="Y594" i="4"/>
  <c r="Z594" i="4"/>
  <c r="L592" i="4"/>
  <c r="M592" i="4"/>
  <c r="N592" i="4"/>
  <c r="O592" i="4"/>
  <c r="P592" i="4"/>
  <c r="Q592" i="4"/>
  <c r="R592" i="4"/>
  <c r="S592" i="4"/>
  <c r="T592" i="4"/>
  <c r="U592" i="4"/>
  <c r="V592" i="4"/>
  <c r="W592" i="4"/>
  <c r="X592" i="4"/>
  <c r="Y592" i="4"/>
  <c r="Z592" i="4"/>
  <c r="L591" i="4"/>
  <c r="M591" i="4"/>
  <c r="N591" i="4"/>
  <c r="O591" i="4"/>
  <c r="P591" i="4"/>
  <c r="Q591" i="4"/>
  <c r="R591" i="4"/>
  <c r="S591" i="4"/>
  <c r="T591" i="4"/>
  <c r="U591" i="4"/>
  <c r="V591" i="4"/>
  <c r="W591" i="4"/>
  <c r="X591" i="4"/>
  <c r="Y591" i="4"/>
  <c r="Z591" i="4"/>
  <c r="L590" i="4"/>
  <c r="M590" i="4"/>
  <c r="N590" i="4"/>
  <c r="O590" i="4"/>
  <c r="P590" i="4"/>
  <c r="Q590" i="4"/>
  <c r="R590" i="4"/>
  <c r="S590" i="4"/>
  <c r="T590" i="4"/>
  <c r="U590" i="4"/>
  <c r="V590" i="4"/>
  <c r="W590" i="4"/>
  <c r="X590" i="4"/>
  <c r="Y590" i="4"/>
  <c r="Z590" i="4"/>
  <c r="L589" i="4"/>
  <c r="M589" i="4"/>
  <c r="N589" i="4"/>
  <c r="O589" i="4"/>
  <c r="P589" i="4"/>
  <c r="Q589" i="4"/>
  <c r="R589" i="4"/>
  <c r="S589" i="4"/>
  <c r="T589" i="4"/>
  <c r="U589" i="4"/>
  <c r="V589" i="4"/>
  <c r="W589" i="4"/>
  <c r="X589" i="4"/>
  <c r="Y589" i="4"/>
  <c r="Z589" i="4"/>
  <c r="L588" i="4"/>
  <c r="M588" i="4"/>
  <c r="N588" i="4"/>
  <c r="O588" i="4"/>
  <c r="P588" i="4"/>
  <c r="Q588" i="4"/>
  <c r="R588" i="4"/>
  <c r="S588" i="4"/>
  <c r="T588" i="4"/>
  <c r="U588" i="4"/>
  <c r="V588" i="4"/>
  <c r="W588" i="4"/>
  <c r="X588" i="4"/>
  <c r="Y588" i="4"/>
  <c r="Z588" i="4"/>
  <c r="L587" i="4"/>
  <c r="M587" i="4"/>
  <c r="N587" i="4"/>
  <c r="O587" i="4"/>
  <c r="P587" i="4"/>
  <c r="Q587" i="4"/>
  <c r="R587" i="4"/>
  <c r="S587" i="4"/>
  <c r="T587" i="4"/>
  <c r="U587" i="4"/>
  <c r="V587" i="4"/>
  <c r="W587" i="4"/>
  <c r="X587" i="4"/>
  <c r="Y587" i="4"/>
  <c r="Z587" i="4"/>
  <c r="L586" i="4"/>
  <c r="M586" i="4"/>
  <c r="N586" i="4"/>
  <c r="O586" i="4"/>
  <c r="P586" i="4"/>
  <c r="Q586" i="4"/>
  <c r="R586" i="4"/>
  <c r="S586" i="4"/>
  <c r="T586" i="4"/>
  <c r="U586" i="4"/>
  <c r="V586" i="4"/>
  <c r="W586" i="4"/>
  <c r="X586" i="4"/>
  <c r="Y586" i="4"/>
  <c r="Z586" i="4"/>
  <c r="L585" i="4"/>
  <c r="M585" i="4"/>
  <c r="N585" i="4"/>
  <c r="O585" i="4"/>
  <c r="P585" i="4"/>
  <c r="Q585" i="4"/>
  <c r="R585" i="4"/>
  <c r="S585" i="4"/>
  <c r="T585" i="4"/>
  <c r="U585" i="4"/>
  <c r="V585" i="4"/>
  <c r="W585" i="4"/>
  <c r="X585" i="4"/>
  <c r="Y585" i="4"/>
  <c r="Z585" i="4"/>
  <c r="L584" i="4"/>
  <c r="M584" i="4"/>
  <c r="N584" i="4"/>
  <c r="O584" i="4"/>
  <c r="P584" i="4"/>
  <c r="Q584" i="4"/>
  <c r="R584" i="4"/>
  <c r="S584" i="4"/>
  <c r="T584" i="4"/>
  <c r="U584" i="4"/>
  <c r="V584" i="4"/>
  <c r="W584" i="4"/>
  <c r="X584" i="4"/>
  <c r="Y584" i="4"/>
  <c r="Z584" i="4"/>
  <c r="L582" i="4"/>
  <c r="M582" i="4"/>
  <c r="N582" i="4"/>
  <c r="O582" i="4"/>
  <c r="P582" i="4"/>
  <c r="Q582" i="4"/>
  <c r="R582" i="4"/>
  <c r="S582" i="4"/>
  <c r="T582" i="4"/>
  <c r="U582" i="4"/>
  <c r="V582" i="4"/>
  <c r="W582" i="4"/>
  <c r="X582" i="4"/>
  <c r="Y582" i="4"/>
  <c r="Z582" i="4"/>
  <c r="L583" i="4"/>
  <c r="M583" i="4"/>
  <c r="N583" i="4"/>
  <c r="O583" i="4"/>
  <c r="P583" i="4"/>
  <c r="Q583" i="4"/>
  <c r="R583" i="4"/>
  <c r="S583" i="4"/>
  <c r="T583" i="4"/>
  <c r="U583" i="4"/>
  <c r="V583" i="4"/>
  <c r="W583" i="4"/>
  <c r="X583" i="4"/>
  <c r="Y583" i="4"/>
  <c r="Z583" i="4"/>
  <c r="L581" i="4"/>
  <c r="M581" i="4"/>
  <c r="N581" i="4"/>
  <c r="O581" i="4"/>
  <c r="P581" i="4"/>
  <c r="Q581" i="4"/>
  <c r="R581" i="4"/>
  <c r="S581" i="4"/>
  <c r="T581" i="4"/>
  <c r="U581" i="4"/>
  <c r="V581" i="4"/>
  <c r="W581" i="4"/>
  <c r="X581" i="4"/>
  <c r="Y581" i="4"/>
  <c r="Z581" i="4"/>
  <c r="L580" i="4"/>
  <c r="M580" i="4"/>
  <c r="N580" i="4"/>
  <c r="O580" i="4"/>
  <c r="P580" i="4"/>
  <c r="Q580" i="4"/>
  <c r="R580" i="4"/>
  <c r="S580" i="4"/>
  <c r="T580" i="4"/>
  <c r="U580" i="4"/>
  <c r="V580" i="4"/>
  <c r="W580" i="4"/>
  <c r="X580" i="4"/>
  <c r="Y580" i="4"/>
  <c r="Z580" i="4"/>
  <c r="L579" i="4"/>
  <c r="M579" i="4"/>
  <c r="N579" i="4"/>
  <c r="O579" i="4"/>
  <c r="P579" i="4"/>
  <c r="Q579" i="4"/>
  <c r="R579" i="4"/>
  <c r="S579" i="4"/>
  <c r="T579" i="4"/>
  <c r="U579" i="4"/>
  <c r="V579" i="4"/>
  <c r="W579" i="4"/>
  <c r="X579" i="4"/>
  <c r="Y579" i="4"/>
  <c r="Z579" i="4"/>
  <c r="L578" i="4"/>
  <c r="M578" i="4"/>
  <c r="N578" i="4"/>
  <c r="O578" i="4"/>
  <c r="P578" i="4"/>
  <c r="Q578" i="4"/>
  <c r="R578" i="4"/>
  <c r="S578" i="4"/>
  <c r="T578" i="4"/>
  <c r="U578" i="4"/>
  <c r="V578" i="4"/>
  <c r="W578" i="4"/>
  <c r="X578" i="4"/>
  <c r="Y578" i="4"/>
  <c r="Z578" i="4"/>
  <c r="L577" i="4"/>
  <c r="M577" i="4"/>
  <c r="N577" i="4"/>
  <c r="O577" i="4"/>
  <c r="P577" i="4"/>
  <c r="Q577" i="4"/>
  <c r="R577" i="4"/>
  <c r="S577" i="4"/>
  <c r="T577" i="4"/>
  <c r="U577" i="4"/>
  <c r="V577" i="4"/>
  <c r="W577" i="4"/>
  <c r="X577" i="4"/>
  <c r="Y577" i="4"/>
  <c r="Z577" i="4"/>
  <c r="L575" i="4"/>
  <c r="M575" i="4"/>
  <c r="N575" i="4"/>
  <c r="O575" i="4"/>
  <c r="P575" i="4"/>
  <c r="Q575" i="4"/>
  <c r="R575" i="4"/>
  <c r="S575" i="4"/>
  <c r="T575" i="4"/>
  <c r="U575" i="4"/>
  <c r="V575" i="4"/>
  <c r="W575" i="4"/>
  <c r="X575" i="4"/>
  <c r="Y575" i="4"/>
  <c r="Z575" i="4"/>
  <c r="L576" i="4"/>
  <c r="M576" i="4"/>
  <c r="N576" i="4"/>
  <c r="O576" i="4"/>
  <c r="P576" i="4"/>
  <c r="Q576" i="4"/>
  <c r="R576" i="4"/>
  <c r="S576" i="4"/>
  <c r="T576" i="4"/>
  <c r="U576" i="4"/>
  <c r="V576" i="4"/>
  <c r="W576" i="4"/>
  <c r="X576" i="4"/>
  <c r="Y576" i="4"/>
  <c r="Z576" i="4"/>
  <c r="L574" i="4"/>
  <c r="M574" i="4"/>
  <c r="N574" i="4"/>
  <c r="O574" i="4"/>
  <c r="P574" i="4"/>
  <c r="Q574" i="4"/>
  <c r="R574" i="4"/>
  <c r="S574" i="4"/>
  <c r="T574" i="4"/>
  <c r="U574" i="4"/>
  <c r="V574" i="4"/>
  <c r="W574" i="4"/>
  <c r="X574" i="4"/>
  <c r="Y574" i="4"/>
  <c r="Z574" i="4"/>
  <c r="L572" i="4"/>
  <c r="M572" i="4"/>
  <c r="N572" i="4"/>
  <c r="O572" i="4"/>
  <c r="P572" i="4"/>
  <c r="Q572" i="4"/>
  <c r="R572" i="4"/>
  <c r="S572" i="4"/>
  <c r="T572" i="4"/>
  <c r="U572" i="4"/>
  <c r="V572" i="4"/>
  <c r="W572" i="4"/>
  <c r="X572" i="4"/>
  <c r="Y572" i="4"/>
  <c r="Z572" i="4"/>
  <c r="L573" i="4"/>
  <c r="M573" i="4"/>
  <c r="N573" i="4"/>
  <c r="O573" i="4"/>
  <c r="P573" i="4"/>
  <c r="Q573" i="4"/>
  <c r="R573" i="4"/>
  <c r="S573" i="4"/>
  <c r="T573" i="4"/>
  <c r="U573" i="4"/>
  <c r="V573" i="4"/>
  <c r="W573" i="4"/>
  <c r="X573" i="4"/>
  <c r="Y573" i="4"/>
  <c r="Z573" i="4"/>
  <c r="L571" i="4"/>
  <c r="M571" i="4"/>
  <c r="N571" i="4"/>
  <c r="O571" i="4"/>
  <c r="P571" i="4"/>
  <c r="Q571" i="4"/>
  <c r="R571" i="4"/>
  <c r="S571" i="4"/>
  <c r="T571" i="4"/>
  <c r="U571" i="4"/>
  <c r="V571" i="4"/>
  <c r="W571" i="4"/>
  <c r="X571" i="4"/>
  <c r="Y571" i="4"/>
  <c r="Z571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L569" i="4"/>
  <c r="M569" i="4"/>
  <c r="N569" i="4"/>
  <c r="O569" i="4"/>
  <c r="P569" i="4"/>
  <c r="Q569" i="4"/>
  <c r="R569" i="4"/>
  <c r="S569" i="4"/>
  <c r="T569" i="4"/>
  <c r="U569" i="4"/>
  <c r="V569" i="4"/>
  <c r="W569" i="4"/>
  <c r="X569" i="4"/>
  <c r="Y569" i="4"/>
  <c r="Z569" i="4"/>
  <c r="L568" i="4"/>
  <c r="M568" i="4"/>
  <c r="N568" i="4"/>
  <c r="O568" i="4"/>
  <c r="P568" i="4"/>
  <c r="Q568" i="4"/>
  <c r="R568" i="4"/>
  <c r="S568" i="4"/>
  <c r="T568" i="4"/>
  <c r="U568" i="4"/>
  <c r="V568" i="4"/>
  <c r="W568" i="4"/>
  <c r="X568" i="4"/>
  <c r="Y568" i="4"/>
  <c r="Z568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L566" i="4"/>
  <c r="M566" i="4"/>
  <c r="N566" i="4"/>
  <c r="O566" i="4"/>
  <c r="P566" i="4"/>
  <c r="Q566" i="4"/>
  <c r="R566" i="4"/>
  <c r="S566" i="4"/>
  <c r="T566" i="4"/>
  <c r="U566" i="4"/>
  <c r="V566" i="4"/>
  <c r="W566" i="4"/>
  <c r="X566" i="4"/>
  <c r="Y566" i="4"/>
  <c r="Z566" i="4"/>
  <c r="L565" i="4"/>
  <c r="M565" i="4"/>
  <c r="N565" i="4"/>
  <c r="O565" i="4"/>
  <c r="P565" i="4"/>
  <c r="Q565" i="4"/>
  <c r="R565" i="4"/>
  <c r="S565" i="4"/>
  <c r="T565" i="4"/>
  <c r="U565" i="4"/>
  <c r="V565" i="4"/>
  <c r="W565" i="4"/>
  <c r="X565" i="4"/>
  <c r="Y565" i="4"/>
  <c r="Z565" i="4"/>
  <c r="L564" i="4"/>
  <c r="M564" i="4"/>
  <c r="N564" i="4"/>
  <c r="O564" i="4"/>
  <c r="P564" i="4"/>
  <c r="Q564" i="4"/>
  <c r="R564" i="4"/>
  <c r="S564" i="4"/>
  <c r="T564" i="4"/>
  <c r="U564" i="4"/>
  <c r="V564" i="4"/>
  <c r="W564" i="4"/>
  <c r="X564" i="4"/>
  <c r="Y564" i="4"/>
  <c r="Z564" i="4"/>
  <c r="L563" i="4"/>
  <c r="M563" i="4"/>
  <c r="N563" i="4"/>
  <c r="O563" i="4"/>
  <c r="P563" i="4"/>
  <c r="Q563" i="4"/>
  <c r="R563" i="4"/>
  <c r="S563" i="4"/>
  <c r="T563" i="4"/>
  <c r="U563" i="4"/>
  <c r="V563" i="4"/>
  <c r="W563" i="4"/>
  <c r="X563" i="4"/>
  <c r="Y563" i="4"/>
  <c r="Z563" i="4"/>
  <c r="L562" i="4"/>
  <c r="M562" i="4"/>
  <c r="N562" i="4"/>
  <c r="O562" i="4"/>
  <c r="P562" i="4"/>
  <c r="Q562" i="4"/>
  <c r="R562" i="4"/>
  <c r="S562" i="4"/>
  <c r="T562" i="4"/>
  <c r="U562" i="4"/>
  <c r="V562" i="4"/>
  <c r="W562" i="4"/>
  <c r="X562" i="4"/>
  <c r="Y562" i="4"/>
  <c r="Z562" i="4"/>
  <c r="L561" i="4"/>
  <c r="M561" i="4"/>
  <c r="N561" i="4"/>
  <c r="O561" i="4"/>
  <c r="P561" i="4"/>
  <c r="Q561" i="4"/>
  <c r="R561" i="4"/>
  <c r="S561" i="4"/>
  <c r="T561" i="4"/>
  <c r="U561" i="4"/>
  <c r="V561" i="4"/>
  <c r="W561" i="4"/>
  <c r="X561" i="4"/>
  <c r="Y561" i="4"/>
  <c r="Z561" i="4"/>
  <c r="L560" i="4"/>
  <c r="M560" i="4"/>
  <c r="N560" i="4"/>
  <c r="O560" i="4"/>
  <c r="P560" i="4"/>
  <c r="Q560" i="4"/>
  <c r="R560" i="4"/>
  <c r="S560" i="4"/>
  <c r="T560" i="4"/>
  <c r="U560" i="4"/>
  <c r="V560" i="4"/>
  <c r="W560" i="4"/>
  <c r="X560" i="4"/>
  <c r="Y560" i="4"/>
  <c r="Z560" i="4"/>
  <c r="L559" i="4"/>
  <c r="M559" i="4"/>
  <c r="N559" i="4"/>
  <c r="O559" i="4"/>
  <c r="P559" i="4"/>
  <c r="Q559" i="4"/>
  <c r="R559" i="4"/>
  <c r="S559" i="4"/>
  <c r="T559" i="4"/>
  <c r="U559" i="4"/>
  <c r="V559" i="4"/>
  <c r="W559" i="4"/>
  <c r="X559" i="4"/>
  <c r="Y559" i="4"/>
  <c r="Z559" i="4"/>
  <c r="L558" i="4"/>
  <c r="M558" i="4"/>
  <c r="N558" i="4"/>
  <c r="O558" i="4"/>
  <c r="P558" i="4"/>
  <c r="Q558" i="4"/>
  <c r="R558" i="4"/>
  <c r="S558" i="4"/>
  <c r="T558" i="4"/>
  <c r="U558" i="4"/>
  <c r="V558" i="4"/>
  <c r="W558" i="4"/>
  <c r="X558" i="4"/>
  <c r="Y558" i="4"/>
  <c r="Z558" i="4"/>
  <c r="L557" i="4"/>
  <c r="M557" i="4"/>
  <c r="N557" i="4"/>
  <c r="O557" i="4"/>
  <c r="P557" i="4"/>
  <c r="Q557" i="4"/>
  <c r="R557" i="4"/>
  <c r="S557" i="4"/>
  <c r="T557" i="4"/>
  <c r="U557" i="4"/>
  <c r="V557" i="4"/>
  <c r="W557" i="4"/>
  <c r="X557" i="4"/>
  <c r="Y557" i="4"/>
  <c r="Z557" i="4"/>
  <c r="L555" i="4"/>
  <c r="M555" i="4"/>
  <c r="N555" i="4"/>
  <c r="O555" i="4"/>
  <c r="P555" i="4"/>
  <c r="Q555" i="4"/>
  <c r="R555" i="4"/>
  <c r="S555" i="4"/>
  <c r="T555" i="4"/>
  <c r="U555" i="4"/>
  <c r="V555" i="4"/>
  <c r="W555" i="4"/>
  <c r="X555" i="4"/>
  <c r="Y555" i="4"/>
  <c r="Z555" i="4"/>
  <c r="L556" i="4"/>
  <c r="M556" i="4"/>
  <c r="N556" i="4"/>
  <c r="O556" i="4"/>
  <c r="P556" i="4"/>
  <c r="Q556" i="4"/>
  <c r="R556" i="4"/>
  <c r="S556" i="4"/>
  <c r="T556" i="4"/>
  <c r="U556" i="4"/>
  <c r="V556" i="4"/>
  <c r="W556" i="4"/>
  <c r="X556" i="4"/>
  <c r="Y556" i="4"/>
  <c r="Z556" i="4"/>
  <c r="L554" i="4"/>
  <c r="M554" i="4"/>
  <c r="N554" i="4"/>
  <c r="O554" i="4"/>
  <c r="P554" i="4"/>
  <c r="Q554" i="4"/>
  <c r="R554" i="4"/>
  <c r="S554" i="4"/>
  <c r="T554" i="4"/>
  <c r="U554" i="4"/>
  <c r="V554" i="4"/>
  <c r="W554" i="4"/>
  <c r="X554" i="4"/>
  <c r="Y554" i="4"/>
  <c r="Z554" i="4"/>
  <c r="L553" i="4"/>
  <c r="M553" i="4"/>
  <c r="N553" i="4"/>
  <c r="O553" i="4"/>
  <c r="P553" i="4"/>
  <c r="Q553" i="4"/>
  <c r="R553" i="4"/>
  <c r="S553" i="4"/>
  <c r="T553" i="4"/>
  <c r="U553" i="4"/>
  <c r="V553" i="4"/>
  <c r="W553" i="4"/>
  <c r="X553" i="4"/>
  <c r="Y553" i="4"/>
  <c r="Z553" i="4"/>
  <c r="L552" i="4"/>
  <c r="M552" i="4"/>
  <c r="N552" i="4"/>
  <c r="O552" i="4"/>
  <c r="P552" i="4"/>
  <c r="Q552" i="4"/>
  <c r="R552" i="4"/>
  <c r="S552" i="4"/>
  <c r="T552" i="4"/>
  <c r="U552" i="4"/>
  <c r="V552" i="4"/>
  <c r="W552" i="4"/>
  <c r="X552" i="4"/>
  <c r="Y552" i="4"/>
  <c r="Z552" i="4"/>
  <c r="L551" i="4"/>
  <c r="M551" i="4"/>
  <c r="N551" i="4"/>
  <c r="O551" i="4"/>
  <c r="P551" i="4"/>
  <c r="Q551" i="4"/>
  <c r="R551" i="4"/>
  <c r="S551" i="4"/>
  <c r="T551" i="4"/>
  <c r="U551" i="4"/>
  <c r="V551" i="4"/>
  <c r="W551" i="4"/>
  <c r="X551" i="4"/>
  <c r="Y551" i="4"/>
  <c r="Z551" i="4"/>
  <c r="L550" i="4"/>
  <c r="M550" i="4"/>
  <c r="N550" i="4"/>
  <c r="O550" i="4"/>
  <c r="P550" i="4"/>
  <c r="Q550" i="4"/>
  <c r="R550" i="4"/>
  <c r="S550" i="4"/>
  <c r="T550" i="4"/>
  <c r="U550" i="4"/>
  <c r="V550" i="4"/>
  <c r="W550" i="4"/>
  <c r="X550" i="4"/>
  <c r="Y550" i="4"/>
  <c r="Z550" i="4"/>
  <c r="L549" i="4"/>
  <c r="M549" i="4"/>
  <c r="N549" i="4"/>
  <c r="O549" i="4"/>
  <c r="P549" i="4"/>
  <c r="Q549" i="4"/>
  <c r="R549" i="4"/>
  <c r="S549" i="4"/>
  <c r="T549" i="4"/>
  <c r="U549" i="4"/>
  <c r="V549" i="4"/>
  <c r="W549" i="4"/>
  <c r="X549" i="4"/>
  <c r="Y549" i="4"/>
  <c r="Z549" i="4"/>
  <c r="L548" i="4"/>
  <c r="M548" i="4"/>
  <c r="N548" i="4"/>
  <c r="O548" i="4"/>
  <c r="P548" i="4"/>
  <c r="Q548" i="4"/>
  <c r="R548" i="4"/>
  <c r="S548" i="4"/>
  <c r="T548" i="4"/>
  <c r="U548" i="4"/>
  <c r="V548" i="4"/>
  <c r="W548" i="4"/>
  <c r="X548" i="4"/>
  <c r="Y548" i="4"/>
  <c r="Z548" i="4"/>
  <c r="L545" i="4"/>
  <c r="M545" i="4"/>
  <c r="N545" i="4"/>
  <c r="O545" i="4"/>
  <c r="P545" i="4"/>
  <c r="Q545" i="4"/>
  <c r="R545" i="4"/>
  <c r="S545" i="4"/>
  <c r="T545" i="4"/>
  <c r="U545" i="4"/>
  <c r="V545" i="4"/>
  <c r="W545" i="4"/>
  <c r="X545" i="4"/>
  <c r="Y545" i="4"/>
  <c r="Z545" i="4"/>
  <c r="L546" i="4"/>
  <c r="M546" i="4"/>
  <c r="N546" i="4"/>
  <c r="O546" i="4"/>
  <c r="P546" i="4"/>
  <c r="Q546" i="4"/>
  <c r="R546" i="4"/>
  <c r="S546" i="4"/>
  <c r="T546" i="4"/>
  <c r="U546" i="4"/>
  <c r="V546" i="4"/>
  <c r="W546" i="4"/>
  <c r="X546" i="4"/>
  <c r="Y546" i="4"/>
  <c r="Z546" i="4"/>
  <c r="L547" i="4"/>
  <c r="M547" i="4"/>
  <c r="N547" i="4"/>
  <c r="O547" i="4"/>
  <c r="P547" i="4"/>
  <c r="Q547" i="4"/>
  <c r="R547" i="4"/>
  <c r="S547" i="4"/>
  <c r="T547" i="4"/>
  <c r="U547" i="4"/>
  <c r="V547" i="4"/>
  <c r="W547" i="4"/>
  <c r="X547" i="4"/>
  <c r="Y547" i="4"/>
  <c r="Z547" i="4"/>
  <c r="L544" i="4"/>
  <c r="M544" i="4"/>
  <c r="N544" i="4"/>
  <c r="O544" i="4"/>
  <c r="P544" i="4"/>
  <c r="Q544" i="4"/>
  <c r="R544" i="4"/>
  <c r="S544" i="4"/>
  <c r="T544" i="4"/>
  <c r="U544" i="4"/>
  <c r="V544" i="4"/>
  <c r="W544" i="4"/>
  <c r="X544" i="4"/>
  <c r="Y544" i="4"/>
  <c r="Z544" i="4"/>
  <c r="L543" i="4"/>
  <c r="M543" i="4"/>
  <c r="N543" i="4"/>
  <c r="O543" i="4"/>
  <c r="P543" i="4"/>
  <c r="Q543" i="4"/>
  <c r="R543" i="4"/>
  <c r="S543" i="4"/>
  <c r="T543" i="4"/>
  <c r="U543" i="4"/>
  <c r="V543" i="4"/>
  <c r="W543" i="4"/>
  <c r="X543" i="4"/>
  <c r="Y543" i="4"/>
  <c r="Z543" i="4"/>
  <c r="L541" i="4"/>
  <c r="M541" i="4"/>
  <c r="N541" i="4"/>
  <c r="O541" i="4"/>
  <c r="P541" i="4"/>
  <c r="Q541" i="4"/>
  <c r="R541" i="4"/>
  <c r="S541" i="4"/>
  <c r="T541" i="4"/>
  <c r="U541" i="4"/>
  <c r="V541" i="4"/>
  <c r="W541" i="4"/>
  <c r="X541" i="4"/>
  <c r="Y541" i="4"/>
  <c r="Z541" i="4"/>
  <c r="L542" i="4"/>
  <c r="M542" i="4"/>
  <c r="N542" i="4"/>
  <c r="O542" i="4"/>
  <c r="P542" i="4"/>
  <c r="Q542" i="4"/>
  <c r="R542" i="4"/>
  <c r="S542" i="4"/>
  <c r="T542" i="4"/>
  <c r="U542" i="4"/>
  <c r="V542" i="4"/>
  <c r="W542" i="4"/>
  <c r="X542" i="4"/>
  <c r="Y542" i="4"/>
  <c r="Z542" i="4"/>
  <c r="L540" i="4"/>
  <c r="M540" i="4"/>
  <c r="N540" i="4"/>
  <c r="O540" i="4"/>
  <c r="P540" i="4"/>
  <c r="Q540" i="4"/>
  <c r="R540" i="4"/>
  <c r="S540" i="4"/>
  <c r="T540" i="4"/>
  <c r="U540" i="4"/>
  <c r="V540" i="4"/>
  <c r="W540" i="4"/>
  <c r="X540" i="4"/>
  <c r="Y540" i="4"/>
  <c r="Z540" i="4"/>
  <c r="L538" i="4"/>
  <c r="M538" i="4"/>
  <c r="N538" i="4"/>
  <c r="O538" i="4"/>
  <c r="P538" i="4"/>
  <c r="Q538" i="4"/>
  <c r="R538" i="4"/>
  <c r="S538" i="4"/>
  <c r="T538" i="4"/>
  <c r="U538" i="4"/>
  <c r="V538" i="4"/>
  <c r="W538" i="4"/>
  <c r="X538" i="4"/>
  <c r="Y538" i="4"/>
  <c r="Z538" i="4"/>
  <c r="L539" i="4"/>
  <c r="M539" i="4"/>
  <c r="N539" i="4"/>
  <c r="O539" i="4"/>
  <c r="P539" i="4"/>
  <c r="Q539" i="4"/>
  <c r="R539" i="4"/>
  <c r="S539" i="4"/>
  <c r="T539" i="4"/>
  <c r="U539" i="4"/>
  <c r="V539" i="4"/>
  <c r="W539" i="4"/>
  <c r="X539" i="4"/>
  <c r="Y539" i="4"/>
  <c r="Z539" i="4"/>
  <c r="L536" i="4"/>
  <c r="M536" i="4"/>
  <c r="N536" i="4"/>
  <c r="O536" i="4"/>
  <c r="P536" i="4"/>
  <c r="Q536" i="4"/>
  <c r="R536" i="4"/>
  <c r="S536" i="4"/>
  <c r="T536" i="4"/>
  <c r="U536" i="4"/>
  <c r="V536" i="4"/>
  <c r="W536" i="4"/>
  <c r="X536" i="4"/>
  <c r="Y536" i="4"/>
  <c r="Z536" i="4"/>
  <c r="L537" i="4"/>
  <c r="M537" i="4"/>
  <c r="N537" i="4"/>
  <c r="O537" i="4"/>
  <c r="P537" i="4"/>
  <c r="Q537" i="4"/>
  <c r="R537" i="4"/>
  <c r="S537" i="4"/>
  <c r="T537" i="4"/>
  <c r="U537" i="4"/>
  <c r="V537" i="4"/>
  <c r="W537" i="4"/>
  <c r="X537" i="4"/>
  <c r="Y537" i="4"/>
  <c r="Z537" i="4"/>
  <c r="L535" i="4"/>
  <c r="M535" i="4"/>
  <c r="N535" i="4"/>
  <c r="O535" i="4"/>
  <c r="P535" i="4"/>
  <c r="Q535" i="4"/>
  <c r="R535" i="4"/>
  <c r="S535" i="4"/>
  <c r="T535" i="4"/>
  <c r="U535" i="4"/>
  <c r="V535" i="4"/>
  <c r="W535" i="4"/>
  <c r="X535" i="4"/>
  <c r="Y535" i="4"/>
  <c r="Z535" i="4"/>
  <c r="L534" i="4"/>
  <c r="M534" i="4"/>
  <c r="N534" i="4"/>
  <c r="O534" i="4"/>
  <c r="P534" i="4"/>
  <c r="Q534" i="4"/>
  <c r="R534" i="4"/>
  <c r="S534" i="4"/>
  <c r="T534" i="4"/>
  <c r="U534" i="4"/>
  <c r="V534" i="4"/>
  <c r="W534" i="4"/>
  <c r="X534" i="4"/>
  <c r="Y534" i="4"/>
  <c r="Z534" i="4"/>
  <c r="L533" i="4"/>
  <c r="M533" i="4"/>
  <c r="N533" i="4"/>
  <c r="O533" i="4"/>
  <c r="P533" i="4"/>
  <c r="Q533" i="4"/>
  <c r="R533" i="4"/>
  <c r="S533" i="4"/>
  <c r="T533" i="4"/>
  <c r="U533" i="4"/>
  <c r="V533" i="4"/>
  <c r="W533" i="4"/>
  <c r="X533" i="4"/>
  <c r="Y533" i="4"/>
  <c r="Z533" i="4"/>
  <c r="L532" i="4"/>
  <c r="M532" i="4"/>
  <c r="N532" i="4"/>
  <c r="O532" i="4"/>
  <c r="P532" i="4"/>
  <c r="Q532" i="4"/>
  <c r="R532" i="4"/>
  <c r="S532" i="4"/>
  <c r="T532" i="4"/>
  <c r="U532" i="4"/>
  <c r="V532" i="4"/>
  <c r="W532" i="4"/>
  <c r="X532" i="4"/>
  <c r="Y532" i="4"/>
  <c r="Z532" i="4"/>
  <c r="L531" i="4"/>
  <c r="M531" i="4"/>
  <c r="N531" i="4"/>
  <c r="O531" i="4"/>
  <c r="P531" i="4"/>
  <c r="Q531" i="4"/>
  <c r="R531" i="4"/>
  <c r="S531" i="4"/>
  <c r="T531" i="4"/>
  <c r="U531" i="4"/>
  <c r="V531" i="4"/>
  <c r="W531" i="4"/>
  <c r="X531" i="4"/>
  <c r="Y531" i="4"/>
  <c r="Z531" i="4"/>
  <c r="L530" i="4"/>
  <c r="M530" i="4"/>
  <c r="N530" i="4"/>
  <c r="O530" i="4"/>
  <c r="P530" i="4"/>
  <c r="Q530" i="4"/>
  <c r="R530" i="4"/>
  <c r="S530" i="4"/>
  <c r="T530" i="4"/>
  <c r="U530" i="4"/>
  <c r="V530" i="4"/>
  <c r="W530" i="4"/>
  <c r="X530" i="4"/>
  <c r="Y530" i="4"/>
  <c r="Z530" i="4"/>
  <c r="L529" i="4"/>
  <c r="M529" i="4"/>
  <c r="N529" i="4"/>
  <c r="O529" i="4"/>
  <c r="P529" i="4"/>
  <c r="Q529" i="4"/>
  <c r="R529" i="4"/>
  <c r="S529" i="4"/>
  <c r="T529" i="4"/>
  <c r="U529" i="4"/>
  <c r="V529" i="4"/>
  <c r="W529" i="4"/>
  <c r="X529" i="4"/>
  <c r="Y529" i="4"/>
  <c r="Z529" i="4"/>
  <c r="L528" i="4"/>
  <c r="M528" i="4"/>
  <c r="N528" i="4"/>
  <c r="O528" i="4"/>
  <c r="P528" i="4"/>
  <c r="Q528" i="4"/>
  <c r="R528" i="4"/>
  <c r="S528" i="4"/>
  <c r="T528" i="4"/>
  <c r="U528" i="4"/>
  <c r="V528" i="4"/>
  <c r="W528" i="4"/>
  <c r="X528" i="4"/>
  <c r="Y528" i="4"/>
  <c r="Z528" i="4"/>
  <c r="L527" i="4"/>
  <c r="M527" i="4"/>
  <c r="N527" i="4"/>
  <c r="O527" i="4"/>
  <c r="P527" i="4"/>
  <c r="Q527" i="4"/>
  <c r="R527" i="4"/>
  <c r="S527" i="4"/>
  <c r="T527" i="4"/>
  <c r="U527" i="4"/>
  <c r="V527" i="4"/>
  <c r="W527" i="4"/>
  <c r="X527" i="4"/>
  <c r="Y527" i="4"/>
  <c r="Z527" i="4"/>
  <c r="L524" i="4"/>
  <c r="M524" i="4"/>
  <c r="N524" i="4"/>
  <c r="O524" i="4"/>
  <c r="P524" i="4"/>
  <c r="Q524" i="4"/>
  <c r="R524" i="4"/>
  <c r="S524" i="4"/>
  <c r="T524" i="4"/>
  <c r="U524" i="4"/>
  <c r="V524" i="4"/>
  <c r="W524" i="4"/>
  <c r="X524" i="4"/>
  <c r="Y524" i="4"/>
  <c r="Z524" i="4"/>
  <c r="L525" i="4"/>
  <c r="M525" i="4"/>
  <c r="N525" i="4"/>
  <c r="O525" i="4"/>
  <c r="P525" i="4"/>
  <c r="Q525" i="4"/>
  <c r="R525" i="4"/>
  <c r="S525" i="4"/>
  <c r="T525" i="4"/>
  <c r="U525" i="4"/>
  <c r="V525" i="4"/>
  <c r="W525" i="4"/>
  <c r="X525" i="4"/>
  <c r="Y525" i="4"/>
  <c r="Z525" i="4"/>
  <c r="L526" i="4"/>
  <c r="M526" i="4"/>
  <c r="N526" i="4"/>
  <c r="O526" i="4"/>
  <c r="P526" i="4"/>
  <c r="Q526" i="4"/>
  <c r="R526" i="4"/>
  <c r="S526" i="4"/>
  <c r="T526" i="4"/>
  <c r="U526" i="4"/>
  <c r="V526" i="4"/>
  <c r="W526" i="4"/>
  <c r="X526" i="4"/>
  <c r="Y526" i="4"/>
  <c r="Z526" i="4"/>
  <c r="L523" i="4"/>
  <c r="M523" i="4"/>
  <c r="N523" i="4"/>
  <c r="O523" i="4"/>
  <c r="P523" i="4"/>
  <c r="Q523" i="4"/>
  <c r="R523" i="4"/>
  <c r="S523" i="4"/>
  <c r="T523" i="4"/>
  <c r="U523" i="4"/>
  <c r="V523" i="4"/>
  <c r="W523" i="4"/>
  <c r="X523" i="4"/>
  <c r="Y523" i="4"/>
  <c r="Z523" i="4"/>
  <c r="L519" i="4"/>
  <c r="M519" i="4"/>
  <c r="N519" i="4"/>
  <c r="O519" i="4"/>
  <c r="P519" i="4"/>
  <c r="Q519" i="4"/>
  <c r="R519" i="4"/>
  <c r="S519" i="4"/>
  <c r="T519" i="4"/>
  <c r="U519" i="4"/>
  <c r="V519" i="4"/>
  <c r="W519" i="4"/>
  <c r="X519" i="4"/>
  <c r="Y519" i="4"/>
  <c r="Z519" i="4"/>
  <c r="L520" i="4"/>
  <c r="M520" i="4"/>
  <c r="N520" i="4"/>
  <c r="O520" i="4"/>
  <c r="P520" i="4"/>
  <c r="Q520" i="4"/>
  <c r="R520" i="4"/>
  <c r="S520" i="4"/>
  <c r="T520" i="4"/>
  <c r="U520" i="4"/>
  <c r="V520" i="4"/>
  <c r="W520" i="4"/>
  <c r="X520" i="4"/>
  <c r="Y520" i="4"/>
  <c r="Z520" i="4"/>
  <c r="L521" i="4"/>
  <c r="M521" i="4"/>
  <c r="N521" i="4"/>
  <c r="O521" i="4"/>
  <c r="P521" i="4"/>
  <c r="Q521" i="4"/>
  <c r="R521" i="4"/>
  <c r="S521" i="4"/>
  <c r="T521" i="4"/>
  <c r="U521" i="4"/>
  <c r="V521" i="4"/>
  <c r="W521" i="4"/>
  <c r="X521" i="4"/>
  <c r="Y521" i="4"/>
  <c r="Z521" i="4"/>
  <c r="L522" i="4"/>
  <c r="M522" i="4"/>
  <c r="N522" i="4"/>
  <c r="O522" i="4"/>
  <c r="P522" i="4"/>
  <c r="Q522" i="4"/>
  <c r="R522" i="4"/>
  <c r="S522" i="4"/>
  <c r="T522" i="4"/>
  <c r="U522" i="4"/>
  <c r="V522" i="4"/>
  <c r="W522" i="4"/>
  <c r="X522" i="4"/>
  <c r="Y522" i="4"/>
  <c r="Z522" i="4"/>
  <c r="L518" i="4"/>
  <c r="M518" i="4"/>
  <c r="N518" i="4"/>
  <c r="O518" i="4"/>
  <c r="P518" i="4"/>
  <c r="Q518" i="4"/>
  <c r="R518" i="4"/>
  <c r="S518" i="4"/>
  <c r="T518" i="4"/>
  <c r="U518" i="4"/>
  <c r="V518" i="4"/>
  <c r="W518" i="4"/>
  <c r="X518" i="4"/>
  <c r="Y518" i="4"/>
  <c r="Z518" i="4"/>
  <c r="L517" i="4"/>
  <c r="M517" i="4"/>
  <c r="N517" i="4"/>
  <c r="O517" i="4"/>
  <c r="P517" i="4"/>
  <c r="Q517" i="4"/>
  <c r="R517" i="4"/>
  <c r="S517" i="4"/>
  <c r="T517" i="4"/>
  <c r="U517" i="4"/>
  <c r="V517" i="4"/>
  <c r="W517" i="4"/>
  <c r="X517" i="4"/>
  <c r="Y517" i="4"/>
  <c r="Z517" i="4"/>
  <c r="L516" i="4"/>
  <c r="M516" i="4"/>
  <c r="N516" i="4"/>
  <c r="O516" i="4"/>
  <c r="P516" i="4"/>
  <c r="Q516" i="4"/>
  <c r="R516" i="4"/>
  <c r="S516" i="4"/>
  <c r="T516" i="4"/>
  <c r="U516" i="4"/>
  <c r="V516" i="4"/>
  <c r="W516" i="4"/>
  <c r="X516" i="4"/>
  <c r="Y516" i="4"/>
  <c r="Z516" i="4"/>
  <c r="L515" i="4"/>
  <c r="M515" i="4"/>
  <c r="N515" i="4"/>
  <c r="O515" i="4"/>
  <c r="P515" i="4"/>
  <c r="Q515" i="4"/>
  <c r="R515" i="4"/>
  <c r="S515" i="4"/>
  <c r="T515" i="4"/>
  <c r="U515" i="4"/>
  <c r="V515" i="4"/>
  <c r="W515" i="4"/>
  <c r="X515" i="4"/>
  <c r="Y515" i="4"/>
  <c r="Z515" i="4"/>
  <c r="L514" i="4"/>
  <c r="M514" i="4"/>
  <c r="N514" i="4"/>
  <c r="O514" i="4"/>
  <c r="P514" i="4"/>
  <c r="Q514" i="4"/>
  <c r="R514" i="4"/>
  <c r="S514" i="4"/>
  <c r="T514" i="4"/>
  <c r="U514" i="4"/>
  <c r="V514" i="4"/>
  <c r="W514" i="4"/>
  <c r="X514" i="4"/>
  <c r="Y514" i="4"/>
  <c r="Z514" i="4"/>
  <c r="L513" i="4"/>
  <c r="M513" i="4"/>
  <c r="N513" i="4"/>
  <c r="O513" i="4"/>
  <c r="P513" i="4"/>
  <c r="Q513" i="4"/>
  <c r="R513" i="4"/>
  <c r="S513" i="4"/>
  <c r="T513" i="4"/>
  <c r="U513" i="4"/>
  <c r="V513" i="4"/>
  <c r="W513" i="4"/>
  <c r="X513" i="4"/>
  <c r="Y513" i="4"/>
  <c r="Z513" i="4"/>
  <c r="L512" i="4"/>
  <c r="M512" i="4"/>
  <c r="N512" i="4"/>
  <c r="O512" i="4"/>
  <c r="P512" i="4"/>
  <c r="Q512" i="4"/>
  <c r="R512" i="4"/>
  <c r="S512" i="4"/>
  <c r="T512" i="4"/>
  <c r="U512" i="4"/>
  <c r="V512" i="4"/>
  <c r="W512" i="4"/>
  <c r="X512" i="4"/>
  <c r="Y512" i="4"/>
  <c r="Z512" i="4"/>
  <c r="L511" i="4"/>
  <c r="M511" i="4"/>
  <c r="N511" i="4"/>
  <c r="O511" i="4"/>
  <c r="P511" i="4"/>
  <c r="Q511" i="4"/>
  <c r="R511" i="4"/>
  <c r="S511" i="4"/>
  <c r="T511" i="4"/>
  <c r="U511" i="4"/>
  <c r="V511" i="4"/>
  <c r="W511" i="4"/>
  <c r="X511" i="4"/>
  <c r="Y511" i="4"/>
  <c r="Z511" i="4"/>
  <c r="L510" i="4"/>
  <c r="M510" i="4"/>
  <c r="N510" i="4"/>
  <c r="O510" i="4"/>
  <c r="P510" i="4"/>
  <c r="Q510" i="4"/>
  <c r="R510" i="4"/>
  <c r="S510" i="4"/>
  <c r="T510" i="4"/>
  <c r="U510" i="4"/>
  <c r="V510" i="4"/>
  <c r="W510" i="4"/>
  <c r="X510" i="4"/>
  <c r="Y510" i="4"/>
  <c r="Z510" i="4"/>
  <c r="L509" i="4"/>
  <c r="M509" i="4"/>
  <c r="N509" i="4"/>
  <c r="O509" i="4"/>
  <c r="P509" i="4"/>
  <c r="Q509" i="4"/>
  <c r="R509" i="4"/>
  <c r="S509" i="4"/>
  <c r="T509" i="4"/>
  <c r="U509" i="4"/>
  <c r="V509" i="4"/>
  <c r="W509" i="4"/>
  <c r="X509" i="4"/>
  <c r="Y509" i="4"/>
  <c r="Z509" i="4"/>
  <c r="L508" i="4"/>
  <c r="M508" i="4"/>
  <c r="N508" i="4"/>
  <c r="O508" i="4"/>
  <c r="P508" i="4"/>
  <c r="Q508" i="4"/>
  <c r="R508" i="4"/>
  <c r="S508" i="4"/>
  <c r="T508" i="4"/>
  <c r="U508" i="4"/>
  <c r="V508" i="4"/>
  <c r="W508" i="4"/>
  <c r="X508" i="4"/>
  <c r="Y508" i="4"/>
  <c r="Z508" i="4"/>
  <c r="L507" i="4"/>
  <c r="M507" i="4"/>
  <c r="N507" i="4"/>
  <c r="O507" i="4"/>
  <c r="P507" i="4"/>
  <c r="Q507" i="4"/>
  <c r="R507" i="4"/>
  <c r="S507" i="4"/>
  <c r="T507" i="4"/>
  <c r="U507" i="4"/>
  <c r="V507" i="4"/>
  <c r="W507" i="4"/>
  <c r="X507" i="4"/>
  <c r="Y507" i="4"/>
  <c r="Z507" i="4"/>
  <c r="L506" i="4"/>
  <c r="M506" i="4"/>
  <c r="N506" i="4"/>
  <c r="O506" i="4"/>
  <c r="P506" i="4"/>
  <c r="Q506" i="4"/>
  <c r="R506" i="4"/>
  <c r="S506" i="4"/>
  <c r="T506" i="4"/>
  <c r="U506" i="4"/>
  <c r="V506" i="4"/>
  <c r="W506" i="4"/>
  <c r="X506" i="4"/>
  <c r="Y506" i="4"/>
  <c r="Z506" i="4"/>
  <c r="L505" i="4"/>
  <c r="M505" i="4"/>
  <c r="N505" i="4"/>
  <c r="O505" i="4"/>
  <c r="P505" i="4"/>
  <c r="Q505" i="4"/>
  <c r="R505" i="4"/>
  <c r="S505" i="4"/>
  <c r="T505" i="4"/>
  <c r="U505" i="4"/>
  <c r="V505" i="4"/>
  <c r="W505" i="4"/>
  <c r="X505" i="4"/>
  <c r="Y505" i="4"/>
  <c r="Z505" i="4"/>
  <c r="L504" i="4"/>
  <c r="M504" i="4"/>
  <c r="N504" i="4"/>
  <c r="O504" i="4"/>
  <c r="P504" i="4"/>
  <c r="Q504" i="4"/>
  <c r="R504" i="4"/>
  <c r="S504" i="4"/>
  <c r="T504" i="4"/>
  <c r="U504" i="4"/>
  <c r="V504" i="4"/>
  <c r="W504" i="4"/>
  <c r="X504" i="4"/>
  <c r="Y504" i="4"/>
  <c r="Z504" i="4"/>
  <c r="L503" i="4"/>
  <c r="M503" i="4"/>
  <c r="N503" i="4"/>
  <c r="O503" i="4"/>
  <c r="P503" i="4"/>
  <c r="Q503" i="4"/>
  <c r="R503" i="4"/>
  <c r="S503" i="4"/>
  <c r="T503" i="4"/>
  <c r="U503" i="4"/>
  <c r="V503" i="4"/>
  <c r="W503" i="4"/>
  <c r="X503" i="4"/>
  <c r="Y503" i="4"/>
  <c r="Z503" i="4"/>
  <c r="L502" i="4"/>
  <c r="M502" i="4"/>
  <c r="N502" i="4"/>
  <c r="O502" i="4"/>
  <c r="P502" i="4"/>
  <c r="Q502" i="4"/>
  <c r="R502" i="4"/>
  <c r="S502" i="4"/>
  <c r="T502" i="4"/>
  <c r="U502" i="4"/>
  <c r="V502" i="4"/>
  <c r="W502" i="4"/>
  <c r="X502" i="4"/>
  <c r="Y502" i="4"/>
  <c r="Z502" i="4"/>
  <c r="L501" i="4"/>
  <c r="M501" i="4"/>
  <c r="N501" i="4"/>
  <c r="O501" i="4"/>
  <c r="P501" i="4"/>
  <c r="Q501" i="4"/>
  <c r="R501" i="4"/>
  <c r="S501" i="4"/>
  <c r="T501" i="4"/>
  <c r="U501" i="4"/>
  <c r="V501" i="4"/>
  <c r="W501" i="4"/>
  <c r="X501" i="4"/>
  <c r="Y501" i="4"/>
  <c r="Z501" i="4"/>
  <c r="L500" i="4"/>
  <c r="M500" i="4"/>
  <c r="N500" i="4"/>
  <c r="O500" i="4"/>
  <c r="P500" i="4"/>
  <c r="Q500" i="4"/>
  <c r="R500" i="4"/>
  <c r="S500" i="4"/>
  <c r="T500" i="4"/>
  <c r="U500" i="4"/>
  <c r="V500" i="4"/>
  <c r="W500" i="4"/>
  <c r="X500" i="4"/>
  <c r="Y500" i="4"/>
  <c r="Z500" i="4"/>
  <c r="L499" i="4"/>
  <c r="M499" i="4"/>
  <c r="N499" i="4"/>
  <c r="O499" i="4"/>
  <c r="P499" i="4"/>
  <c r="Q499" i="4"/>
  <c r="R499" i="4"/>
  <c r="S499" i="4"/>
  <c r="T499" i="4"/>
  <c r="U499" i="4"/>
  <c r="V499" i="4"/>
  <c r="W499" i="4"/>
  <c r="X499" i="4"/>
  <c r="Y499" i="4"/>
  <c r="Z499" i="4"/>
  <c r="L498" i="4"/>
  <c r="M498" i="4"/>
  <c r="N498" i="4"/>
  <c r="O498" i="4"/>
  <c r="P498" i="4"/>
  <c r="Q498" i="4"/>
  <c r="R498" i="4"/>
  <c r="S498" i="4"/>
  <c r="T498" i="4"/>
  <c r="U498" i="4"/>
  <c r="V498" i="4"/>
  <c r="W498" i="4"/>
  <c r="X498" i="4"/>
  <c r="Y498" i="4"/>
  <c r="Z498" i="4"/>
  <c r="L497" i="4"/>
  <c r="M497" i="4"/>
  <c r="N497" i="4"/>
  <c r="O497" i="4"/>
  <c r="P497" i="4"/>
  <c r="Q497" i="4"/>
  <c r="R497" i="4"/>
  <c r="S497" i="4"/>
  <c r="T497" i="4"/>
  <c r="U497" i="4"/>
  <c r="V497" i="4"/>
  <c r="W497" i="4"/>
  <c r="X497" i="4"/>
  <c r="Y497" i="4"/>
  <c r="Z497" i="4"/>
  <c r="L496" i="4"/>
  <c r="M496" i="4"/>
  <c r="N496" i="4"/>
  <c r="O496" i="4"/>
  <c r="P496" i="4"/>
  <c r="Q496" i="4"/>
  <c r="R496" i="4"/>
  <c r="S496" i="4"/>
  <c r="T496" i="4"/>
  <c r="U496" i="4"/>
  <c r="V496" i="4"/>
  <c r="W496" i="4"/>
  <c r="X496" i="4"/>
  <c r="Y496" i="4"/>
  <c r="Z496" i="4"/>
  <c r="L495" i="4"/>
  <c r="M495" i="4"/>
  <c r="N495" i="4"/>
  <c r="O495" i="4"/>
  <c r="P495" i="4"/>
  <c r="Q495" i="4"/>
  <c r="R495" i="4"/>
  <c r="S495" i="4"/>
  <c r="T495" i="4"/>
  <c r="U495" i="4"/>
  <c r="V495" i="4"/>
  <c r="W495" i="4"/>
  <c r="X495" i="4"/>
  <c r="Y495" i="4"/>
  <c r="Z495" i="4"/>
  <c r="L494" i="4"/>
  <c r="M494" i="4"/>
  <c r="N494" i="4"/>
  <c r="O494" i="4"/>
  <c r="P494" i="4"/>
  <c r="Q494" i="4"/>
  <c r="R494" i="4"/>
  <c r="S494" i="4"/>
  <c r="T494" i="4"/>
  <c r="U494" i="4"/>
  <c r="V494" i="4"/>
  <c r="W494" i="4"/>
  <c r="X494" i="4"/>
  <c r="Y494" i="4"/>
  <c r="Z494" i="4"/>
  <c r="L493" i="4"/>
  <c r="M493" i="4"/>
  <c r="N493" i="4"/>
  <c r="O493" i="4"/>
  <c r="P493" i="4"/>
  <c r="Q493" i="4"/>
  <c r="R493" i="4"/>
  <c r="S493" i="4"/>
  <c r="T493" i="4"/>
  <c r="U493" i="4"/>
  <c r="V493" i="4"/>
  <c r="W493" i="4"/>
  <c r="X493" i="4"/>
  <c r="Y493" i="4"/>
  <c r="Z493" i="4"/>
  <c r="L492" i="4"/>
  <c r="M492" i="4"/>
  <c r="N492" i="4"/>
  <c r="O492" i="4"/>
  <c r="P492" i="4"/>
  <c r="Q492" i="4"/>
  <c r="R492" i="4"/>
  <c r="S492" i="4"/>
  <c r="T492" i="4"/>
  <c r="U492" i="4"/>
  <c r="V492" i="4"/>
  <c r="W492" i="4"/>
  <c r="X492" i="4"/>
  <c r="Y492" i="4"/>
  <c r="Z492" i="4"/>
  <c r="L491" i="4"/>
  <c r="M491" i="4"/>
  <c r="N491" i="4"/>
  <c r="O491" i="4"/>
  <c r="P491" i="4"/>
  <c r="Q491" i="4"/>
  <c r="R491" i="4"/>
  <c r="S491" i="4"/>
  <c r="T491" i="4"/>
  <c r="U491" i="4"/>
  <c r="V491" i="4"/>
  <c r="W491" i="4"/>
  <c r="X491" i="4"/>
  <c r="Y491" i="4"/>
  <c r="Z491" i="4"/>
  <c r="L490" i="4"/>
  <c r="M490" i="4"/>
  <c r="N490" i="4"/>
  <c r="O490" i="4"/>
  <c r="P490" i="4"/>
  <c r="Q490" i="4"/>
  <c r="R490" i="4"/>
  <c r="S490" i="4"/>
  <c r="T490" i="4"/>
  <c r="U490" i="4"/>
  <c r="V490" i="4"/>
  <c r="W490" i="4"/>
  <c r="X490" i="4"/>
  <c r="Y490" i="4"/>
  <c r="Z490" i="4"/>
  <c r="L489" i="4"/>
  <c r="M489" i="4"/>
  <c r="N489" i="4"/>
  <c r="O489" i="4"/>
  <c r="P489" i="4"/>
  <c r="Q489" i="4"/>
  <c r="R489" i="4"/>
  <c r="S489" i="4"/>
  <c r="T489" i="4"/>
  <c r="U489" i="4"/>
  <c r="V489" i="4"/>
  <c r="W489" i="4"/>
  <c r="X489" i="4"/>
  <c r="Y489" i="4"/>
  <c r="Z489" i="4"/>
  <c r="L488" i="4"/>
  <c r="M488" i="4"/>
  <c r="N488" i="4"/>
  <c r="O488" i="4"/>
  <c r="P488" i="4"/>
  <c r="Q488" i="4"/>
  <c r="R488" i="4"/>
  <c r="S488" i="4"/>
  <c r="T488" i="4"/>
  <c r="U488" i="4"/>
  <c r="V488" i="4"/>
  <c r="W488" i="4"/>
  <c r="X488" i="4"/>
  <c r="Y488" i="4"/>
  <c r="Z488" i="4"/>
  <c r="L485" i="4"/>
  <c r="M485" i="4"/>
  <c r="N485" i="4"/>
  <c r="O485" i="4"/>
  <c r="P485" i="4"/>
  <c r="Q485" i="4"/>
  <c r="R485" i="4"/>
  <c r="S485" i="4"/>
  <c r="T485" i="4"/>
  <c r="U485" i="4"/>
  <c r="V485" i="4"/>
  <c r="W485" i="4"/>
  <c r="X485" i="4"/>
  <c r="Y485" i="4"/>
  <c r="Z485" i="4"/>
  <c r="L486" i="4"/>
  <c r="M486" i="4"/>
  <c r="N486" i="4"/>
  <c r="O486" i="4"/>
  <c r="P486" i="4"/>
  <c r="Q486" i="4"/>
  <c r="R486" i="4"/>
  <c r="S486" i="4"/>
  <c r="T486" i="4"/>
  <c r="U486" i="4"/>
  <c r="V486" i="4"/>
  <c r="W486" i="4"/>
  <c r="X486" i="4"/>
  <c r="Y486" i="4"/>
  <c r="Z486" i="4"/>
  <c r="L487" i="4"/>
  <c r="M487" i="4"/>
  <c r="N487" i="4"/>
  <c r="O487" i="4"/>
  <c r="P487" i="4"/>
  <c r="Q487" i="4"/>
  <c r="R487" i="4"/>
  <c r="S487" i="4"/>
  <c r="T487" i="4"/>
  <c r="U487" i="4"/>
  <c r="V487" i="4"/>
  <c r="W487" i="4"/>
  <c r="X487" i="4"/>
  <c r="Y487" i="4"/>
  <c r="Z487" i="4"/>
  <c r="L484" i="4"/>
  <c r="M484" i="4"/>
  <c r="N484" i="4"/>
  <c r="O484" i="4"/>
  <c r="P484" i="4"/>
  <c r="Q484" i="4"/>
  <c r="R484" i="4"/>
  <c r="S484" i="4"/>
  <c r="T484" i="4"/>
  <c r="U484" i="4"/>
  <c r="V484" i="4"/>
  <c r="W484" i="4"/>
  <c r="X484" i="4"/>
  <c r="Y484" i="4"/>
  <c r="Z484" i="4"/>
  <c r="L483" i="4"/>
  <c r="M483" i="4"/>
  <c r="N483" i="4"/>
  <c r="O483" i="4"/>
  <c r="P483" i="4"/>
  <c r="Q483" i="4"/>
  <c r="R483" i="4"/>
  <c r="S483" i="4"/>
  <c r="T483" i="4"/>
  <c r="U483" i="4"/>
  <c r="V483" i="4"/>
  <c r="W483" i="4"/>
  <c r="X483" i="4"/>
  <c r="Y483" i="4"/>
  <c r="Z483" i="4"/>
  <c r="L482" i="4"/>
  <c r="M482" i="4"/>
  <c r="N482" i="4"/>
  <c r="O482" i="4"/>
  <c r="P482" i="4"/>
  <c r="Q482" i="4"/>
  <c r="R482" i="4"/>
  <c r="S482" i="4"/>
  <c r="T482" i="4"/>
  <c r="U482" i="4"/>
  <c r="V482" i="4"/>
  <c r="W482" i="4"/>
  <c r="X482" i="4"/>
  <c r="Y482" i="4"/>
  <c r="Z482" i="4"/>
  <c r="L480" i="4"/>
  <c r="M480" i="4"/>
  <c r="N480" i="4"/>
  <c r="O480" i="4"/>
  <c r="P480" i="4"/>
  <c r="Q480" i="4"/>
  <c r="R480" i="4"/>
  <c r="S480" i="4"/>
  <c r="T480" i="4"/>
  <c r="U480" i="4"/>
  <c r="V480" i="4"/>
  <c r="W480" i="4"/>
  <c r="X480" i="4"/>
  <c r="Y480" i="4"/>
  <c r="Z480" i="4"/>
  <c r="L481" i="4"/>
  <c r="M481" i="4"/>
  <c r="N481" i="4"/>
  <c r="O481" i="4"/>
  <c r="P481" i="4"/>
  <c r="Q481" i="4"/>
  <c r="R481" i="4"/>
  <c r="S481" i="4"/>
  <c r="T481" i="4"/>
  <c r="U481" i="4"/>
  <c r="V481" i="4"/>
  <c r="W481" i="4"/>
  <c r="X481" i="4"/>
  <c r="Y481" i="4"/>
  <c r="Z481" i="4"/>
  <c r="L479" i="4"/>
  <c r="M479" i="4"/>
  <c r="N479" i="4"/>
  <c r="O479" i="4"/>
  <c r="P479" i="4"/>
  <c r="Q479" i="4"/>
  <c r="R479" i="4"/>
  <c r="S479" i="4"/>
  <c r="T479" i="4"/>
  <c r="U479" i="4"/>
  <c r="V479" i="4"/>
  <c r="W479" i="4"/>
  <c r="X479" i="4"/>
  <c r="Y479" i="4"/>
  <c r="Z479" i="4"/>
  <c r="L478" i="4"/>
  <c r="M478" i="4"/>
  <c r="N478" i="4"/>
  <c r="O478" i="4"/>
  <c r="P478" i="4"/>
  <c r="Q478" i="4"/>
  <c r="R478" i="4"/>
  <c r="S478" i="4"/>
  <c r="T478" i="4"/>
  <c r="U478" i="4"/>
  <c r="V478" i="4"/>
  <c r="W478" i="4"/>
  <c r="X478" i="4"/>
  <c r="Y478" i="4"/>
  <c r="Z478" i="4"/>
  <c r="L477" i="4"/>
  <c r="M477" i="4"/>
  <c r="N477" i="4"/>
  <c r="O477" i="4"/>
  <c r="P477" i="4"/>
  <c r="Q477" i="4"/>
  <c r="R477" i="4"/>
  <c r="S477" i="4"/>
  <c r="T477" i="4"/>
  <c r="U477" i="4"/>
  <c r="V477" i="4"/>
  <c r="W477" i="4"/>
  <c r="X477" i="4"/>
  <c r="Y477" i="4"/>
  <c r="Z477" i="4"/>
  <c r="L476" i="4"/>
  <c r="M476" i="4"/>
  <c r="N476" i="4"/>
  <c r="O476" i="4"/>
  <c r="P476" i="4"/>
  <c r="Q476" i="4"/>
  <c r="R476" i="4"/>
  <c r="S476" i="4"/>
  <c r="T476" i="4"/>
  <c r="U476" i="4"/>
  <c r="V476" i="4"/>
  <c r="W476" i="4"/>
  <c r="X476" i="4"/>
  <c r="Y476" i="4"/>
  <c r="Z476" i="4"/>
  <c r="L475" i="4"/>
  <c r="M475" i="4"/>
  <c r="N475" i="4"/>
  <c r="O475" i="4"/>
  <c r="P475" i="4"/>
  <c r="Q475" i="4"/>
  <c r="R475" i="4"/>
  <c r="S475" i="4"/>
  <c r="T475" i="4"/>
  <c r="U475" i="4"/>
  <c r="V475" i="4"/>
  <c r="W475" i="4"/>
  <c r="X475" i="4"/>
  <c r="Y475" i="4"/>
  <c r="Z475" i="4"/>
  <c r="L474" i="4"/>
  <c r="M474" i="4"/>
  <c r="N474" i="4"/>
  <c r="O474" i="4"/>
  <c r="P474" i="4"/>
  <c r="Q474" i="4"/>
  <c r="R474" i="4"/>
  <c r="S474" i="4"/>
  <c r="T474" i="4"/>
  <c r="U474" i="4"/>
  <c r="V474" i="4"/>
  <c r="W474" i="4"/>
  <c r="X474" i="4"/>
  <c r="Y474" i="4"/>
  <c r="Z474" i="4"/>
  <c r="L473" i="4"/>
  <c r="M473" i="4"/>
  <c r="N473" i="4"/>
  <c r="O473" i="4"/>
  <c r="P473" i="4"/>
  <c r="Q473" i="4"/>
  <c r="R473" i="4"/>
  <c r="S473" i="4"/>
  <c r="T473" i="4"/>
  <c r="U473" i="4"/>
  <c r="V473" i="4"/>
  <c r="W473" i="4"/>
  <c r="X473" i="4"/>
  <c r="Y473" i="4"/>
  <c r="Z473" i="4"/>
  <c r="L472" i="4"/>
  <c r="M472" i="4"/>
  <c r="N472" i="4"/>
  <c r="O472" i="4"/>
  <c r="P472" i="4"/>
  <c r="Q472" i="4"/>
  <c r="R472" i="4"/>
  <c r="S472" i="4"/>
  <c r="T472" i="4"/>
  <c r="U472" i="4"/>
  <c r="V472" i="4"/>
  <c r="W472" i="4"/>
  <c r="X472" i="4"/>
  <c r="Y472" i="4"/>
  <c r="Z472" i="4"/>
  <c r="L471" i="4"/>
  <c r="M471" i="4"/>
  <c r="N471" i="4"/>
  <c r="O471" i="4"/>
  <c r="P471" i="4"/>
  <c r="Q471" i="4"/>
  <c r="R471" i="4"/>
  <c r="S471" i="4"/>
  <c r="T471" i="4"/>
  <c r="U471" i="4"/>
  <c r="V471" i="4"/>
  <c r="W471" i="4"/>
  <c r="X471" i="4"/>
  <c r="Y471" i="4"/>
  <c r="Z471" i="4"/>
  <c r="L470" i="4"/>
  <c r="M470" i="4"/>
  <c r="N470" i="4"/>
  <c r="O470" i="4"/>
  <c r="P470" i="4"/>
  <c r="Q470" i="4"/>
  <c r="R470" i="4"/>
  <c r="S470" i="4"/>
  <c r="T470" i="4"/>
  <c r="U470" i="4"/>
  <c r="V470" i="4"/>
  <c r="W470" i="4"/>
  <c r="X470" i="4"/>
  <c r="Y470" i="4"/>
  <c r="Z470" i="4"/>
  <c r="L469" i="4"/>
  <c r="M469" i="4"/>
  <c r="N469" i="4"/>
  <c r="O469" i="4"/>
  <c r="P469" i="4"/>
  <c r="Q469" i="4"/>
  <c r="R469" i="4"/>
  <c r="S469" i="4"/>
  <c r="T469" i="4"/>
  <c r="U469" i="4"/>
  <c r="V469" i="4"/>
  <c r="W469" i="4"/>
  <c r="X469" i="4"/>
  <c r="Y469" i="4"/>
  <c r="Z469" i="4"/>
  <c r="L468" i="4"/>
  <c r="M468" i="4"/>
  <c r="N468" i="4"/>
  <c r="O468" i="4"/>
  <c r="P468" i="4"/>
  <c r="Q468" i="4"/>
  <c r="R468" i="4"/>
  <c r="S468" i="4"/>
  <c r="T468" i="4"/>
  <c r="U468" i="4"/>
  <c r="V468" i="4"/>
  <c r="W468" i="4"/>
  <c r="X468" i="4"/>
  <c r="Y468" i="4"/>
  <c r="Z468" i="4"/>
  <c r="L465" i="4"/>
  <c r="M465" i="4"/>
  <c r="N465" i="4"/>
  <c r="O465" i="4"/>
  <c r="P465" i="4"/>
  <c r="Q465" i="4"/>
  <c r="R465" i="4"/>
  <c r="S465" i="4"/>
  <c r="T465" i="4"/>
  <c r="U465" i="4"/>
  <c r="V465" i="4"/>
  <c r="W465" i="4"/>
  <c r="X465" i="4"/>
  <c r="Y465" i="4"/>
  <c r="Z465" i="4"/>
  <c r="L466" i="4"/>
  <c r="M466" i="4"/>
  <c r="N466" i="4"/>
  <c r="O466" i="4"/>
  <c r="P466" i="4"/>
  <c r="Q466" i="4"/>
  <c r="R466" i="4"/>
  <c r="S466" i="4"/>
  <c r="T466" i="4"/>
  <c r="U466" i="4"/>
  <c r="V466" i="4"/>
  <c r="W466" i="4"/>
  <c r="X466" i="4"/>
  <c r="Y466" i="4"/>
  <c r="Z466" i="4"/>
  <c r="L467" i="4"/>
  <c r="M467" i="4"/>
  <c r="N467" i="4"/>
  <c r="O467" i="4"/>
  <c r="P467" i="4"/>
  <c r="Q467" i="4"/>
  <c r="R467" i="4"/>
  <c r="S467" i="4"/>
  <c r="T467" i="4"/>
  <c r="U467" i="4"/>
  <c r="V467" i="4"/>
  <c r="W467" i="4"/>
  <c r="X467" i="4"/>
  <c r="Y467" i="4"/>
  <c r="Z467" i="4"/>
  <c r="L464" i="4"/>
  <c r="M464" i="4"/>
  <c r="N464" i="4"/>
  <c r="O464" i="4"/>
  <c r="P464" i="4"/>
  <c r="Q464" i="4"/>
  <c r="R464" i="4"/>
  <c r="S464" i="4"/>
  <c r="T464" i="4"/>
  <c r="U464" i="4"/>
  <c r="V464" i="4"/>
  <c r="W464" i="4"/>
  <c r="X464" i="4"/>
  <c r="Y464" i="4"/>
  <c r="Z464" i="4"/>
  <c r="L463" i="4"/>
  <c r="M463" i="4"/>
  <c r="N463" i="4"/>
  <c r="O463" i="4"/>
  <c r="P463" i="4"/>
  <c r="Q463" i="4"/>
  <c r="R463" i="4"/>
  <c r="S463" i="4"/>
  <c r="T463" i="4"/>
  <c r="U463" i="4"/>
  <c r="V463" i="4"/>
  <c r="W463" i="4"/>
  <c r="X463" i="4"/>
  <c r="Y463" i="4"/>
  <c r="Z463" i="4"/>
  <c r="L462" i="4"/>
  <c r="M462" i="4"/>
  <c r="N462" i="4"/>
  <c r="O462" i="4"/>
  <c r="P462" i="4"/>
  <c r="Q462" i="4"/>
  <c r="R462" i="4"/>
  <c r="S462" i="4"/>
  <c r="T462" i="4"/>
  <c r="U462" i="4"/>
  <c r="V462" i="4"/>
  <c r="W462" i="4"/>
  <c r="X462" i="4"/>
  <c r="Y462" i="4"/>
  <c r="Z462" i="4"/>
  <c r="L461" i="4"/>
  <c r="M461" i="4"/>
  <c r="N461" i="4"/>
  <c r="O461" i="4"/>
  <c r="P461" i="4"/>
  <c r="Q461" i="4"/>
  <c r="R461" i="4"/>
  <c r="S461" i="4"/>
  <c r="T461" i="4"/>
  <c r="U461" i="4"/>
  <c r="V461" i="4"/>
  <c r="W461" i="4"/>
  <c r="X461" i="4"/>
  <c r="Y461" i="4"/>
  <c r="Z461" i="4"/>
  <c r="L460" i="4"/>
  <c r="M460" i="4"/>
  <c r="N460" i="4"/>
  <c r="O460" i="4"/>
  <c r="P460" i="4"/>
  <c r="Q460" i="4"/>
  <c r="R460" i="4"/>
  <c r="S460" i="4"/>
  <c r="T460" i="4"/>
  <c r="U460" i="4"/>
  <c r="V460" i="4"/>
  <c r="W460" i="4"/>
  <c r="X460" i="4"/>
  <c r="Y460" i="4"/>
  <c r="Z460" i="4"/>
  <c r="L459" i="4"/>
  <c r="M459" i="4"/>
  <c r="N459" i="4"/>
  <c r="O459" i="4"/>
  <c r="P459" i="4"/>
  <c r="Q459" i="4"/>
  <c r="R459" i="4"/>
  <c r="S459" i="4"/>
  <c r="T459" i="4"/>
  <c r="U459" i="4"/>
  <c r="V459" i="4"/>
  <c r="W459" i="4"/>
  <c r="X459" i="4"/>
  <c r="Y459" i="4"/>
  <c r="Z459" i="4"/>
  <c r="L458" i="4"/>
  <c r="M458" i="4"/>
  <c r="N458" i="4"/>
  <c r="O458" i="4"/>
  <c r="P458" i="4"/>
  <c r="Q458" i="4"/>
  <c r="R458" i="4"/>
  <c r="S458" i="4"/>
  <c r="T458" i="4"/>
  <c r="U458" i="4"/>
  <c r="V458" i="4"/>
  <c r="W458" i="4"/>
  <c r="X458" i="4"/>
  <c r="Y458" i="4"/>
  <c r="Z458" i="4"/>
  <c r="L457" i="4"/>
  <c r="M457" i="4"/>
  <c r="N457" i="4"/>
  <c r="O457" i="4"/>
  <c r="P457" i="4"/>
  <c r="Q457" i="4"/>
  <c r="R457" i="4"/>
  <c r="S457" i="4"/>
  <c r="T457" i="4"/>
  <c r="U457" i="4"/>
  <c r="V457" i="4"/>
  <c r="W457" i="4"/>
  <c r="X457" i="4"/>
  <c r="Y457" i="4"/>
  <c r="Z457" i="4"/>
  <c r="L456" i="4"/>
  <c r="M456" i="4"/>
  <c r="N456" i="4"/>
  <c r="O456" i="4"/>
  <c r="P456" i="4"/>
  <c r="Q456" i="4"/>
  <c r="R456" i="4"/>
  <c r="S456" i="4"/>
  <c r="T456" i="4"/>
  <c r="U456" i="4"/>
  <c r="V456" i="4"/>
  <c r="W456" i="4"/>
  <c r="X456" i="4"/>
  <c r="Y456" i="4"/>
  <c r="Z456" i="4"/>
  <c r="L455" i="4"/>
  <c r="M455" i="4"/>
  <c r="N455" i="4"/>
  <c r="O455" i="4"/>
  <c r="P455" i="4"/>
  <c r="Q455" i="4"/>
  <c r="R455" i="4"/>
  <c r="S455" i="4"/>
  <c r="T455" i="4"/>
  <c r="U455" i="4"/>
  <c r="V455" i="4"/>
  <c r="W455" i="4"/>
  <c r="X455" i="4"/>
  <c r="Y455" i="4"/>
  <c r="Z455" i="4"/>
  <c r="L454" i="4"/>
  <c r="M454" i="4"/>
  <c r="N454" i="4"/>
  <c r="O454" i="4"/>
  <c r="P454" i="4"/>
  <c r="Q454" i="4"/>
  <c r="R454" i="4"/>
  <c r="S454" i="4"/>
  <c r="T454" i="4"/>
  <c r="U454" i="4"/>
  <c r="V454" i="4"/>
  <c r="W454" i="4"/>
  <c r="X454" i="4"/>
  <c r="Y454" i="4"/>
  <c r="Z454" i="4"/>
  <c r="L453" i="4"/>
  <c r="M453" i="4"/>
  <c r="N453" i="4"/>
  <c r="O453" i="4"/>
  <c r="P453" i="4"/>
  <c r="Q453" i="4"/>
  <c r="R453" i="4"/>
  <c r="S453" i="4"/>
  <c r="T453" i="4"/>
  <c r="U453" i="4"/>
  <c r="V453" i="4"/>
  <c r="W453" i="4"/>
  <c r="X453" i="4"/>
  <c r="Y453" i="4"/>
  <c r="Z453" i="4"/>
  <c r="L452" i="4"/>
  <c r="M452" i="4"/>
  <c r="N452" i="4"/>
  <c r="O452" i="4"/>
  <c r="P452" i="4"/>
  <c r="Q452" i="4"/>
  <c r="R452" i="4"/>
  <c r="S452" i="4"/>
  <c r="T452" i="4"/>
  <c r="U452" i="4"/>
  <c r="V452" i="4"/>
  <c r="W452" i="4"/>
  <c r="X452" i="4"/>
  <c r="Y452" i="4"/>
  <c r="Z452" i="4"/>
  <c r="L451" i="4"/>
  <c r="M451" i="4"/>
  <c r="N451" i="4"/>
  <c r="O451" i="4"/>
  <c r="P451" i="4"/>
  <c r="Q451" i="4"/>
  <c r="R451" i="4"/>
  <c r="S451" i="4"/>
  <c r="T451" i="4"/>
  <c r="U451" i="4"/>
  <c r="V451" i="4"/>
  <c r="W451" i="4"/>
  <c r="X451" i="4"/>
  <c r="Y451" i="4"/>
  <c r="Z451" i="4"/>
  <c r="L450" i="4"/>
  <c r="M450" i="4"/>
  <c r="N450" i="4"/>
  <c r="O450" i="4"/>
  <c r="P450" i="4"/>
  <c r="Q450" i="4"/>
  <c r="R450" i="4"/>
  <c r="S450" i="4"/>
  <c r="T450" i="4"/>
  <c r="U450" i="4"/>
  <c r="V450" i="4"/>
  <c r="W450" i="4"/>
  <c r="X450" i="4"/>
  <c r="Y450" i="4"/>
  <c r="Z450" i="4"/>
  <c r="L449" i="4"/>
  <c r="M449" i="4"/>
  <c r="N449" i="4"/>
  <c r="O449" i="4"/>
  <c r="P449" i="4"/>
  <c r="Q449" i="4"/>
  <c r="R449" i="4"/>
  <c r="S449" i="4"/>
  <c r="T449" i="4"/>
  <c r="U449" i="4"/>
  <c r="V449" i="4"/>
  <c r="W449" i="4"/>
  <c r="X449" i="4"/>
  <c r="Y449" i="4"/>
  <c r="Z449" i="4"/>
  <c r="L447" i="4"/>
  <c r="M447" i="4"/>
  <c r="N447" i="4"/>
  <c r="O447" i="4"/>
  <c r="P447" i="4"/>
  <c r="Q447" i="4"/>
  <c r="R447" i="4"/>
  <c r="S447" i="4"/>
  <c r="T447" i="4"/>
  <c r="U447" i="4"/>
  <c r="V447" i="4"/>
  <c r="W447" i="4"/>
  <c r="X447" i="4"/>
  <c r="Y447" i="4"/>
  <c r="Z447" i="4"/>
  <c r="L448" i="4"/>
  <c r="M448" i="4"/>
  <c r="N448" i="4"/>
  <c r="O448" i="4"/>
  <c r="P448" i="4"/>
  <c r="Q448" i="4"/>
  <c r="R448" i="4"/>
  <c r="S448" i="4"/>
  <c r="T448" i="4"/>
  <c r="U448" i="4"/>
  <c r="V448" i="4"/>
  <c r="W448" i="4"/>
  <c r="X448" i="4"/>
  <c r="Y448" i="4"/>
  <c r="Z448" i="4"/>
  <c r="L446" i="4"/>
  <c r="M446" i="4"/>
  <c r="N446" i="4"/>
  <c r="O446" i="4"/>
  <c r="P446" i="4"/>
  <c r="Q446" i="4"/>
  <c r="R446" i="4"/>
  <c r="S446" i="4"/>
  <c r="T446" i="4"/>
  <c r="U446" i="4"/>
  <c r="V446" i="4"/>
  <c r="W446" i="4"/>
  <c r="X446" i="4"/>
  <c r="Y446" i="4"/>
  <c r="Z446" i="4"/>
  <c r="L445" i="4"/>
  <c r="M445" i="4"/>
  <c r="N445" i="4"/>
  <c r="O445" i="4"/>
  <c r="P445" i="4"/>
  <c r="Q445" i="4"/>
  <c r="R445" i="4"/>
  <c r="S445" i="4"/>
  <c r="T445" i="4"/>
  <c r="U445" i="4"/>
  <c r="V445" i="4"/>
  <c r="W445" i="4"/>
  <c r="X445" i="4"/>
  <c r="Y445" i="4"/>
  <c r="Z445" i="4"/>
  <c r="L444" i="4"/>
  <c r="M444" i="4"/>
  <c r="N444" i="4"/>
  <c r="O444" i="4"/>
  <c r="P444" i="4"/>
  <c r="Q444" i="4"/>
  <c r="R444" i="4"/>
  <c r="S444" i="4"/>
  <c r="T444" i="4"/>
  <c r="U444" i="4"/>
  <c r="V444" i="4"/>
  <c r="W444" i="4"/>
  <c r="X444" i="4"/>
  <c r="Y444" i="4"/>
  <c r="Z444" i="4"/>
  <c r="L443" i="4"/>
  <c r="M443" i="4"/>
  <c r="N443" i="4"/>
  <c r="O443" i="4"/>
  <c r="P443" i="4"/>
  <c r="Q443" i="4"/>
  <c r="R443" i="4"/>
  <c r="S443" i="4"/>
  <c r="T443" i="4"/>
  <c r="U443" i="4"/>
  <c r="V443" i="4"/>
  <c r="W443" i="4"/>
  <c r="X443" i="4"/>
  <c r="Y443" i="4"/>
  <c r="Z443" i="4"/>
  <c r="L442" i="4"/>
  <c r="M442" i="4"/>
  <c r="N442" i="4"/>
  <c r="O442" i="4"/>
  <c r="P442" i="4"/>
  <c r="Q442" i="4"/>
  <c r="R442" i="4"/>
  <c r="S442" i="4"/>
  <c r="T442" i="4"/>
  <c r="U442" i="4"/>
  <c r="V442" i="4"/>
  <c r="W442" i="4"/>
  <c r="X442" i="4"/>
  <c r="Y442" i="4"/>
  <c r="Z442" i="4"/>
  <c r="L441" i="4"/>
  <c r="M441" i="4"/>
  <c r="N441" i="4"/>
  <c r="O441" i="4"/>
  <c r="P441" i="4"/>
  <c r="Q441" i="4"/>
  <c r="R441" i="4"/>
  <c r="S441" i="4"/>
  <c r="T441" i="4"/>
  <c r="U441" i="4"/>
  <c r="V441" i="4"/>
  <c r="W441" i="4"/>
  <c r="X441" i="4"/>
  <c r="Y441" i="4"/>
  <c r="Z441" i="4"/>
  <c r="L440" i="4"/>
  <c r="M440" i="4"/>
  <c r="N440" i="4"/>
  <c r="O440" i="4"/>
  <c r="P440" i="4"/>
  <c r="Q440" i="4"/>
  <c r="R440" i="4"/>
  <c r="S440" i="4"/>
  <c r="T440" i="4"/>
  <c r="U440" i="4"/>
  <c r="V440" i="4"/>
  <c r="W440" i="4"/>
  <c r="X440" i="4"/>
  <c r="Y440" i="4"/>
  <c r="Z440" i="4"/>
  <c r="L439" i="4"/>
  <c r="M439" i="4"/>
  <c r="N439" i="4"/>
  <c r="O439" i="4"/>
  <c r="P439" i="4"/>
  <c r="Q439" i="4"/>
  <c r="R439" i="4"/>
  <c r="S439" i="4"/>
  <c r="T439" i="4"/>
  <c r="U439" i="4"/>
  <c r="V439" i="4"/>
  <c r="W439" i="4"/>
  <c r="X439" i="4"/>
  <c r="Y439" i="4"/>
  <c r="Z439" i="4"/>
  <c r="L438" i="4"/>
  <c r="M438" i="4"/>
  <c r="N438" i="4"/>
  <c r="O438" i="4"/>
  <c r="P438" i="4"/>
  <c r="Q438" i="4"/>
  <c r="R438" i="4"/>
  <c r="S438" i="4"/>
  <c r="T438" i="4"/>
  <c r="U438" i="4"/>
  <c r="V438" i="4"/>
  <c r="W438" i="4"/>
  <c r="X438" i="4"/>
  <c r="Y438" i="4"/>
  <c r="Z438" i="4"/>
  <c r="L437" i="4"/>
  <c r="M437" i="4"/>
  <c r="N437" i="4"/>
  <c r="O437" i="4"/>
  <c r="P437" i="4"/>
  <c r="Q437" i="4"/>
  <c r="R437" i="4"/>
  <c r="S437" i="4"/>
  <c r="T437" i="4"/>
  <c r="U437" i="4"/>
  <c r="V437" i="4"/>
  <c r="W437" i="4"/>
  <c r="X437" i="4"/>
  <c r="Y437" i="4"/>
  <c r="Z437" i="4"/>
  <c r="L436" i="4"/>
  <c r="M436" i="4"/>
  <c r="N436" i="4"/>
  <c r="O436" i="4"/>
  <c r="P436" i="4"/>
  <c r="Q436" i="4"/>
  <c r="R436" i="4"/>
  <c r="S436" i="4"/>
  <c r="T436" i="4"/>
  <c r="U436" i="4"/>
  <c r="V436" i="4"/>
  <c r="W436" i="4"/>
  <c r="X436" i="4"/>
  <c r="Y436" i="4"/>
  <c r="Z436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X435" i="4"/>
  <c r="Y435" i="4"/>
  <c r="Z435" i="4"/>
  <c r="L434" i="4"/>
  <c r="M434" i="4"/>
  <c r="N434" i="4"/>
  <c r="O434" i="4"/>
  <c r="P434" i="4"/>
  <c r="Q434" i="4"/>
  <c r="R434" i="4"/>
  <c r="S434" i="4"/>
  <c r="T434" i="4"/>
  <c r="U434" i="4"/>
  <c r="V434" i="4"/>
  <c r="W434" i="4"/>
  <c r="X434" i="4"/>
  <c r="Y434" i="4"/>
  <c r="Z434" i="4"/>
  <c r="L433" i="4"/>
  <c r="M433" i="4"/>
  <c r="N433" i="4"/>
  <c r="O433" i="4"/>
  <c r="P433" i="4"/>
  <c r="Q433" i="4"/>
  <c r="R433" i="4"/>
  <c r="S433" i="4"/>
  <c r="T433" i="4"/>
  <c r="U433" i="4"/>
  <c r="V433" i="4"/>
  <c r="W433" i="4"/>
  <c r="X433" i="4"/>
  <c r="Y433" i="4"/>
  <c r="Z433" i="4"/>
  <c r="L432" i="4"/>
  <c r="M432" i="4"/>
  <c r="N432" i="4"/>
  <c r="O432" i="4"/>
  <c r="P432" i="4"/>
  <c r="Q432" i="4"/>
  <c r="R432" i="4"/>
  <c r="S432" i="4"/>
  <c r="T432" i="4"/>
  <c r="U432" i="4"/>
  <c r="V432" i="4"/>
  <c r="W432" i="4"/>
  <c r="X432" i="4"/>
  <c r="Y432" i="4"/>
  <c r="Z432" i="4"/>
  <c r="L431" i="4"/>
  <c r="M431" i="4"/>
  <c r="N431" i="4"/>
  <c r="O431" i="4"/>
  <c r="P431" i="4"/>
  <c r="Q431" i="4"/>
  <c r="R431" i="4"/>
  <c r="S431" i="4"/>
  <c r="T431" i="4"/>
  <c r="U431" i="4"/>
  <c r="V431" i="4"/>
  <c r="W431" i="4"/>
  <c r="X431" i="4"/>
  <c r="Y431" i="4"/>
  <c r="Z431" i="4"/>
  <c r="L428" i="4"/>
  <c r="M428" i="4"/>
  <c r="N428" i="4"/>
  <c r="O428" i="4"/>
  <c r="P428" i="4"/>
  <c r="Q428" i="4"/>
  <c r="R428" i="4"/>
  <c r="S428" i="4"/>
  <c r="T428" i="4"/>
  <c r="U428" i="4"/>
  <c r="V428" i="4"/>
  <c r="W428" i="4"/>
  <c r="X428" i="4"/>
  <c r="Y428" i="4"/>
  <c r="Z428" i="4"/>
  <c r="L429" i="4"/>
  <c r="M429" i="4"/>
  <c r="N429" i="4"/>
  <c r="O429" i="4"/>
  <c r="P429" i="4"/>
  <c r="Q429" i="4"/>
  <c r="R429" i="4"/>
  <c r="S429" i="4"/>
  <c r="T429" i="4"/>
  <c r="U429" i="4"/>
  <c r="V429" i="4"/>
  <c r="W429" i="4"/>
  <c r="X429" i="4"/>
  <c r="Y429" i="4"/>
  <c r="Z429" i="4"/>
  <c r="L430" i="4"/>
  <c r="M430" i="4"/>
  <c r="N430" i="4"/>
  <c r="O430" i="4"/>
  <c r="P430" i="4"/>
  <c r="Q430" i="4"/>
  <c r="R430" i="4"/>
  <c r="S430" i="4"/>
  <c r="T430" i="4"/>
  <c r="U430" i="4"/>
  <c r="V430" i="4"/>
  <c r="W430" i="4"/>
  <c r="X430" i="4"/>
  <c r="Y430" i="4"/>
  <c r="Z430" i="4"/>
  <c r="L427" i="4"/>
  <c r="M427" i="4"/>
  <c r="N427" i="4"/>
  <c r="O427" i="4"/>
  <c r="P427" i="4"/>
  <c r="Q427" i="4"/>
  <c r="R427" i="4"/>
  <c r="S427" i="4"/>
  <c r="T427" i="4"/>
  <c r="U427" i="4"/>
  <c r="V427" i="4"/>
  <c r="W427" i="4"/>
  <c r="X427" i="4"/>
  <c r="Y427" i="4"/>
  <c r="Z427" i="4"/>
  <c r="L424" i="4"/>
  <c r="M424" i="4"/>
  <c r="N424" i="4"/>
  <c r="O424" i="4"/>
  <c r="P424" i="4"/>
  <c r="Q424" i="4"/>
  <c r="R424" i="4"/>
  <c r="S424" i="4"/>
  <c r="T424" i="4"/>
  <c r="U424" i="4"/>
  <c r="V424" i="4"/>
  <c r="W424" i="4"/>
  <c r="X424" i="4"/>
  <c r="Y424" i="4"/>
  <c r="Z424" i="4"/>
  <c r="L425" i="4"/>
  <c r="M425" i="4"/>
  <c r="N425" i="4"/>
  <c r="O425" i="4"/>
  <c r="P425" i="4"/>
  <c r="Q425" i="4"/>
  <c r="R425" i="4"/>
  <c r="S425" i="4"/>
  <c r="T425" i="4"/>
  <c r="U425" i="4"/>
  <c r="V425" i="4"/>
  <c r="W425" i="4"/>
  <c r="X425" i="4"/>
  <c r="Y425" i="4"/>
  <c r="Z425" i="4"/>
  <c r="L426" i="4"/>
  <c r="M426" i="4"/>
  <c r="N426" i="4"/>
  <c r="O426" i="4"/>
  <c r="P426" i="4"/>
  <c r="Q426" i="4"/>
  <c r="R426" i="4"/>
  <c r="S426" i="4"/>
  <c r="T426" i="4"/>
  <c r="U426" i="4"/>
  <c r="V426" i="4"/>
  <c r="W426" i="4"/>
  <c r="X426" i="4"/>
  <c r="Y426" i="4"/>
  <c r="Z426" i="4"/>
  <c r="L423" i="4"/>
  <c r="M423" i="4"/>
  <c r="N423" i="4"/>
  <c r="O423" i="4"/>
  <c r="P423" i="4"/>
  <c r="Q423" i="4"/>
  <c r="R423" i="4"/>
  <c r="S423" i="4"/>
  <c r="T423" i="4"/>
  <c r="U423" i="4"/>
  <c r="V423" i="4"/>
  <c r="W423" i="4"/>
  <c r="X423" i="4"/>
  <c r="Y423" i="4"/>
  <c r="Z423" i="4"/>
  <c r="L422" i="4"/>
  <c r="M422" i="4"/>
  <c r="N422" i="4"/>
  <c r="O422" i="4"/>
  <c r="P422" i="4"/>
  <c r="Q422" i="4"/>
  <c r="R422" i="4"/>
  <c r="S422" i="4"/>
  <c r="T422" i="4"/>
  <c r="U422" i="4"/>
  <c r="V422" i="4"/>
  <c r="W422" i="4"/>
  <c r="X422" i="4"/>
  <c r="Y422" i="4"/>
  <c r="Z422" i="4"/>
  <c r="L421" i="4"/>
  <c r="M421" i="4"/>
  <c r="N421" i="4"/>
  <c r="O421" i="4"/>
  <c r="P421" i="4"/>
  <c r="Q421" i="4"/>
  <c r="R421" i="4"/>
  <c r="S421" i="4"/>
  <c r="T421" i="4"/>
  <c r="U421" i="4"/>
  <c r="V421" i="4"/>
  <c r="W421" i="4"/>
  <c r="X421" i="4"/>
  <c r="Y421" i="4"/>
  <c r="Z421" i="4"/>
  <c r="L420" i="4"/>
  <c r="M420" i="4"/>
  <c r="N420" i="4"/>
  <c r="O420" i="4"/>
  <c r="P420" i="4"/>
  <c r="Q420" i="4"/>
  <c r="R420" i="4"/>
  <c r="S420" i="4"/>
  <c r="T420" i="4"/>
  <c r="U420" i="4"/>
  <c r="V420" i="4"/>
  <c r="W420" i="4"/>
  <c r="X420" i="4"/>
  <c r="Y420" i="4"/>
  <c r="Z420" i="4"/>
  <c r="L419" i="4"/>
  <c r="M419" i="4"/>
  <c r="N419" i="4"/>
  <c r="O419" i="4"/>
  <c r="P419" i="4"/>
  <c r="Q419" i="4"/>
  <c r="R419" i="4"/>
  <c r="S419" i="4"/>
  <c r="T419" i="4"/>
  <c r="U419" i="4"/>
  <c r="V419" i="4"/>
  <c r="W419" i="4"/>
  <c r="X419" i="4"/>
  <c r="Y419" i="4"/>
  <c r="Z419" i="4"/>
  <c r="L418" i="4"/>
  <c r="M418" i="4"/>
  <c r="N418" i="4"/>
  <c r="O418" i="4"/>
  <c r="P418" i="4"/>
  <c r="Q418" i="4"/>
  <c r="R418" i="4"/>
  <c r="S418" i="4"/>
  <c r="T418" i="4"/>
  <c r="U418" i="4"/>
  <c r="V418" i="4"/>
  <c r="W418" i="4"/>
  <c r="X418" i="4"/>
  <c r="Y418" i="4"/>
  <c r="Z418" i="4"/>
  <c r="L417" i="4"/>
  <c r="M417" i="4"/>
  <c r="N417" i="4"/>
  <c r="O417" i="4"/>
  <c r="P417" i="4"/>
  <c r="Q417" i="4"/>
  <c r="R417" i="4"/>
  <c r="S417" i="4"/>
  <c r="T417" i="4"/>
  <c r="U417" i="4"/>
  <c r="V417" i="4"/>
  <c r="W417" i="4"/>
  <c r="X417" i="4"/>
  <c r="Y417" i="4"/>
  <c r="Z417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X414" i="4"/>
  <c r="Y414" i="4"/>
  <c r="Z414" i="4"/>
  <c r="L415" i="4"/>
  <c r="M415" i="4"/>
  <c r="N415" i="4"/>
  <c r="O415" i="4"/>
  <c r="P415" i="4"/>
  <c r="Q415" i="4"/>
  <c r="R415" i="4"/>
  <c r="S415" i="4"/>
  <c r="T415" i="4"/>
  <c r="U415" i="4"/>
  <c r="V415" i="4"/>
  <c r="W415" i="4"/>
  <c r="X415" i="4"/>
  <c r="Y415" i="4"/>
  <c r="Z415" i="4"/>
  <c r="L416" i="4"/>
  <c r="M416" i="4"/>
  <c r="N416" i="4"/>
  <c r="O416" i="4"/>
  <c r="P416" i="4"/>
  <c r="Q416" i="4"/>
  <c r="R416" i="4"/>
  <c r="S416" i="4"/>
  <c r="T416" i="4"/>
  <c r="U416" i="4"/>
  <c r="V416" i="4"/>
  <c r="W416" i="4"/>
  <c r="X416" i="4"/>
  <c r="Y416" i="4"/>
  <c r="Z416" i="4"/>
  <c r="L413" i="4"/>
  <c r="M413" i="4"/>
  <c r="N413" i="4"/>
  <c r="O413" i="4"/>
  <c r="P413" i="4"/>
  <c r="Q413" i="4"/>
  <c r="R413" i="4"/>
  <c r="S413" i="4"/>
  <c r="T413" i="4"/>
  <c r="U413" i="4"/>
  <c r="V413" i="4"/>
  <c r="W413" i="4"/>
  <c r="X413" i="4"/>
  <c r="Y413" i="4"/>
  <c r="Z413" i="4"/>
  <c r="L412" i="4"/>
  <c r="M412" i="4"/>
  <c r="N412" i="4"/>
  <c r="O412" i="4"/>
  <c r="P412" i="4"/>
  <c r="Q412" i="4"/>
  <c r="R412" i="4"/>
  <c r="S412" i="4"/>
  <c r="T412" i="4"/>
  <c r="U412" i="4"/>
  <c r="V412" i="4"/>
  <c r="W412" i="4"/>
  <c r="X412" i="4"/>
  <c r="Y412" i="4"/>
  <c r="Z412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X411" i="4"/>
  <c r="Y411" i="4"/>
  <c r="Z411" i="4"/>
  <c r="L409" i="4"/>
  <c r="M409" i="4"/>
  <c r="N409" i="4"/>
  <c r="O409" i="4"/>
  <c r="P409" i="4"/>
  <c r="Q409" i="4"/>
  <c r="R409" i="4"/>
  <c r="S409" i="4"/>
  <c r="T409" i="4"/>
  <c r="U409" i="4"/>
  <c r="V409" i="4"/>
  <c r="W409" i="4"/>
  <c r="X409" i="4"/>
  <c r="Y409" i="4"/>
  <c r="Z409" i="4"/>
  <c r="L410" i="4"/>
  <c r="M410" i="4"/>
  <c r="N410" i="4"/>
  <c r="O410" i="4"/>
  <c r="P410" i="4"/>
  <c r="Q410" i="4"/>
  <c r="R410" i="4"/>
  <c r="S410" i="4"/>
  <c r="T410" i="4"/>
  <c r="U410" i="4"/>
  <c r="V410" i="4"/>
  <c r="W410" i="4"/>
  <c r="X410" i="4"/>
  <c r="Y410" i="4"/>
  <c r="Z410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X408" i="4"/>
  <c r="Y408" i="4"/>
  <c r="Z408" i="4"/>
  <c r="L407" i="4"/>
  <c r="M407" i="4"/>
  <c r="N407" i="4"/>
  <c r="O407" i="4"/>
  <c r="P407" i="4"/>
  <c r="Q407" i="4"/>
  <c r="R407" i="4"/>
  <c r="S407" i="4"/>
  <c r="T407" i="4"/>
  <c r="U407" i="4"/>
  <c r="V407" i="4"/>
  <c r="W407" i="4"/>
  <c r="X407" i="4"/>
  <c r="Y407" i="4"/>
  <c r="Z407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X405" i="4"/>
  <c r="Y405" i="4"/>
  <c r="Z405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X406" i="4"/>
  <c r="Y406" i="4"/>
  <c r="Z406" i="4"/>
  <c r="L404" i="4"/>
  <c r="M404" i="4"/>
  <c r="N404" i="4"/>
  <c r="O404" i="4"/>
  <c r="P404" i="4"/>
  <c r="Q404" i="4"/>
  <c r="R404" i="4"/>
  <c r="S404" i="4"/>
  <c r="T404" i="4"/>
  <c r="U404" i="4"/>
  <c r="V404" i="4"/>
  <c r="W404" i="4"/>
  <c r="X404" i="4"/>
  <c r="Y404" i="4"/>
  <c r="Z404" i="4"/>
  <c r="L403" i="4"/>
  <c r="M403" i="4"/>
  <c r="N403" i="4"/>
  <c r="O403" i="4"/>
  <c r="P403" i="4"/>
  <c r="Q403" i="4"/>
  <c r="R403" i="4"/>
  <c r="S403" i="4"/>
  <c r="T403" i="4"/>
  <c r="U403" i="4"/>
  <c r="V403" i="4"/>
  <c r="W403" i="4"/>
  <c r="X403" i="4"/>
  <c r="Y403" i="4"/>
  <c r="Z403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X402" i="4"/>
  <c r="Y402" i="4"/>
  <c r="Z402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X401" i="4"/>
  <c r="Y401" i="4"/>
  <c r="Z401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X400" i="4"/>
  <c r="Y400" i="4"/>
  <c r="Z400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X328" i="4"/>
  <c r="Y328" i="4"/>
  <c r="Z328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L322" i="4"/>
  <c r="M322" i="4"/>
  <c r="N322" i="4"/>
  <c r="O322" i="4"/>
  <c r="P322" i="4"/>
  <c r="Q322" i="4"/>
  <c r="R322" i="4"/>
  <c r="S322" i="4"/>
  <c r="T322" i="4"/>
  <c r="U322" i="4"/>
  <c r="V322" i="4"/>
  <c r="W322" i="4"/>
  <c r="X322" i="4"/>
  <c r="Y322" i="4"/>
  <c r="Z322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L5" i="3"/>
  <c r="L6" i="3"/>
  <c r="L7" i="3"/>
  <c r="L4" i="3"/>
  <c r="K5" i="3"/>
  <c r="K6" i="3"/>
  <c r="K7" i="3"/>
  <c r="K4" i="3"/>
  <c r="J5" i="3"/>
  <c r="J6" i="3"/>
  <c r="J7" i="3"/>
  <c r="J4" i="3"/>
  <c r="I5" i="3"/>
  <c r="I6" i="3"/>
  <c r="I7" i="3"/>
  <c r="I4" i="3"/>
  <c r="H5" i="3"/>
  <c r="H6" i="3"/>
  <c r="H7" i="3"/>
  <c r="H4" i="3"/>
  <c r="G5" i="3"/>
  <c r="G6" i="3"/>
  <c r="G7" i="3"/>
  <c r="G4" i="3"/>
  <c r="F5" i="3"/>
  <c r="F6" i="3"/>
  <c r="F7" i="3"/>
  <c r="F4" i="3"/>
  <c r="E5" i="3"/>
  <c r="E6" i="3"/>
  <c r="E7" i="3"/>
  <c r="E4" i="3"/>
  <c r="D4" i="3"/>
  <c r="B7" i="3"/>
  <c r="B6" i="3"/>
  <c r="B5" i="3"/>
  <c r="B4" i="3"/>
  <c r="K12" i="7"/>
  <c r="J12" i="7"/>
  <c r="K11" i="7"/>
  <c r="J11" i="7"/>
  <c r="J10" i="7"/>
  <c r="K10" i="7" s="1"/>
  <c r="J9" i="7"/>
  <c r="K9" i="7" s="1"/>
  <c r="J8" i="7"/>
  <c r="K8" i="7" s="1"/>
  <c r="J7" i="7"/>
  <c r="K7" i="7" s="1"/>
  <c r="J6" i="7"/>
  <c r="K6" i="7" s="1"/>
  <c r="J5" i="7"/>
  <c r="K5" i="7" s="1"/>
  <c r="K4" i="7"/>
  <c r="J4" i="7"/>
  <c r="J12" i="6"/>
  <c r="J11" i="6"/>
  <c r="J10" i="6"/>
  <c r="J9" i="6"/>
  <c r="J8" i="6"/>
  <c r="J7" i="6"/>
  <c r="J6" i="6"/>
  <c r="J5" i="6"/>
  <c r="J4" i="6"/>
  <c r="J12" i="5"/>
  <c r="J11" i="5"/>
  <c r="J10" i="5"/>
  <c r="J9" i="5"/>
  <c r="J8" i="5"/>
  <c r="J7" i="5"/>
  <c r="J6" i="5"/>
  <c r="J5" i="5"/>
  <c r="J4" i="5"/>
  <c r="J12" i="4"/>
  <c r="J11" i="4"/>
  <c r="J10" i="4"/>
  <c r="J9" i="4"/>
  <c r="J8" i="4"/>
  <c r="J7" i="4"/>
  <c r="J6" i="4"/>
  <c r="J5" i="4"/>
  <c r="J4" i="4"/>
  <c r="D7" i="3"/>
  <c r="D6" i="3"/>
  <c r="D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59E1A8-8FEB-4B2C-91A1-32941D2BC815}" keepAlive="1" name="Запрос — Таблица1" description="Соединение с запросом &quot;Таблица1&quot; в книге." type="5" refreshedVersion="7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<sst xmlns="http://schemas.openxmlformats.org/spreadsheetml/2006/main" count="45365" uniqueCount="165">
  <si>
    <t>Занятие 8. Фильтрация, сортировка и вычисляемые столбцы</t>
  </si>
  <si>
    <t>Тема</t>
  </si>
  <si>
    <t>Как фильтровать строки, сортировать таблицу и создавать новые столбцы в Excel и Python.</t>
  </si>
  <si>
    <t>Зачем это нужно</t>
  </si>
  <si>
    <t>Фильтрация помогает быстро находить нужные строки, сортировка — видеть приоритеты, а новые столбцы — делать расчёты по данным.</t>
  </si>
  <si>
    <t>Ключевые методы Python</t>
  </si>
  <si>
    <t>pd.read_excel(), df[условие], &amp;, sort_values(), df["new_column"] = ..., sum().</t>
  </si>
  <si>
    <t>Ключевые действия в Excel</t>
  </si>
  <si>
    <t>Автофильтр, IF+AND для проверки условий, сортировка по столбцу, формулы для расчёта revenue.</t>
  </si>
  <si>
    <t>Мини-проект урока</t>
  </si>
  <si>
    <t>Посчитать выручку по заказам, найти крупные заказы и отсортировать их по убыванию.</t>
  </si>
  <si>
    <t>Лист sales_data — исходные данные для ноутбука</t>
  </si>
  <si>
    <t>order_id</t>
  </si>
  <si>
    <t>client</t>
  </si>
  <si>
    <t>city</t>
  </si>
  <si>
    <t>category</t>
  </si>
  <si>
    <t>product</t>
  </si>
  <si>
    <t>quantity</t>
  </si>
  <si>
    <t>price</t>
  </si>
  <si>
    <t>manager</t>
  </si>
  <si>
    <t>channel</t>
  </si>
  <si>
    <t>ООО Альфа</t>
  </si>
  <si>
    <t>Москва</t>
  </si>
  <si>
    <t>Ноутбуки</t>
  </si>
  <si>
    <t>Notebook Air</t>
  </si>
  <si>
    <t>Анна</t>
  </si>
  <si>
    <t>Онлайн</t>
  </si>
  <si>
    <t>ООО Бета</t>
  </si>
  <si>
    <t>Санкт-Петербург</t>
  </si>
  <si>
    <t>Мониторы</t>
  </si>
  <si>
    <t>Monitor 27</t>
  </si>
  <si>
    <t>Борис</t>
  </si>
  <si>
    <t>Офлайн</t>
  </si>
  <si>
    <t>ИП Гамма</t>
  </si>
  <si>
    <t>Notebook Pro</t>
  </si>
  <si>
    <t>ООО Дельта</t>
  </si>
  <si>
    <t>Казань</t>
  </si>
  <si>
    <t>Периферия</t>
  </si>
  <si>
    <t>Mouse Pro</t>
  </si>
  <si>
    <t>Виктор</t>
  </si>
  <si>
    <t>Маркетплейс</t>
  </si>
  <si>
    <t>ООО Эпсилон</t>
  </si>
  <si>
    <t>Monitor 24</t>
  </si>
  <si>
    <t>ИП Жасмин</t>
  </si>
  <si>
    <t>Екатеринбург</t>
  </si>
  <si>
    <t>Notebook Lite</t>
  </si>
  <si>
    <t>ООО Зета</t>
  </si>
  <si>
    <t>Keyboard X</t>
  </si>
  <si>
    <t>ООО Ита</t>
  </si>
  <si>
    <t>Новосибирск</t>
  </si>
  <si>
    <t>ООО Каппа</t>
  </si>
  <si>
    <t>Notebook Start</t>
  </si>
  <si>
    <t>Шаг 1. Загружаем таблицу и смотрим на её структуру</t>
  </si>
  <si>
    <t>Показатель</t>
  </si>
  <si>
    <t>Значение</t>
  </si>
  <si>
    <t>Количество строк</t>
  </si>
  <si>
    <t>Количество столбцов</t>
  </si>
  <si>
    <t>Уникальных категорий</t>
  </si>
  <si>
    <t>Есть ли онлайн-заказы?</t>
  </si>
  <si>
    <t>Шаг 2. Фильтрация по одному условию: category == "Ноутбуки"</t>
  </si>
  <si>
    <t>flag_ноутбуки</t>
  </si>
  <si>
    <t>Шаг 3. Фильтрация по двум условиям: city == "Москва" и channel == "Онлайн"</t>
  </si>
  <si>
    <t>flag_москва_онлайн</t>
  </si>
  <si>
    <t>Шаг 4. Сортировка по price по убыванию</t>
  </si>
  <si>
    <t>price_rank</t>
  </si>
  <si>
    <t>Шаг 5. Создаём столбец revenue и ищем крупные заказы</t>
  </si>
  <si>
    <t>revenue</t>
  </si>
  <si>
    <t>big_order</t>
  </si>
  <si>
    <t>Количество крупных заказов</t>
  </si>
  <si>
    <t>Тест по занятию 8</t>
  </si>
  <si>
    <t>Вопрос</t>
  </si>
  <si>
    <t>Правильный ответ</t>
  </si>
  <si>
    <t>Подсказка</t>
  </si>
  <si>
    <t>Сколько строк в исходной таблице?</t>
  </si>
  <si>
    <t>Аналог df.shape[0]</t>
  </si>
  <si>
    <t>Сколько заказов попадает в фильтр category == "Ноутбуки"?</t>
  </si>
  <si>
    <t>Смотрите sheet 2 или notebook cell 2</t>
  </si>
  <si>
    <t>Сколько заказов попадает в фильтр city == "Москва" и channel == "Онлайн"?</t>
  </si>
  <si>
    <t>Используйте AND в Excel и &amp; в pandas</t>
  </si>
  <si>
    <t>Какая общая выручка после создания столбца revenue?</t>
  </si>
  <si>
    <t>Это сумма quantity * price</t>
  </si>
  <si>
    <t>Сколько крупных заказов с revenue &gt;= 100000?</t>
  </si>
  <si>
    <t>Смотрите столбец big_order</t>
  </si>
  <si>
    <t>date</t>
  </si>
  <si>
    <t>day</t>
  </si>
  <si>
    <t>month</t>
  </si>
  <si>
    <t>region</t>
  </si>
  <si>
    <t>client_type</t>
  </si>
  <si>
    <t>price_per_unit</t>
  </si>
  <si>
    <t>status</t>
  </si>
  <si>
    <t>Ноябрь</t>
  </si>
  <si>
    <t>Центральный</t>
  </si>
  <si>
    <t>Серверы</t>
  </si>
  <si>
    <t>Storage NAS</t>
  </si>
  <si>
    <t>Розница</t>
  </si>
  <si>
    <t>Интернет-магазин</t>
  </si>
  <si>
    <t>Отменён</t>
  </si>
  <si>
    <t>Февраль</t>
  </si>
  <si>
    <t>Татьяна</t>
  </si>
  <si>
    <t>Уфа</t>
  </si>
  <si>
    <t>Приволжский</t>
  </si>
  <si>
    <t>Аксессуары</t>
  </si>
  <si>
    <t>Power Bank</t>
  </si>
  <si>
    <t>Опт</t>
  </si>
  <si>
    <t>Доставлен</t>
  </si>
  <si>
    <t>Апрель</t>
  </si>
  <si>
    <t>Дмитрий</t>
  </si>
  <si>
    <t>Самара</t>
  </si>
  <si>
    <t>Офлайн-точка</t>
  </si>
  <si>
    <t>Август</t>
  </si>
  <si>
    <t>Сергей</t>
  </si>
  <si>
    <t>Уральский</t>
  </si>
  <si>
    <t>Наталья</t>
  </si>
  <si>
    <t>Краснодар</t>
  </si>
  <si>
    <t>Южный</t>
  </si>
  <si>
    <t>В пути</t>
  </si>
  <si>
    <t>Елена</t>
  </si>
  <si>
    <t>Красноярск</t>
  </si>
  <si>
    <t>Сибирский</t>
  </si>
  <si>
    <t>Notebook Ultra</t>
  </si>
  <si>
    <t>Май</t>
  </si>
  <si>
    <t>Владимир</t>
  </si>
  <si>
    <t>Ростов-на-Дону</t>
  </si>
  <si>
    <t>Screen Protector</t>
  </si>
  <si>
    <t>Monitor 32</t>
  </si>
  <si>
    <t>Декабрь</t>
  </si>
  <si>
    <t>Северо-Западный</t>
  </si>
  <si>
    <t>Bagpack</t>
  </si>
  <si>
    <t>Ксения</t>
  </si>
  <si>
    <t>Firewall</t>
  </si>
  <si>
    <t>Январь</t>
  </si>
  <si>
    <t>Принтеры</t>
  </si>
  <si>
    <t>Printer MFP</t>
  </si>
  <si>
    <t>Павел</t>
  </si>
  <si>
    <t>Нижний Новгород</t>
  </si>
  <si>
    <t>Network Switch</t>
  </si>
  <si>
    <t>Октябрь</t>
  </si>
  <si>
    <t>Мария</t>
  </si>
  <si>
    <t>Светлана</t>
  </si>
  <si>
    <t>Printer Laser</t>
  </si>
  <si>
    <t>Март</t>
  </si>
  <si>
    <t>Пермь</t>
  </si>
  <si>
    <t>Ольга</t>
  </si>
  <si>
    <t>USB Hub</t>
  </si>
  <si>
    <t>Воронеж</t>
  </si>
  <si>
    <t>Июль</t>
  </si>
  <si>
    <t>Keyboard</t>
  </si>
  <si>
    <t>Сентябрь</t>
  </si>
  <si>
    <t>Омск</t>
  </si>
  <si>
    <t>Printer Ink</t>
  </si>
  <si>
    <t>Игорь</t>
  </si>
  <si>
    <t>Челябинск</t>
  </si>
  <si>
    <t>Cooling Pad</t>
  </si>
  <si>
    <t>Июнь</t>
  </si>
  <si>
    <t>Server Rack</t>
  </si>
  <si>
    <t>Printer Photo</t>
  </si>
  <si>
    <t>Webcam</t>
  </si>
  <si>
    <t>Notebook Work</t>
  </si>
  <si>
    <t>Server Blade</t>
  </si>
  <si>
    <t>Monitor Curved</t>
  </si>
  <si>
    <t>Dock Station</t>
  </si>
  <si>
    <t>Алексей</t>
  </si>
  <si>
    <t>Cable Set</t>
  </si>
  <si>
    <t>Monitor 21</t>
  </si>
  <si>
    <t>Топ-5 по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</si>
</sst>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2" fillId="3" borderId="1" xfId="1" applyFont="1" applyFill="1" applyBorder="1" applyAlignment="1">
      <alignment horizontal="left" vertical="center" wrapText="1"/>
    </xf>
    <xf numFmtId="0" fontId="0" fillId="0" borderId="1" xfId="1" applyFont="1" applyBorder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left" vertical="center"/>
    </xf>
    <xf numFmtId="3" fontId="0" fillId="0" borderId="1" xfId="1" applyNumberFormat="1" applyFont="1" applyBorder="1" applyAlignment="1">
      <alignment horizontal="center" vertical="center"/>
    </xf>
    <xf numFmtId="0" fontId="2" fillId="3" borderId="1" xfId="1" applyFont="1" applyFill="1" applyBorder="1"/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/>
    <xf numFmtId="164" fontId="0" fillId="0" borderId="0" xfId="0" applyNumberFormat="1"/>
    <xf numFmtId="0" fontId="4" fillId="5" borderId="4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2" fillId="6" borderId="1" xfId="1" applyFont="1" applyFill="1" applyBorder="1"/>
    <xf numFmtId="0" fontId="2" fillId="6" borderId="7" xfId="1" applyFont="1" applyFill="1" applyBorder="1"/>
    <xf numFmtId="0" fontId="2" fillId="6" borderId="8" xfId="1" applyFont="1" applyFill="1" applyBorder="1"/>
    <xf numFmtId="0" fontId="0" fillId="6" borderId="8" xfId="0" applyFill="1" applyBorder="1"/>
    <xf numFmtId="0" fontId="0" fillId="6" borderId="8" xfId="1" applyFont="1" applyFill="1" applyBorder="1" applyAlignment="1">
      <alignment horizontal="center" vertical="center"/>
    </xf>
    <xf numFmtId="0" fontId="0" fillId="6" borderId="8" xfId="1" applyFont="1" applyFill="1" applyBorder="1" applyAlignment="1">
      <alignment horizontal="left" vertical="center"/>
    </xf>
    <xf numFmtId="3" fontId="0" fillId="6" borderId="8" xfId="1" applyNumberFormat="1" applyFont="1" applyFill="1" applyBorder="1" applyAlignment="1">
      <alignment horizontal="center" vertical="center"/>
    </xf>
    <xf numFmtId="0" fontId="2" fillId="4" borderId="9" xfId="1" applyFont="1" applyFill="1" applyBorder="1"/>
    <xf numFmtId="0" fontId="0" fillId="0" borderId="9" xfId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0" fillId="0" borderId="2" xfId="1" applyFont="1" applyBorder="1"/>
    <xf numFmtId="0" fontId="0" fillId="0" borderId="3" xfId="1" applyFont="1" applyBorder="1"/>
  </cellXfs>
  <cellStyles count="2">
    <cellStyle name="Normal" xfId="1" xr:uid="{00000000-0005-0000-0000-000000000000}"/>
    <cellStyle name="Обычный" xfId="0" builtinId="0"/>
  </cellStyles>
  <dxfs count="1"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EEAEE-8D85-467E-9B66-CC94747CD098}" name="Таблица1" displayName="Таблица1" ref="A2:O5002" totalsRowShown="0">
  <autoFilter ref="A2:O5002" xr:uid="{F88EEAEE-8D85-467E-9B66-CC94747CD098}"/>
  <sortState xmlns:xlrd2="http://schemas.microsoft.com/office/spreadsheetml/2017/richdata2" ref="A3:O5002">
    <sortCondition ref="L2:L5002"/>
  </sortState>
  <tableColumns count="15">
    <tableColumn id="1" xr3:uid="{5B1A3E1C-568F-4C09-BE14-473BD6D6744E}" name="order_id"/>
    <tableColumn id="2" xr3:uid="{42F78C25-82BB-4CEB-ACD6-01FA0B61E18F}" name="date" dataDxfId="0"/>
    <tableColumn id="3" xr3:uid="{4B95A8EB-0864-4557-8CDE-7F0687D7876F}" name="day"/>
    <tableColumn id="4" xr3:uid="{2384B405-D4BC-403B-89B9-4973F627BE00}" name="month"/>
    <tableColumn id="5" xr3:uid="{7B0BA346-F5A3-427E-AE42-3150F752AED5}" name="manager"/>
    <tableColumn id="6" xr3:uid="{64AF6D74-3B0D-4919-A493-EA994762F8C3}" name="city"/>
    <tableColumn id="7" xr3:uid="{30F222A3-BCEB-49A9-B55E-23481A169E00}" name="region"/>
    <tableColumn id="8" xr3:uid="{8BC0FBC1-E596-48E3-BECC-3AB7D1D5BA1A}" name="category"/>
    <tableColumn id="9" xr3:uid="{EB7C0711-0428-4035-A9A4-7EF2A5DB9AFC}" name="product"/>
    <tableColumn id="10" xr3:uid="{18DA55DF-E01F-47E4-8A1F-A278287A6BEA}" name="client_type"/>
    <tableColumn id="11" xr3:uid="{27A9B6AE-E67C-41A6-9225-C9F4771D274D}" name="quantity"/>
    <tableColumn id="12" xr3:uid="{04ABB1F7-B470-447A-A13A-5D6838183471}" name="price_per_unit"/>
    <tableColumn id="13" xr3:uid="{5AA51648-7699-41D9-88C8-BEB296ED873C}" name="revenue"/>
    <tableColumn id="14" xr3:uid="{1895B123-0EF4-4675-87EE-A1E1E004E59F}" name="channel"/>
    <tableColumn id="15" xr3:uid="{65B21FA0-7798-45DC-A899-DE0C633E1F26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sqref="A1:F1"/>
    </sheetView>
  </sheetViews>
  <sheetFormatPr defaultRowHeight="15" x14ac:dyDescent="0.25"/>
  <cols>
    <col min="1" max="1" width="24" customWidth="1"/>
    <col min="2" max="2" width="100" customWidth="1"/>
  </cols>
  <sheetData>
    <row r="1" spans="1:6" ht="26.1" customHeight="1" x14ac:dyDescent="0.25">
      <c r="A1" s="23" t="s">
        <v>0</v>
      </c>
      <c r="B1" s="24"/>
      <c r="C1" s="24"/>
      <c r="D1" s="24"/>
      <c r="E1" s="24"/>
      <c r="F1" s="25"/>
    </row>
    <row r="2" spans="1:6" ht="21.95" customHeight="1" x14ac:dyDescent="0.25"/>
    <row r="3" spans="1:6" ht="24" customHeight="1" x14ac:dyDescent="0.25">
      <c r="A3" s="1" t="s">
        <v>1</v>
      </c>
      <c r="B3" s="2" t="s">
        <v>2</v>
      </c>
    </row>
    <row r="4" spans="1:6" ht="21.95" customHeight="1" x14ac:dyDescent="0.25">
      <c r="A4" s="1" t="s">
        <v>3</v>
      </c>
      <c r="B4" s="2" t="s">
        <v>4</v>
      </c>
    </row>
    <row r="5" spans="1:6" ht="21.95" customHeight="1" x14ac:dyDescent="0.25">
      <c r="A5" s="1" t="s">
        <v>5</v>
      </c>
      <c r="B5" s="2" t="s">
        <v>6</v>
      </c>
    </row>
    <row r="6" spans="1:6" ht="21.95" customHeight="1" x14ac:dyDescent="0.25">
      <c r="A6" s="1" t="s">
        <v>7</v>
      </c>
      <c r="B6" s="2" t="s">
        <v>8</v>
      </c>
    </row>
    <row r="7" spans="1:6" ht="21.95" customHeight="1" x14ac:dyDescent="0.25">
      <c r="A7" s="1" t="s">
        <v>9</v>
      </c>
      <c r="B7" s="2" t="s">
        <v>10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02"/>
  <sheetViews>
    <sheetView tabSelected="1" workbookViewId="0">
      <selection activeCell="L794" sqref="L794"/>
    </sheetView>
  </sheetViews>
  <sheetFormatPr defaultRowHeight="15" x14ac:dyDescent="0.25"/>
  <cols>
    <col min="1" max="1" width="10.7109375" customWidth="1"/>
    <col min="2" max="2" width="20" customWidth="1"/>
    <col min="3" max="3" width="18" customWidth="1"/>
    <col min="4" max="4" width="16" customWidth="1"/>
    <col min="5" max="5" width="18" customWidth="1"/>
    <col min="6" max="6" width="10" customWidth="1"/>
    <col min="7" max="7" width="12" customWidth="1"/>
    <col min="8" max="9" width="14" customWidth="1"/>
    <col min="10" max="10" width="13.140625" customWidth="1"/>
    <col min="11" max="11" width="10.5703125" customWidth="1"/>
    <col min="12" max="12" width="16.140625" customWidth="1"/>
    <col min="13" max="13" width="10.5703125" customWidth="1"/>
    <col min="14" max="14" width="10.140625" customWidth="1"/>
  </cols>
  <sheetData>
    <row r="1" spans="1:15" ht="26.1" customHeight="1" x14ac:dyDescent="0.25">
      <c r="A1" s="23" t="s">
        <v>11</v>
      </c>
      <c r="B1" s="24"/>
      <c r="C1" s="24"/>
      <c r="D1" s="24"/>
      <c r="E1" s="24"/>
      <c r="F1" s="24"/>
      <c r="G1" s="24"/>
      <c r="H1" s="24"/>
      <c r="I1" s="25"/>
    </row>
    <row r="2" spans="1:15" ht="21.95" customHeight="1" x14ac:dyDescent="0.25">
      <c r="A2" t="s">
        <v>12</v>
      </c>
      <c r="B2" t="s">
        <v>83</v>
      </c>
      <c r="C2" t="s">
        <v>84</v>
      </c>
      <c r="D2" t="s">
        <v>85</v>
      </c>
      <c r="E2" t="s">
        <v>19</v>
      </c>
      <c r="F2" t="s">
        <v>14</v>
      </c>
      <c r="G2" t="s">
        <v>86</v>
      </c>
      <c r="H2" t="s">
        <v>15</v>
      </c>
      <c r="I2" t="s">
        <v>16</v>
      </c>
      <c r="J2" t="s">
        <v>87</v>
      </c>
      <c r="K2" t="s">
        <v>17</v>
      </c>
      <c r="L2" t="s">
        <v>88</v>
      </c>
      <c r="M2" t="s">
        <v>66</v>
      </c>
      <c r="N2" t="s">
        <v>20</v>
      </c>
      <c r="O2" t="s">
        <v>89</v>
      </c>
    </row>
    <row r="3" spans="1:15" ht="24" customHeight="1" x14ac:dyDescent="0.25">
      <c r="A3">
        <v>85</v>
      </c>
      <c r="B3" s="10">
        <v>45881</v>
      </c>
      <c r="C3">
        <v>12</v>
      </c>
      <c r="D3" t="s">
        <v>109</v>
      </c>
      <c r="E3" t="s">
        <v>121</v>
      </c>
      <c r="F3" t="s">
        <v>99</v>
      </c>
      <c r="G3" t="s">
        <v>100</v>
      </c>
      <c r="H3" t="s">
        <v>101</v>
      </c>
      <c r="I3" t="s">
        <v>123</v>
      </c>
      <c r="J3" t="s">
        <v>103</v>
      </c>
      <c r="K3">
        <v>20</v>
      </c>
      <c r="L3">
        <v>800</v>
      </c>
      <c r="M3">
        <v>16000</v>
      </c>
      <c r="N3" t="s">
        <v>95</v>
      </c>
      <c r="O3" t="s">
        <v>115</v>
      </c>
    </row>
    <row r="4" spans="1:15" ht="21.95" customHeight="1" x14ac:dyDescent="0.25">
      <c r="A4">
        <v>225</v>
      </c>
      <c r="B4" s="10">
        <v>45697</v>
      </c>
      <c r="C4">
        <v>9</v>
      </c>
      <c r="D4" t="s">
        <v>97</v>
      </c>
      <c r="E4" t="s">
        <v>110</v>
      </c>
      <c r="F4" t="s">
        <v>36</v>
      </c>
      <c r="G4" t="s">
        <v>100</v>
      </c>
      <c r="H4" t="s">
        <v>101</v>
      </c>
      <c r="I4" t="s">
        <v>123</v>
      </c>
      <c r="J4" t="s">
        <v>103</v>
      </c>
      <c r="K4">
        <v>25</v>
      </c>
      <c r="L4">
        <v>800</v>
      </c>
      <c r="M4">
        <v>20000</v>
      </c>
      <c r="N4" t="s">
        <v>108</v>
      </c>
      <c r="O4" t="s">
        <v>104</v>
      </c>
    </row>
    <row r="5" spans="1:15" ht="21.95" customHeight="1" x14ac:dyDescent="0.25">
      <c r="A5">
        <v>332</v>
      </c>
      <c r="B5" s="10">
        <v>45941</v>
      </c>
      <c r="C5">
        <v>11</v>
      </c>
      <c r="D5" t="s">
        <v>136</v>
      </c>
      <c r="E5" t="s">
        <v>31</v>
      </c>
      <c r="F5" t="s">
        <v>148</v>
      </c>
      <c r="G5" t="s">
        <v>118</v>
      </c>
      <c r="H5" t="s">
        <v>101</v>
      </c>
      <c r="I5" t="s">
        <v>123</v>
      </c>
      <c r="J5" t="s">
        <v>103</v>
      </c>
      <c r="K5">
        <v>5</v>
      </c>
      <c r="L5">
        <v>800</v>
      </c>
      <c r="M5">
        <v>4000</v>
      </c>
      <c r="N5" t="s">
        <v>108</v>
      </c>
      <c r="O5" t="s">
        <v>115</v>
      </c>
    </row>
    <row r="6" spans="1:15" ht="21.95" customHeight="1" x14ac:dyDescent="0.25">
      <c r="A6">
        <v>430</v>
      </c>
      <c r="B6" s="10">
        <v>45746</v>
      </c>
      <c r="C6">
        <v>30</v>
      </c>
      <c r="D6" t="s">
        <v>140</v>
      </c>
      <c r="E6" t="s">
        <v>138</v>
      </c>
      <c r="F6" t="s">
        <v>49</v>
      </c>
      <c r="G6" t="s">
        <v>118</v>
      </c>
      <c r="H6" t="s">
        <v>101</v>
      </c>
      <c r="I6" t="s">
        <v>123</v>
      </c>
      <c r="J6" t="s">
        <v>103</v>
      </c>
      <c r="K6">
        <v>42</v>
      </c>
      <c r="L6">
        <v>800</v>
      </c>
      <c r="M6">
        <v>33600</v>
      </c>
      <c r="N6" t="s">
        <v>95</v>
      </c>
      <c r="O6" t="s">
        <v>96</v>
      </c>
    </row>
    <row r="7" spans="1:15" ht="21.95" customHeight="1" x14ac:dyDescent="0.25">
      <c r="A7">
        <v>459</v>
      </c>
      <c r="B7" s="10">
        <v>45856</v>
      </c>
      <c r="C7">
        <v>18</v>
      </c>
      <c r="D7" t="s">
        <v>145</v>
      </c>
      <c r="E7" t="s">
        <v>137</v>
      </c>
      <c r="F7" t="s">
        <v>134</v>
      </c>
      <c r="G7" t="s">
        <v>100</v>
      </c>
      <c r="H7" t="s">
        <v>101</v>
      </c>
      <c r="I7" t="s">
        <v>123</v>
      </c>
      <c r="J7" t="s">
        <v>103</v>
      </c>
      <c r="K7">
        <v>38</v>
      </c>
      <c r="L7">
        <v>800</v>
      </c>
      <c r="M7">
        <v>30400</v>
      </c>
      <c r="N7" t="s">
        <v>108</v>
      </c>
      <c r="O7" t="s">
        <v>104</v>
      </c>
    </row>
    <row r="8" spans="1:15" ht="21.95" customHeight="1" x14ac:dyDescent="0.25">
      <c r="A8">
        <v>570</v>
      </c>
      <c r="B8" s="10">
        <v>45766</v>
      </c>
      <c r="C8">
        <v>19</v>
      </c>
      <c r="D8" t="s">
        <v>105</v>
      </c>
      <c r="E8" t="s">
        <v>128</v>
      </c>
      <c r="F8" t="s">
        <v>22</v>
      </c>
      <c r="G8" t="s">
        <v>91</v>
      </c>
      <c r="H8" t="s">
        <v>101</v>
      </c>
      <c r="I8" t="s">
        <v>123</v>
      </c>
      <c r="J8" t="s">
        <v>103</v>
      </c>
      <c r="K8">
        <v>46</v>
      </c>
      <c r="L8">
        <v>800</v>
      </c>
      <c r="M8">
        <v>36800</v>
      </c>
      <c r="N8" t="s">
        <v>95</v>
      </c>
      <c r="O8" t="s">
        <v>115</v>
      </c>
    </row>
    <row r="9" spans="1:15" ht="21.95" customHeight="1" x14ac:dyDescent="0.25">
      <c r="A9">
        <v>639</v>
      </c>
      <c r="B9" s="10">
        <v>45901</v>
      </c>
      <c r="C9">
        <v>1</v>
      </c>
      <c r="D9" t="s">
        <v>147</v>
      </c>
      <c r="E9" t="s">
        <v>133</v>
      </c>
      <c r="F9" t="s">
        <v>141</v>
      </c>
      <c r="G9" t="s">
        <v>100</v>
      </c>
      <c r="H9" t="s">
        <v>101</v>
      </c>
      <c r="I9" t="s">
        <v>123</v>
      </c>
      <c r="J9" t="s">
        <v>103</v>
      </c>
      <c r="K9">
        <v>13</v>
      </c>
      <c r="L9">
        <v>800</v>
      </c>
      <c r="M9">
        <v>10400</v>
      </c>
      <c r="N9" t="s">
        <v>95</v>
      </c>
      <c r="O9" t="s">
        <v>96</v>
      </c>
    </row>
    <row r="10" spans="1:15" ht="21.95" customHeight="1" x14ac:dyDescent="0.25">
      <c r="A10">
        <v>665</v>
      </c>
      <c r="B10" s="10">
        <v>45809</v>
      </c>
      <c r="C10">
        <v>1</v>
      </c>
      <c r="D10" t="s">
        <v>153</v>
      </c>
      <c r="E10" t="s">
        <v>121</v>
      </c>
      <c r="F10" t="s">
        <v>44</v>
      </c>
      <c r="G10" t="s">
        <v>111</v>
      </c>
      <c r="H10" t="s">
        <v>101</v>
      </c>
      <c r="I10" t="s">
        <v>123</v>
      </c>
      <c r="J10" t="s">
        <v>103</v>
      </c>
      <c r="K10">
        <v>5</v>
      </c>
      <c r="L10">
        <v>800</v>
      </c>
      <c r="M10">
        <v>4000</v>
      </c>
      <c r="N10" t="s">
        <v>108</v>
      </c>
      <c r="O10" t="s">
        <v>96</v>
      </c>
    </row>
    <row r="11" spans="1:15" ht="21.95" customHeight="1" x14ac:dyDescent="0.25">
      <c r="A11">
        <v>746</v>
      </c>
      <c r="B11" s="10">
        <v>45979</v>
      </c>
      <c r="C11">
        <v>18</v>
      </c>
      <c r="D11" t="s">
        <v>90</v>
      </c>
      <c r="E11" t="s">
        <v>133</v>
      </c>
      <c r="F11" t="s">
        <v>144</v>
      </c>
      <c r="G11" t="s">
        <v>91</v>
      </c>
      <c r="H11" t="s">
        <v>101</v>
      </c>
      <c r="I11" t="s">
        <v>123</v>
      </c>
      <c r="J11" t="s">
        <v>103</v>
      </c>
      <c r="K11">
        <v>31</v>
      </c>
      <c r="L11">
        <v>800</v>
      </c>
      <c r="M11">
        <v>24800</v>
      </c>
      <c r="N11" t="s">
        <v>95</v>
      </c>
      <c r="O11" t="s">
        <v>96</v>
      </c>
    </row>
    <row r="12" spans="1:15" x14ac:dyDescent="0.25">
      <c r="A12">
        <v>1035</v>
      </c>
      <c r="B12" s="10">
        <v>45812</v>
      </c>
      <c r="C12">
        <v>4</v>
      </c>
      <c r="D12" t="s">
        <v>153</v>
      </c>
      <c r="E12" t="s">
        <v>31</v>
      </c>
      <c r="F12" t="s">
        <v>22</v>
      </c>
      <c r="G12" t="s">
        <v>91</v>
      </c>
      <c r="H12" t="s">
        <v>101</v>
      </c>
      <c r="I12" t="s">
        <v>123</v>
      </c>
      <c r="J12" t="s">
        <v>103</v>
      </c>
      <c r="K12">
        <v>13</v>
      </c>
      <c r="L12">
        <v>800</v>
      </c>
      <c r="M12">
        <v>10400</v>
      </c>
      <c r="N12" t="s">
        <v>108</v>
      </c>
      <c r="O12" t="s">
        <v>104</v>
      </c>
    </row>
    <row r="13" spans="1:15" x14ac:dyDescent="0.25">
      <c r="A13">
        <v>1562</v>
      </c>
      <c r="B13" s="10">
        <v>45696</v>
      </c>
      <c r="C13">
        <v>8</v>
      </c>
      <c r="D13" t="s">
        <v>97</v>
      </c>
      <c r="E13" t="s">
        <v>150</v>
      </c>
      <c r="F13" t="s">
        <v>36</v>
      </c>
      <c r="G13" t="s">
        <v>100</v>
      </c>
      <c r="H13" t="s">
        <v>101</v>
      </c>
      <c r="I13" t="s">
        <v>123</v>
      </c>
      <c r="J13" t="s">
        <v>103</v>
      </c>
      <c r="K13">
        <v>34</v>
      </c>
      <c r="L13">
        <v>800</v>
      </c>
      <c r="M13">
        <v>27200</v>
      </c>
      <c r="N13" t="s">
        <v>95</v>
      </c>
      <c r="O13" t="s">
        <v>96</v>
      </c>
    </row>
    <row r="14" spans="1:15" x14ac:dyDescent="0.25">
      <c r="A14">
        <v>1720</v>
      </c>
      <c r="B14" s="10">
        <v>45786</v>
      </c>
      <c r="C14">
        <v>9</v>
      </c>
      <c r="D14" t="s">
        <v>120</v>
      </c>
      <c r="E14" t="s">
        <v>112</v>
      </c>
      <c r="F14" t="s">
        <v>134</v>
      </c>
      <c r="G14" t="s">
        <v>100</v>
      </c>
      <c r="H14" t="s">
        <v>101</v>
      </c>
      <c r="I14" t="s">
        <v>123</v>
      </c>
      <c r="J14" t="s">
        <v>103</v>
      </c>
      <c r="K14">
        <v>45</v>
      </c>
      <c r="L14">
        <v>800</v>
      </c>
      <c r="M14">
        <v>36000</v>
      </c>
      <c r="N14" t="s">
        <v>95</v>
      </c>
      <c r="O14" t="s">
        <v>115</v>
      </c>
    </row>
    <row r="15" spans="1:15" x14ac:dyDescent="0.25">
      <c r="A15">
        <v>1722</v>
      </c>
      <c r="B15" s="10">
        <v>45798</v>
      </c>
      <c r="C15">
        <v>21</v>
      </c>
      <c r="D15" t="s">
        <v>120</v>
      </c>
      <c r="E15" t="s">
        <v>98</v>
      </c>
      <c r="F15" t="s">
        <v>107</v>
      </c>
      <c r="G15" t="s">
        <v>100</v>
      </c>
      <c r="H15" t="s">
        <v>101</v>
      </c>
      <c r="I15" t="s">
        <v>123</v>
      </c>
      <c r="J15" t="s">
        <v>103</v>
      </c>
      <c r="K15">
        <v>12</v>
      </c>
      <c r="L15">
        <v>800</v>
      </c>
      <c r="M15">
        <v>9600</v>
      </c>
      <c r="N15" t="s">
        <v>95</v>
      </c>
      <c r="O15" t="s">
        <v>115</v>
      </c>
    </row>
    <row r="16" spans="1:15" x14ac:dyDescent="0.25">
      <c r="A16">
        <v>1736</v>
      </c>
      <c r="B16" s="10">
        <v>45985</v>
      </c>
      <c r="C16">
        <v>24</v>
      </c>
      <c r="D16" t="s">
        <v>90</v>
      </c>
      <c r="E16" t="s">
        <v>150</v>
      </c>
      <c r="F16" t="s">
        <v>44</v>
      </c>
      <c r="G16" t="s">
        <v>111</v>
      </c>
      <c r="H16" t="s">
        <v>101</v>
      </c>
      <c r="I16" t="s">
        <v>123</v>
      </c>
      <c r="J16" t="s">
        <v>103</v>
      </c>
      <c r="K16">
        <v>23</v>
      </c>
      <c r="L16">
        <v>800</v>
      </c>
      <c r="M16">
        <v>18400</v>
      </c>
      <c r="N16" t="s">
        <v>95</v>
      </c>
      <c r="O16" t="s">
        <v>115</v>
      </c>
    </row>
    <row r="17" spans="1:15" x14ac:dyDescent="0.25">
      <c r="A17">
        <v>1872</v>
      </c>
      <c r="B17" s="10">
        <v>45779</v>
      </c>
      <c r="C17">
        <v>2</v>
      </c>
      <c r="D17" t="s">
        <v>120</v>
      </c>
      <c r="E17" t="s">
        <v>98</v>
      </c>
      <c r="F17" t="s">
        <v>151</v>
      </c>
      <c r="G17" t="s">
        <v>111</v>
      </c>
      <c r="H17" t="s">
        <v>101</v>
      </c>
      <c r="I17" t="s">
        <v>123</v>
      </c>
      <c r="J17" t="s">
        <v>103</v>
      </c>
      <c r="K17">
        <v>45</v>
      </c>
      <c r="L17">
        <v>800</v>
      </c>
      <c r="M17">
        <v>36000</v>
      </c>
      <c r="N17" t="s">
        <v>108</v>
      </c>
      <c r="O17" t="s">
        <v>115</v>
      </c>
    </row>
    <row r="18" spans="1:15" x14ac:dyDescent="0.25">
      <c r="A18">
        <v>1950</v>
      </c>
      <c r="B18" s="10">
        <v>45736</v>
      </c>
      <c r="C18">
        <v>20</v>
      </c>
      <c r="D18" t="s">
        <v>140</v>
      </c>
      <c r="E18" t="s">
        <v>121</v>
      </c>
      <c r="F18" t="s">
        <v>36</v>
      </c>
      <c r="G18" t="s">
        <v>100</v>
      </c>
      <c r="H18" t="s">
        <v>101</v>
      </c>
      <c r="I18" t="s">
        <v>123</v>
      </c>
      <c r="J18" t="s">
        <v>103</v>
      </c>
      <c r="K18">
        <v>29</v>
      </c>
      <c r="L18">
        <v>800</v>
      </c>
      <c r="M18">
        <v>23200</v>
      </c>
      <c r="N18" t="s">
        <v>108</v>
      </c>
      <c r="O18" t="s">
        <v>104</v>
      </c>
    </row>
    <row r="19" spans="1:15" x14ac:dyDescent="0.25">
      <c r="A19">
        <v>2086</v>
      </c>
      <c r="B19" s="10">
        <v>45742</v>
      </c>
      <c r="C19">
        <v>26</v>
      </c>
      <c r="D19" t="s">
        <v>140</v>
      </c>
      <c r="E19" t="s">
        <v>150</v>
      </c>
      <c r="F19" t="s">
        <v>36</v>
      </c>
      <c r="G19" t="s">
        <v>100</v>
      </c>
      <c r="H19" t="s">
        <v>101</v>
      </c>
      <c r="I19" t="s">
        <v>123</v>
      </c>
      <c r="J19" t="s">
        <v>103</v>
      </c>
      <c r="K19">
        <v>10</v>
      </c>
      <c r="L19">
        <v>800</v>
      </c>
      <c r="M19">
        <v>8000</v>
      </c>
      <c r="N19" t="s">
        <v>95</v>
      </c>
      <c r="O19" t="s">
        <v>104</v>
      </c>
    </row>
    <row r="20" spans="1:15" x14ac:dyDescent="0.25">
      <c r="A20">
        <v>2264</v>
      </c>
      <c r="B20" s="10">
        <v>45911</v>
      </c>
      <c r="C20">
        <v>11</v>
      </c>
      <c r="D20" t="s">
        <v>147</v>
      </c>
      <c r="E20" t="s">
        <v>133</v>
      </c>
      <c r="F20" t="s">
        <v>151</v>
      </c>
      <c r="G20" t="s">
        <v>111</v>
      </c>
      <c r="H20" t="s">
        <v>101</v>
      </c>
      <c r="I20" t="s">
        <v>123</v>
      </c>
      <c r="J20" t="s">
        <v>103</v>
      </c>
      <c r="K20">
        <v>15</v>
      </c>
      <c r="L20">
        <v>800</v>
      </c>
      <c r="M20">
        <v>12000</v>
      </c>
      <c r="N20" t="s">
        <v>95</v>
      </c>
      <c r="O20" t="s">
        <v>96</v>
      </c>
    </row>
    <row r="21" spans="1:15" x14ac:dyDescent="0.25">
      <c r="A21">
        <v>2345</v>
      </c>
      <c r="B21" s="10">
        <v>45934</v>
      </c>
      <c r="C21">
        <v>4</v>
      </c>
      <c r="D21" t="s">
        <v>136</v>
      </c>
      <c r="E21" t="s">
        <v>106</v>
      </c>
      <c r="F21" t="s">
        <v>113</v>
      </c>
      <c r="G21" t="s">
        <v>114</v>
      </c>
      <c r="H21" t="s">
        <v>101</v>
      </c>
      <c r="I21" t="s">
        <v>123</v>
      </c>
      <c r="J21" t="s">
        <v>103</v>
      </c>
      <c r="K21">
        <v>31</v>
      </c>
      <c r="L21">
        <v>800</v>
      </c>
      <c r="M21">
        <v>24800</v>
      </c>
      <c r="N21" t="s">
        <v>95</v>
      </c>
      <c r="O21" t="s">
        <v>115</v>
      </c>
    </row>
    <row r="22" spans="1:15" x14ac:dyDescent="0.25">
      <c r="A22">
        <v>2401</v>
      </c>
      <c r="B22" s="10">
        <v>45969</v>
      </c>
      <c r="C22">
        <v>8</v>
      </c>
      <c r="D22" t="s">
        <v>90</v>
      </c>
      <c r="E22" t="s">
        <v>137</v>
      </c>
      <c r="F22" t="s">
        <v>22</v>
      </c>
      <c r="G22" t="s">
        <v>91</v>
      </c>
      <c r="H22" t="s">
        <v>101</v>
      </c>
      <c r="I22" t="s">
        <v>123</v>
      </c>
      <c r="J22" t="s">
        <v>103</v>
      </c>
      <c r="K22">
        <v>30</v>
      </c>
      <c r="L22">
        <v>800</v>
      </c>
      <c r="M22">
        <v>24000</v>
      </c>
      <c r="N22" t="s">
        <v>108</v>
      </c>
      <c r="O22" t="s">
        <v>96</v>
      </c>
    </row>
    <row r="23" spans="1:15" x14ac:dyDescent="0.25">
      <c r="A23">
        <v>2552</v>
      </c>
      <c r="B23" s="10">
        <v>45973</v>
      </c>
      <c r="C23">
        <v>12</v>
      </c>
      <c r="D23" t="s">
        <v>90</v>
      </c>
      <c r="E23" t="s">
        <v>128</v>
      </c>
      <c r="F23" t="s">
        <v>36</v>
      </c>
      <c r="G23" t="s">
        <v>100</v>
      </c>
      <c r="H23" t="s">
        <v>101</v>
      </c>
      <c r="I23" t="s">
        <v>123</v>
      </c>
      <c r="J23" t="s">
        <v>103</v>
      </c>
      <c r="K23">
        <v>20</v>
      </c>
      <c r="L23">
        <v>800</v>
      </c>
      <c r="M23">
        <v>16000</v>
      </c>
      <c r="N23" t="s">
        <v>108</v>
      </c>
      <c r="O23" t="s">
        <v>96</v>
      </c>
    </row>
    <row r="24" spans="1:15" x14ac:dyDescent="0.25">
      <c r="A24">
        <v>2711</v>
      </c>
      <c r="B24" s="10">
        <v>45964</v>
      </c>
      <c r="C24">
        <v>3</v>
      </c>
      <c r="D24" t="s">
        <v>90</v>
      </c>
      <c r="E24" t="s">
        <v>25</v>
      </c>
      <c r="F24" t="s">
        <v>117</v>
      </c>
      <c r="G24" t="s">
        <v>118</v>
      </c>
      <c r="H24" t="s">
        <v>101</v>
      </c>
      <c r="I24" t="s">
        <v>123</v>
      </c>
      <c r="J24" t="s">
        <v>103</v>
      </c>
      <c r="K24">
        <v>30</v>
      </c>
      <c r="L24">
        <v>800</v>
      </c>
      <c r="M24">
        <v>24000</v>
      </c>
      <c r="N24" t="s">
        <v>108</v>
      </c>
      <c r="O24" t="s">
        <v>96</v>
      </c>
    </row>
    <row r="25" spans="1:15" x14ac:dyDescent="0.25">
      <c r="A25">
        <v>2820</v>
      </c>
      <c r="B25" s="10">
        <v>45962</v>
      </c>
      <c r="C25">
        <v>1</v>
      </c>
      <c r="D25" t="s">
        <v>90</v>
      </c>
      <c r="E25" t="s">
        <v>142</v>
      </c>
      <c r="F25" t="s">
        <v>122</v>
      </c>
      <c r="G25" t="s">
        <v>114</v>
      </c>
      <c r="H25" t="s">
        <v>101</v>
      </c>
      <c r="I25" t="s">
        <v>123</v>
      </c>
      <c r="J25" t="s">
        <v>103</v>
      </c>
      <c r="K25">
        <v>15</v>
      </c>
      <c r="L25">
        <v>800</v>
      </c>
      <c r="M25">
        <v>12000</v>
      </c>
      <c r="N25" t="s">
        <v>108</v>
      </c>
      <c r="O25" t="s">
        <v>115</v>
      </c>
    </row>
    <row r="26" spans="1:15" x14ac:dyDescent="0.25">
      <c r="A26">
        <v>2821</v>
      </c>
      <c r="B26" s="10">
        <v>45799</v>
      </c>
      <c r="C26">
        <v>22</v>
      </c>
      <c r="D26" t="s">
        <v>120</v>
      </c>
      <c r="E26" t="s">
        <v>161</v>
      </c>
      <c r="F26" t="s">
        <v>107</v>
      </c>
      <c r="G26" t="s">
        <v>100</v>
      </c>
      <c r="H26" t="s">
        <v>101</v>
      </c>
      <c r="I26" t="s">
        <v>123</v>
      </c>
      <c r="J26" t="s">
        <v>103</v>
      </c>
      <c r="K26">
        <v>42</v>
      </c>
      <c r="L26">
        <v>800</v>
      </c>
      <c r="M26">
        <v>33600</v>
      </c>
      <c r="N26" t="s">
        <v>108</v>
      </c>
      <c r="O26" t="s">
        <v>115</v>
      </c>
    </row>
    <row r="27" spans="1:15" x14ac:dyDescent="0.25">
      <c r="A27">
        <v>2897</v>
      </c>
      <c r="B27" s="10">
        <v>45824</v>
      </c>
      <c r="C27">
        <v>16</v>
      </c>
      <c r="D27" t="s">
        <v>153</v>
      </c>
      <c r="E27" t="s">
        <v>106</v>
      </c>
      <c r="F27" t="s">
        <v>44</v>
      </c>
      <c r="G27" t="s">
        <v>111</v>
      </c>
      <c r="H27" t="s">
        <v>101</v>
      </c>
      <c r="I27" t="s">
        <v>123</v>
      </c>
      <c r="J27" t="s">
        <v>103</v>
      </c>
      <c r="K27">
        <v>22</v>
      </c>
      <c r="L27">
        <v>800</v>
      </c>
      <c r="M27">
        <v>17600</v>
      </c>
      <c r="N27" t="s">
        <v>108</v>
      </c>
      <c r="O27" t="s">
        <v>104</v>
      </c>
    </row>
    <row r="28" spans="1:15" x14ac:dyDescent="0.25">
      <c r="A28">
        <v>3062</v>
      </c>
      <c r="B28" s="10">
        <v>45664</v>
      </c>
      <c r="C28">
        <v>7</v>
      </c>
      <c r="D28" t="s">
        <v>130</v>
      </c>
      <c r="E28" t="s">
        <v>98</v>
      </c>
      <c r="F28" t="s">
        <v>144</v>
      </c>
      <c r="G28" t="s">
        <v>91</v>
      </c>
      <c r="H28" t="s">
        <v>101</v>
      </c>
      <c r="I28" t="s">
        <v>123</v>
      </c>
      <c r="J28" t="s">
        <v>103</v>
      </c>
      <c r="K28">
        <v>50</v>
      </c>
      <c r="L28">
        <v>800</v>
      </c>
      <c r="M28">
        <v>40000</v>
      </c>
      <c r="N28" t="s">
        <v>95</v>
      </c>
      <c r="O28" t="s">
        <v>115</v>
      </c>
    </row>
    <row r="29" spans="1:15" x14ac:dyDescent="0.25">
      <c r="A29">
        <v>3121</v>
      </c>
      <c r="B29" s="10">
        <v>45785</v>
      </c>
      <c r="C29">
        <v>8</v>
      </c>
      <c r="D29" t="s">
        <v>120</v>
      </c>
      <c r="E29" t="s">
        <v>25</v>
      </c>
      <c r="F29" t="s">
        <v>36</v>
      </c>
      <c r="G29" t="s">
        <v>100</v>
      </c>
      <c r="H29" t="s">
        <v>101</v>
      </c>
      <c r="I29" t="s">
        <v>123</v>
      </c>
      <c r="J29" t="s">
        <v>103</v>
      </c>
      <c r="K29">
        <v>30</v>
      </c>
      <c r="L29">
        <v>800</v>
      </c>
      <c r="M29">
        <v>24000</v>
      </c>
      <c r="N29" t="s">
        <v>95</v>
      </c>
      <c r="O29" t="s">
        <v>104</v>
      </c>
    </row>
    <row r="30" spans="1:15" x14ac:dyDescent="0.25">
      <c r="A30">
        <v>3150</v>
      </c>
      <c r="B30" s="10">
        <v>45757</v>
      </c>
      <c r="C30">
        <v>10</v>
      </c>
      <c r="D30" t="s">
        <v>105</v>
      </c>
      <c r="E30" t="s">
        <v>133</v>
      </c>
      <c r="F30" t="s">
        <v>122</v>
      </c>
      <c r="G30" t="s">
        <v>114</v>
      </c>
      <c r="H30" t="s">
        <v>101</v>
      </c>
      <c r="I30" t="s">
        <v>123</v>
      </c>
      <c r="J30" t="s">
        <v>103</v>
      </c>
      <c r="K30">
        <v>11</v>
      </c>
      <c r="L30">
        <v>800</v>
      </c>
      <c r="M30">
        <v>8800</v>
      </c>
      <c r="N30" t="s">
        <v>95</v>
      </c>
      <c r="O30" t="s">
        <v>104</v>
      </c>
    </row>
    <row r="31" spans="1:15" x14ac:dyDescent="0.25">
      <c r="A31">
        <v>3420</v>
      </c>
      <c r="B31" s="10">
        <v>45737</v>
      </c>
      <c r="C31">
        <v>21</v>
      </c>
      <c r="D31" t="s">
        <v>140</v>
      </c>
      <c r="E31" t="s">
        <v>116</v>
      </c>
      <c r="F31" t="s">
        <v>22</v>
      </c>
      <c r="G31" t="s">
        <v>91</v>
      </c>
      <c r="H31" t="s">
        <v>101</v>
      </c>
      <c r="I31" t="s">
        <v>123</v>
      </c>
      <c r="J31" t="s">
        <v>103</v>
      </c>
      <c r="K31">
        <v>25</v>
      </c>
      <c r="L31">
        <v>800</v>
      </c>
      <c r="M31">
        <v>20000</v>
      </c>
      <c r="N31" t="s">
        <v>95</v>
      </c>
      <c r="O31" t="s">
        <v>96</v>
      </c>
    </row>
    <row r="32" spans="1:15" x14ac:dyDescent="0.25">
      <c r="A32">
        <v>3422</v>
      </c>
      <c r="B32" s="10">
        <v>45705</v>
      </c>
      <c r="C32">
        <v>17</v>
      </c>
      <c r="D32" t="s">
        <v>97</v>
      </c>
      <c r="E32" t="s">
        <v>25</v>
      </c>
      <c r="F32" t="s">
        <v>99</v>
      </c>
      <c r="G32" t="s">
        <v>100</v>
      </c>
      <c r="H32" t="s">
        <v>101</v>
      </c>
      <c r="I32" t="s">
        <v>123</v>
      </c>
      <c r="J32" t="s">
        <v>103</v>
      </c>
      <c r="K32">
        <v>43</v>
      </c>
      <c r="L32">
        <v>800</v>
      </c>
      <c r="M32">
        <v>34400</v>
      </c>
      <c r="N32" t="s">
        <v>95</v>
      </c>
      <c r="O32" t="s">
        <v>104</v>
      </c>
    </row>
    <row r="33" spans="1:15" x14ac:dyDescent="0.25">
      <c r="A33">
        <v>3945</v>
      </c>
      <c r="B33" s="10">
        <v>45787</v>
      </c>
      <c r="C33">
        <v>10</v>
      </c>
      <c r="D33" t="s">
        <v>120</v>
      </c>
      <c r="E33" t="s">
        <v>137</v>
      </c>
      <c r="F33" t="s">
        <v>144</v>
      </c>
      <c r="G33" t="s">
        <v>91</v>
      </c>
      <c r="H33" t="s">
        <v>101</v>
      </c>
      <c r="I33" t="s">
        <v>123</v>
      </c>
      <c r="J33" t="s">
        <v>103</v>
      </c>
      <c r="K33">
        <v>39</v>
      </c>
      <c r="L33">
        <v>800</v>
      </c>
      <c r="M33">
        <v>31200</v>
      </c>
      <c r="N33" t="s">
        <v>108</v>
      </c>
      <c r="O33" t="s">
        <v>115</v>
      </c>
    </row>
    <row r="34" spans="1:15" x14ac:dyDescent="0.25">
      <c r="A34">
        <v>4032</v>
      </c>
      <c r="B34" s="10">
        <v>45848</v>
      </c>
      <c r="C34">
        <v>10</v>
      </c>
      <c r="D34" t="s">
        <v>145</v>
      </c>
      <c r="E34" t="s">
        <v>31</v>
      </c>
      <c r="F34" t="s">
        <v>141</v>
      </c>
      <c r="G34" t="s">
        <v>100</v>
      </c>
      <c r="H34" t="s">
        <v>101</v>
      </c>
      <c r="I34" t="s">
        <v>123</v>
      </c>
      <c r="J34" t="s">
        <v>103</v>
      </c>
      <c r="K34">
        <v>11</v>
      </c>
      <c r="L34">
        <v>800</v>
      </c>
      <c r="M34">
        <v>8800</v>
      </c>
      <c r="N34" t="s">
        <v>95</v>
      </c>
      <c r="O34" t="s">
        <v>115</v>
      </c>
    </row>
    <row r="35" spans="1:15" x14ac:dyDescent="0.25">
      <c r="A35">
        <v>4055</v>
      </c>
      <c r="B35" s="10">
        <v>45858</v>
      </c>
      <c r="C35">
        <v>20</v>
      </c>
      <c r="D35" t="s">
        <v>145</v>
      </c>
      <c r="E35" t="s">
        <v>110</v>
      </c>
      <c r="F35" t="s">
        <v>113</v>
      </c>
      <c r="G35" t="s">
        <v>114</v>
      </c>
      <c r="H35" t="s">
        <v>101</v>
      </c>
      <c r="I35" t="s">
        <v>123</v>
      </c>
      <c r="J35" t="s">
        <v>103</v>
      </c>
      <c r="K35">
        <v>24</v>
      </c>
      <c r="L35">
        <v>800</v>
      </c>
      <c r="M35">
        <v>19200</v>
      </c>
      <c r="N35" t="s">
        <v>95</v>
      </c>
      <c r="O35" t="s">
        <v>104</v>
      </c>
    </row>
    <row r="36" spans="1:15" x14ac:dyDescent="0.25">
      <c r="A36">
        <v>4279</v>
      </c>
      <c r="B36" s="10">
        <v>45810</v>
      </c>
      <c r="C36">
        <v>2</v>
      </c>
      <c r="D36" t="s">
        <v>153</v>
      </c>
      <c r="E36" t="s">
        <v>150</v>
      </c>
      <c r="F36" t="s">
        <v>148</v>
      </c>
      <c r="G36" t="s">
        <v>118</v>
      </c>
      <c r="H36" t="s">
        <v>101</v>
      </c>
      <c r="I36" t="s">
        <v>123</v>
      </c>
      <c r="J36" t="s">
        <v>103</v>
      </c>
      <c r="K36">
        <v>29</v>
      </c>
      <c r="L36">
        <v>800</v>
      </c>
      <c r="M36">
        <v>23200</v>
      </c>
      <c r="N36" t="s">
        <v>95</v>
      </c>
      <c r="O36" t="s">
        <v>115</v>
      </c>
    </row>
    <row r="37" spans="1:15" x14ac:dyDescent="0.25">
      <c r="A37">
        <v>4327</v>
      </c>
      <c r="B37" s="10">
        <v>45777</v>
      </c>
      <c r="C37">
        <v>30</v>
      </c>
      <c r="D37" t="s">
        <v>105</v>
      </c>
      <c r="E37" t="s">
        <v>116</v>
      </c>
      <c r="F37" t="s">
        <v>117</v>
      </c>
      <c r="G37" t="s">
        <v>118</v>
      </c>
      <c r="H37" t="s">
        <v>101</v>
      </c>
      <c r="I37" t="s">
        <v>123</v>
      </c>
      <c r="J37" t="s">
        <v>103</v>
      </c>
      <c r="K37">
        <v>9</v>
      </c>
      <c r="L37">
        <v>800</v>
      </c>
      <c r="M37">
        <v>7200</v>
      </c>
      <c r="N37" t="s">
        <v>95</v>
      </c>
      <c r="O37" t="s">
        <v>104</v>
      </c>
    </row>
    <row r="38" spans="1:15" x14ac:dyDescent="0.25">
      <c r="A38">
        <v>367</v>
      </c>
      <c r="B38" s="10">
        <v>45763</v>
      </c>
      <c r="C38">
        <v>16</v>
      </c>
      <c r="D38" t="s">
        <v>105</v>
      </c>
      <c r="E38" t="s">
        <v>112</v>
      </c>
      <c r="F38" t="s">
        <v>22</v>
      </c>
      <c r="G38" t="s">
        <v>91</v>
      </c>
      <c r="H38" t="s">
        <v>101</v>
      </c>
      <c r="I38" t="s">
        <v>123</v>
      </c>
      <c r="J38" t="s">
        <v>103</v>
      </c>
      <c r="K38">
        <v>43</v>
      </c>
      <c r="L38">
        <v>900</v>
      </c>
      <c r="M38">
        <v>38700</v>
      </c>
      <c r="N38" t="s">
        <v>95</v>
      </c>
      <c r="O38" t="s">
        <v>115</v>
      </c>
    </row>
    <row r="39" spans="1:15" x14ac:dyDescent="0.25">
      <c r="A39">
        <v>500</v>
      </c>
      <c r="B39" s="10">
        <v>45996</v>
      </c>
      <c r="C39">
        <v>5</v>
      </c>
      <c r="D39" t="s">
        <v>125</v>
      </c>
      <c r="E39" t="s">
        <v>31</v>
      </c>
      <c r="F39" t="s">
        <v>122</v>
      </c>
      <c r="G39" t="s">
        <v>114</v>
      </c>
      <c r="H39" t="s">
        <v>101</v>
      </c>
      <c r="I39" t="s">
        <v>123</v>
      </c>
      <c r="J39" t="s">
        <v>94</v>
      </c>
      <c r="K39">
        <v>7</v>
      </c>
      <c r="L39">
        <v>900</v>
      </c>
      <c r="M39">
        <v>6300</v>
      </c>
      <c r="N39" t="s">
        <v>95</v>
      </c>
      <c r="O39" t="s">
        <v>96</v>
      </c>
    </row>
    <row r="40" spans="1:15" x14ac:dyDescent="0.25">
      <c r="A40">
        <v>565</v>
      </c>
      <c r="B40" s="10">
        <v>45957</v>
      </c>
      <c r="C40">
        <v>27</v>
      </c>
      <c r="D40" t="s">
        <v>136</v>
      </c>
      <c r="E40" t="s">
        <v>138</v>
      </c>
      <c r="F40" t="s">
        <v>148</v>
      </c>
      <c r="G40" t="s">
        <v>118</v>
      </c>
      <c r="H40" t="s">
        <v>101</v>
      </c>
      <c r="I40" t="s">
        <v>123</v>
      </c>
      <c r="J40" t="s">
        <v>103</v>
      </c>
      <c r="K40">
        <v>32</v>
      </c>
      <c r="L40">
        <v>900</v>
      </c>
      <c r="M40">
        <v>28800</v>
      </c>
      <c r="N40" t="s">
        <v>95</v>
      </c>
      <c r="O40" t="s">
        <v>104</v>
      </c>
    </row>
    <row r="41" spans="1:15" x14ac:dyDescent="0.25">
      <c r="A41">
        <v>617</v>
      </c>
      <c r="B41" s="10">
        <v>45751</v>
      </c>
      <c r="C41">
        <v>4</v>
      </c>
      <c r="D41" t="s">
        <v>105</v>
      </c>
      <c r="E41" t="s">
        <v>112</v>
      </c>
      <c r="F41" t="s">
        <v>144</v>
      </c>
      <c r="G41" t="s">
        <v>91</v>
      </c>
      <c r="H41" t="s">
        <v>101</v>
      </c>
      <c r="I41" t="s">
        <v>123</v>
      </c>
      <c r="J41" t="s">
        <v>103</v>
      </c>
      <c r="K41">
        <v>19</v>
      </c>
      <c r="L41">
        <v>900</v>
      </c>
      <c r="M41">
        <v>17100</v>
      </c>
      <c r="N41" t="s">
        <v>95</v>
      </c>
      <c r="O41" t="s">
        <v>104</v>
      </c>
    </row>
    <row r="42" spans="1:15" x14ac:dyDescent="0.25">
      <c r="A42">
        <v>679</v>
      </c>
      <c r="B42" s="10">
        <v>45937</v>
      </c>
      <c r="C42">
        <v>7</v>
      </c>
      <c r="D42" t="s">
        <v>136</v>
      </c>
      <c r="E42" t="s">
        <v>106</v>
      </c>
      <c r="F42" t="s">
        <v>134</v>
      </c>
      <c r="G42" t="s">
        <v>100</v>
      </c>
      <c r="H42" t="s">
        <v>101</v>
      </c>
      <c r="I42" t="s">
        <v>123</v>
      </c>
      <c r="J42" t="s">
        <v>103</v>
      </c>
      <c r="K42">
        <v>33</v>
      </c>
      <c r="L42">
        <v>900</v>
      </c>
      <c r="M42">
        <v>29700</v>
      </c>
      <c r="N42" t="s">
        <v>108</v>
      </c>
      <c r="O42" t="s">
        <v>115</v>
      </c>
    </row>
    <row r="43" spans="1:15" x14ac:dyDescent="0.25">
      <c r="A43">
        <v>705</v>
      </c>
      <c r="B43" s="10">
        <v>45978</v>
      </c>
      <c r="C43">
        <v>17</v>
      </c>
      <c r="D43" t="s">
        <v>90</v>
      </c>
      <c r="E43" t="s">
        <v>116</v>
      </c>
      <c r="F43" t="s">
        <v>49</v>
      </c>
      <c r="G43" t="s">
        <v>118</v>
      </c>
      <c r="H43" t="s">
        <v>101</v>
      </c>
      <c r="I43" t="s">
        <v>123</v>
      </c>
      <c r="J43" t="s">
        <v>94</v>
      </c>
      <c r="K43">
        <v>5</v>
      </c>
      <c r="L43">
        <v>900</v>
      </c>
      <c r="M43">
        <v>4500</v>
      </c>
      <c r="N43" t="s">
        <v>108</v>
      </c>
      <c r="O43" t="s">
        <v>104</v>
      </c>
    </row>
    <row r="44" spans="1:15" x14ac:dyDescent="0.25">
      <c r="A44">
        <v>813</v>
      </c>
      <c r="B44" s="10">
        <v>45675</v>
      </c>
      <c r="C44">
        <v>18</v>
      </c>
      <c r="D44" t="s">
        <v>130</v>
      </c>
      <c r="E44" t="s">
        <v>31</v>
      </c>
      <c r="F44" t="s">
        <v>28</v>
      </c>
      <c r="G44" t="s">
        <v>126</v>
      </c>
      <c r="H44" t="s">
        <v>101</v>
      </c>
      <c r="I44" t="s">
        <v>123</v>
      </c>
      <c r="J44" t="s">
        <v>103</v>
      </c>
      <c r="K44">
        <v>6</v>
      </c>
      <c r="L44">
        <v>900</v>
      </c>
      <c r="M44">
        <v>5400</v>
      </c>
      <c r="N44" t="s">
        <v>108</v>
      </c>
      <c r="O44" t="s">
        <v>104</v>
      </c>
    </row>
    <row r="45" spans="1:15" x14ac:dyDescent="0.25">
      <c r="A45">
        <v>913</v>
      </c>
      <c r="B45" s="10">
        <v>45855</v>
      </c>
      <c r="C45">
        <v>17</v>
      </c>
      <c r="D45" t="s">
        <v>145</v>
      </c>
      <c r="E45" t="s">
        <v>116</v>
      </c>
      <c r="F45" t="s">
        <v>151</v>
      </c>
      <c r="G45" t="s">
        <v>111</v>
      </c>
      <c r="H45" t="s">
        <v>101</v>
      </c>
      <c r="I45" t="s">
        <v>123</v>
      </c>
      <c r="J45" t="s">
        <v>103</v>
      </c>
      <c r="K45">
        <v>19</v>
      </c>
      <c r="L45">
        <v>900</v>
      </c>
      <c r="M45">
        <v>17100</v>
      </c>
      <c r="N45" t="s">
        <v>108</v>
      </c>
      <c r="O45" t="s">
        <v>115</v>
      </c>
    </row>
    <row r="46" spans="1:15" x14ac:dyDescent="0.25">
      <c r="A46">
        <v>935</v>
      </c>
      <c r="B46" s="10">
        <v>45999</v>
      </c>
      <c r="C46">
        <v>8</v>
      </c>
      <c r="D46" t="s">
        <v>125</v>
      </c>
      <c r="E46" t="s">
        <v>150</v>
      </c>
      <c r="F46" t="s">
        <v>36</v>
      </c>
      <c r="G46" t="s">
        <v>100</v>
      </c>
      <c r="H46" t="s">
        <v>101</v>
      </c>
      <c r="I46" t="s">
        <v>123</v>
      </c>
      <c r="J46" t="s">
        <v>103</v>
      </c>
      <c r="K46">
        <v>32</v>
      </c>
      <c r="L46">
        <v>900</v>
      </c>
      <c r="M46">
        <v>28800</v>
      </c>
      <c r="N46" t="s">
        <v>95</v>
      </c>
      <c r="O46" t="s">
        <v>115</v>
      </c>
    </row>
    <row r="47" spans="1:15" x14ac:dyDescent="0.25">
      <c r="A47">
        <v>1183</v>
      </c>
      <c r="B47" s="10">
        <v>45660</v>
      </c>
      <c r="C47">
        <v>3</v>
      </c>
      <c r="D47" t="s">
        <v>130</v>
      </c>
      <c r="E47" t="s">
        <v>25</v>
      </c>
      <c r="F47" t="s">
        <v>141</v>
      </c>
      <c r="G47" t="s">
        <v>100</v>
      </c>
      <c r="H47" t="s">
        <v>101</v>
      </c>
      <c r="I47" t="s">
        <v>123</v>
      </c>
      <c r="J47" t="s">
        <v>103</v>
      </c>
      <c r="K47">
        <v>30</v>
      </c>
      <c r="L47">
        <v>900</v>
      </c>
      <c r="M47">
        <v>27000</v>
      </c>
      <c r="N47" t="s">
        <v>108</v>
      </c>
      <c r="O47" t="s">
        <v>115</v>
      </c>
    </row>
    <row r="48" spans="1:15" x14ac:dyDescent="0.25">
      <c r="A48">
        <v>1251</v>
      </c>
      <c r="B48" s="10">
        <v>45928</v>
      </c>
      <c r="C48">
        <v>28</v>
      </c>
      <c r="D48" t="s">
        <v>147</v>
      </c>
      <c r="E48" t="s">
        <v>150</v>
      </c>
      <c r="F48" t="s">
        <v>99</v>
      </c>
      <c r="G48" t="s">
        <v>100</v>
      </c>
      <c r="H48" t="s">
        <v>101</v>
      </c>
      <c r="I48" t="s">
        <v>123</v>
      </c>
      <c r="J48" t="s">
        <v>103</v>
      </c>
      <c r="K48">
        <v>43</v>
      </c>
      <c r="L48">
        <v>900</v>
      </c>
      <c r="M48">
        <v>38700</v>
      </c>
      <c r="N48" t="s">
        <v>95</v>
      </c>
      <c r="O48" t="s">
        <v>104</v>
      </c>
    </row>
    <row r="49" spans="1:15" x14ac:dyDescent="0.25">
      <c r="A49">
        <v>1401</v>
      </c>
      <c r="B49" s="10">
        <v>45710</v>
      </c>
      <c r="C49">
        <v>22</v>
      </c>
      <c r="D49" t="s">
        <v>97</v>
      </c>
      <c r="E49" t="s">
        <v>110</v>
      </c>
      <c r="F49" t="s">
        <v>117</v>
      </c>
      <c r="G49" t="s">
        <v>118</v>
      </c>
      <c r="H49" t="s">
        <v>101</v>
      </c>
      <c r="I49" t="s">
        <v>123</v>
      </c>
      <c r="J49" t="s">
        <v>94</v>
      </c>
      <c r="K49">
        <v>4</v>
      </c>
      <c r="L49">
        <v>900</v>
      </c>
      <c r="M49">
        <v>3600</v>
      </c>
      <c r="N49" t="s">
        <v>108</v>
      </c>
      <c r="O49" t="s">
        <v>115</v>
      </c>
    </row>
    <row r="50" spans="1:15" x14ac:dyDescent="0.25">
      <c r="A50">
        <v>1403</v>
      </c>
      <c r="B50" s="10">
        <v>45854</v>
      </c>
      <c r="C50">
        <v>16</v>
      </c>
      <c r="D50" t="s">
        <v>145</v>
      </c>
      <c r="E50" t="s">
        <v>142</v>
      </c>
      <c r="F50" t="s">
        <v>49</v>
      </c>
      <c r="G50" t="s">
        <v>118</v>
      </c>
      <c r="H50" t="s">
        <v>101</v>
      </c>
      <c r="I50" t="s">
        <v>123</v>
      </c>
      <c r="J50" t="s">
        <v>103</v>
      </c>
      <c r="K50">
        <v>45</v>
      </c>
      <c r="L50">
        <v>900</v>
      </c>
      <c r="M50">
        <v>40500</v>
      </c>
      <c r="N50" t="s">
        <v>95</v>
      </c>
      <c r="O50" t="s">
        <v>115</v>
      </c>
    </row>
    <row r="51" spans="1:15" x14ac:dyDescent="0.25">
      <c r="A51">
        <v>1404</v>
      </c>
      <c r="B51" s="10">
        <v>45743</v>
      </c>
      <c r="C51">
        <v>27</v>
      </c>
      <c r="D51" t="s">
        <v>140</v>
      </c>
      <c r="E51" t="s">
        <v>128</v>
      </c>
      <c r="F51" t="s">
        <v>22</v>
      </c>
      <c r="G51" t="s">
        <v>91</v>
      </c>
      <c r="H51" t="s">
        <v>101</v>
      </c>
      <c r="I51" t="s">
        <v>123</v>
      </c>
      <c r="J51" t="s">
        <v>103</v>
      </c>
      <c r="K51">
        <v>23</v>
      </c>
      <c r="L51">
        <v>900</v>
      </c>
      <c r="M51">
        <v>20700</v>
      </c>
      <c r="N51" t="s">
        <v>108</v>
      </c>
      <c r="O51" t="s">
        <v>115</v>
      </c>
    </row>
    <row r="52" spans="1:15" x14ac:dyDescent="0.25">
      <c r="A52">
        <v>1518</v>
      </c>
      <c r="B52" s="10">
        <v>45836</v>
      </c>
      <c r="C52">
        <v>28</v>
      </c>
      <c r="D52" t="s">
        <v>153</v>
      </c>
      <c r="E52" t="s">
        <v>128</v>
      </c>
      <c r="F52" t="s">
        <v>22</v>
      </c>
      <c r="G52" t="s">
        <v>91</v>
      </c>
      <c r="H52" t="s">
        <v>101</v>
      </c>
      <c r="I52" t="s">
        <v>123</v>
      </c>
      <c r="J52" t="s">
        <v>103</v>
      </c>
      <c r="K52">
        <v>42</v>
      </c>
      <c r="L52">
        <v>900</v>
      </c>
      <c r="M52">
        <v>37800</v>
      </c>
      <c r="N52" t="s">
        <v>95</v>
      </c>
      <c r="O52" t="s">
        <v>104</v>
      </c>
    </row>
    <row r="53" spans="1:15" x14ac:dyDescent="0.25">
      <c r="A53">
        <v>1642</v>
      </c>
      <c r="B53" s="10">
        <v>45787</v>
      </c>
      <c r="C53">
        <v>10</v>
      </c>
      <c r="D53" t="s">
        <v>120</v>
      </c>
      <c r="E53" t="s">
        <v>161</v>
      </c>
      <c r="F53" t="s">
        <v>113</v>
      </c>
      <c r="G53" t="s">
        <v>114</v>
      </c>
      <c r="H53" t="s">
        <v>101</v>
      </c>
      <c r="I53" t="s">
        <v>123</v>
      </c>
      <c r="J53" t="s">
        <v>103</v>
      </c>
      <c r="K53">
        <v>48</v>
      </c>
      <c r="L53">
        <v>900</v>
      </c>
      <c r="M53">
        <v>43200</v>
      </c>
      <c r="N53" t="s">
        <v>108</v>
      </c>
      <c r="O53" t="s">
        <v>115</v>
      </c>
    </row>
    <row r="54" spans="1:15" x14ac:dyDescent="0.25">
      <c r="A54">
        <v>1707</v>
      </c>
      <c r="B54" s="10">
        <v>45987</v>
      </c>
      <c r="C54">
        <v>26</v>
      </c>
      <c r="D54" t="s">
        <v>90</v>
      </c>
      <c r="E54" t="s">
        <v>138</v>
      </c>
      <c r="F54" t="s">
        <v>148</v>
      </c>
      <c r="G54" t="s">
        <v>118</v>
      </c>
      <c r="H54" t="s">
        <v>101</v>
      </c>
      <c r="I54" t="s">
        <v>123</v>
      </c>
      <c r="J54" t="s">
        <v>103</v>
      </c>
      <c r="K54">
        <v>29</v>
      </c>
      <c r="L54">
        <v>900</v>
      </c>
      <c r="M54">
        <v>26100</v>
      </c>
      <c r="N54" t="s">
        <v>108</v>
      </c>
      <c r="O54" t="s">
        <v>96</v>
      </c>
    </row>
    <row r="55" spans="1:15" x14ac:dyDescent="0.25">
      <c r="A55">
        <v>1750</v>
      </c>
      <c r="B55" s="10">
        <v>45790</v>
      </c>
      <c r="C55">
        <v>13</v>
      </c>
      <c r="D55" t="s">
        <v>120</v>
      </c>
      <c r="E55" t="s">
        <v>121</v>
      </c>
      <c r="F55" t="s">
        <v>49</v>
      </c>
      <c r="G55" t="s">
        <v>118</v>
      </c>
      <c r="H55" t="s">
        <v>101</v>
      </c>
      <c r="I55" t="s">
        <v>123</v>
      </c>
      <c r="J55" t="s">
        <v>103</v>
      </c>
      <c r="K55">
        <v>46</v>
      </c>
      <c r="L55">
        <v>900</v>
      </c>
      <c r="M55">
        <v>41400</v>
      </c>
      <c r="N55" t="s">
        <v>95</v>
      </c>
      <c r="O55" t="s">
        <v>96</v>
      </c>
    </row>
    <row r="56" spans="1:15" x14ac:dyDescent="0.25">
      <c r="A56">
        <v>1758</v>
      </c>
      <c r="B56" s="10">
        <v>45765</v>
      </c>
      <c r="C56">
        <v>18</v>
      </c>
      <c r="D56" t="s">
        <v>105</v>
      </c>
      <c r="E56" t="s">
        <v>31</v>
      </c>
      <c r="F56" t="s">
        <v>117</v>
      </c>
      <c r="G56" t="s">
        <v>118</v>
      </c>
      <c r="H56" t="s">
        <v>101</v>
      </c>
      <c r="I56" t="s">
        <v>123</v>
      </c>
      <c r="J56" t="s">
        <v>103</v>
      </c>
      <c r="K56">
        <v>21</v>
      </c>
      <c r="L56">
        <v>900</v>
      </c>
      <c r="M56">
        <v>18900</v>
      </c>
      <c r="N56" t="s">
        <v>95</v>
      </c>
      <c r="O56" t="s">
        <v>115</v>
      </c>
    </row>
    <row r="57" spans="1:15" x14ac:dyDescent="0.25">
      <c r="A57">
        <v>1911</v>
      </c>
      <c r="B57" s="10">
        <v>45741</v>
      </c>
      <c r="C57">
        <v>25</v>
      </c>
      <c r="D57" t="s">
        <v>140</v>
      </c>
      <c r="E57" t="s">
        <v>142</v>
      </c>
      <c r="F57" t="s">
        <v>122</v>
      </c>
      <c r="G57" t="s">
        <v>114</v>
      </c>
      <c r="H57" t="s">
        <v>101</v>
      </c>
      <c r="I57" t="s">
        <v>123</v>
      </c>
      <c r="J57" t="s">
        <v>103</v>
      </c>
      <c r="K57">
        <v>37</v>
      </c>
      <c r="L57">
        <v>900</v>
      </c>
      <c r="M57">
        <v>33300</v>
      </c>
      <c r="N57" t="s">
        <v>108</v>
      </c>
      <c r="O57" t="s">
        <v>104</v>
      </c>
    </row>
    <row r="58" spans="1:15" x14ac:dyDescent="0.25">
      <c r="A58">
        <v>2106</v>
      </c>
      <c r="B58" s="10">
        <v>45842</v>
      </c>
      <c r="C58">
        <v>4</v>
      </c>
      <c r="D58" t="s">
        <v>145</v>
      </c>
      <c r="E58" t="s">
        <v>161</v>
      </c>
      <c r="F58" t="s">
        <v>113</v>
      </c>
      <c r="G58" t="s">
        <v>114</v>
      </c>
      <c r="H58" t="s">
        <v>101</v>
      </c>
      <c r="I58" t="s">
        <v>123</v>
      </c>
      <c r="J58" t="s">
        <v>103</v>
      </c>
      <c r="K58">
        <v>5</v>
      </c>
      <c r="L58">
        <v>900</v>
      </c>
      <c r="M58">
        <v>4500</v>
      </c>
      <c r="N58" t="s">
        <v>95</v>
      </c>
      <c r="O58" t="s">
        <v>115</v>
      </c>
    </row>
    <row r="59" spans="1:15" x14ac:dyDescent="0.25">
      <c r="A59">
        <v>2164</v>
      </c>
      <c r="B59" s="10">
        <v>45899</v>
      </c>
      <c r="C59">
        <v>30</v>
      </c>
      <c r="D59" t="s">
        <v>109</v>
      </c>
      <c r="E59" t="s">
        <v>112</v>
      </c>
      <c r="F59" t="s">
        <v>49</v>
      </c>
      <c r="G59" t="s">
        <v>118</v>
      </c>
      <c r="H59" t="s">
        <v>101</v>
      </c>
      <c r="I59" t="s">
        <v>123</v>
      </c>
      <c r="J59" t="s">
        <v>103</v>
      </c>
      <c r="K59">
        <v>19</v>
      </c>
      <c r="L59">
        <v>900</v>
      </c>
      <c r="M59">
        <v>17100</v>
      </c>
      <c r="N59" t="s">
        <v>108</v>
      </c>
      <c r="O59" t="s">
        <v>96</v>
      </c>
    </row>
    <row r="60" spans="1:15" x14ac:dyDescent="0.25">
      <c r="A60">
        <v>2291</v>
      </c>
      <c r="B60" s="10">
        <v>45935</v>
      </c>
      <c r="C60">
        <v>5</v>
      </c>
      <c r="D60" t="s">
        <v>136</v>
      </c>
      <c r="E60" t="s">
        <v>142</v>
      </c>
      <c r="F60" t="s">
        <v>99</v>
      </c>
      <c r="G60" t="s">
        <v>100</v>
      </c>
      <c r="H60" t="s">
        <v>101</v>
      </c>
      <c r="I60" t="s">
        <v>123</v>
      </c>
      <c r="J60" t="s">
        <v>103</v>
      </c>
      <c r="K60">
        <v>46</v>
      </c>
      <c r="L60">
        <v>900</v>
      </c>
      <c r="M60">
        <v>41400</v>
      </c>
      <c r="N60" t="s">
        <v>95</v>
      </c>
      <c r="O60" t="s">
        <v>115</v>
      </c>
    </row>
    <row r="61" spans="1:15" x14ac:dyDescent="0.25">
      <c r="A61">
        <v>2310</v>
      </c>
      <c r="B61" s="10">
        <v>45944</v>
      </c>
      <c r="C61">
        <v>14</v>
      </c>
      <c r="D61" t="s">
        <v>136</v>
      </c>
      <c r="E61" t="s">
        <v>150</v>
      </c>
      <c r="F61" t="s">
        <v>22</v>
      </c>
      <c r="G61" t="s">
        <v>91</v>
      </c>
      <c r="H61" t="s">
        <v>101</v>
      </c>
      <c r="I61" t="s">
        <v>123</v>
      </c>
      <c r="J61" t="s">
        <v>103</v>
      </c>
      <c r="K61">
        <v>48</v>
      </c>
      <c r="L61">
        <v>900</v>
      </c>
      <c r="M61">
        <v>43200</v>
      </c>
      <c r="N61" t="s">
        <v>108</v>
      </c>
      <c r="O61" t="s">
        <v>115</v>
      </c>
    </row>
    <row r="62" spans="1:15" x14ac:dyDescent="0.25">
      <c r="A62">
        <v>2380</v>
      </c>
      <c r="B62" s="10">
        <v>45688</v>
      </c>
      <c r="C62">
        <v>31</v>
      </c>
      <c r="D62" t="s">
        <v>130</v>
      </c>
      <c r="E62" t="s">
        <v>31</v>
      </c>
      <c r="F62" t="s">
        <v>22</v>
      </c>
      <c r="G62" t="s">
        <v>91</v>
      </c>
      <c r="H62" t="s">
        <v>101</v>
      </c>
      <c r="I62" t="s">
        <v>123</v>
      </c>
      <c r="J62" t="s">
        <v>103</v>
      </c>
      <c r="K62">
        <v>36</v>
      </c>
      <c r="L62">
        <v>900</v>
      </c>
      <c r="M62">
        <v>32400</v>
      </c>
      <c r="N62" t="s">
        <v>108</v>
      </c>
      <c r="O62" t="s">
        <v>115</v>
      </c>
    </row>
    <row r="63" spans="1:15" x14ac:dyDescent="0.25">
      <c r="A63">
        <v>2441</v>
      </c>
      <c r="B63" s="10">
        <v>45704</v>
      </c>
      <c r="C63">
        <v>16</v>
      </c>
      <c r="D63" t="s">
        <v>97</v>
      </c>
      <c r="E63" t="s">
        <v>150</v>
      </c>
      <c r="F63" t="s">
        <v>113</v>
      </c>
      <c r="G63" t="s">
        <v>114</v>
      </c>
      <c r="H63" t="s">
        <v>101</v>
      </c>
      <c r="I63" t="s">
        <v>123</v>
      </c>
      <c r="J63" t="s">
        <v>103</v>
      </c>
      <c r="K63">
        <v>47</v>
      </c>
      <c r="L63">
        <v>900</v>
      </c>
      <c r="M63">
        <v>42300</v>
      </c>
      <c r="N63" t="s">
        <v>95</v>
      </c>
      <c r="O63" t="s">
        <v>104</v>
      </c>
    </row>
    <row r="64" spans="1:15" x14ac:dyDescent="0.25">
      <c r="A64">
        <v>2460</v>
      </c>
      <c r="B64" s="10">
        <v>45698</v>
      </c>
      <c r="C64">
        <v>10</v>
      </c>
      <c r="D64" t="s">
        <v>97</v>
      </c>
      <c r="E64" t="s">
        <v>138</v>
      </c>
      <c r="F64" t="s">
        <v>148</v>
      </c>
      <c r="G64" t="s">
        <v>118</v>
      </c>
      <c r="H64" t="s">
        <v>101</v>
      </c>
      <c r="I64" t="s">
        <v>123</v>
      </c>
      <c r="J64" t="s">
        <v>103</v>
      </c>
      <c r="K64">
        <v>5</v>
      </c>
      <c r="L64">
        <v>900</v>
      </c>
      <c r="M64">
        <v>4500</v>
      </c>
      <c r="N64" t="s">
        <v>108</v>
      </c>
      <c r="O64" t="s">
        <v>115</v>
      </c>
    </row>
    <row r="65" spans="1:15" x14ac:dyDescent="0.25">
      <c r="A65">
        <v>2480</v>
      </c>
      <c r="B65" s="10">
        <v>45932</v>
      </c>
      <c r="C65">
        <v>2</v>
      </c>
      <c r="D65" t="s">
        <v>136</v>
      </c>
      <c r="E65" t="s">
        <v>133</v>
      </c>
      <c r="F65" t="s">
        <v>107</v>
      </c>
      <c r="G65" t="s">
        <v>100</v>
      </c>
      <c r="H65" t="s">
        <v>101</v>
      </c>
      <c r="I65" t="s">
        <v>123</v>
      </c>
      <c r="J65" t="s">
        <v>103</v>
      </c>
      <c r="K65">
        <v>44</v>
      </c>
      <c r="L65">
        <v>900</v>
      </c>
      <c r="M65">
        <v>39600</v>
      </c>
      <c r="N65" t="s">
        <v>108</v>
      </c>
      <c r="O65" t="s">
        <v>96</v>
      </c>
    </row>
    <row r="66" spans="1:15" x14ac:dyDescent="0.25">
      <c r="A66">
        <v>2537</v>
      </c>
      <c r="B66" s="10">
        <v>45662</v>
      </c>
      <c r="C66">
        <v>5</v>
      </c>
      <c r="D66" t="s">
        <v>130</v>
      </c>
      <c r="E66" t="s">
        <v>110</v>
      </c>
      <c r="F66" t="s">
        <v>22</v>
      </c>
      <c r="G66" t="s">
        <v>91</v>
      </c>
      <c r="H66" t="s">
        <v>101</v>
      </c>
      <c r="I66" t="s">
        <v>123</v>
      </c>
      <c r="J66" t="s">
        <v>103</v>
      </c>
      <c r="K66">
        <v>11</v>
      </c>
      <c r="L66">
        <v>900</v>
      </c>
      <c r="M66">
        <v>9900</v>
      </c>
      <c r="N66" t="s">
        <v>95</v>
      </c>
      <c r="O66" t="s">
        <v>115</v>
      </c>
    </row>
    <row r="67" spans="1:15" x14ac:dyDescent="0.25">
      <c r="A67">
        <v>2594</v>
      </c>
      <c r="B67" s="10">
        <v>45843</v>
      </c>
      <c r="C67">
        <v>5</v>
      </c>
      <c r="D67" t="s">
        <v>145</v>
      </c>
      <c r="E67" t="s">
        <v>25</v>
      </c>
      <c r="F67" t="s">
        <v>44</v>
      </c>
      <c r="G67" t="s">
        <v>111</v>
      </c>
      <c r="H67" t="s">
        <v>101</v>
      </c>
      <c r="I67" t="s">
        <v>123</v>
      </c>
      <c r="J67" t="s">
        <v>103</v>
      </c>
      <c r="K67">
        <v>24</v>
      </c>
      <c r="L67">
        <v>900</v>
      </c>
      <c r="M67">
        <v>21600</v>
      </c>
      <c r="N67" t="s">
        <v>95</v>
      </c>
      <c r="O67" t="s">
        <v>115</v>
      </c>
    </row>
    <row r="68" spans="1:15" x14ac:dyDescent="0.25">
      <c r="A68">
        <v>2628</v>
      </c>
      <c r="B68" s="10">
        <v>45720</v>
      </c>
      <c r="C68">
        <v>4</v>
      </c>
      <c r="D68" t="s">
        <v>140</v>
      </c>
      <c r="E68" t="s">
        <v>106</v>
      </c>
      <c r="F68" t="s">
        <v>134</v>
      </c>
      <c r="G68" t="s">
        <v>100</v>
      </c>
      <c r="H68" t="s">
        <v>101</v>
      </c>
      <c r="I68" t="s">
        <v>123</v>
      </c>
      <c r="J68" t="s">
        <v>103</v>
      </c>
      <c r="K68">
        <v>50</v>
      </c>
      <c r="L68">
        <v>900</v>
      </c>
      <c r="M68">
        <v>45000</v>
      </c>
      <c r="N68" t="s">
        <v>95</v>
      </c>
      <c r="O68" t="s">
        <v>96</v>
      </c>
    </row>
    <row r="69" spans="1:15" x14ac:dyDescent="0.25">
      <c r="A69">
        <v>2650</v>
      </c>
      <c r="B69" s="10">
        <v>45795</v>
      </c>
      <c r="C69">
        <v>18</v>
      </c>
      <c r="D69" t="s">
        <v>120</v>
      </c>
      <c r="E69" t="s">
        <v>31</v>
      </c>
      <c r="F69" t="s">
        <v>28</v>
      </c>
      <c r="G69" t="s">
        <v>126</v>
      </c>
      <c r="H69" t="s">
        <v>101</v>
      </c>
      <c r="I69" t="s">
        <v>123</v>
      </c>
      <c r="J69" t="s">
        <v>103</v>
      </c>
      <c r="K69">
        <v>32</v>
      </c>
      <c r="L69">
        <v>900</v>
      </c>
      <c r="M69">
        <v>28800</v>
      </c>
      <c r="N69" t="s">
        <v>108</v>
      </c>
      <c r="O69" t="s">
        <v>104</v>
      </c>
    </row>
    <row r="70" spans="1:15" x14ac:dyDescent="0.25">
      <c r="A70">
        <v>2661</v>
      </c>
      <c r="B70" s="10">
        <v>46002</v>
      </c>
      <c r="C70">
        <v>11</v>
      </c>
      <c r="D70" t="s">
        <v>125</v>
      </c>
      <c r="E70" t="s">
        <v>161</v>
      </c>
      <c r="F70" t="s">
        <v>117</v>
      </c>
      <c r="G70" t="s">
        <v>118</v>
      </c>
      <c r="H70" t="s">
        <v>101</v>
      </c>
      <c r="I70" t="s">
        <v>123</v>
      </c>
      <c r="J70" t="s">
        <v>94</v>
      </c>
      <c r="K70">
        <v>4</v>
      </c>
      <c r="L70">
        <v>900</v>
      </c>
      <c r="M70">
        <v>3600</v>
      </c>
      <c r="N70" t="s">
        <v>95</v>
      </c>
      <c r="O70" t="s">
        <v>104</v>
      </c>
    </row>
    <row r="71" spans="1:15" x14ac:dyDescent="0.25">
      <c r="A71">
        <v>2677</v>
      </c>
      <c r="B71" s="10">
        <v>45888</v>
      </c>
      <c r="C71">
        <v>19</v>
      </c>
      <c r="D71" t="s">
        <v>109</v>
      </c>
      <c r="E71" t="s">
        <v>116</v>
      </c>
      <c r="F71" t="s">
        <v>49</v>
      </c>
      <c r="G71" t="s">
        <v>118</v>
      </c>
      <c r="H71" t="s">
        <v>101</v>
      </c>
      <c r="I71" t="s">
        <v>123</v>
      </c>
      <c r="J71" t="s">
        <v>103</v>
      </c>
      <c r="K71">
        <v>21</v>
      </c>
      <c r="L71">
        <v>900</v>
      </c>
      <c r="M71">
        <v>18900</v>
      </c>
      <c r="N71" t="s">
        <v>95</v>
      </c>
      <c r="O71" t="s">
        <v>96</v>
      </c>
    </row>
    <row r="72" spans="1:15" x14ac:dyDescent="0.25">
      <c r="A72">
        <v>2688</v>
      </c>
      <c r="B72" s="10">
        <v>45791</v>
      </c>
      <c r="C72">
        <v>14</v>
      </c>
      <c r="D72" t="s">
        <v>120</v>
      </c>
      <c r="E72" t="s">
        <v>161</v>
      </c>
      <c r="F72" t="s">
        <v>113</v>
      </c>
      <c r="G72" t="s">
        <v>114</v>
      </c>
      <c r="H72" t="s">
        <v>101</v>
      </c>
      <c r="I72" t="s">
        <v>123</v>
      </c>
      <c r="J72" t="s">
        <v>94</v>
      </c>
      <c r="K72">
        <v>5</v>
      </c>
      <c r="L72">
        <v>900</v>
      </c>
      <c r="M72">
        <v>4500</v>
      </c>
      <c r="N72" t="s">
        <v>108</v>
      </c>
      <c r="O72" t="s">
        <v>115</v>
      </c>
    </row>
    <row r="73" spans="1:15" x14ac:dyDescent="0.25">
      <c r="A73">
        <v>2784</v>
      </c>
      <c r="B73" s="10">
        <v>45961</v>
      </c>
      <c r="C73">
        <v>31</v>
      </c>
      <c r="D73" t="s">
        <v>136</v>
      </c>
      <c r="E73" t="s">
        <v>128</v>
      </c>
      <c r="F73" t="s">
        <v>141</v>
      </c>
      <c r="G73" t="s">
        <v>100</v>
      </c>
      <c r="H73" t="s">
        <v>101</v>
      </c>
      <c r="I73" t="s">
        <v>123</v>
      </c>
      <c r="J73" t="s">
        <v>94</v>
      </c>
      <c r="K73">
        <v>1</v>
      </c>
      <c r="L73">
        <v>900</v>
      </c>
      <c r="M73">
        <v>900</v>
      </c>
      <c r="N73" t="s">
        <v>108</v>
      </c>
      <c r="O73" t="s">
        <v>115</v>
      </c>
    </row>
    <row r="74" spans="1:15" x14ac:dyDescent="0.25">
      <c r="A74">
        <v>2912</v>
      </c>
      <c r="B74" s="10">
        <v>45850</v>
      </c>
      <c r="C74">
        <v>12</v>
      </c>
      <c r="D74" t="s">
        <v>145</v>
      </c>
      <c r="E74" t="s">
        <v>110</v>
      </c>
      <c r="F74" t="s">
        <v>148</v>
      </c>
      <c r="G74" t="s">
        <v>118</v>
      </c>
      <c r="H74" t="s">
        <v>101</v>
      </c>
      <c r="I74" t="s">
        <v>123</v>
      </c>
      <c r="J74" t="s">
        <v>103</v>
      </c>
      <c r="K74">
        <v>42</v>
      </c>
      <c r="L74">
        <v>900</v>
      </c>
      <c r="M74">
        <v>37800</v>
      </c>
      <c r="N74" t="s">
        <v>108</v>
      </c>
      <c r="O74" t="s">
        <v>115</v>
      </c>
    </row>
    <row r="75" spans="1:15" x14ac:dyDescent="0.25">
      <c r="A75">
        <v>2983</v>
      </c>
      <c r="B75" s="10">
        <v>45695</v>
      </c>
      <c r="C75">
        <v>7</v>
      </c>
      <c r="D75" t="s">
        <v>97</v>
      </c>
      <c r="E75" t="s">
        <v>121</v>
      </c>
      <c r="F75" t="s">
        <v>44</v>
      </c>
      <c r="G75" t="s">
        <v>111</v>
      </c>
      <c r="H75" t="s">
        <v>101</v>
      </c>
      <c r="I75" t="s">
        <v>123</v>
      </c>
      <c r="J75" t="s">
        <v>103</v>
      </c>
      <c r="K75">
        <v>47</v>
      </c>
      <c r="L75">
        <v>900</v>
      </c>
      <c r="M75">
        <v>42300</v>
      </c>
      <c r="N75" t="s">
        <v>95</v>
      </c>
      <c r="O75" t="s">
        <v>115</v>
      </c>
    </row>
    <row r="76" spans="1:15" x14ac:dyDescent="0.25">
      <c r="A76">
        <v>2985</v>
      </c>
      <c r="B76" s="10">
        <v>45888</v>
      </c>
      <c r="C76">
        <v>19</v>
      </c>
      <c r="D76" t="s">
        <v>109</v>
      </c>
      <c r="E76" t="s">
        <v>138</v>
      </c>
      <c r="F76" t="s">
        <v>107</v>
      </c>
      <c r="G76" t="s">
        <v>100</v>
      </c>
      <c r="H76" t="s">
        <v>101</v>
      </c>
      <c r="I76" t="s">
        <v>123</v>
      </c>
      <c r="J76" t="s">
        <v>94</v>
      </c>
      <c r="K76">
        <v>8</v>
      </c>
      <c r="L76">
        <v>900</v>
      </c>
      <c r="M76">
        <v>7200</v>
      </c>
      <c r="N76" t="s">
        <v>108</v>
      </c>
      <c r="O76" t="s">
        <v>115</v>
      </c>
    </row>
    <row r="77" spans="1:15" x14ac:dyDescent="0.25">
      <c r="A77">
        <v>3042</v>
      </c>
      <c r="B77" s="10">
        <v>45832</v>
      </c>
      <c r="C77">
        <v>24</v>
      </c>
      <c r="D77" t="s">
        <v>153</v>
      </c>
      <c r="E77" t="s">
        <v>133</v>
      </c>
      <c r="F77" t="s">
        <v>99</v>
      </c>
      <c r="G77" t="s">
        <v>100</v>
      </c>
      <c r="H77" t="s">
        <v>101</v>
      </c>
      <c r="I77" t="s">
        <v>123</v>
      </c>
      <c r="J77" t="s">
        <v>103</v>
      </c>
      <c r="K77">
        <v>22</v>
      </c>
      <c r="L77">
        <v>900</v>
      </c>
      <c r="M77">
        <v>19800</v>
      </c>
      <c r="N77" t="s">
        <v>95</v>
      </c>
      <c r="O77" t="s">
        <v>96</v>
      </c>
    </row>
    <row r="78" spans="1:15" x14ac:dyDescent="0.25">
      <c r="A78">
        <v>3133</v>
      </c>
      <c r="B78" s="10">
        <v>45902</v>
      </c>
      <c r="C78">
        <v>2</v>
      </c>
      <c r="D78" t="s">
        <v>147</v>
      </c>
      <c r="E78" t="s">
        <v>121</v>
      </c>
      <c r="F78" t="s">
        <v>134</v>
      </c>
      <c r="G78" t="s">
        <v>100</v>
      </c>
      <c r="H78" t="s">
        <v>101</v>
      </c>
      <c r="I78" t="s">
        <v>162</v>
      </c>
      <c r="J78" t="s">
        <v>103</v>
      </c>
      <c r="K78">
        <v>50</v>
      </c>
      <c r="L78">
        <v>900</v>
      </c>
      <c r="M78">
        <v>45000</v>
      </c>
      <c r="N78" t="s">
        <v>108</v>
      </c>
      <c r="O78" t="s">
        <v>115</v>
      </c>
    </row>
    <row r="79" spans="1:15" x14ac:dyDescent="0.25">
      <c r="A79">
        <v>3175</v>
      </c>
      <c r="B79" s="10">
        <v>45829</v>
      </c>
      <c r="C79">
        <v>21</v>
      </c>
      <c r="D79" t="s">
        <v>153</v>
      </c>
      <c r="E79" t="s">
        <v>137</v>
      </c>
      <c r="F79" t="s">
        <v>44</v>
      </c>
      <c r="G79" t="s">
        <v>111</v>
      </c>
      <c r="H79" t="s">
        <v>101</v>
      </c>
      <c r="I79" t="s">
        <v>123</v>
      </c>
      <c r="J79" t="s">
        <v>94</v>
      </c>
      <c r="K79">
        <v>6</v>
      </c>
      <c r="L79">
        <v>900</v>
      </c>
      <c r="M79">
        <v>5400</v>
      </c>
      <c r="N79" t="s">
        <v>95</v>
      </c>
      <c r="O79" t="s">
        <v>115</v>
      </c>
    </row>
    <row r="80" spans="1:15" x14ac:dyDescent="0.25">
      <c r="A80">
        <v>3183</v>
      </c>
      <c r="B80" s="10">
        <v>45854</v>
      </c>
      <c r="C80">
        <v>16</v>
      </c>
      <c r="D80" t="s">
        <v>145</v>
      </c>
      <c r="E80" t="s">
        <v>31</v>
      </c>
      <c r="F80" t="s">
        <v>99</v>
      </c>
      <c r="G80" t="s">
        <v>100</v>
      </c>
      <c r="H80" t="s">
        <v>101</v>
      </c>
      <c r="I80" t="s">
        <v>123</v>
      </c>
      <c r="J80" t="s">
        <v>94</v>
      </c>
      <c r="K80">
        <v>3</v>
      </c>
      <c r="L80">
        <v>900</v>
      </c>
      <c r="M80">
        <v>2700</v>
      </c>
      <c r="N80" t="s">
        <v>108</v>
      </c>
      <c r="O80" t="s">
        <v>115</v>
      </c>
    </row>
    <row r="81" spans="1:15" x14ac:dyDescent="0.25">
      <c r="A81">
        <v>3285</v>
      </c>
      <c r="B81" s="10">
        <v>45955</v>
      </c>
      <c r="C81">
        <v>25</v>
      </c>
      <c r="D81" t="s">
        <v>136</v>
      </c>
      <c r="E81" t="s">
        <v>116</v>
      </c>
      <c r="F81" t="s">
        <v>113</v>
      </c>
      <c r="G81" t="s">
        <v>114</v>
      </c>
      <c r="H81" t="s">
        <v>101</v>
      </c>
      <c r="I81" t="s">
        <v>162</v>
      </c>
      <c r="J81" t="s">
        <v>103</v>
      </c>
      <c r="K81">
        <v>15</v>
      </c>
      <c r="L81">
        <v>900</v>
      </c>
      <c r="M81">
        <v>13500</v>
      </c>
      <c r="N81" t="s">
        <v>108</v>
      </c>
      <c r="O81" t="s">
        <v>96</v>
      </c>
    </row>
    <row r="82" spans="1:15" x14ac:dyDescent="0.25">
      <c r="A82">
        <v>3495</v>
      </c>
      <c r="B82" s="10">
        <v>45737</v>
      </c>
      <c r="C82">
        <v>21</v>
      </c>
      <c r="D82" t="s">
        <v>140</v>
      </c>
      <c r="E82" t="s">
        <v>161</v>
      </c>
      <c r="F82" t="s">
        <v>22</v>
      </c>
      <c r="G82" t="s">
        <v>91</v>
      </c>
      <c r="H82" t="s">
        <v>101</v>
      </c>
      <c r="I82" t="s">
        <v>123</v>
      </c>
      <c r="J82" t="s">
        <v>103</v>
      </c>
      <c r="K82">
        <v>9</v>
      </c>
      <c r="L82">
        <v>900</v>
      </c>
      <c r="M82">
        <v>8100</v>
      </c>
      <c r="N82" t="s">
        <v>108</v>
      </c>
      <c r="O82" t="s">
        <v>115</v>
      </c>
    </row>
    <row r="83" spans="1:15" x14ac:dyDescent="0.25">
      <c r="A83">
        <v>3599</v>
      </c>
      <c r="B83" s="10">
        <v>45908</v>
      </c>
      <c r="C83">
        <v>8</v>
      </c>
      <c r="D83" t="s">
        <v>147</v>
      </c>
      <c r="E83" t="s">
        <v>128</v>
      </c>
      <c r="F83" t="s">
        <v>36</v>
      </c>
      <c r="G83" t="s">
        <v>100</v>
      </c>
      <c r="H83" t="s">
        <v>101</v>
      </c>
      <c r="I83" t="s">
        <v>123</v>
      </c>
      <c r="J83" t="s">
        <v>103</v>
      </c>
      <c r="K83">
        <v>45</v>
      </c>
      <c r="L83">
        <v>900</v>
      </c>
      <c r="M83">
        <v>40500</v>
      </c>
      <c r="N83" t="s">
        <v>108</v>
      </c>
      <c r="O83" t="s">
        <v>96</v>
      </c>
    </row>
    <row r="84" spans="1:15" x14ac:dyDescent="0.25">
      <c r="A84">
        <v>3846</v>
      </c>
      <c r="B84" s="10">
        <v>45871</v>
      </c>
      <c r="C84">
        <v>2</v>
      </c>
      <c r="D84" t="s">
        <v>109</v>
      </c>
      <c r="E84" t="s">
        <v>116</v>
      </c>
      <c r="F84" t="s">
        <v>49</v>
      </c>
      <c r="G84" t="s">
        <v>118</v>
      </c>
      <c r="H84" t="s">
        <v>101</v>
      </c>
      <c r="I84" t="s">
        <v>123</v>
      </c>
      <c r="J84" t="s">
        <v>103</v>
      </c>
      <c r="K84">
        <v>35</v>
      </c>
      <c r="L84">
        <v>900</v>
      </c>
      <c r="M84">
        <v>31500</v>
      </c>
      <c r="N84" t="s">
        <v>108</v>
      </c>
      <c r="O84" t="s">
        <v>115</v>
      </c>
    </row>
    <row r="85" spans="1:15" x14ac:dyDescent="0.25">
      <c r="A85">
        <v>3892</v>
      </c>
      <c r="B85" s="10">
        <v>45812</v>
      </c>
      <c r="C85">
        <v>4</v>
      </c>
      <c r="D85" t="s">
        <v>153</v>
      </c>
      <c r="E85" t="s">
        <v>112</v>
      </c>
      <c r="F85" t="s">
        <v>28</v>
      </c>
      <c r="G85" t="s">
        <v>126</v>
      </c>
      <c r="H85" t="s">
        <v>101</v>
      </c>
      <c r="I85" t="s">
        <v>123</v>
      </c>
      <c r="J85" t="s">
        <v>103</v>
      </c>
      <c r="K85">
        <v>10</v>
      </c>
      <c r="L85">
        <v>900</v>
      </c>
      <c r="M85">
        <v>9000</v>
      </c>
      <c r="N85" t="s">
        <v>108</v>
      </c>
      <c r="O85" t="s">
        <v>115</v>
      </c>
    </row>
    <row r="86" spans="1:15" x14ac:dyDescent="0.25">
      <c r="A86">
        <v>3928</v>
      </c>
      <c r="B86" s="10">
        <v>45962</v>
      </c>
      <c r="C86">
        <v>1</v>
      </c>
      <c r="D86" t="s">
        <v>90</v>
      </c>
      <c r="E86" t="s">
        <v>112</v>
      </c>
      <c r="F86" t="s">
        <v>141</v>
      </c>
      <c r="G86" t="s">
        <v>100</v>
      </c>
      <c r="H86" t="s">
        <v>101</v>
      </c>
      <c r="I86" t="s">
        <v>123</v>
      </c>
      <c r="J86" t="s">
        <v>103</v>
      </c>
      <c r="K86">
        <v>35</v>
      </c>
      <c r="L86">
        <v>900</v>
      </c>
      <c r="M86">
        <v>31500</v>
      </c>
      <c r="N86" t="s">
        <v>108</v>
      </c>
      <c r="O86" t="s">
        <v>104</v>
      </c>
    </row>
    <row r="87" spans="1:15" x14ac:dyDescent="0.25">
      <c r="A87">
        <v>3962</v>
      </c>
      <c r="B87" s="10">
        <v>45861</v>
      </c>
      <c r="C87">
        <v>23</v>
      </c>
      <c r="D87" t="s">
        <v>145</v>
      </c>
      <c r="E87" t="s">
        <v>25</v>
      </c>
      <c r="F87" t="s">
        <v>151</v>
      </c>
      <c r="G87" t="s">
        <v>111</v>
      </c>
      <c r="H87" t="s">
        <v>101</v>
      </c>
      <c r="I87" t="s">
        <v>123</v>
      </c>
      <c r="J87" t="s">
        <v>103</v>
      </c>
      <c r="K87">
        <v>39</v>
      </c>
      <c r="L87">
        <v>900</v>
      </c>
      <c r="M87">
        <v>35100</v>
      </c>
      <c r="N87" t="s">
        <v>95</v>
      </c>
      <c r="O87" t="s">
        <v>104</v>
      </c>
    </row>
    <row r="88" spans="1:15" x14ac:dyDescent="0.25">
      <c r="A88">
        <v>4023</v>
      </c>
      <c r="B88" s="10">
        <v>45918</v>
      </c>
      <c r="C88">
        <v>18</v>
      </c>
      <c r="D88" t="s">
        <v>147</v>
      </c>
      <c r="E88" t="s">
        <v>133</v>
      </c>
      <c r="F88" t="s">
        <v>99</v>
      </c>
      <c r="G88" t="s">
        <v>100</v>
      </c>
      <c r="H88" t="s">
        <v>101</v>
      </c>
      <c r="I88" t="s">
        <v>123</v>
      </c>
      <c r="J88" t="s">
        <v>94</v>
      </c>
      <c r="K88">
        <v>9</v>
      </c>
      <c r="L88">
        <v>900</v>
      </c>
      <c r="M88">
        <v>8100</v>
      </c>
      <c r="N88" t="s">
        <v>108</v>
      </c>
      <c r="O88" t="s">
        <v>115</v>
      </c>
    </row>
    <row r="89" spans="1:15" x14ac:dyDescent="0.25">
      <c r="A89">
        <v>4053</v>
      </c>
      <c r="B89" s="10">
        <v>45723</v>
      </c>
      <c r="C89">
        <v>7</v>
      </c>
      <c r="D89" t="s">
        <v>140</v>
      </c>
      <c r="E89" t="s">
        <v>133</v>
      </c>
      <c r="F89" t="s">
        <v>107</v>
      </c>
      <c r="G89" t="s">
        <v>100</v>
      </c>
      <c r="H89" t="s">
        <v>101</v>
      </c>
      <c r="I89" t="s">
        <v>123</v>
      </c>
      <c r="J89" t="s">
        <v>103</v>
      </c>
      <c r="K89">
        <v>36</v>
      </c>
      <c r="L89">
        <v>900</v>
      </c>
      <c r="M89">
        <v>32400</v>
      </c>
      <c r="N89" t="s">
        <v>95</v>
      </c>
      <c r="O89" t="s">
        <v>96</v>
      </c>
    </row>
    <row r="90" spans="1:15" x14ac:dyDescent="0.25">
      <c r="A90">
        <v>4115</v>
      </c>
      <c r="B90" s="10">
        <v>45966</v>
      </c>
      <c r="C90">
        <v>5</v>
      </c>
      <c r="D90" t="s">
        <v>90</v>
      </c>
      <c r="E90" t="s">
        <v>106</v>
      </c>
      <c r="F90" t="s">
        <v>151</v>
      </c>
      <c r="G90" t="s">
        <v>111</v>
      </c>
      <c r="H90" t="s">
        <v>101</v>
      </c>
      <c r="I90" t="s">
        <v>123</v>
      </c>
      <c r="J90" t="s">
        <v>103</v>
      </c>
      <c r="K90">
        <v>15</v>
      </c>
      <c r="L90">
        <v>900</v>
      </c>
      <c r="M90">
        <v>13500</v>
      </c>
      <c r="N90" t="s">
        <v>95</v>
      </c>
      <c r="O90" t="s">
        <v>115</v>
      </c>
    </row>
    <row r="91" spans="1:15" x14ac:dyDescent="0.25">
      <c r="A91">
        <v>4270</v>
      </c>
      <c r="B91" s="10">
        <v>45736</v>
      </c>
      <c r="C91">
        <v>20</v>
      </c>
      <c r="D91" t="s">
        <v>140</v>
      </c>
      <c r="E91" t="s">
        <v>121</v>
      </c>
      <c r="F91" t="s">
        <v>44</v>
      </c>
      <c r="G91" t="s">
        <v>111</v>
      </c>
      <c r="H91" t="s">
        <v>101</v>
      </c>
      <c r="I91" t="s">
        <v>123</v>
      </c>
      <c r="J91" t="s">
        <v>103</v>
      </c>
      <c r="K91">
        <v>35</v>
      </c>
      <c r="L91">
        <v>900</v>
      </c>
      <c r="M91">
        <v>31500</v>
      </c>
      <c r="N91" t="s">
        <v>95</v>
      </c>
      <c r="O91" t="s">
        <v>115</v>
      </c>
    </row>
    <row r="92" spans="1:15" x14ac:dyDescent="0.25">
      <c r="A92">
        <v>4282</v>
      </c>
      <c r="B92" s="10">
        <v>45972</v>
      </c>
      <c r="C92">
        <v>11</v>
      </c>
      <c r="D92" t="s">
        <v>90</v>
      </c>
      <c r="E92" t="s">
        <v>116</v>
      </c>
      <c r="F92" t="s">
        <v>134</v>
      </c>
      <c r="G92" t="s">
        <v>100</v>
      </c>
      <c r="H92" t="s">
        <v>101</v>
      </c>
      <c r="I92" t="s">
        <v>162</v>
      </c>
      <c r="J92" t="s">
        <v>103</v>
      </c>
      <c r="K92">
        <v>16</v>
      </c>
      <c r="L92">
        <v>900</v>
      </c>
      <c r="M92">
        <v>14400</v>
      </c>
      <c r="N92" t="s">
        <v>95</v>
      </c>
      <c r="O92" t="s">
        <v>96</v>
      </c>
    </row>
    <row r="93" spans="1:15" x14ac:dyDescent="0.25">
      <c r="A93">
        <v>4311</v>
      </c>
      <c r="B93" s="10">
        <v>45948</v>
      </c>
      <c r="C93">
        <v>18</v>
      </c>
      <c r="D93" t="s">
        <v>136</v>
      </c>
      <c r="E93" t="s">
        <v>150</v>
      </c>
      <c r="F93" t="s">
        <v>148</v>
      </c>
      <c r="G93" t="s">
        <v>118</v>
      </c>
      <c r="H93" t="s">
        <v>101</v>
      </c>
      <c r="I93" t="s">
        <v>123</v>
      </c>
      <c r="J93" t="s">
        <v>103</v>
      </c>
      <c r="K93">
        <v>6</v>
      </c>
      <c r="L93">
        <v>900</v>
      </c>
      <c r="M93">
        <v>5400</v>
      </c>
      <c r="N93" t="s">
        <v>108</v>
      </c>
      <c r="O93" t="s">
        <v>115</v>
      </c>
    </row>
    <row r="94" spans="1:15" x14ac:dyDescent="0.25">
      <c r="A94">
        <v>4502</v>
      </c>
      <c r="B94" s="10">
        <v>46002</v>
      </c>
      <c r="C94">
        <v>11</v>
      </c>
      <c r="D94" t="s">
        <v>125</v>
      </c>
      <c r="E94" t="s">
        <v>161</v>
      </c>
      <c r="F94" t="s">
        <v>134</v>
      </c>
      <c r="G94" t="s">
        <v>100</v>
      </c>
      <c r="H94" t="s">
        <v>101</v>
      </c>
      <c r="I94" t="s">
        <v>123</v>
      </c>
      <c r="J94" t="s">
        <v>94</v>
      </c>
      <c r="K94">
        <v>3</v>
      </c>
      <c r="L94">
        <v>900</v>
      </c>
      <c r="M94">
        <v>2700</v>
      </c>
      <c r="N94" t="s">
        <v>108</v>
      </c>
      <c r="O94" t="s">
        <v>104</v>
      </c>
    </row>
    <row r="95" spans="1:15" x14ac:dyDescent="0.25">
      <c r="A95">
        <v>4542</v>
      </c>
      <c r="B95" s="10">
        <v>45753</v>
      </c>
      <c r="C95">
        <v>6</v>
      </c>
      <c r="D95" t="s">
        <v>105</v>
      </c>
      <c r="E95" t="s">
        <v>106</v>
      </c>
      <c r="F95" t="s">
        <v>141</v>
      </c>
      <c r="G95" t="s">
        <v>100</v>
      </c>
      <c r="H95" t="s">
        <v>101</v>
      </c>
      <c r="I95" t="s">
        <v>123</v>
      </c>
      <c r="J95" t="s">
        <v>103</v>
      </c>
      <c r="K95">
        <v>40</v>
      </c>
      <c r="L95">
        <v>900</v>
      </c>
      <c r="M95">
        <v>36000</v>
      </c>
      <c r="N95" t="s">
        <v>95</v>
      </c>
      <c r="O95" t="s">
        <v>115</v>
      </c>
    </row>
    <row r="96" spans="1:15" x14ac:dyDescent="0.25">
      <c r="A96">
        <v>4553</v>
      </c>
      <c r="B96" s="10">
        <v>45945</v>
      </c>
      <c r="C96">
        <v>15</v>
      </c>
      <c r="D96" t="s">
        <v>136</v>
      </c>
      <c r="E96" t="s">
        <v>31</v>
      </c>
      <c r="F96" t="s">
        <v>28</v>
      </c>
      <c r="G96" t="s">
        <v>126</v>
      </c>
      <c r="H96" t="s">
        <v>101</v>
      </c>
      <c r="I96" t="s">
        <v>123</v>
      </c>
      <c r="J96" t="s">
        <v>103</v>
      </c>
      <c r="K96">
        <v>27</v>
      </c>
      <c r="L96">
        <v>900</v>
      </c>
      <c r="M96">
        <v>24300</v>
      </c>
      <c r="N96" t="s">
        <v>95</v>
      </c>
      <c r="O96" t="s">
        <v>104</v>
      </c>
    </row>
    <row r="97" spans="1:15" x14ac:dyDescent="0.25">
      <c r="A97">
        <v>4588</v>
      </c>
      <c r="B97" s="10">
        <v>45768</v>
      </c>
      <c r="C97">
        <v>21</v>
      </c>
      <c r="D97" t="s">
        <v>105</v>
      </c>
      <c r="E97" t="s">
        <v>106</v>
      </c>
      <c r="F97" t="s">
        <v>99</v>
      </c>
      <c r="G97" t="s">
        <v>100</v>
      </c>
      <c r="H97" t="s">
        <v>101</v>
      </c>
      <c r="I97" t="s">
        <v>123</v>
      </c>
      <c r="J97" t="s">
        <v>103</v>
      </c>
      <c r="K97">
        <v>42</v>
      </c>
      <c r="L97">
        <v>900</v>
      </c>
      <c r="M97">
        <v>37800</v>
      </c>
      <c r="N97" t="s">
        <v>95</v>
      </c>
      <c r="O97" t="s">
        <v>104</v>
      </c>
    </row>
    <row r="98" spans="1:15" x14ac:dyDescent="0.25">
      <c r="A98">
        <v>4803</v>
      </c>
      <c r="B98" s="10">
        <v>46021</v>
      </c>
      <c r="C98">
        <v>30</v>
      </c>
      <c r="D98" t="s">
        <v>125</v>
      </c>
      <c r="E98" t="s">
        <v>161</v>
      </c>
      <c r="F98" t="s">
        <v>49</v>
      </c>
      <c r="G98" t="s">
        <v>118</v>
      </c>
      <c r="H98" t="s">
        <v>101</v>
      </c>
      <c r="I98" t="s">
        <v>162</v>
      </c>
      <c r="J98" t="s">
        <v>103</v>
      </c>
      <c r="K98">
        <v>49</v>
      </c>
      <c r="L98">
        <v>900</v>
      </c>
      <c r="M98">
        <v>44100</v>
      </c>
      <c r="N98" t="s">
        <v>95</v>
      </c>
      <c r="O98" t="s">
        <v>104</v>
      </c>
    </row>
    <row r="99" spans="1:15" x14ac:dyDescent="0.25">
      <c r="A99">
        <v>4813</v>
      </c>
      <c r="B99" s="10">
        <v>45954</v>
      </c>
      <c r="C99">
        <v>24</v>
      </c>
      <c r="D99" t="s">
        <v>136</v>
      </c>
      <c r="E99" t="s">
        <v>150</v>
      </c>
      <c r="F99" t="s">
        <v>28</v>
      </c>
      <c r="G99" t="s">
        <v>126</v>
      </c>
      <c r="H99" t="s">
        <v>101</v>
      </c>
      <c r="I99" t="s">
        <v>123</v>
      </c>
      <c r="J99" t="s">
        <v>103</v>
      </c>
      <c r="K99">
        <v>27</v>
      </c>
      <c r="L99">
        <v>900</v>
      </c>
      <c r="M99">
        <v>24300</v>
      </c>
      <c r="N99" t="s">
        <v>108</v>
      </c>
      <c r="O99" t="s">
        <v>96</v>
      </c>
    </row>
    <row r="100" spans="1:15" x14ac:dyDescent="0.25">
      <c r="A100">
        <v>4897</v>
      </c>
      <c r="B100" s="10">
        <v>45737</v>
      </c>
      <c r="C100">
        <v>21</v>
      </c>
      <c r="D100" t="s">
        <v>140</v>
      </c>
      <c r="E100" t="s">
        <v>133</v>
      </c>
      <c r="F100" t="s">
        <v>107</v>
      </c>
      <c r="G100" t="s">
        <v>100</v>
      </c>
      <c r="H100" t="s">
        <v>101</v>
      </c>
      <c r="I100" t="s">
        <v>123</v>
      </c>
      <c r="J100" t="s">
        <v>94</v>
      </c>
      <c r="K100">
        <v>4</v>
      </c>
      <c r="L100">
        <v>900</v>
      </c>
      <c r="M100">
        <v>3600</v>
      </c>
      <c r="N100" t="s">
        <v>108</v>
      </c>
      <c r="O100" t="s">
        <v>104</v>
      </c>
    </row>
    <row r="101" spans="1:15" x14ac:dyDescent="0.25">
      <c r="A101">
        <v>4976</v>
      </c>
      <c r="B101" s="10">
        <v>45713</v>
      </c>
      <c r="C101">
        <v>25</v>
      </c>
      <c r="D101" t="s">
        <v>97</v>
      </c>
      <c r="E101" t="s">
        <v>128</v>
      </c>
      <c r="F101" t="s">
        <v>28</v>
      </c>
      <c r="G101" t="s">
        <v>126</v>
      </c>
      <c r="H101" t="s">
        <v>101</v>
      </c>
      <c r="I101" t="s">
        <v>123</v>
      </c>
      <c r="J101" t="s">
        <v>94</v>
      </c>
      <c r="K101">
        <v>7</v>
      </c>
      <c r="L101">
        <v>900</v>
      </c>
      <c r="M101">
        <v>6300</v>
      </c>
      <c r="N101" t="s">
        <v>108</v>
      </c>
      <c r="O101" t="s">
        <v>115</v>
      </c>
    </row>
    <row r="102" spans="1:15" x14ac:dyDescent="0.25">
      <c r="A102">
        <v>56</v>
      </c>
      <c r="B102" s="10">
        <v>45998</v>
      </c>
      <c r="C102">
        <v>7</v>
      </c>
      <c r="D102" t="s">
        <v>125</v>
      </c>
      <c r="E102" t="s">
        <v>128</v>
      </c>
      <c r="F102" t="s">
        <v>113</v>
      </c>
      <c r="G102" t="s">
        <v>114</v>
      </c>
      <c r="H102" t="s">
        <v>101</v>
      </c>
      <c r="I102" t="s">
        <v>123</v>
      </c>
      <c r="J102" t="s">
        <v>94</v>
      </c>
      <c r="K102">
        <v>5</v>
      </c>
      <c r="L102">
        <v>1000</v>
      </c>
      <c r="M102">
        <v>5000</v>
      </c>
      <c r="N102" t="s">
        <v>108</v>
      </c>
      <c r="O102" t="s">
        <v>96</v>
      </c>
    </row>
    <row r="103" spans="1:15" x14ac:dyDescent="0.25">
      <c r="A103">
        <v>59</v>
      </c>
      <c r="B103" s="10">
        <v>45804</v>
      </c>
      <c r="C103">
        <v>27</v>
      </c>
      <c r="D103" t="s">
        <v>120</v>
      </c>
      <c r="E103" t="s">
        <v>106</v>
      </c>
      <c r="F103" t="s">
        <v>134</v>
      </c>
      <c r="G103" t="s">
        <v>100</v>
      </c>
      <c r="H103" t="s">
        <v>101</v>
      </c>
      <c r="I103" t="s">
        <v>162</v>
      </c>
      <c r="J103" t="s">
        <v>103</v>
      </c>
      <c r="K103">
        <v>34</v>
      </c>
      <c r="L103">
        <v>1000</v>
      </c>
      <c r="M103">
        <v>34000</v>
      </c>
      <c r="N103" t="s">
        <v>108</v>
      </c>
      <c r="O103" t="s">
        <v>115</v>
      </c>
    </row>
    <row r="104" spans="1:15" x14ac:dyDescent="0.25">
      <c r="A104">
        <v>93</v>
      </c>
      <c r="B104" s="10">
        <v>45905</v>
      </c>
      <c r="C104">
        <v>5</v>
      </c>
      <c r="D104" t="s">
        <v>147</v>
      </c>
      <c r="E104" t="s">
        <v>116</v>
      </c>
      <c r="F104" t="s">
        <v>99</v>
      </c>
      <c r="G104" t="s">
        <v>100</v>
      </c>
      <c r="H104" t="s">
        <v>101</v>
      </c>
      <c r="I104" t="s">
        <v>162</v>
      </c>
      <c r="J104" t="s">
        <v>103</v>
      </c>
      <c r="K104">
        <v>11</v>
      </c>
      <c r="L104">
        <v>1000</v>
      </c>
      <c r="M104">
        <v>11000</v>
      </c>
      <c r="N104" t="s">
        <v>95</v>
      </c>
      <c r="O104" t="s">
        <v>115</v>
      </c>
    </row>
    <row r="105" spans="1:15" x14ac:dyDescent="0.25">
      <c r="A105">
        <v>182</v>
      </c>
      <c r="B105" s="10">
        <v>45954</v>
      </c>
      <c r="C105">
        <v>24</v>
      </c>
      <c r="D105" t="s">
        <v>136</v>
      </c>
      <c r="E105" t="s">
        <v>133</v>
      </c>
      <c r="F105" t="s">
        <v>122</v>
      </c>
      <c r="G105" t="s">
        <v>114</v>
      </c>
      <c r="H105" t="s">
        <v>101</v>
      </c>
      <c r="I105" t="s">
        <v>162</v>
      </c>
      <c r="J105" t="s">
        <v>103</v>
      </c>
      <c r="K105">
        <v>45</v>
      </c>
      <c r="L105">
        <v>1000</v>
      </c>
      <c r="M105">
        <v>45000</v>
      </c>
      <c r="N105" t="s">
        <v>108</v>
      </c>
      <c r="O105" t="s">
        <v>104</v>
      </c>
    </row>
    <row r="106" spans="1:15" x14ac:dyDescent="0.25">
      <c r="A106">
        <v>199</v>
      </c>
      <c r="B106" s="10">
        <v>45802</v>
      </c>
      <c r="C106">
        <v>25</v>
      </c>
      <c r="D106" t="s">
        <v>120</v>
      </c>
      <c r="E106" t="s">
        <v>112</v>
      </c>
      <c r="F106" t="s">
        <v>134</v>
      </c>
      <c r="G106" t="s">
        <v>100</v>
      </c>
      <c r="H106" t="s">
        <v>101</v>
      </c>
      <c r="I106" t="s">
        <v>162</v>
      </c>
      <c r="J106" t="s">
        <v>103</v>
      </c>
      <c r="K106">
        <v>15</v>
      </c>
      <c r="L106">
        <v>1000</v>
      </c>
      <c r="M106">
        <v>15000</v>
      </c>
      <c r="N106" t="s">
        <v>95</v>
      </c>
      <c r="O106" t="s">
        <v>96</v>
      </c>
    </row>
    <row r="107" spans="1:15" x14ac:dyDescent="0.25">
      <c r="A107">
        <v>236</v>
      </c>
      <c r="B107" s="10">
        <v>46021</v>
      </c>
      <c r="C107">
        <v>30</v>
      </c>
      <c r="D107" t="s">
        <v>125</v>
      </c>
      <c r="E107" t="s">
        <v>106</v>
      </c>
      <c r="F107" t="s">
        <v>113</v>
      </c>
      <c r="G107" t="s">
        <v>114</v>
      </c>
      <c r="H107" t="s">
        <v>101</v>
      </c>
      <c r="I107" t="s">
        <v>123</v>
      </c>
      <c r="J107" t="s">
        <v>94</v>
      </c>
      <c r="K107">
        <v>5</v>
      </c>
      <c r="L107">
        <v>1000</v>
      </c>
      <c r="M107">
        <v>5000</v>
      </c>
      <c r="N107" t="s">
        <v>95</v>
      </c>
      <c r="O107" t="s">
        <v>96</v>
      </c>
    </row>
    <row r="108" spans="1:15" x14ac:dyDescent="0.25">
      <c r="A108">
        <v>239</v>
      </c>
      <c r="B108" s="10">
        <v>45699</v>
      </c>
      <c r="C108">
        <v>11</v>
      </c>
      <c r="D108" t="s">
        <v>97</v>
      </c>
      <c r="E108" t="s">
        <v>25</v>
      </c>
      <c r="F108" t="s">
        <v>122</v>
      </c>
      <c r="G108" t="s">
        <v>114</v>
      </c>
      <c r="H108" t="s">
        <v>101</v>
      </c>
      <c r="I108" t="s">
        <v>123</v>
      </c>
      <c r="J108" t="s">
        <v>94</v>
      </c>
      <c r="K108">
        <v>10</v>
      </c>
      <c r="L108">
        <v>1000</v>
      </c>
      <c r="M108">
        <v>10000</v>
      </c>
      <c r="N108" t="s">
        <v>108</v>
      </c>
      <c r="O108" t="s">
        <v>96</v>
      </c>
    </row>
    <row r="109" spans="1:15" x14ac:dyDescent="0.25">
      <c r="A109">
        <v>246</v>
      </c>
      <c r="B109" s="10">
        <v>45739</v>
      </c>
      <c r="C109">
        <v>23</v>
      </c>
      <c r="D109" t="s">
        <v>140</v>
      </c>
      <c r="E109" t="s">
        <v>121</v>
      </c>
      <c r="F109" t="s">
        <v>113</v>
      </c>
      <c r="G109" t="s">
        <v>114</v>
      </c>
      <c r="H109" t="s">
        <v>101</v>
      </c>
      <c r="I109" t="s">
        <v>123</v>
      </c>
      <c r="J109" t="s">
        <v>94</v>
      </c>
      <c r="K109">
        <v>3</v>
      </c>
      <c r="L109">
        <v>1000</v>
      </c>
      <c r="M109">
        <v>3000</v>
      </c>
      <c r="N109" t="s">
        <v>108</v>
      </c>
      <c r="O109" t="s">
        <v>96</v>
      </c>
    </row>
    <row r="110" spans="1:15" x14ac:dyDescent="0.25">
      <c r="A110">
        <v>248</v>
      </c>
      <c r="B110" s="10">
        <v>45892</v>
      </c>
      <c r="C110">
        <v>23</v>
      </c>
      <c r="D110" t="s">
        <v>109</v>
      </c>
      <c r="E110" t="s">
        <v>106</v>
      </c>
      <c r="F110" t="s">
        <v>49</v>
      </c>
      <c r="G110" t="s">
        <v>118</v>
      </c>
      <c r="H110" t="s">
        <v>101</v>
      </c>
      <c r="I110" t="s">
        <v>123</v>
      </c>
      <c r="J110" t="s">
        <v>94</v>
      </c>
      <c r="K110">
        <v>1</v>
      </c>
      <c r="L110">
        <v>1000</v>
      </c>
      <c r="M110">
        <v>1000</v>
      </c>
      <c r="N110" t="s">
        <v>108</v>
      </c>
      <c r="O110" t="s">
        <v>115</v>
      </c>
    </row>
    <row r="111" spans="1:15" x14ac:dyDescent="0.25">
      <c r="A111">
        <v>256</v>
      </c>
      <c r="B111" s="10">
        <v>45811</v>
      </c>
      <c r="C111">
        <v>3</v>
      </c>
      <c r="D111" t="s">
        <v>153</v>
      </c>
      <c r="E111" t="s">
        <v>110</v>
      </c>
      <c r="F111" t="s">
        <v>113</v>
      </c>
      <c r="G111" t="s">
        <v>114</v>
      </c>
      <c r="H111" t="s">
        <v>101</v>
      </c>
      <c r="I111" t="s">
        <v>162</v>
      </c>
      <c r="J111" t="s">
        <v>103</v>
      </c>
      <c r="K111">
        <v>50</v>
      </c>
      <c r="L111">
        <v>1000</v>
      </c>
      <c r="M111">
        <v>50000</v>
      </c>
      <c r="N111" t="s">
        <v>108</v>
      </c>
      <c r="O111" t="s">
        <v>115</v>
      </c>
    </row>
    <row r="112" spans="1:15" x14ac:dyDescent="0.25">
      <c r="A112">
        <v>318</v>
      </c>
      <c r="B112" s="10">
        <v>45734</v>
      </c>
      <c r="C112">
        <v>18</v>
      </c>
      <c r="D112" t="s">
        <v>140</v>
      </c>
      <c r="E112" t="s">
        <v>106</v>
      </c>
      <c r="F112" t="s">
        <v>49</v>
      </c>
      <c r="G112" t="s">
        <v>118</v>
      </c>
      <c r="H112" t="s">
        <v>101</v>
      </c>
      <c r="I112" t="s">
        <v>162</v>
      </c>
      <c r="J112" t="s">
        <v>103</v>
      </c>
      <c r="K112">
        <v>27</v>
      </c>
      <c r="L112">
        <v>1000</v>
      </c>
      <c r="M112">
        <v>27000</v>
      </c>
      <c r="N112" t="s">
        <v>108</v>
      </c>
      <c r="O112" t="s">
        <v>115</v>
      </c>
    </row>
    <row r="113" spans="1:15" x14ac:dyDescent="0.25">
      <c r="A113">
        <v>368</v>
      </c>
      <c r="B113" s="10">
        <v>46018</v>
      </c>
      <c r="C113">
        <v>27</v>
      </c>
      <c r="D113" t="s">
        <v>125</v>
      </c>
      <c r="E113" t="s">
        <v>116</v>
      </c>
      <c r="F113" t="s">
        <v>44</v>
      </c>
      <c r="G113" t="s">
        <v>111</v>
      </c>
      <c r="H113" t="s">
        <v>101</v>
      </c>
      <c r="I113" t="s">
        <v>123</v>
      </c>
      <c r="J113" t="s">
        <v>94</v>
      </c>
      <c r="K113">
        <v>3</v>
      </c>
      <c r="L113">
        <v>1000</v>
      </c>
      <c r="M113">
        <v>3000</v>
      </c>
      <c r="N113" t="s">
        <v>108</v>
      </c>
      <c r="O113" t="s">
        <v>104</v>
      </c>
    </row>
    <row r="114" spans="1:15" x14ac:dyDescent="0.25">
      <c r="A114">
        <v>405</v>
      </c>
      <c r="B114" s="10">
        <v>45846</v>
      </c>
      <c r="C114">
        <v>8</v>
      </c>
      <c r="D114" t="s">
        <v>145</v>
      </c>
      <c r="E114" t="s">
        <v>106</v>
      </c>
      <c r="F114" t="s">
        <v>44</v>
      </c>
      <c r="G114" t="s">
        <v>111</v>
      </c>
      <c r="H114" t="s">
        <v>101</v>
      </c>
      <c r="I114" t="s">
        <v>123</v>
      </c>
      <c r="J114" t="s">
        <v>94</v>
      </c>
      <c r="K114">
        <v>8</v>
      </c>
      <c r="L114">
        <v>1000</v>
      </c>
      <c r="M114">
        <v>8000</v>
      </c>
      <c r="N114" t="s">
        <v>108</v>
      </c>
      <c r="O114" t="s">
        <v>96</v>
      </c>
    </row>
    <row r="115" spans="1:15" x14ac:dyDescent="0.25">
      <c r="A115">
        <v>493</v>
      </c>
      <c r="B115" s="10">
        <v>45710</v>
      </c>
      <c r="C115">
        <v>22</v>
      </c>
      <c r="D115" t="s">
        <v>97</v>
      </c>
      <c r="E115" t="s">
        <v>142</v>
      </c>
      <c r="F115" t="s">
        <v>107</v>
      </c>
      <c r="G115" t="s">
        <v>100</v>
      </c>
      <c r="H115" t="s">
        <v>101</v>
      </c>
      <c r="I115" t="s">
        <v>123</v>
      </c>
      <c r="J115" t="s">
        <v>94</v>
      </c>
      <c r="K115">
        <v>2</v>
      </c>
      <c r="L115">
        <v>1000</v>
      </c>
      <c r="M115">
        <v>2000</v>
      </c>
      <c r="N115" t="s">
        <v>95</v>
      </c>
      <c r="O115" t="s">
        <v>115</v>
      </c>
    </row>
    <row r="116" spans="1:15" x14ac:dyDescent="0.25">
      <c r="A116">
        <v>494</v>
      </c>
      <c r="B116" s="10">
        <v>45806</v>
      </c>
      <c r="C116">
        <v>29</v>
      </c>
      <c r="D116" t="s">
        <v>120</v>
      </c>
      <c r="E116" t="s">
        <v>133</v>
      </c>
      <c r="F116" t="s">
        <v>99</v>
      </c>
      <c r="G116" t="s">
        <v>100</v>
      </c>
      <c r="H116" t="s">
        <v>101</v>
      </c>
      <c r="I116" t="s">
        <v>162</v>
      </c>
      <c r="J116" t="s">
        <v>103</v>
      </c>
      <c r="K116">
        <v>32</v>
      </c>
      <c r="L116">
        <v>1000</v>
      </c>
      <c r="M116">
        <v>32000</v>
      </c>
      <c r="N116" t="s">
        <v>95</v>
      </c>
      <c r="O116" t="s">
        <v>115</v>
      </c>
    </row>
    <row r="117" spans="1:15" x14ac:dyDescent="0.25">
      <c r="A117">
        <v>558</v>
      </c>
      <c r="B117" s="10">
        <v>45858</v>
      </c>
      <c r="C117">
        <v>20</v>
      </c>
      <c r="D117" t="s">
        <v>145</v>
      </c>
      <c r="E117" t="s">
        <v>112</v>
      </c>
      <c r="F117" t="s">
        <v>117</v>
      </c>
      <c r="G117" t="s">
        <v>118</v>
      </c>
      <c r="H117" t="s">
        <v>101</v>
      </c>
      <c r="I117" t="s">
        <v>123</v>
      </c>
      <c r="J117" t="s">
        <v>94</v>
      </c>
      <c r="K117">
        <v>5</v>
      </c>
      <c r="L117">
        <v>1000</v>
      </c>
      <c r="M117">
        <v>5000</v>
      </c>
      <c r="N117" t="s">
        <v>108</v>
      </c>
      <c r="O117" t="s">
        <v>104</v>
      </c>
    </row>
    <row r="118" spans="1:15" x14ac:dyDescent="0.25">
      <c r="A118">
        <v>571</v>
      </c>
      <c r="B118" s="10">
        <v>45858</v>
      </c>
      <c r="C118">
        <v>20</v>
      </c>
      <c r="D118" t="s">
        <v>145</v>
      </c>
      <c r="E118" t="s">
        <v>106</v>
      </c>
      <c r="F118" t="s">
        <v>144</v>
      </c>
      <c r="G118" t="s">
        <v>91</v>
      </c>
      <c r="H118" t="s">
        <v>101</v>
      </c>
      <c r="I118" t="s">
        <v>123</v>
      </c>
      <c r="J118" t="s">
        <v>94</v>
      </c>
      <c r="K118">
        <v>8</v>
      </c>
      <c r="L118">
        <v>1000</v>
      </c>
      <c r="M118">
        <v>8000</v>
      </c>
      <c r="N118" t="s">
        <v>95</v>
      </c>
      <c r="O118" t="s">
        <v>115</v>
      </c>
    </row>
    <row r="119" spans="1:15" x14ac:dyDescent="0.25">
      <c r="A119">
        <v>587</v>
      </c>
      <c r="B119" s="10">
        <v>45713</v>
      </c>
      <c r="C119">
        <v>25</v>
      </c>
      <c r="D119" t="s">
        <v>97</v>
      </c>
      <c r="E119" t="s">
        <v>25</v>
      </c>
      <c r="F119" t="s">
        <v>49</v>
      </c>
      <c r="G119" t="s">
        <v>118</v>
      </c>
      <c r="H119" t="s">
        <v>101</v>
      </c>
      <c r="I119" t="s">
        <v>162</v>
      </c>
      <c r="J119" t="s">
        <v>103</v>
      </c>
      <c r="K119">
        <v>14</v>
      </c>
      <c r="L119">
        <v>1000</v>
      </c>
      <c r="M119">
        <v>14000</v>
      </c>
      <c r="N119" t="s">
        <v>95</v>
      </c>
      <c r="O119" t="s">
        <v>104</v>
      </c>
    </row>
    <row r="120" spans="1:15" x14ac:dyDescent="0.25">
      <c r="A120">
        <v>613</v>
      </c>
      <c r="B120" s="10">
        <v>45818</v>
      </c>
      <c r="C120">
        <v>10</v>
      </c>
      <c r="D120" t="s">
        <v>153</v>
      </c>
      <c r="E120" t="s">
        <v>150</v>
      </c>
      <c r="F120" t="s">
        <v>49</v>
      </c>
      <c r="G120" t="s">
        <v>118</v>
      </c>
      <c r="H120" t="s">
        <v>101</v>
      </c>
      <c r="I120" t="s">
        <v>123</v>
      </c>
      <c r="J120" t="s">
        <v>94</v>
      </c>
      <c r="K120">
        <v>4</v>
      </c>
      <c r="L120">
        <v>1000</v>
      </c>
      <c r="M120">
        <v>4000</v>
      </c>
      <c r="N120" t="s">
        <v>108</v>
      </c>
      <c r="O120" t="s">
        <v>96</v>
      </c>
    </row>
    <row r="121" spans="1:15" x14ac:dyDescent="0.25">
      <c r="A121">
        <v>646</v>
      </c>
      <c r="B121" s="10">
        <v>45874</v>
      </c>
      <c r="C121">
        <v>5</v>
      </c>
      <c r="D121" t="s">
        <v>109</v>
      </c>
      <c r="E121" t="s">
        <v>98</v>
      </c>
      <c r="F121" t="s">
        <v>49</v>
      </c>
      <c r="G121" t="s">
        <v>118</v>
      </c>
      <c r="H121" t="s">
        <v>101</v>
      </c>
      <c r="I121" t="s">
        <v>162</v>
      </c>
      <c r="J121" t="s">
        <v>103</v>
      </c>
      <c r="K121">
        <v>23</v>
      </c>
      <c r="L121">
        <v>1000</v>
      </c>
      <c r="M121">
        <v>23000</v>
      </c>
      <c r="N121" t="s">
        <v>108</v>
      </c>
      <c r="O121" t="s">
        <v>115</v>
      </c>
    </row>
    <row r="122" spans="1:15" x14ac:dyDescent="0.25">
      <c r="A122">
        <v>666</v>
      </c>
      <c r="B122" s="10">
        <v>45752</v>
      </c>
      <c r="C122">
        <v>5</v>
      </c>
      <c r="D122" t="s">
        <v>105</v>
      </c>
      <c r="E122" t="s">
        <v>128</v>
      </c>
      <c r="F122" t="s">
        <v>22</v>
      </c>
      <c r="G122" t="s">
        <v>91</v>
      </c>
      <c r="H122" t="s">
        <v>101</v>
      </c>
      <c r="I122" t="s">
        <v>123</v>
      </c>
      <c r="J122" t="s">
        <v>94</v>
      </c>
      <c r="K122">
        <v>6</v>
      </c>
      <c r="L122">
        <v>1000</v>
      </c>
      <c r="M122">
        <v>6000</v>
      </c>
      <c r="N122" t="s">
        <v>95</v>
      </c>
      <c r="O122" t="s">
        <v>96</v>
      </c>
    </row>
    <row r="123" spans="1:15" x14ac:dyDescent="0.25">
      <c r="A123">
        <v>677</v>
      </c>
      <c r="B123" s="10">
        <v>45830</v>
      </c>
      <c r="C123">
        <v>22</v>
      </c>
      <c r="D123" t="s">
        <v>153</v>
      </c>
      <c r="E123" t="s">
        <v>98</v>
      </c>
      <c r="F123" t="s">
        <v>36</v>
      </c>
      <c r="G123" t="s">
        <v>100</v>
      </c>
      <c r="H123" t="s">
        <v>101</v>
      </c>
      <c r="I123" t="s">
        <v>162</v>
      </c>
      <c r="J123" t="s">
        <v>103</v>
      </c>
      <c r="K123">
        <v>27</v>
      </c>
      <c r="L123">
        <v>1000</v>
      </c>
      <c r="M123">
        <v>27000</v>
      </c>
      <c r="N123" t="s">
        <v>108</v>
      </c>
      <c r="O123" t="s">
        <v>96</v>
      </c>
    </row>
    <row r="124" spans="1:15" x14ac:dyDescent="0.25">
      <c r="A124">
        <v>713</v>
      </c>
      <c r="B124" s="10">
        <v>45752</v>
      </c>
      <c r="C124">
        <v>5</v>
      </c>
      <c r="D124" t="s">
        <v>105</v>
      </c>
      <c r="E124" t="s">
        <v>25</v>
      </c>
      <c r="F124" t="s">
        <v>117</v>
      </c>
      <c r="G124" t="s">
        <v>118</v>
      </c>
      <c r="H124" t="s">
        <v>101</v>
      </c>
      <c r="I124" t="s">
        <v>162</v>
      </c>
      <c r="J124" t="s">
        <v>103</v>
      </c>
      <c r="K124">
        <v>43</v>
      </c>
      <c r="L124">
        <v>1000</v>
      </c>
      <c r="M124">
        <v>43000</v>
      </c>
      <c r="N124" t="s">
        <v>95</v>
      </c>
      <c r="O124" t="s">
        <v>96</v>
      </c>
    </row>
    <row r="125" spans="1:15" x14ac:dyDescent="0.25">
      <c r="A125">
        <v>729</v>
      </c>
      <c r="B125" s="10">
        <v>45725</v>
      </c>
      <c r="C125">
        <v>9</v>
      </c>
      <c r="D125" t="s">
        <v>140</v>
      </c>
      <c r="E125" t="s">
        <v>106</v>
      </c>
      <c r="F125" t="s">
        <v>22</v>
      </c>
      <c r="G125" t="s">
        <v>91</v>
      </c>
      <c r="H125" t="s">
        <v>101</v>
      </c>
      <c r="I125" t="s">
        <v>123</v>
      </c>
      <c r="J125" t="s">
        <v>94</v>
      </c>
      <c r="K125">
        <v>8</v>
      </c>
      <c r="L125">
        <v>1000</v>
      </c>
      <c r="M125">
        <v>8000</v>
      </c>
      <c r="N125" t="s">
        <v>108</v>
      </c>
      <c r="O125" t="s">
        <v>115</v>
      </c>
    </row>
    <row r="126" spans="1:15" x14ac:dyDescent="0.25">
      <c r="A126">
        <v>743</v>
      </c>
      <c r="B126" s="10">
        <v>45692</v>
      </c>
      <c r="C126">
        <v>4</v>
      </c>
      <c r="D126" t="s">
        <v>97</v>
      </c>
      <c r="E126" t="s">
        <v>116</v>
      </c>
      <c r="F126" t="s">
        <v>44</v>
      </c>
      <c r="G126" t="s">
        <v>111</v>
      </c>
      <c r="H126" t="s">
        <v>101</v>
      </c>
      <c r="I126" t="s">
        <v>162</v>
      </c>
      <c r="J126" t="s">
        <v>103</v>
      </c>
      <c r="K126">
        <v>5</v>
      </c>
      <c r="L126">
        <v>1000</v>
      </c>
      <c r="M126">
        <v>5000</v>
      </c>
      <c r="N126" t="s">
        <v>95</v>
      </c>
      <c r="O126" t="s">
        <v>96</v>
      </c>
    </row>
    <row r="127" spans="1:15" x14ac:dyDescent="0.25">
      <c r="A127">
        <v>901</v>
      </c>
      <c r="B127" s="10">
        <v>45884</v>
      </c>
      <c r="C127">
        <v>15</v>
      </c>
      <c r="D127" t="s">
        <v>109</v>
      </c>
      <c r="E127" t="s">
        <v>128</v>
      </c>
      <c r="F127" t="s">
        <v>148</v>
      </c>
      <c r="G127" t="s">
        <v>118</v>
      </c>
      <c r="H127" t="s">
        <v>101</v>
      </c>
      <c r="I127" t="s">
        <v>123</v>
      </c>
      <c r="J127" t="s">
        <v>94</v>
      </c>
      <c r="K127">
        <v>5</v>
      </c>
      <c r="L127">
        <v>1000</v>
      </c>
      <c r="M127">
        <v>5000</v>
      </c>
      <c r="N127" t="s">
        <v>95</v>
      </c>
      <c r="O127" t="s">
        <v>96</v>
      </c>
    </row>
    <row r="128" spans="1:15" x14ac:dyDescent="0.25">
      <c r="A128">
        <v>940</v>
      </c>
      <c r="B128" s="10">
        <v>45870</v>
      </c>
      <c r="C128">
        <v>1</v>
      </c>
      <c r="D128" t="s">
        <v>109</v>
      </c>
      <c r="E128" t="s">
        <v>142</v>
      </c>
      <c r="F128" t="s">
        <v>44</v>
      </c>
      <c r="G128" t="s">
        <v>111</v>
      </c>
      <c r="H128" t="s">
        <v>101</v>
      </c>
      <c r="I128" t="s">
        <v>162</v>
      </c>
      <c r="J128" t="s">
        <v>103</v>
      </c>
      <c r="K128">
        <v>47</v>
      </c>
      <c r="L128">
        <v>1000</v>
      </c>
      <c r="M128">
        <v>47000</v>
      </c>
      <c r="N128" t="s">
        <v>95</v>
      </c>
      <c r="O128" t="s">
        <v>104</v>
      </c>
    </row>
    <row r="129" spans="1:15" x14ac:dyDescent="0.25">
      <c r="A129">
        <v>1012</v>
      </c>
      <c r="B129" s="10">
        <v>45907</v>
      </c>
      <c r="C129">
        <v>7</v>
      </c>
      <c r="D129" t="s">
        <v>147</v>
      </c>
      <c r="E129" t="s">
        <v>142</v>
      </c>
      <c r="F129" t="s">
        <v>151</v>
      </c>
      <c r="G129" t="s">
        <v>111</v>
      </c>
      <c r="H129" t="s">
        <v>101</v>
      </c>
      <c r="I129" t="s">
        <v>162</v>
      </c>
      <c r="J129" t="s">
        <v>103</v>
      </c>
      <c r="K129">
        <v>19</v>
      </c>
      <c r="L129">
        <v>1000</v>
      </c>
      <c r="M129">
        <v>19000</v>
      </c>
      <c r="N129" t="s">
        <v>95</v>
      </c>
      <c r="O129" t="s">
        <v>96</v>
      </c>
    </row>
    <row r="130" spans="1:15" x14ac:dyDescent="0.25">
      <c r="A130">
        <v>1037</v>
      </c>
      <c r="B130" s="10">
        <v>45672</v>
      </c>
      <c r="C130">
        <v>15</v>
      </c>
      <c r="D130" t="s">
        <v>130</v>
      </c>
      <c r="E130" t="s">
        <v>128</v>
      </c>
      <c r="F130" t="s">
        <v>117</v>
      </c>
      <c r="G130" t="s">
        <v>118</v>
      </c>
      <c r="H130" t="s">
        <v>101</v>
      </c>
      <c r="I130" t="s">
        <v>162</v>
      </c>
      <c r="J130" t="s">
        <v>103</v>
      </c>
      <c r="K130">
        <v>20</v>
      </c>
      <c r="L130">
        <v>1000</v>
      </c>
      <c r="M130">
        <v>20000</v>
      </c>
      <c r="N130" t="s">
        <v>108</v>
      </c>
      <c r="O130" t="s">
        <v>96</v>
      </c>
    </row>
    <row r="131" spans="1:15" x14ac:dyDescent="0.25">
      <c r="A131">
        <v>1325</v>
      </c>
      <c r="B131" s="10">
        <v>45872</v>
      </c>
      <c r="C131">
        <v>3</v>
      </c>
      <c r="D131" t="s">
        <v>109</v>
      </c>
      <c r="E131" t="s">
        <v>137</v>
      </c>
      <c r="F131" t="s">
        <v>151</v>
      </c>
      <c r="G131" t="s">
        <v>111</v>
      </c>
      <c r="H131" t="s">
        <v>101</v>
      </c>
      <c r="I131" t="s">
        <v>162</v>
      </c>
      <c r="J131" t="s">
        <v>103</v>
      </c>
      <c r="K131">
        <v>39</v>
      </c>
      <c r="L131">
        <v>1000</v>
      </c>
      <c r="M131">
        <v>39000</v>
      </c>
      <c r="N131" t="s">
        <v>95</v>
      </c>
      <c r="O131" t="s">
        <v>115</v>
      </c>
    </row>
    <row r="132" spans="1:15" x14ac:dyDescent="0.25">
      <c r="A132">
        <v>1425</v>
      </c>
      <c r="B132" s="10">
        <v>45711</v>
      </c>
      <c r="C132">
        <v>23</v>
      </c>
      <c r="D132" t="s">
        <v>97</v>
      </c>
      <c r="E132" t="s">
        <v>150</v>
      </c>
      <c r="F132" t="s">
        <v>49</v>
      </c>
      <c r="G132" t="s">
        <v>118</v>
      </c>
      <c r="H132" t="s">
        <v>101</v>
      </c>
      <c r="I132" t="s">
        <v>162</v>
      </c>
      <c r="J132" t="s">
        <v>103</v>
      </c>
      <c r="K132">
        <v>24</v>
      </c>
      <c r="L132">
        <v>1000</v>
      </c>
      <c r="M132">
        <v>24000</v>
      </c>
      <c r="N132" t="s">
        <v>108</v>
      </c>
      <c r="O132" t="s">
        <v>96</v>
      </c>
    </row>
    <row r="133" spans="1:15" x14ac:dyDescent="0.25">
      <c r="A133">
        <v>1445</v>
      </c>
      <c r="B133" s="10">
        <v>46021</v>
      </c>
      <c r="C133">
        <v>30</v>
      </c>
      <c r="D133" t="s">
        <v>125</v>
      </c>
      <c r="E133" t="s">
        <v>150</v>
      </c>
      <c r="F133" t="s">
        <v>144</v>
      </c>
      <c r="G133" t="s">
        <v>91</v>
      </c>
      <c r="H133" t="s">
        <v>101</v>
      </c>
      <c r="I133" t="s">
        <v>162</v>
      </c>
      <c r="J133" t="s">
        <v>103</v>
      </c>
      <c r="K133">
        <v>12</v>
      </c>
      <c r="L133">
        <v>1000</v>
      </c>
      <c r="M133">
        <v>12000</v>
      </c>
      <c r="N133" t="s">
        <v>108</v>
      </c>
      <c r="O133" t="s">
        <v>96</v>
      </c>
    </row>
    <row r="134" spans="1:15" x14ac:dyDescent="0.25">
      <c r="A134">
        <v>1476</v>
      </c>
      <c r="B134" s="10">
        <v>45946</v>
      </c>
      <c r="C134">
        <v>16</v>
      </c>
      <c r="D134" t="s">
        <v>136</v>
      </c>
      <c r="E134" t="s">
        <v>142</v>
      </c>
      <c r="F134" t="s">
        <v>22</v>
      </c>
      <c r="G134" t="s">
        <v>91</v>
      </c>
      <c r="H134" t="s">
        <v>101</v>
      </c>
      <c r="I134" t="s">
        <v>123</v>
      </c>
      <c r="J134" t="s">
        <v>94</v>
      </c>
      <c r="K134">
        <v>10</v>
      </c>
      <c r="L134">
        <v>1000</v>
      </c>
      <c r="M134">
        <v>10000</v>
      </c>
      <c r="N134" t="s">
        <v>108</v>
      </c>
      <c r="O134" t="s">
        <v>104</v>
      </c>
    </row>
    <row r="135" spans="1:15" x14ac:dyDescent="0.25">
      <c r="A135">
        <v>1493</v>
      </c>
      <c r="B135" s="10">
        <v>45949</v>
      </c>
      <c r="C135">
        <v>19</v>
      </c>
      <c r="D135" t="s">
        <v>136</v>
      </c>
      <c r="E135" t="s">
        <v>31</v>
      </c>
      <c r="F135" t="s">
        <v>36</v>
      </c>
      <c r="G135" t="s">
        <v>100</v>
      </c>
      <c r="H135" t="s">
        <v>101</v>
      </c>
      <c r="I135" t="s">
        <v>123</v>
      </c>
      <c r="J135" t="s">
        <v>94</v>
      </c>
      <c r="K135">
        <v>2</v>
      </c>
      <c r="L135">
        <v>1000</v>
      </c>
      <c r="M135">
        <v>2000</v>
      </c>
      <c r="N135" t="s">
        <v>108</v>
      </c>
      <c r="O135" t="s">
        <v>104</v>
      </c>
    </row>
    <row r="136" spans="1:15" x14ac:dyDescent="0.25">
      <c r="A136">
        <v>1553</v>
      </c>
      <c r="B136" s="10">
        <v>45682</v>
      </c>
      <c r="C136">
        <v>25</v>
      </c>
      <c r="D136" t="s">
        <v>130</v>
      </c>
      <c r="E136" t="s">
        <v>110</v>
      </c>
      <c r="F136" t="s">
        <v>107</v>
      </c>
      <c r="G136" t="s">
        <v>100</v>
      </c>
      <c r="H136" t="s">
        <v>101</v>
      </c>
      <c r="I136" t="s">
        <v>162</v>
      </c>
      <c r="J136" t="s">
        <v>103</v>
      </c>
      <c r="K136">
        <v>23</v>
      </c>
      <c r="L136">
        <v>1000</v>
      </c>
      <c r="M136">
        <v>23000</v>
      </c>
      <c r="N136" t="s">
        <v>108</v>
      </c>
      <c r="O136" t="s">
        <v>115</v>
      </c>
    </row>
    <row r="137" spans="1:15" x14ac:dyDescent="0.25">
      <c r="A137">
        <v>1636</v>
      </c>
      <c r="B137" s="10">
        <v>45833</v>
      </c>
      <c r="C137">
        <v>25</v>
      </c>
      <c r="D137" t="s">
        <v>153</v>
      </c>
      <c r="E137" t="s">
        <v>161</v>
      </c>
      <c r="F137" t="s">
        <v>107</v>
      </c>
      <c r="G137" t="s">
        <v>100</v>
      </c>
      <c r="H137" t="s">
        <v>101</v>
      </c>
      <c r="I137" t="s">
        <v>123</v>
      </c>
      <c r="J137" t="s">
        <v>94</v>
      </c>
      <c r="K137">
        <v>9</v>
      </c>
      <c r="L137">
        <v>1000</v>
      </c>
      <c r="M137">
        <v>9000</v>
      </c>
      <c r="N137" t="s">
        <v>95</v>
      </c>
      <c r="O137" t="s">
        <v>115</v>
      </c>
    </row>
    <row r="138" spans="1:15" x14ac:dyDescent="0.25">
      <c r="A138">
        <v>1774</v>
      </c>
      <c r="B138" s="10">
        <v>45960</v>
      </c>
      <c r="C138">
        <v>30</v>
      </c>
      <c r="D138" t="s">
        <v>136</v>
      </c>
      <c r="E138" t="s">
        <v>137</v>
      </c>
      <c r="F138" t="s">
        <v>107</v>
      </c>
      <c r="G138" t="s">
        <v>100</v>
      </c>
      <c r="H138" t="s">
        <v>101</v>
      </c>
      <c r="I138" t="s">
        <v>123</v>
      </c>
      <c r="J138" t="s">
        <v>94</v>
      </c>
      <c r="K138">
        <v>6</v>
      </c>
      <c r="L138">
        <v>1000</v>
      </c>
      <c r="M138">
        <v>6000</v>
      </c>
      <c r="N138" t="s">
        <v>108</v>
      </c>
      <c r="O138" t="s">
        <v>115</v>
      </c>
    </row>
    <row r="139" spans="1:15" x14ac:dyDescent="0.25">
      <c r="A139">
        <v>1834</v>
      </c>
      <c r="B139" s="10">
        <v>45889</v>
      </c>
      <c r="C139">
        <v>20</v>
      </c>
      <c r="D139" t="s">
        <v>109</v>
      </c>
      <c r="E139" t="s">
        <v>112</v>
      </c>
      <c r="F139" t="s">
        <v>28</v>
      </c>
      <c r="G139" t="s">
        <v>126</v>
      </c>
      <c r="H139" t="s">
        <v>101</v>
      </c>
      <c r="I139" t="s">
        <v>123</v>
      </c>
      <c r="J139" t="s">
        <v>94</v>
      </c>
      <c r="K139">
        <v>10</v>
      </c>
      <c r="L139">
        <v>1000</v>
      </c>
      <c r="M139">
        <v>10000</v>
      </c>
      <c r="N139" t="s">
        <v>95</v>
      </c>
      <c r="O139" t="s">
        <v>96</v>
      </c>
    </row>
    <row r="140" spans="1:15" x14ac:dyDescent="0.25">
      <c r="A140">
        <v>1844</v>
      </c>
      <c r="B140" s="10">
        <v>45993</v>
      </c>
      <c r="C140">
        <v>2</v>
      </c>
      <c r="D140" t="s">
        <v>125</v>
      </c>
      <c r="E140" t="s">
        <v>150</v>
      </c>
      <c r="F140" t="s">
        <v>144</v>
      </c>
      <c r="G140" t="s">
        <v>91</v>
      </c>
      <c r="H140" t="s">
        <v>101</v>
      </c>
      <c r="I140" t="s">
        <v>162</v>
      </c>
      <c r="J140" t="s">
        <v>103</v>
      </c>
      <c r="K140">
        <v>39</v>
      </c>
      <c r="L140">
        <v>1000</v>
      </c>
      <c r="M140">
        <v>39000</v>
      </c>
      <c r="N140" t="s">
        <v>95</v>
      </c>
      <c r="O140" t="s">
        <v>115</v>
      </c>
    </row>
    <row r="141" spans="1:15" x14ac:dyDescent="0.25">
      <c r="A141">
        <v>1988</v>
      </c>
      <c r="B141" s="10">
        <v>45764</v>
      </c>
      <c r="C141">
        <v>17</v>
      </c>
      <c r="D141" t="s">
        <v>105</v>
      </c>
      <c r="E141" t="s">
        <v>116</v>
      </c>
      <c r="F141" t="s">
        <v>134</v>
      </c>
      <c r="G141" t="s">
        <v>100</v>
      </c>
      <c r="H141" t="s">
        <v>101</v>
      </c>
      <c r="I141" t="s">
        <v>162</v>
      </c>
      <c r="J141" t="s">
        <v>103</v>
      </c>
      <c r="K141">
        <v>45</v>
      </c>
      <c r="L141">
        <v>1000</v>
      </c>
      <c r="M141">
        <v>45000</v>
      </c>
      <c r="N141" t="s">
        <v>95</v>
      </c>
      <c r="O141" t="s">
        <v>96</v>
      </c>
    </row>
    <row r="142" spans="1:15" x14ac:dyDescent="0.25">
      <c r="A142">
        <v>2014</v>
      </c>
      <c r="B142" s="10">
        <v>45983</v>
      </c>
      <c r="C142">
        <v>22</v>
      </c>
      <c r="D142" t="s">
        <v>90</v>
      </c>
      <c r="E142" t="s">
        <v>138</v>
      </c>
      <c r="F142" t="s">
        <v>49</v>
      </c>
      <c r="G142" t="s">
        <v>118</v>
      </c>
      <c r="H142" t="s">
        <v>101</v>
      </c>
      <c r="I142" t="s">
        <v>162</v>
      </c>
      <c r="J142" t="s">
        <v>103</v>
      </c>
      <c r="K142">
        <v>36</v>
      </c>
      <c r="L142">
        <v>1000</v>
      </c>
      <c r="M142">
        <v>36000</v>
      </c>
      <c r="N142" t="s">
        <v>95</v>
      </c>
      <c r="O142" t="s">
        <v>115</v>
      </c>
    </row>
    <row r="143" spans="1:15" x14ac:dyDescent="0.25">
      <c r="A143">
        <v>2022</v>
      </c>
      <c r="B143" s="10">
        <v>46009</v>
      </c>
      <c r="C143">
        <v>18</v>
      </c>
      <c r="D143" t="s">
        <v>125</v>
      </c>
      <c r="E143" t="s">
        <v>150</v>
      </c>
      <c r="F143" t="s">
        <v>99</v>
      </c>
      <c r="G143" t="s">
        <v>100</v>
      </c>
      <c r="H143" t="s">
        <v>101</v>
      </c>
      <c r="I143" t="s">
        <v>162</v>
      </c>
      <c r="J143" t="s">
        <v>103</v>
      </c>
      <c r="K143">
        <v>18</v>
      </c>
      <c r="L143">
        <v>1000</v>
      </c>
      <c r="M143">
        <v>18000</v>
      </c>
      <c r="N143" t="s">
        <v>108</v>
      </c>
      <c r="O143" t="s">
        <v>96</v>
      </c>
    </row>
    <row r="144" spans="1:15" x14ac:dyDescent="0.25">
      <c r="A144">
        <v>2033</v>
      </c>
      <c r="B144" s="10">
        <v>45735</v>
      </c>
      <c r="C144">
        <v>19</v>
      </c>
      <c r="D144" t="s">
        <v>140</v>
      </c>
      <c r="E144" t="s">
        <v>25</v>
      </c>
      <c r="F144" t="s">
        <v>107</v>
      </c>
      <c r="G144" t="s">
        <v>100</v>
      </c>
      <c r="H144" t="s">
        <v>101</v>
      </c>
      <c r="I144" t="s">
        <v>123</v>
      </c>
      <c r="J144" t="s">
        <v>94</v>
      </c>
      <c r="K144">
        <v>3</v>
      </c>
      <c r="L144">
        <v>1000</v>
      </c>
      <c r="M144">
        <v>3000</v>
      </c>
      <c r="N144" t="s">
        <v>108</v>
      </c>
      <c r="O144" t="s">
        <v>104</v>
      </c>
    </row>
    <row r="145" spans="1:15" x14ac:dyDescent="0.25">
      <c r="A145">
        <v>2092</v>
      </c>
      <c r="B145" s="10">
        <v>45927</v>
      </c>
      <c r="C145">
        <v>27</v>
      </c>
      <c r="D145" t="s">
        <v>147</v>
      </c>
      <c r="E145" t="s">
        <v>31</v>
      </c>
      <c r="F145" t="s">
        <v>141</v>
      </c>
      <c r="G145" t="s">
        <v>100</v>
      </c>
      <c r="H145" t="s">
        <v>101</v>
      </c>
      <c r="I145" t="s">
        <v>123</v>
      </c>
      <c r="J145" t="s">
        <v>94</v>
      </c>
      <c r="K145">
        <v>2</v>
      </c>
      <c r="L145">
        <v>1000</v>
      </c>
      <c r="M145">
        <v>2000</v>
      </c>
      <c r="N145" t="s">
        <v>108</v>
      </c>
      <c r="O145" t="s">
        <v>96</v>
      </c>
    </row>
    <row r="146" spans="1:15" x14ac:dyDescent="0.25">
      <c r="A146">
        <v>2192</v>
      </c>
      <c r="B146" s="10">
        <v>45708</v>
      </c>
      <c r="C146">
        <v>20</v>
      </c>
      <c r="D146" t="s">
        <v>97</v>
      </c>
      <c r="E146" t="s">
        <v>133</v>
      </c>
      <c r="F146" t="s">
        <v>117</v>
      </c>
      <c r="G146" t="s">
        <v>118</v>
      </c>
      <c r="H146" t="s">
        <v>101</v>
      </c>
      <c r="I146" t="s">
        <v>123</v>
      </c>
      <c r="J146" t="s">
        <v>94</v>
      </c>
      <c r="K146">
        <v>10</v>
      </c>
      <c r="L146">
        <v>1000</v>
      </c>
      <c r="M146">
        <v>10000</v>
      </c>
      <c r="N146" t="s">
        <v>95</v>
      </c>
      <c r="O146" t="s">
        <v>96</v>
      </c>
    </row>
    <row r="147" spans="1:15" x14ac:dyDescent="0.25">
      <c r="A147">
        <v>2246</v>
      </c>
      <c r="B147" s="10">
        <v>45710</v>
      </c>
      <c r="C147">
        <v>22</v>
      </c>
      <c r="D147" t="s">
        <v>97</v>
      </c>
      <c r="E147" t="s">
        <v>116</v>
      </c>
      <c r="F147" t="s">
        <v>22</v>
      </c>
      <c r="G147" t="s">
        <v>91</v>
      </c>
      <c r="H147" t="s">
        <v>101</v>
      </c>
      <c r="I147" t="s">
        <v>123</v>
      </c>
      <c r="J147" t="s">
        <v>94</v>
      </c>
      <c r="K147">
        <v>3</v>
      </c>
      <c r="L147">
        <v>1000</v>
      </c>
      <c r="M147">
        <v>3000</v>
      </c>
      <c r="N147" t="s">
        <v>95</v>
      </c>
      <c r="O147" t="s">
        <v>104</v>
      </c>
    </row>
    <row r="148" spans="1:15" x14ac:dyDescent="0.25">
      <c r="A148">
        <v>2261</v>
      </c>
      <c r="B148" s="10">
        <v>45850</v>
      </c>
      <c r="C148">
        <v>12</v>
      </c>
      <c r="D148" t="s">
        <v>145</v>
      </c>
      <c r="E148" t="s">
        <v>137</v>
      </c>
      <c r="F148" t="s">
        <v>22</v>
      </c>
      <c r="G148" t="s">
        <v>91</v>
      </c>
      <c r="H148" t="s">
        <v>101</v>
      </c>
      <c r="I148" t="s">
        <v>123</v>
      </c>
      <c r="J148" t="s">
        <v>94</v>
      </c>
      <c r="K148">
        <v>5</v>
      </c>
      <c r="L148">
        <v>1000</v>
      </c>
      <c r="M148">
        <v>5000</v>
      </c>
      <c r="N148" t="s">
        <v>95</v>
      </c>
      <c r="O148" t="s">
        <v>96</v>
      </c>
    </row>
    <row r="149" spans="1:15" x14ac:dyDescent="0.25">
      <c r="A149">
        <v>2297</v>
      </c>
      <c r="B149" s="10">
        <v>45935</v>
      </c>
      <c r="C149">
        <v>5</v>
      </c>
      <c r="D149" t="s">
        <v>136</v>
      </c>
      <c r="E149" t="s">
        <v>138</v>
      </c>
      <c r="F149" t="s">
        <v>141</v>
      </c>
      <c r="G149" t="s">
        <v>100</v>
      </c>
      <c r="H149" t="s">
        <v>101</v>
      </c>
      <c r="I149" t="s">
        <v>162</v>
      </c>
      <c r="J149" t="s">
        <v>103</v>
      </c>
      <c r="K149">
        <v>37</v>
      </c>
      <c r="L149">
        <v>1000</v>
      </c>
      <c r="M149">
        <v>37000</v>
      </c>
      <c r="N149" t="s">
        <v>108</v>
      </c>
      <c r="O149" t="s">
        <v>96</v>
      </c>
    </row>
    <row r="150" spans="1:15" x14ac:dyDescent="0.25">
      <c r="A150">
        <v>2320</v>
      </c>
      <c r="B150" s="10">
        <v>45778</v>
      </c>
      <c r="C150">
        <v>1</v>
      </c>
      <c r="D150" t="s">
        <v>120</v>
      </c>
      <c r="E150" t="s">
        <v>121</v>
      </c>
      <c r="F150" t="s">
        <v>107</v>
      </c>
      <c r="G150" t="s">
        <v>100</v>
      </c>
      <c r="H150" t="s">
        <v>101</v>
      </c>
      <c r="I150" t="s">
        <v>162</v>
      </c>
      <c r="J150" t="s">
        <v>103</v>
      </c>
      <c r="K150">
        <v>30</v>
      </c>
      <c r="L150">
        <v>1000</v>
      </c>
      <c r="M150">
        <v>30000</v>
      </c>
      <c r="N150" t="s">
        <v>95</v>
      </c>
      <c r="O150" t="s">
        <v>104</v>
      </c>
    </row>
    <row r="151" spans="1:15" x14ac:dyDescent="0.25">
      <c r="A151">
        <v>2410</v>
      </c>
      <c r="B151" s="10">
        <v>45847</v>
      </c>
      <c r="C151">
        <v>9</v>
      </c>
      <c r="D151" t="s">
        <v>145</v>
      </c>
      <c r="E151" t="s">
        <v>98</v>
      </c>
      <c r="F151" t="s">
        <v>99</v>
      </c>
      <c r="G151" t="s">
        <v>100</v>
      </c>
      <c r="H151" t="s">
        <v>101</v>
      </c>
      <c r="I151" t="s">
        <v>162</v>
      </c>
      <c r="J151" t="s">
        <v>103</v>
      </c>
      <c r="K151">
        <v>14</v>
      </c>
      <c r="L151">
        <v>1000</v>
      </c>
      <c r="M151">
        <v>14000</v>
      </c>
      <c r="N151" t="s">
        <v>95</v>
      </c>
      <c r="O151" t="s">
        <v>104</v>
      </c>
    </row>
    <row r="152" spans="1:15" x14ac:dyDescent="0.25">
      <c r="A152">
        <v>2493</v>
      </c>
      <c r="B152" s="10">
        <v>45819</v>
      </c>
      <c r="C152">
        <v>11</v>
      </c>
      <c r="D152" t="s">
        <v>153</v>
      </c>
      <c r="E152" t="s">
        <v>116</v>
      </c>
      <c r="F152" t="s">
        <v>134</v>
      </c>
      <c r="G152" t="s">
        <v>100</v>
      </c>
      <c r="H152" t="s">
        <v>101</v>
      </c>
      <c r="I152" t="s">
        <v>123</v>
      </c>
      <c r="J152" t="s">
        <v>94</v>
      </c>
      <c r="K152">
        <v>1</v>
      </c>
      <c r="L152">
        <v>1000</v>
      </c>
      <c r="M152">
        <v>1000</v>
      </c>
      <c r="N152" t="s">
        <v>95</v>
      </c>
      <c r="O152" t="s">
        <v>104</v>
      </c>
    </row>
    <row r="153" spans="1:15" x14ac:dyDescent="0.25">
      <c r="A153">
        <v>2500</v>
      </c>
      <c r="B153" s="10">
        <v>45931</v>
      </c>
      <c r="C153">
        <v>1</v>
      </c>
      <c r="D153" t="s">
        <v>136</v>
      </c>
      <c r="E153" t="s">
        <v>161</v>
      </c>
      <c r="F153" t="s">
        <v>148</v>
      </c>
      <c r="G153" t="s">
        <v>118</v>
      </c>
      <c r="H153" t="s">
        <v>101</v>
      </c>
      <c r="I153" t="s">
        <v>162</v>
      </c>
      <c r="J153" t="s">
        <v>103</v>
      </c>
      <c r="K153">
        <v>15</v>
      </c>
      <c r="L153">
        <v>1000</v>
      </c>
      <c r="M153">
        <v>15000</v>
      </c>
      <c r="N153" t="s">
        <v>108</v>
      </c>
      <c r="O153" t="s">
        <v>96</v>
      </c>
    </row>
    <row r="154" spans="1:15" x14ac:dyDescent="0.25">
      <c r="A154">
        <v>2506</v>
      </c>
      <c r="B154" s="10">
        <v>45941</v>
      </c>
      <c r="C154">
        <v>11</v>
      </c>
      <c r="D154" t="s">
        <v>136</v>
      </c>
      <c r="E154" t="s">
        <v>121</v>
      </c>
      <c r="F154" t="s">
        <v>22</v>
      </c>
      <c r="G154" t="s">
        <v>91</v>
      </c>
      <c r="H154" t="s">
        <v>101</v>
      </c>
      <c r="I154" t="s">
        <v>123</v>
      </c>
      <c r="J154" t="s">
        <v>94</v>
      </c>
      <c r="K154">
        <v>2</v>
      </c>
      <c r="L154">
        <v>1000</v>
      </c>
      <c r="M154">
        <v>2000</v>
      </c>
      <c r="N154" t="s">
        <v>108</v>
      </c>
      <c r="O154" t="s">
        <v>115</v>
      </c>
    </row>
    <row r="155" spans="1:15" x14ac:dyDescent="0.25">
      <c r="A155">
        <v>2543</v>
      </c>
      <c r="B155" s="10">
        <v>45818</v>
      </c>
      <c r="C155">
        <v>10</v>
      </c>
      <c r="D155" t="s">
        <v>153</v>
      </c>
      <c r="E155" t="s">
        <v>112</v>
      </c>
      <c r="F155" t="s">
        <v>117</v>
      </c>
      <c r="G155" t="s">
        <v>118</v>
      </c>
      <c r="H155" t="s">
        <v>101</v>
      </c>
      <c r="I155" t="s">
        <v>123</v>
      </c>
      <c r="J155" t="s">
        <v>94</v>
      </c>
      <c r="K155">
        <v>1</v>
      </c>
      <c r="L155">
        <v>1000</v>
      </c>
      <c r="M155">
        <v>1000</v>
      </c>
      <c r="N155" t="s">
        <v>95</v>
      </c>
      <c r="O155" t="s">
        <v>115</v>
      </c>
    </row>
    <row r="156" spans="1:15" x14ac:dyDescent="0.25">
      <c r="A156">
        <v>2566</v>
      </c>
      <c r="B156" s="10">
        <v>45829</v>
      </c>
      <c r="C156">
        <v>21</v>
      </c>
      <c r="D156" t="s">
        <v>153</v>
      </c>
      <c r="E156" t="s">
        <v>112</v>
      </c>
      <c r="F156" t="s">
        <v>144</v>
      </c>
      <c r="G156" t="s">
        <v>91</v>
      </c>
      <c r="H156" t="s">
        <v>101</v>
      </c>
      <c r="I156" t="s">
        <v>162</v>
      </c>
      <c r="J156" t="s">
        <v>103</v>
      </c>
      <c r="K156">
        <v>25</v>
      </c>
      <c r="L156">
        <v>1000</v>
      </c>
      <c r="M156">
        <v>25000</v>
      </c>
      <c r="N156" t="s">
        <v>95</v>
      </c>
      <c r="O156" t="s">
        <v>104</v>
      </c>
    </row>
    <row r="157" spans="1:15" x14ac:dyDescent="0.25">
      <c r="A157">
        <v>2757</v>
      </c>
      <c r="B157" s="10">
        <v>45711</v>
      </c>
      <c r="C157">
        <v>23</v>
      </c>
      <c r="D157" t="s">
        <v>97</v>
      </c>
      <c r="E157" t="s">
        <v>106</v>
      </c>
      <c r="F157" t="s">
        <v>134</v>
      </c>
      <c r="G157" t="s">
        <v>100</v>
      </c>
      <c r="H157" t="s">
        <v>101</v>
      </c>
      <c r="I157" t="s">
        <v>123</v>
      </c>
      <c r="J157" t="s">
        <v>94</v>
      </c>
      <c r="K157">
        <v>1</v>
      </c>
      <c r="L157">
        <v>1000</v>
      </c>
      <c r="M157">
        <v>1000</v>
      </c>
      <c r="N157" t="s">
        <v>95</v>
      </c>
      <c r="O157" t="s">
        <v>104</v>
      </c>
    </row>
    <row r="158" spans="1:15" x14ac:dyDescent="0.25">
      <c r="A158">
        <v>2770</v>
      </c>
      <c r="B158" s="10">
        <v>45974</v>
      </c>
      <c r="C158">
        <v>13</v>
      </c>
      <c r="D158" t="s">
        <v>90</v>
      </c>
      <c r="E158" t="s">
        <v>142</v>
      </c>
      <c r="F158" t="s">
        <v>134</v>
      </c>
      <c r="G158" t="s">
        <v>100</v>
      </c>
      <c r="H158" t="s">
        <v>101</v>
      </c>
      <c r="I158" t="s">
        <v>123</v>
      </c>
      <c r="J158" t="s">
        <v>94</v>
      </c>
      <c r="K158">
        <v>8</v>
      </c>
      <c r="L158">
        <v>1000</v>
      </c>
      <c r="M158">
        <v>8000</v>
      </c>
      <c r="N158" t="s">
        <v>108</v>
      </c>
      <c r="O158" t="s">
        <v>115</v>
      </c>
    </row>
    <row r="159" spans="1:15" x14ac:dyDescent="0.25">
      <c r="A159">
        <v>2771</v>
      </c>
      <c r="B159" s="10">
        <v>45669</v>
      </c>
      <c r="C159">
        <v>12</v>
      </c>
      <c r="D159" t="s">
        <v>130</v>
      </c>
      <c r="E159" t="s">
        <v>137</v>
      </c>
      <c r="F159" t="s">
        <v>22</v>
      </c>
      <c r="G159" t="s">
        <v>91</v>
      </c>
      <c r="H159" t="s">
        <v>101</v>
      </c>
      <c r="I159" t="s">
        <v>162</v>
      </c>
      <c r="J159" t="s">
        <v>103</v>
      </c>
      <c r="K159">
        <v>24</v>
      </c>
      <c r="L159">
        <v>1000</v>
      </c>
      <c r="M159">
        <v>24000</v>
      </c>
      <c r="N159" t="s">
        <v>108</v>
      </c>
      <c r="O159" t="s">
        <v>115</v>
      </c>
    </row>
    <row r="160" spans="1:15" x14ac:dyDescent="0.25">
      <c r="A160">
        <v>2772</v>
      </c>
      <c r="B160" s="10">
        <v>45944</v>
      </c>
      <c r="C160">
        <v>14</v>
      </c>
      <c r="D160" t="s">
        <v>136</v>
      </c>
      <c r="E160" t="s">
        <v>150</v>
      </c>
      <c r="F160" t="s">
        <v>122</v>
      </c>
      <c r="G160" t="s">
        <v>114</v>
      </c>
      <c r="H160" t="s">
        <v>101</v>
      </c>
      <c r="I160" t="s">
        <v>162</v>
      </c>
      <c r="J160" t="s">
        <v>103</v>
      </c>
      <c r="K160">
        <v>30</v>
      </c>
      <c r="L160">
        <v>1000</v>
      </c>
      <c r="M160">
        <v>30000</v>
      </c>
      <c r="N160" t="s">
        <v>108</v>
      </c>
      <c r="O160" t="s">
        <v>104</v>
      </c>
    </row>
    <row r="161" spans="1:15" x14ac:dyDescent="0.25">
      <c r="A161">
        <v>2773</v>
      </c>
      <c r="B161" s="10">
        <v>45918</v>
      </c>
      <c r="C161">
        <v>18</v>
      </c>
      <c r="D161" t="s">
        <v>147</v>
      </c>
      <c r="E161" t="s">
        <v>106</v>
      </c>
      <c r="F161" t="s">
        <v>117</v>
      </c>
      <c r="G161" t="s">
        <v>118</v>
      </c>
      <c r="H161" t="s">
        <v>101</v>
      </c>
      <c r="I161" t="s">
        <v>162</v>
      </c>
      <c r="J161" t="s">
        <v>103</v>
      </c>
      <c r="K161">
        <v>12</v>
      </c>
      <c r="L161">
        <v>1000</v>
      </c>
      <c r="M161">
        <v>12000</v>
      </c>
      <c r="N161" t="s">
        <v>108</v>
      </c>
      <c r="O161" t="s">
        <v>115</v>
      </c>
    </row>
    <row r="162" spans="1:15" x14ac:dyDescent="0.25">
      <c r="A162">
        <v>2805</v>
      </c>
      <c r="B162" s="10">
        <v>45730</v>
      </c>
      <c r="C162">
        <v>14</v>
      </c>
      <c r="D162" t="s">
        <v>140</v>
      </c>
      <c r="E162" t="s">
        <v>116</v>
      </c>
      <c r="F162" t="s">
        <v>151</v>
      </c>
      <c r="G162" t="s">
        <v>111</v>
      </c>
      <c r="H162" t="s">
        <v>101</v>
      </c>
      <c r="I162" t="s">
        <v>123</v>
      </c>
      <c r="J162" t="s">
        <v>94</v>
      </c>
      <c r="K162">
        <v>8</v>
      </c>
      <c r="L162">
        <v>1000</v>
      </c>
      <c r="M162">
        <v>8000</v>
      </c>
      <c r="N162" t="s">
        <v>95</v>
      </c>
      <c r="O162" t="s">
        <v>115</v>
      </c>
    </row>
    <row r="163" spans="1:15" x14ac:dyDescent="0.25">
      <c r="A163">
        <v>2867</v>
      </c>
      <c r="B163" s="10">
        <v>45976</v>
      </c>
      <c r="C163">
        <v>15</v>
      </c>
      <c r="D163" t="s">
        <v>90</v>
      </c>
      <c r="E163" t="s">
        <v>133</v>
      </c>
      <c r="F163" t="s">
        <v>99</v>
      </c>
      <c r="G163" t="s">
        <v>100</v>
      </c>
      <c r="H163" t="s">
        <v>101</v>
      </c>
      <c r="I163" t="s">
        <v>123</v>
      </c>
      <c r="J163" t="s">
        <v>94</v>
      </c>
      <c r="K163">
        <v>3</v>
      </c>
      <c r="L163">
        <v>1000</v>
      </c>
      <c r="M163">
        <v>3000</v>
      </c>
      <c r="N163" t="s">
        <v>95</v>
      </c>
      <c r="O163" t="s">
        <v>115</v>
      </c>
    </row>
    <row r="164" spans="1:15" x14ac:dyDescent="0.25">
      <c r="A164">
        <v>2868</v>
      </c>
      <c r="B164" s="10">
        <v>45936</v>
      </c>
      <c r="C164">
        <v>6</v>
      </c>
      <c r="D164" t="s">
        <v>136</v>
      </c>
      <c r="E164" t="s">
        <v>133</v>
      </c>
      <c r="F164" t="s">
        <v>22</v>
      </c>
      <c r="G164" t="s">
        <v>91</v>
      </c>
      <c r="H164" t="s">
        <v>101</v>
      </c>
      <c r="I164" t="s">
        <v>162</v>
      </c>
      <c r="J164" t="s">
        <v>103</v>
      </c>
      <c r="K164">
        <v>14</v>
      </c>
      <c r="L164">
        <v>1000</v>
      </c>
      <c r="M164">
        <v>14000</v>
      </c>
      <c r="N164" t="s">
        <v>108</v>
      </c>
      <c r="O164" t="s">
        <v>115</v>
      </c>
    </row>
    <row r="165" spans="1:15" x14ac:dyDescent="0.25">
      <c r="A165">
        <v>2945</v>
      </c>
      <c r="B165" s="10">
        <v>45863</v>
      </c>
      <c r="C165">
        <v>25</v>
      </c>
      <c r="D165" t="s">
        <v>145</v>
      </c>
      <c r="E165" t="s">
        <v>25</v>
      </c>
      <c r="F165" t="s">
        <v>44</v>
      </c>
      <c r="G165" t="s">
        <v>111</v>
      </c>
      <c r="H165" t="s">
        <v>101</v>
      </c>
      <c r="I165" t="s">
        <v>162</v>
      </c>
      <c r="J165" t="s">
        <v>103</v>
      </c>
      <c r="K165">
        <v>5</v>
      </c>
      <c r="L165">
        <v>1000</v>
      </c>
      <c r="M165">
        <v>5000</v>
      </c>
      <c r="N165" t="s">
        <v>95</v>
      </c>
      <c r="O165" t="s">
        <v>115</v>
      </c>
    </row>
    <row r="166" spans="1:15" x14ac:dyDescent="0.25">
      <c r="A166">
        <v>3135</v>
      </c>
      <c r="B166" s="10">
        <v>45926</v>
      </c>
      <c r="C166">
        <v>26</v>
      </c>
      <c r="D166" t="s">
        <v>147</v>
      </c>
      <c r="E166" t="s">
        <v>138</v>
      </c>
      <c r="F166" t="s">
        <v>22</v>
      </c>
      <c r="G166" t="s">
        <v>91</v>
      </c>
      <c r="H166" t="s">
        <v>101</v>
      </c>
      <c r="I166" t="s">
        <v>123</v>
      </c>
      <c r="J166" t="s">
        <v>94</v>
      </c>
      <c r="K166">
        <v>2</v>
      </c>
      <c r="L166">
        <v>1000</v>
      </c>
      <c r="M166">
        <v>2000</v>
      </c>
      <c r="N166" t="s">
        <v>108</v>
      </c>
      <c r="O166" t="s">
        <v>104</v>
      </c>
    </row>
    <row r="167" spans="1:15" x14ac:dyDescent="0.25">
      <c r="A167">
        <v>3167</v>
      </c>
      <c r="B167" s="10">
        <v>45921</v>
      </c>
      <c r="C167">
        <v>21</v>
      </c>
      <c r="D167" t="s">
        <v>147</v>
      </c>
      <c r="E167" t="s">
        <v>150</v>
      </c>
      <c r="F167" t="s">
        <v>144</v>
      </c>
      <c r="G167" t="s">
        <v>91</v>
      </c>
      <c r="H167" t="s">
        <v>101</v>
      </c>
      <c r="I167" t="s">
        <v>162</v>
      </c>
      <c r="J167" t="s">
        <v>103</v>
      </c>
      <c r="K167">
        <v>48</v>
      </c>
      <c r="L167">
        <v>1000</v>
      </c>
      <c r="M167">
        <v>48000</v>
      </c>
      <c r="N167" t="s">
        <v>108</v>
      </c>
      <c r="O167" t="s">
        <v>96</v>
      </c>
    </row>
    <row r="168" spans="1:15" x14ac:dyDescent="0.25">
      <c r="A168">
        <v>3421</v>
      </c>
      <c r="B168" s="10">
        <v>45756</v>
      </c>
      <c r="C168">
        <v>9</v>
      </c>
      <c r="D168" t="s">
        <v>105</v>
      </c>
      <c r="E168" t="s">
        <v>150</v>
      </c>
      <c r="F168" t="s">
        <v>148</v>
      </c>
      <c r="G168" t="s">
        <v>118</v>
      </c>
      <c r="H168" t="s">
        <v>101</v>
      </c>
      <c r="I168" t="s">
        <v>162</v>
      </c>
      <c r="J168" t="s">
        <v>103</v>
      </c>
      <c r="K168">
        <v>7</v>
      </c>
      <c r="L168">
        <v>1000</v>
      </c>
      <c r="M168">
        <v>7000</v>
      </c>
      <c r="N168" t="s">
        <v>95</v>
      </c>
      <c r="O168" t="s">
        <v>115</v>
      </c>
    </row>
    <row r="169" spans="1:15" x14ac:dyDescent="0.25">
      <c r="A169">
        <v>3434</v>
      </c>
      <c r="B169" s="10">
        <v>45910</v>
      </c>
      <c r="C169">
        <v>10</v>
      </c>
      <c r="D169" t="s">
        <v>147</v>
      </c>
      <c r="E169" t="s">
        <v>112</v>
      </c>
      <c r="F169" t="s">
        <v>113</v>
      </c>
      <c r="G169" t="s">
        <v>114</v>
      </c>
      <c r="H169" t="s">
        <v>101</v>
      </c>
      <c r="I169" t="s">
        <v>162</v>
      </c>
      <c r="J169" t="s">
        <v>103</v>
      </c>
      <c r="K169">
        <v>49</v>
      </c>
      <c r="L169">
        <v>1000</v>
      </c>
      <c r="M169">
        <v>49000</v>
      </c>
      <c r="N169" t="s">
        <v>95</v>
      </c>
      <c r="O169" t="s">
        <v>96</v>
      </c>
    </row>
    <row r="170" spans="1:15" x14ac:dyDescent="0.25">
      <c r="A170">
        <v>3508</v>
      </c>
      <c r="B170" s="10">
        <v>45836</v>
      </c>
      <c r="C170">
        <v>28</v>
      </c>
      <c r="D170" t="s">
        <v>153</v>
      </c>
      <c r="E170" t="s">
        <v>142</v>
      </c>
      <c r="F170" t="s">
        <v>134</v>
      </c>
      <c r="G170" t="s">
        <v>100</v>
      </c>
      <c r="H170" t="s">
        <v>101</v>
      </c>
      <c r="I170" t="s">
        <v>123</v>
      </c>
      <c r="J170" t="s">
        <v>94</v>
      </c>
      <c r="K170">
        <v>4</v>
      </c>
      <c r="L170">
        <v>1000</v>
      </c>
      <c r="M170">
        <v>4000</v>
      </c>
      <c r="N170" t="s">
        <v>108</v>
      </c>
      <c r="O170" t="s">
        <v>104</v>
      </c>
    </row>
    <row r="171" spans="1:15" x14ac:dyDescent="0.25">
      <c r="A171">
        <v>3577</v>
      </c>
      <c r="B171" s="10">
        <v>45837</v>
      </c>
      <c r="C171">
        <v>29</v>
      </c>
      <c r="D171" t="s">
        <v>153</v>
      </c>
      <c r="E171" t="s">
        <v>112</v>
      </c>
      <c r="F171" t="s">
        <v>28</v>
      </c>
      <c r="G171" t="s">
        <v>126</v>
      </c>
      <c r="H171" t="s">
        <v>101</v>
      </c>
      <c r="I171" t="s">
        <v>162</v>
      </c>
      <c r="J171" t="s">
        <v>103</v>
      </c>
      <c r="K171">
        <v>10</v>
      </c>
      <c r="L171">
        <v>1000</v>
      </c>
      <c r="M171">
        <v>10000</v>
      </c>
      <c r="N171" t="s">
        <v>95</v>
      </c>
      <c r="O171" t="s">
        <v>115</v>
      </c>
    </row>
    <row r="172" spans="1:15" x14ac:dyDescent="0.25">
      <c r="A172">
        <v>3646</v>
      </c>
      <c r="B172" s="10">
        <v>45664</v>
      </c>
      <c r="C172">
        <v>7</v>
      </c>
      <c r="D172" t="s">
        <v>130</v>
      </c>
      <c r="E172" t="s">
        <v>133</v>
      </c>
      <c r="F172" t="s">
        <v>99</v>
      </c>
      <c r="G172" t="s">
        <v>100</v>
      </c>
      <c r="H172" t="s">
        <v>101</v>
      </c>
      <c r="I172" t="s">
        <v>162</v>
      </c>
      <c r="J172" t="s">
        <v>103</v>
      </c>
      <c r="K172">
        <v>46</v>
      </c>
      <c r="L172">
        <v>1000</v>
      </c>
      <c r="M172">
        <v>46000</v>
      </c>
      <c r="N172" t="s">
        <v>108</v>
      </c>
      <c r="O172" t="s">
        <v>115</v>
      </c>
    </row>
    <row r="173" spans="1:15" x14ac:dyDescent="0.25">
      <c r="A173">
        <v>3772</v>
      </c>
      <c r="B173" s="10">
        <v>45890</v>
      </c>
      <c r="C173">
        <v>21</v>
      </c>
      <c r="D173" t="s">
        <v>109</v>
      </c>
      <c r="E173" t="s">
        <v>161</v>
      </c>
      <c r="F173" t="s">
        <v>99</v>
      </c>
      <c r="G173" t="s">
        <v>100</v>
      </c>
      <c r="H173" t="s">
        <v>101</v>
      </c>
      <c r="I173" t="s">
        <v>123</v>
      </c>
      <c r="J173" t="s">
        <v>94</v>
      </c>
      <c r="K173">
        <v>5</v>
      </c>
      <c r="L173">
        <v>1000</v>
      </c>
      <c r="M173">
        <v>5000</v>
      </c>
      <c r="N173" t="s">
        <v>108</v>
      </c>
      <c r="O173" t="s">
        <v>115</v>
      </c>
    </row>
    <row r="174" spans="1:15" x14ac:dyDescent="0.25">
      <c r="A174">
        <v>3822</v>
      </c>
      <c r="B174" s="10">
        <v>45765</v>
      </c>
      <c r="C174">
        <v>18</v>
      </c>
      <c r="D174" t="s">
        <v>105</v>
      </c>
      <c r="E174" t="s">
        <v>25</v>
      </c>
      <c r="F174" t="s">
        <v>134</v>
      </c>
      <c r="G174" t="s">
        <v>100</v>
      </c>
      <c r="H174" t="s">
        <v>101</v>
      </c>
      <c r="I174" t="s">
        <v>162</v>
      </c>
      <c r="J174" t="s">
        <v>103</v>
      </c>
      <c r="K174">
        <v>32</v>
      </c>
      <c r="L174">
        <v>1000</v>
      </c>
      <c r="M174">
        <v>32000</v>
      </c>
      <c r="N174" t="s">
        <v>108</v>
      </c>
      <c r="O174" t="s">
        <v>96</v>
      </c>
    </row>
    <row r="175" spans="1:15" x14ac:dyDescent="0.25">
      <c r="A175">
        <v>3872</v>
      </c>
      <c r="B175" s="10">
        <v>45676</v>
      </c>
      <c r="C175">
        <v>19</v>
      </c>
      <c r="D175" t="s">
        <v>130</v>
      </c>
      <c r="E175" t="s">
        <v>142</v>
      </c>
      <c r="F175" t="s">
        <v>151</v>
      </c>
      <c r="G175" t="s">
        <v>111</v>
      </c>
      <c r="H175" t="s">
        <v>101</v>
      </c>
      <c r="I175" t="s">
        <v>123</v>
      </c>
      <c r="J175" t="s">
        <v>94</v>
      </c>
      <c r="K175">
        <v>8</v>
      </c>
      <c r="L175">
        <v>1000</v>
      </c>
      <c r="M175">
        <v>8000</v>
      </c>
      <c r="N175" t="s">
        <v>108</v>
      </c>
      <c r="O175" t="s">
        <v>96</v>
      </c>
    </row>
    <row r="176" spans="1:15" x14ac:dyDescent="0.25">
      <c r="A176">
        <v>3884</v>
      </c>
      <c r="B176" s="10">
        <v>45692</v>
      </c>
      <c r="C176">
        <v>4</v>
      </c>
      <c r="D176" t="s">
        <v>97</v>
      </c>
      <c r="E176" t="s">
        <v>138</v>
      </c>
      <c r="F176" t="s">
        <v>144</v>
      </c>
      <c r="G176" t="s">
        <v>91</v>
      </c>
      <c r="H176" t="s">
        <v>101</v>
      </c>
      <c r="I176" t="s">
        <v>162</v>
      </c>
      <c r="J176" t="s">
        <v>103</v>
      </c>
      <c r="K176">
        <v>32</v>
      </c>
      <c r="L176">
        <v>1000</v>
      </c>
      <c r="M176">
        <v>32000</v>
      </c>
      <c r="N176" t="s">
        <v>95</v>
      </c>
      <c r="O176" t="s">
        <v>104</v>
      </c>
    </row>
    <row r="177" spans="1:15" x14ac:dyDescent="0.25">
      <c r="A177">
        <v>3899</v>
      </c>
      <c r="B177" s="10">
        <v>45733</v>
      </c>
      <c r="C177">
        <v>17</v>
      </c>
      <c r="D177" t="s">
        <v>140</v>
      </c>
      <c r="E177" t="s">
        <v>25</v>
      </c>
      <c r="F177" t="s">
        <v>44</v>
      </c>
      <c r="G177" t="s">
        <v>111</v>
      </c>
      <c r="H177" t="s">
        <v>101</v>
      </c>
      <c r="I177" t="s">
        <v>162</v>
      </c>
      <c r="J177" t="s">
        <v>103</v>
      </c>
      <c r="K177">
        <v>40</v>
      </c>
      <c r="L177">
        <v>1000</v>
      </c>
      <c r="M177">
        <v>40000</v>
      </c>
      <c r="N177" t="s">
        <v>95</v>
      </c>
      <c r="O177" t="s">
        <v>96</v>
      </c>
    </row>
    <row r="178" spans="1:15" x14ac:dyDescent="0.25">
      <c r="A178">
        <v>4174</v>
      </c>
      <c r="B178" s="10">
        <v>45987</v>
      </c>
      <c r="C178">
        <v>26</v>
      </c>
      <c r="D178" t="s">
        <v>90</v>
      </c>
      <c r="E178" t="s">
        <v>137</v>
      </c>
      <c r="F178" t="s">
        <v>141</v>
      </c>
      <c r="G178" t="s">
        <v>100</v>
      </c>
      <c r="H178" t="s">
        <v>101</v>
      </c>
      <c r="I178" t="s">
        <v>162</v>
      </c>
      <c r="J178" t="s">
        <v>103</v>
      </c>
      <c r="K178">
        <v>37</v>
      </c>
      <c r="L178">
        <v>1000</v>
      </c>
      <c r="M178">
        <v>37000</v>
      </c>
      <c r="N178" t="s">
        <v>95</v>
      </c>
      <c r="O178" t="s">
        <v>96</v>
      </c>
    </row>
    <row r="179" spans="1:15" x14ac:dyDescent="0.25">
      <c r="A179">
        <v>4177</v>
      </c>
      <c r="B179" s="10">
        <v>45958</v>
      </c>
      <c r="C179">
        <v>28</v>
      </c>
      <c r="D179" t="s">
        <v>136</v>
      </c>
      <c r="E179" t="s">
        <v>116</v>
      </c>
      <c r="F179" t="s">
        <v>148</v>
      </c>
      <c r="G179" t="s">
        <v>118</v>
      </c>
      <c r="H179" t="s">
        <v>101</v>
      </c>
      <c r="I179" t="s">
        <v>162</v>
      </c>
      <c r="J179" t="s">
        <v>103</v>
      </c>
      <c r="K179">
        <v>22</v>
      </c>
      <c r="L179">
        <v>1000</v>
      </c>
      <c r="M179">
        <v>22000</v>
      </c>
      <c r="N179" t="s">
        <v>108</v>
      </c>
      <c r="O179" t="s">
        <v>115</v>
      </c>
    </row>
    <row r="180" spans="1:15" x14ac:dyDescent="0.25">
      <c r="A180">
        <v>4265</v>
      </c>
      <c r="B180" s="10">
        <v>45975</v>
      </c>
      <c r="C180">
        <v>14</v>
      </c>
      <c r="D180" t="s">
        <v>90</v>
      </c>
      <c r="E180" t="s">
        <v>128</v>
      </c>
      <c r="F180" t="s">
        <v>107</v>
      </c>
      <c r="G180" t="s">
        <v>100</v>
      </c>
      <c r="H180" t="s">
        <v>101</v>
      </c>
      <c r="I180" t="s">
        <v>162</v>
      </c>
      <c r="J180" t="s">
        <v>103</v>
      </c>
      <c r="K180">
        <v>42</v>
      </c>
      <c r="L180">
        <v>1000</v>
      </c>
      <c r="M180">
        <v>42000</v>
      </c>
      <c r="N180" t="s">
        <v>108</v>
      </c>
      <c r="O180" t="s">
        <v>115</v>
      </c>
    </row>
    <row r="181" spans="1:15" x14ac:dyDescent="0.25">
      <c r="A181">
        <v>4331</v>
      </c>
      <c r="B181" s="10">
        <v>45678</v>
      </c>
      <c r="C181">
        <v>21</v>
      </c>
      <c r="D181" t="s">
        <v>130</v>
      </c>
      <c r="E181" t="s">
        <v>31</v>
      </c>
      <c r="F181" t="s">
        <v>44</v>
      </c>
      <c r="G181" t="s">
        <v>111</v>
      </c>
      <c r="H181" t="s">
        <v>101</v>
      </c>
      <c r="I181" t="s">
        <v>123</v>
      </c>
      <c r="J181" t="s">
        <v>94</v>
      </c>
      <c r="K181">
        <v>3</v>
      </c>
      <c r="L181">
        <v>1000</v>
      </c>
      <c r="M181">
        <v>3000</v>
      </c>
      <c r="N181" t="s">
        <v>95</v>
      </c>
      <c r="O181" t="s">
        <v>96</v>
      </c>
    </row>
    <row r="182" spans="1:15" x14ac:dyDescent="0.25">
      <c r="A182">
        <v>4375</v>
      </c>
      <c r="B182" s="10">
        <v>45928</v>
      </c>
      <c r="C182">
        <v>28</v>
      </c>
      <c r="D182" t="s">
        <v>147</v>
      </c>
      <c r="E182" t="s">
        <v>98</v>
      </c>
      <c r="F182" t="s">
        <v>44</v>
      </c>
      <c r="G182" t="s">
        <v>111</v>
      </c>
      <c r="H182" t="s">
        <v>101</v>
      </c>
      <c r="I182" t="s">
        <v>123</v>
      </c>
      <c r="J182" t="s">
        <v>94</v>
      </c>
      <c r="K182">
        <v>8</v>
      </c>
      <c r="L182">
        <v>1000</v>
      </c>
      <c r="M182">
        <v>8000</v>
      </c>
      <c r="N182" t="s">
        <v>108</v>
      </c>
      <c r="O182" t="s">
        <v>104</v>
      </c>
    </row>
    <row r="183" spans="1:15" x14ac:dyDescent="0.25">
      <c r="A183">
        <v>4391</v>
      </c>
      <c r="B183" s="10">
        <v>46003</v>
      </c>
      <c r="C183">
        <v>12</v>
      </c>
      <c r="D183" t="s">
        <v>125</v>
      </c>
      <c r="E183" t="s">
        <v>128</v>
      </c>
      <c r="F183" t="s">
        <v>107</v>
      </c>
      <c r="G183" t="s">
        <v>100</v>
      </c>
      <c r="H183" t="s">
        <v>101</v>
      </c>
      <c r="I183" t="s">
        <v>123</v>
      </c>
      <c r="J183" t="s">
        <v>94</v>
      </c>
      <c r="K183">
        <v>1</v>
      </c>
      <c r="L183">
        <v>1000</v>
      </c>
      <c r="M183">
        <v>1000</v>
      </c>
      <c r="N183" t="s">
        <v>108</v>
      </c>
      <c r="O183" t="s">
        <v>96</v>
      </c>
    </row>
    <row r="184" spans="1:15" x14ac:dyDescent="0.25">
      <c r="A184">
        <v>4395</v>
      </c>
      <c r="B184" s="10">
        <v>46001</v>
      </c>
      <c r="C184">
        <v>10</v>
      </c>
      <c r="D184" t="s">
        <v>125</v>
      </c>
      <c r="E184" t="s">
        <v>137</v>
      </c>
      <c r="F184" t="s">
        <v>144</v>
      </c>
      <c r="G184" t="s">
        <v>91</v>
      </c>
      <c r="H184" t="s">
        <v>101</v>
      </c>
      <c r="I184" t="s">
        <v>123</v>
      </c>
      <c r="J184" t="s">
        <v>94</v>
      </c>
      <c r="K184">
        <v>4</v>
      </c>
      <c r="L184">
        <v>1000</v>
      </c>
      <c r="M184">
        <v>4000</v>
      </c>
      <c r="N184" t="s">
        <v>108</v>
      </c>
      <c r="O184" t="s">
        <v>96</v>
      </c>
    </row>
    <row r="185" spans="1:15" x14ac:dyDescent="0.25">
      <c r="A185">
        <v>4440</v>
      </c>
      <c r="B185" s="10">
        <v>46004</v>
      </c>
      <c r="C185">
        <v>13</v>
      </c>
      <c r="D185" t="s">
        <v>125</v>
      </c>
      <c r="E185" t="s">
        <v>142</v>
      </c>
      <c r="F185" t="s">
        <v>49</v>
      </c>
      <c r="G185" t="s">
        <v>118</v>
      </c>
      <c r="H185" t="s">
        <v>101</v>
      </c>
      <c r="I185" t="s">
        <v>162</v>
      </c>
      <c r="J185" t="s">
        <v>103</v>
      </c>
      <c r="K185">
        <v>44</v>
      </c>
      <c r="L185">
        <v>1000</v>
      </c>
      <c r="M185">
        <v>44000</v>
      </c>
      <c r="N185" t="s">
        <v>108</v>
      </c>
      <c r="O185" t="s">
        <v>96</v>
      </c>
    </row>
    <row r="186" spans="1:15" x14ac:dyDescent="0.25">
      <c r="A186">
        <v>4441</v>
      </c>
      <c r="B186" s="10">
        <v>45805</v>
      </c>
      <c r="C186">
        <v>28</v>
      </c>
      <c r="D186" t="s">
        <v>120</v>
      </c>
      <c r="E186" t="s">
        <v>25</v>
      </c>
      <c r="F186" t="s">
        <v>49</v>
      </c>
      <c r="G186" t="s">
        <v>118</v>
      </c>
      <c r="H186" t="s">
        <v>101</v>
      </c>
      <c r="I186" t="s">
        <v>162</v>
      </c>
      <c r="J186" t="s">
        <v>103</v>
      </c>
      <c r="K186">
        <v>25</v>
      </c>
      <c r="L186">
        <v>1000</v>
      </c>
      <c r="M186">
        <v>25000</v>
      </c>
      <c r="N186" t="s">
        <v>108</v>
      </c>
      <c r="O186" t="s">
        <v>115</v>
      </c>
    </row>
    <row r="187" spans="1:15" x14ac:dyDescent="0.25">
      <c r="A187">
        <v>4448</v>
      </c>
      <c r="B187" s="10">
        <v>45966</v>
      </c>
      <c r="C187">
        <v>5</v>
      </c>
      <c r="D187" t="s">
        <v>90</v>
      </c>
      <c r="E187" t="s">
        <v>25</v>
      </c>
      <c r="F187" t="s">
        <v>44</v>
      </c>
      <c r="G187" t="s">
        <v>111</v>
      </c>
      <c r="H187" t="s">
        <v>101</v>
      </c>
      <c r="I187" t="s">
        <v>162</v>
      </c>
      <c r="J187" t="s">
        <v>103</v>
      </c>
      <c r="K187">
        <v>30</v>
      </c>
      <c r="L187">
        <v>1000</v>
      </c>
      <c r="M187">
        <v>30000</v>
      </c>
      <c r="N187" t="s">
        <v>95</v>
      </c>
      <c r="O187" t="s">
        <v>96</v>
      </c>
    </row>
    <row r="188" spans="1:15" x14ac:dyDescent="0.25">
      <c r="A188">
        <v>4474</v>
      </c>
      <c r="B188" s="10">
        <v>45992</v>
      </c>
      <c r="C188">
        <v>1</v>
      </c>
      <c r="D188" t="s">
        <v>125</v>
      </c>
      <c r="E188" t="s">
        <v>112</v>
      </c>
      <c r="F188" t="s">
        <v>28</v>
      </c>
      <c r="G188" t="s">
        <v>126</v>
      </c>
      <c r="H188" t="s">
        <v>101</v>
      </c>
      <c r="I188" t="s">
        <v>123</v>
      </c>
      <c r="J188" t="s">
        <v>94</v>
      </c>
      <c r="K188">
        <v>4</v>
      </c>
      <c r="L188">
        <v>1000</v>
      </c>
      <c r="M188">
        <v>4000</v>
      </c>
      <c r="N188" t="s">
        <v>108</v>
      </c>
      <c r="O188" t="s">
        <v>96</v>
      </c>
    </row>
    <row r="189" spans="1:15" x14ac:dyDescent="0.25">
      <c r="A189">
        <v>4478</v>
      </c>
      <c r="B189" s="10">
        <v>45762</v>
      </c>
      <c r="C189">
        <v>15</v>
      </c>
      <c r="D189" t="s">
        <v>105</v>
      </c>
      <c r="E189" t="s">
        <v>161</v>
      </c>
      <c r="F189" t="s">
        <v>36</v>
      </c>
      <c r="G189" t="s">
        <v>100</v>
      </c>
      <c r="H189" t="s">
        <v>101</v>
      </c>
      <c r="I189" t="s">
        <v>123</v>
      </c>
      <c r="J189" t="s">
        <v>94</v>
      </c>
      <c r="K189">
        <v>8</v>
      </c>
      <c r="L189">
        <v>1000</v>
      </c>
      <c r="M189">
        <v>8000</v>
      </c>
      <c r="N189" t="s">
        <v>95</v>
      </c>
      <c r="O189" t="s">
        <v>96</v>
      </c>
    </row>
    <row r="190" spans="1:15" x14ac:dyDescent="0.25">
      <c r="A190">
        <v>4520</v>
      </c>
      <c r="B190" s="10">
        <v>45867</v>
      </c>
      <c r="C190">
        <v>29</v>
      </c>
      <c r="D190" t="s">
        <v>145</v>
      </c>
      <c r="E190" t="s">
        <v>150</v>
      </c>
      <c r="F190" t="s">
        <v>151</v>
      </c>
      <c r="G190" t="s">
        <v>111</v>
      </c>
      <c r="H190" t="s">
        <v>101</v>
      </c>
      <c r="I190" t="s">
        <v>162</v>
      </c>
      <c r="J190" t="s">
        <v>103</v>
      </c>
      <c r="K190">
        <v>18</v>
      </c>
      <c r="L190">
        <v>1000</v>
      </c>
      <c r="M190">
        <v>18000</v>
      </c>
      <c r="N190" t="s">
        <v>108</v>
      </c>
      <c r="O190" t="s">
        <v>115</v>
      </c>
    </row>
    <row r="191" spans="1:15" x14ac:dyDescent="0.25">
      <c r="A191">
        <v>4577</v>
      </c>
      <c r="B191" s="10">
        <v>45832</v>
      </c>
      <c r="C191">
        <v>24</v>
      </c>
      <c r="D191" t="s">
        <v>153</v>
      </c>
      <c r="E191" t="s">
        <v>142</v>
      </c>
      <c r="F191" t="s">
        <v>107</v>
      </c>
      <c r="G191" t="s">
        <v>100</v>
      </c>
      <c r="H191" t="s">
        <v>101</v>
      </c>
      <c r="I191" t="s">
        <v>162</v>
      </c>
      <c r="J191" t="s">
        <v>103</v>
      </c>
      <c r="K191">
        <v>9</v>
      </c>
      <c r="L191">
        <v>1000</v>
      </c>
      <c r="M191">
        <v>9000</v>
      </c>
      <c r="N191" t="s">
        <v>95</v>
      </c>
      <c r="O191" t="s">
        <v>96</v>
      </c>
    </row>
    <row r="192" spans="1:15" x14ac:dyDescent="0.25">
      <c r="A192">
        <v>4606</v>
      </c>
      <c r="B192" s="10">
        <v>45894</v>
      </c>
      <c r="C192">
        <v>25</v>
      </c>
      <c r="D192" t="s">
        <v>109</v>
      </c>
      <c r="E192" t="s">
        <v>116</v>
      </c>
      <c r="F192" t="s">
        <v>113</v>
      </c>
      <c r="G192" t="s">
        <v>114</v>
      </c>
      <c r="H192" t="s">
        <v>101</v>
      </c>
      <c r="I192" t="s">
        <v>162</v>
      </c>
      <c r="J192" t="s">
        <v>103</v>
      </c>
      <c r="K192">
        <v>48</v>
      </c>
      <c r="L192">
        <v>1000</v>
      </c>
      <c r="M192">
        <v>48000</v>
      </c>
      <c r="N192" t="s">
        <v>95</v>
      </c>
      <c r="O192" t="s">
        <v>96</v>
      </c>
    </row>
    <row r="193" spans="1:15" x14ac:dyDescent="0.25">
      <c r="A193">
        <v>4616</v>
      </c>
      <c r="B193" s="10">
        <v>45940</v>
      </c>
      <c r="C193">
        <v>10</v>
      </c>
      <c r="D193" t="s">
        <v>136</v>
      </c>
      <c r="E193" t="s">
        <v>137</v>
      </c>
      <c r="F193" t="s">
        <v>122</v>
      </c>
      <c r="G193" t="s">
        <v>114</v>
      </c>
      <c r="H193" t="s">
        <v>101</v>
      </c>
      <c r="I193" t="s">
        <v>123</v>
      </c>
      <c r="J193" t="s">
        <v>94</v>
      </c>
      <c r="K193">
        <v>1</v>
      </c>
      <c r="L193">
        <v>1000</v>
      </c>
      <c r="M193">
        <v>1000</v>
      </c>
      <c r="N193" t="s">
        <v>95</v>
      </c>
      <c r="O193" t="s">
        <v>104</v>
      </c>
    </row>
    <row r="194" spans="1:15" x14ac:dyDescent="0.25">
      <c r="A194">
        <v>4619</v>
      </c>
      <c r="B194" s="10">
        <v>45677</v>
      </c>
      <c r="C194">
        <v>20</v>
      </c>
      <c r="D194" t="s">
        <v>130</v>
      </c>
      <c r="E194" t="s">
        <v>128</v>
      </c>
      <c r="F194" t="s">
        <v>36</v>
      </c>
      <c r="G194" t="s">
        <v>100</v>
      </c>
      <c r="H194" t="s">
        <v>101</v>
      </c>
      <c r="I194" t="s">
        <v>162</v>
      </c>
      <c r="J194" t="s">
        <v>103</v>
      </c>
      <c r="K194">
        <v>29</v>
      </c>
      <c r="L194">
        <v>1000</v>
      </c>
      <c r="M194">
        <v>29000</v>
      </c>
      <c r="N194" t="s">
        <v>95</v>
      </c>
      <c r="O194" t="s">
        <v>104</v>
      </c>
    </row>
    <row r="195" spans="1:15" x14ac:dyDescent="0.25">
      <c r="A195">
        <v>4652</v>
      </c>
      <c r="B195" s="10">
        <v>45918</v>
      </c>
      <c r="C195">
        <v>18</v>
      </c>
      <c r="D195" t="s">
        <v>147</v>
      </c>
      <c r="E195" t="s">
        <v>25</v>
      </c>
      <c r="F195" t="s">
        <v>107</v>
      </c>
      <c r="G195" t="s">
        <v>100</v>
      </c>
      <c r="H195" t="s">
        <v>101</v>
      </c>
      <c r="I195" t="s">
        <v>123</v>
      </c>
      <c r="J195" t="s">
        <v>94</v>
      </c>
      <c r="K195">
        <v>5</v>
      </c>
      <c r="L195">
        <v>1000</v>
      </c>
      <c r="M195">
        <v>5000</v>
      </c>
      <c r="N195" t="s">
        <v>95</v>
      </c>
      <c r="O195" t="s">
        <v>104</v>
      </c>
    </row>
    <row r="196" spans="1:15" x14ac:dyDescent="0.25">
      <c r="A196">
        <v>4686</v>
      </c>
      <c r="B196" s="10">
        <v>45772</v>
      </c>
      <c r="C196">
        <v>25</v>
      </c>
      <c r="D196" t="s">
        <v>105</v>
      </c>
      <c r="E196" t="s">
        <v>150</v>
      </c>
      <c r="F196" t="s">
        <v>144</v>
      </c>
      <c r="G196" t="s">
        <v>91</v>
      </c>
      <c r="H196" t="s">
        <v>101</v>
      </c>
      <c r="I196" t="s">
        <v>123</v>
      </c>
      <c r="J196" t="s">
        <v>94</v>
      </c>
      <c r="K196">
        <v>9</v>
      </c>
      <c r="L196">
        <v>1000</v>
      </c>
      <c r="M196">
        <v>9000</v>
      </c>
      <c r="N196" t="s">
        <v>95</v>
      </c>
      <c r="O196" t="s">
        <v>96</v>
      </c>
    </row>
    <row r="197" spans="1:15" x14ac:dyDescent="0.25">
      <c r="A197">
        <v>4708</v>
      </c>
      <c r="B197" s="10">
        <v>45686</v>
      </c>
      <c r="C197">
        <v>29</v>
      </c>
      <c r="D197" t="s">
        <v>130</v>
      </c>
      <c r="E197" t="s">
        <v>128</v>
      </c>
      <c r="F197" t="s">
        <v>151</v>
      </c>
      <c r="G197" t="s">
        <v>111</v>
      </c>
      <c r="H197" t="s">
        <v>101</v>
      </c>
      <c r="I197" t="s">
        <v>123</v>
      </c>
      <c r="J197" t="s">
        <v>94</v>
      </c>
      <c r="K197">
        <v>3</v>
      </c>
      <c r="L197">
        <v>1000</v>
      </c>
      <c r="M197">
        <v>3000</v>
      </c>
      <c r="N197" t="s">
        <v>95</v>
      </c>
      <c r="O197" t="s">
        <v>96</v>
      </c>
    </row>
    <row r="198" spans="1:15" x14ac:dyDescent="0.25">
      <c r="A198">
        <v>4715</v>
      </c>
      <c r="B198" s="10">
        <v>45685</v>
      </c>
      <c r="C198">
        <v>28</v>
      </c>
      <c r="D198" t="s">
        <v>130</v>
      </c>
      <c r="E198" t="s">
        <v>25</v>
      </c>
      <c r="F198" t="s">
        <v>148</v>
      </c>
      <c r="G198" t="s">
        <v>118</v>
      </c>
      <c r="H198" t="s">
        <v>101</v>
      </c>
      <c r="I198" t="s">
        <v>123</v>
      </c>
      <c r="J198" t="s">
        <v>94</v>
      </c>
      <c r="K198">
        <v>7</v>
      </c>
      <c r="L198">
        <v>1000</v>
      </c>
      <c r="M198">
        <v>7000</v>
      </c>
      <c r="N198" t="s">
        <v>108</v>
      </c>
      <c r="O198" t="s">
        <v>104</v>
      </c>
    </row>
    <row r="199" spans="1:15" x14ac:dyDescent="0.25">
      <c r="A199">
        <v>4786</v>
      </c>
      <c r="B199" s="10">
        <v>45815</v>
      </c>
      <c r="C199">
        <v>7</v>
      </c>
      <c r="D199" t="s">
        <v>153</v>
      </c>
      <c r="E199" t="s">
        <v>142</v>
      </c>
      <c r="F199" t="s">
        <v>148</v>
      </c>
      <c r="G199" t="s">
        <v>118</v>
      </c>
      <c r="H199" t="s">
        <v>101</v>
      </c>
      <c r="I199" t="s">
        <v>162</v>
      </c>
      <c r="J199" t="s">
        <v>103</v>
      </c>
      <c r="K199">
        <v>30</v>
      </c>
      <c r="L199">
        <v>1000</v>
      </c>
      <c r="M199">
        <v>30000</v>
      </c>
      <c r="N199" t="s">
        <v>108</v>
      </c>
      <c r="O199" t="s">
        <v>96</v>
      </c>
    </row>
    <row r="200" spans="1:15" x14ac:dyDescent="0.25">
      <c r="A200">
        <v>4914</v>
      </c>
      <c r="B200" s="10">
        <v>45673</v>
      </c>
      <c r="C200">
        <v>16</v>
      </c>
      <c r="D200" t="s">
        <v>130</v>
      </c>
      <c r="E200" t="s">
        <v>98</v>
      </c>
      <c r="F200" t="s">
        <v>117</v>
      </c>
      <c r="G200" t="s">
        <v>118</v>
      </c>
      <c r="H200" t="s">
        <v>101</v>
      </c>
      <c r="I200" t="s">
        <v>123</v>
      </c>
      <c r="J200" t="s">
        <v>94</v>
      </c>
      <c r="K200">
        <v>8</v>
      </c>
      <c r="L200">
        <v>1000</v>
      </c>
      <c r="M200">
        <v>8000</v>
      </c>
      <c r="N200" t="s">
        <v>95</v>
      </c>
      <c r="O200" t="s">
        <v>104</v>
      </c>
    </row>
    <row r="201" spans="1:15" x14ac:dyDescent="0.25">
      <c r="A201">
        <v>4937</v>
      </c>
      <c r="B201" s="10">
        <v>45954</v>
      </c>
      <c r="C201">
        <v>24</v>
      </c>
      <c r="D201" t="s">
        <v>136</v>
      </c>
      <c r="E201" t="s">
        <v>133</v>
      </c>
      <c r="F201" t="s">
        <v>107</v>
      </c>
      <c r="G201" t="s">
        <v>100</v>
      </c>
      <c r="H201" t="s">
        <v>101</v>
      </c>
      <c r="I201" t="s">
        <v>123</v>
      </c>
      <c r="J201" t="s">
        <v>94</v>
      </c>
      <c r="K201">
        <v>8</v>
      </c>
      <c r="L201">
        <v>1000</v>
      </c>
      <c r="M201">
        <v>8000</v>
      </c>
      <c r="N201" t="s">
        <v>108</v>
      </c>
      <c r="O201" t="s">
        <v>104</v>
      </c>
    </row>
    <row r="202" spans="1:15" x14ac:dyDescent="0.25">
      <c r="A202">
        <v>4969</v>
      </c>
      <c r="B202" s="10">
        <v>45844</v>
      </c>
      <c r="C202">
        <v>6</v>
      </c>
      <c r="D202" t="s">
        <v>145</v>
      </c>
      <c r="E202" t="s">
        <v>25</v>
      </c>
      <c r="F202" t="s">
        <v>44</v>
      </c>
      <c r="G202" t="s">
        <v>111</v>
      </c>
      <c r="H202" t="s">
        <v>101</v>
      </c>
      <c r="I202" t="s">
        <v>162</v>
      </c>
      <c r="J202" t="s">
        <v>103</v>
      </c>
      <c r="K202">
        <v>38</v>
      </c>
      <c r="L202">
        <v>1000</v>
      </c>
      <c r="M202">
        <v>38000</v>
      </c>
      <c r="N202" t="s">
        <v>95</v>
      </c>
      <c r="O202" t="s">
        <v>96</v>
      </c>
    </row>
    <row r="203" spans="1:15" x14ac:dyDescent="0.25">
      <c r="A203">
        <v>4989</v>
      </c>
      <c r="B203" s="10">
        <v>45687</v>
      </c>
      <c r="C203">
        <v>30</v>
      </c>
      <c r="D203" t="s">
        <v>130</v>
      </c>
      <c r="E203" t="s">
        <v>98</v>
      </c>
      <c r="F203" t="s">
        <v>117</v>
      </c>
      <c r="G203" t="s">
        <v>118</v>
      </c>
      <c r="H203" t="s">
        <v>101</v>
      </c>
      <c r="I203" t="s">
        <v>123</v>
      </c>
      <c r="J203" t="s">
        <v>94</v>
      </c>
      <c r="K203">
        <v>1</v>
      </c>
      <c r="L203">
        <v>1000</v>
      </c>
      <c r="M203">
        <v>1000</v>
      </c>
      <c r="N203" t="s">
        <v>95</v>
      </c>
      <c r="O203" t="s">
        <v>96</v>
      </c>
    </row>
    <row r="204" spans="1:15" x14ac:dyDescent="0.25">
      <c r="A204">
        <v>4996</v>
      </c>
      <c r="B204" s="10">
        <v>45818</v>
      </c>
      <c r="C204">
        <v>10</v>
      </c>
      <c r="D204" t="s">
        <v>153</v>
      </c>
      <c r="E204" t="s">
        <v>121</v>
      </c>
      <c r="F204" t="s">
        <v>148</v>
      </c>
      <c r="G204" t="s">
        <v>118</v>
      </c>
      <c r="H204" t="s">
        <v>101</v>
      </c>
      <c r="I204" t="s">
        <v>123</v>
      </c>
      <c r="J204" t="s">
        <v>94</v>
      </c>
      <c r="K204">
        <v>5</v>
      </c>
      <c r="L204">
        <v>1000</v>
      </c>
      <c r="M204">
        <v>5000</v>
      </c>
      <c r="N204" t="s">
        <v>95</v>
      </c>
      <c r="O204" t="s">
        <v>104</v>
      </c>
    </row>
    <row r="205" spans="1:15" x14ac:dyDescent="0.25">
      <c r="A205">
        <v>4997</v>
      </c>
      <c r="B205" s="10">
        <v>45730</v>
      </c>
      <c r="C205">
        <v>14</v>
      </c>
      <c r="D205" t="s">
        <v>140</v>
      </c>
      <c r="E205" t="s">
        <v>128</v>
      </c>
      <c r="F205" t="s">
        <v>44</v>
      </c>
      <c r="G205" t="s">
        <v>111</v>
      </c>
      <c r="H205" t="s">
        <v>101</v>
      </c>
      <c r="I205" t="s">
        <v>123</v>
      </c>
      <c r="J205" t="s">
        <v>94</v>
      </c>
      <c r="K205">
        <v>6</v>
      </c>
      <c r="L205">
        <v>1000</v>
      </c>
      <c r="M205">
        <v>6000</v>
      </c>
      <c r="N205" t="s">
        <v>95</v>
      </c>
      <c r="O205" t="s">
        <v>115</v>
      </c>
    </row>
    <row r="206" spans="1:15" x14ac:dyDescent="0.25">
      <c r="A206">
        <v>7</v>
      </c>
      <c r="B206" s="10">
        <v>45808</v>
      </c>
      <c r="C206">
        <v>31</v>
      </c>
      <c r="D206" t="s">
        <v>120</v>
      </c>
      <c r="E206" t="s">
        <v>121</v>
      </c>
      <c r="F206" t="s">
        <v>122</v>
      </c>
      <c r="G206" t="s">
        <v>114</v>
      </c>
      <c r="H206" t="s">
        <v>101</v>
      </c>
      <c r="I206" t="s">
        <v>123</v>
      </c>
      <c r="J206" t="s">
        <v>94</v>
      </c>
      <c r="K206">
        <v>2</v>
      </c>
      <c r="L206">
        <v>1100</v>
      </c>
      <c r="M206">
        <v>2200</v>
      </c>
      <c r="N206" t="s">
        <v>95</v>
      </c>
      <c r="O206" t="s">
        <v>96</v>
      </c>
    </row>
    <row r="207" spans="1:15" x14ac:dyDescent="0.25">
      <c r="A207">
        <v>212</v>
      </c>
      <c r="B207" s="10">
        <v>45994</v>
      </c>
      <c r="C207">
        <v>3</v>
      </c>
      <c r="D207" t="s">
        <v>125</v>
      </c>
      <c r="E207" t="s">
        <v>98</v>
      </c>
      <c r="F207" t="s">
        <v>28</v>
      </c>
      <c r="G207" t="s">
        <v>126</v>
      </c>
      <c r="H207" t="s">
        <v>101</v>
      </c>
      <c r="I207" t="s">
        <v>123</v>
      </c>
      <c r="J207" t="s">
        <v>94</v>
      </c>
      <c r="K207">
        <v>1</v>
      </c>
      <c r="L207">
        <v>1100</v>
      </c>
      <c r="M207">
        <v>1100</v>
      </c>
      <c r="N207" t="s">
        <v>108</v>
      </c>
      <c r="O207" t="s">
        <v>96</v>
      </c>
    </row>
    <row r="208" spans="1:15" x14ac:dyDescent="0.25">
      <c r="A208">
        <v>253</v>
      </c>
      <c r="B208" s="10">
        <v>45849</v>
      </c>
      <c r="C208">
        <v>11</v>
      </c>
      <c r="D208" t="s">
        <v>145</v>
      </c>
      <c r="E208" t="s">
        <v>112</v>
      </c>
      <c r="F208" t="s">
        <v>113</v>
      </c>
      <c r="G208" t="s">
        <v>114</v>
      </c>
      <c r="H208" t="s">
        <v>101</v>
      </c>
      <c r="I208" t="s">
        <v>123</v>
      </c>
      <c r="J208" t="s">
        <v>94</v>
      </c>
      <c r="K208">
        <v>4</v>
      </c>
      <c r="L208">
        <v>1100</v>
      </c>
      <c r="M208">
        <v>4400</v>
      </c>
      <c r="N208" t="s">
        <v>108</v>
      </c>
      <c r="O208" t="s">
        <v>96</v>
      </c>
    </row>
    <row r="209" spans="1:15" x14ac:dyDescent="0.25">
      <c r="A209">
        <v>419</v>
      </c>
      <c r="B209" s="10">
        <v>45980</v>
      </c>
      <c r="C209">
        <v>19</v>
      </c>
      <c r="D209" t="s">
        <v>90</v>
      </c>
      <c r="E209" t="s">
        <v>98</v>
      </c>
      <c r="F209" t="s">
        <v>28</v>
      </c>
      <c r="G209" t="s">
        <v>126</v>
      </c>
      <c r="H209" t="s">
        <v>101</v>
      </c>
      <c r="I209" t="s">
        <v>162</v>
      </c>
      <c r="J209" t="s">
        <v>103</v>
      </c>
      <c r="K209">
        <v>9</v>
      </c>
      <c r="L209">
        <v>1100</v>
      </c>
      <c r="M209">
        <v>9900</v>
      </c>
      <c r="N209" t="s">
        <v>95</v>
      </c>
      <c r="O209" t="s">
        <v>104</v>
      </c>
    </row>
    <row r="210" spans="1:15" x14ac:dyDescent="0.25">
      <c r="A210">
        <v>723</v>
      </c>
      <c r="B210" s="10">
        <v>45914</v>
      </c>
      <c r="C210">
        <v>14</v>
      </c>
      <c r="D210" t="s">
        <v>147</v>
      </c>
      <c r="E210" t="s">
        <v>31</v>
      </c>
      <c r="F210" t="s">
        <v>36</v>
      </c>
      <c r="G210" t="s">
        <v>100</v>
      </c>
      <c r="H210" t="s">
        <v>101</v>
      </c>
      <c r="I210" t="s">
        <v>162</v>
      </c>
      <c r="J210" t="s">
        <v>94</v>
      </c>
      <c r="K210">
        <v>7</v>
      </c>
      <c r="L210">
        <v>1100</v>
      </c>
      <c r="M210">
        <v>7700</v>
      </c>
      <c r="N210" t="s">
        <v>108</v>
      </c>
      <c r="O210" t="s">
        <v>115</v>
      </c>
    </row>
    <row r="211" spans="1:15" x14ac:dyDescent="0.25">
      <c r="A211">
        <v>907</v>
      </c>
      <c r="B211" s="10">
        <v>45836</v>
      </c>
      <c r="C211">
        <v>28</v>
      </c>
      <c r="D211" t="s">
        <v>153</v>
      </c>
      <c r="E211" t="s">
        <v>150</v>
      </c>
      <c r="F211" t="s">
        <v>36</v>
      </c>
      <c r="G211" t="s">
        <v>100</v>
      </c>
      <c r="H211" t="s">
        <v>101</v>
      </c>
      <c r="I211" t="s">
        <v>162</v>
      </c>
      <c r="J211" t="s">
        <v>94</v>
      </c>
      <c r="K211">
        <v>9</v>
      </c>
      <c r="L211">
        <v>1100</v>
      </c>
      <c r="M211">
        <v>9900</v>
      </c>
      <c r="N211" t="s">
        <v>95</v>
      </c>
      <c r="O211" t="s">
        <v>104</v>
      </c>
    </row>
    <row r="212" spans="1:15" x14ac:dyDescent="0.25">
      <c r="A212">
        <v>921</v>
      </c>
      <c r="B212" s="10">
        <v>45671</v>
      </c>
      <c r="C212">
        <v>14</v>
      </c>
      <c r="D212" t="s">
        <v>130</v>
      </c>
      <c r="E212" t="s">
        <v>138</v>
      </c>
      <c r="F212" t="s">
        <v>134</v>
      </c>
      <c r="G212" t="s">
        <v>100</v>
      </c>
      <c r="H212" t="s">
        <v>101</v>
      </c>
      <c r="I212" t="s">
        <v>123</v>
      </c>
      <c r="J212" t="s">
        <v>94</v>
      </c>
      <c r="K212">
        <v>5</v>
      </c>
      <c r="L212">
        <v>1100</v>
      </c>
      <c r="M212">
        <v>5500</v>
      </c>
      <c r="N212" t="s">
        <v>95</v>
      </c>
      <c r="O212" t="s">
        <v>104</v>
      </c>
    </row>
    <row r="213" spans="1:15" x14ac:dyDescent="0.25">
      <c r="A213">
        <v>938</v>
      </c>
      <c r="B213" s="10">
        <v>45830</v>
      </c>
      <c r="C213">
        <v>22</v>
      </c>
      <c r="D213" t="s">
        <v>153</v>
      </c>
      <c r="E213" t="s">
        <v>116</v>
      </c>
      <c r="F213" t="s">
        <v>28</v>
      </c>
      <c r="G213" t="s">
        <v>126</v>
      </c>
      <c r="H213" t="s">
        <v>101</v>
      </c>
      <c r="I213" t="s">
        <v>162</v>
      </c>
      <c r="J213" t="s">
        <v>103</v>
      </c>
      <c r="K213">
        <v>32</v>
      </c>
      <c r="L213">
        <v>1100</v>
      </c>
      <c r="M213">
        <v>35200</v>
      </c>
      <c r="N213" t="s">
        <v>95</v>
      </c>
      <c r="O213" t="s">
        <v>115</v>
      </c>
    </row>
    <row r="214" spans="1:15" x14ac:dyDescent="0.25">
      <c r="A214">
        <v>1105</v>
      </c>
      <c r="B214" s="10">
        <v>46012</v>
      </c>
      <c r="C214">
        <v>21</v>
      </c>
      <c r="D214" t="s">
        <v>125</v>
      </c>
      <c r="E214" t="s">
        <v>150</v>
      </c>
      <c r="F214" t="s">
        <v>141</v>
      </c>
      <c r="G214" t="s">
        <v>100</v>
      </c>
      <c r="H214" t="s">
        <v>101</v>
      </c>
      <c r="I214" t="s">
        <v>162</v>
      </c>
      <c r="J214" t="s">
        <v>103</v>
      </c>
      <c r="K214">
        <v>44</v>
      </c>
      <c r="L214">
        <v>1100</v>
      </c>
      <c r="M214">
        <v>48400</v>
      </c>
      <c r="N214" t="s">
        <v>108</v>
      </c>
      <c r="O214" t="s">
        <v>115</v>
      </c>
    </row>
    <row r="215" spans="1:15" x14ac:dyDescent="0.25">
      <c r="A215">
        <v>1123</v>
      </c>
      <c r="B215" s="10">
        <v>45956</v>
      </c>
      <c r="C215">
        <v>26</v>
      </c>
      <c r="D215" t="s">
        <v>136</v>
      </c>
      <c r="E215" t="s">
        <v>25</v>
      </c>
      <c r="F215" t="s">
        <v>151</v>
      </c>
      <c r="G215" t="s">
        <v>111</v>
      </c>
      <c r="H215" t="s">
        <v>101</v>
      </c>
      <c r="I215" t="s">
        <v>162</v>
      </c>
      <c r="J215" t="s">
        <v>103</v>
      </c>
      <c r="K215">
        <v>32</v>
      </c>
      <c r="L215">
        <v>1100</v>
      </c>
      <c r="M215">
        <v>35200</v>
      </c>
      <c r="N215" t="s">
        <v>108</v>
      </c>
      <c r="O215" t="s">
        <v>115</v>
      </c>
    </row>
    <row r="216" spans="1:15" x14ac:dyDescent="0.25">
      <c r="A216">
        <v>1433</v>
      </c>
      <c r="B216" s="10">
        <v>45748</v>
      </c>
      <c r="C216">
        <v>1</v>
      </c>
      <c r="D216" t="s">
        <v>105</v>
      </c>
      <c r="E216" t="s">
        <v>110</v>
      </c>
      <c r="F216" t="s">
        <v>44</v>
      </c>
      <c r="G216" t="s">
        <v>111</v>
      </c>
      <c r="H216" t="s">
        <v>101</v>
      </c>
      <c r="I216" t="s">
        <v>162</v>
      </c>
      <c r="J216" t="s">
        <v>103</v>
      </c>
      <c r="K216">
        <v>38</v>
      </c>
      <c r="L216">
        <v>1100</v>
      </c>
      <c r="M216">
        <v>41800</v>
      </c>
      <c r="N216" t="s">
        <v>108</v>
      </c>
      <c r="O216" t="s">
        <v>104</v>
      </c>
    </row>
    <row r="217" spans="1:15" x14ac:dyDescent="0.25">
      <c r="A217">
        <v>1438</v>
      </c>
      <c r="B217" s="10">
        <v>45659</v>
      </c>
      <c r="C217">
        <v>2</v>
      </c>
      <c r="D217" t="s">
        <v>130</v>
      </c>
      <c r="E217" t="s">
        <v>31</v>
      </c>
      <c r="F217" t="s">
        <v>36</v>
      </c>
      <c r="G217" t="s">
        <v>100</v>
      </c>
      <c r="H217" t="s">
        <v>101</v>
      </c>
      <c r="I217" t="s">
        <v>162</v>
      </c>
      <c r="J217" t="s">
        <v>103</v>
      </c>
      <c r="K217">
        <v>24</v>
      </c>
      <c r="L217">
        <v>1100</v>
      </c>
      <c r="M217">
        <v>26400</v>
      </c>
      <c r="N217" t="s">
        <v>95</v>
      </c>
      <c r="O217" t="s">
        <v>104</v>
      </c>
    </row>
    <row r="218" spans="1:15" x14ac:dyDescent="0.25">
      <c r="A218">
        <v>1526</v>
      </c>
      <c r="B218" s="10">
        <v>45698</v>
      </c>
      <c r="C218">
        <v>10</v>
      </c>
      <c r="D218" t="s">
        <v>97</v>
      </c>
      <c r="E218" t="s">
        <v>116</v>
      </c>
      <c r="F218" t="s">
        <v>144</v>
      </c>
      <c r="G218" t="s">
        <v>91</v>
      </c>
      <c r="H218" t="s">
        <v>101</v>
      </c>
      <c r="I218" t="s">
        <v>162</v>
      </c>
      <c r="J218" t="s">
        <v>103</v>
      </c>
      <c r="K218">
        <v>9</v>
      </c>
      <c r="L218">
        <v>1100</v>
      </c>
      <c r="M218">
        <v>9900</v>
      </c>
      <c r="N218" t="s">
        <v>108</v>
      </c>
      <c r="O218" t="s">
        <v>104</v>
      </c>
    </row>
    <row r="219" spans="1:15" x14ac:dyDescent="0.25">
      <c r="A219">
        <v>1595</v>
      </c>
      <c r="B219" s="10">
        <v>45894</v>
      </c>
      <c r="C219">
        <v>25</v>
      </c>
      <c r="D219" t="s">
        <v>109</v>
      </c>
      <c r="E219" t="s">
        <v>161</v>
      </c>
      <c r="F219" t="s">
        <v>151</v>
      </c>
      <c r="G219" t="s">
        <v>111</v>
      </c>
      <c r="H219" t="s">
        <v>101</v>
      </c>
      <c r="I219" t="s">
        <v>162</v>
      </c>
      <c r="J219" t="s">
        <v>94</v>
      </c>
      <c r="K219">
        <v>2</v>
      </c>
      <c r="L219">
        <v>1100</v>
      </c>
      <c r="M219">
        <v>2200</v>
      </c>
      <c r="N219" t="s">
        <v>108</v>
      </c>
      <c r="O219" t="s">
        <v>96</v>
      </c>
    </row>
    <row r="220" spans="1:15" x14ac:dyDescent="0.25">
      <c r="A220">
        <v>1608</v>
      </c>
      <c r="B220" s="10">
        <v>45952</v>
      </c>
      <c r="C220">
        <v>22</v>
      </c>
      <c r="D220" t="s">
        <v>136</v>
      </c>
      <c r="E220" t="s">
        <v>112</v>
      </c>
      <c r="F220" t="s">
        <v>141</v>
      </c>
      <c r="G220" t="s">
        <v>100</v>
      </c>
      <c r="H220" t="s">
        <v>101</v>
      </c>
      <c r="I220" t="s">
        <v>162</v>
      </c>
      <c r="J220" t="s">
        <v>103</v>
      </c>
      <c r="K220">
        <v>44</v>
      </c>
      <c r="L220">
        <v>1100</v>
      </c>
      <c r="M220">
        <v>48400</v>
      </c>
      <c r="N220" t="s">
        <v>108</v>
      </c>
      <c r="O220" t="s">
        <v>104</v>
      </c>
    </row>
    <row r="221" spans="1:15" x14ac:dyDescent="0.25">
      <c r="A221">
        <v>1660</v>
      </c>
      <c r="B221" s="10">
        <v>46022</v>
      </c>
      <c r="C221">
        <v>31</v>
      </c>
      <c r="D221" t="s">
        <v>125</v>
      </c>
      <c r="E221" t="s">
        <v>150</v>
      </c>
      <c r="F221" t="s">
        <v>141</v>
      </c>
      <c r="G221" t="s">
        <v>100</v>
      </c>
      <c r="H221" t="s">
        <v>101</v>
      </c>
      <c r="I221" t="s">
        <v>123</v>
      </c>
      <c r="J221" t="s">
        <v>94</v>
      </c>
      <c r="K221">
        <v>3</v>
      </c>
      <c r="L221">
        <v>1100</v>
      </c>
      <c r="M221">
        <v>3300</v>
      </c>
      <c r="N221" t="s">
        <v>108</v>
      </c>
      <c r="O221" t="s">
        <v>96</v>
      </c>
    </row>
    <row r="222" spans="1:15" x14ac:dyDescent="0.25">
      <c r="A222">
        <v>1848</v>
      </c>
      <c r="B222" s="10">
        <v>45958</v>
      </c>
      <c r="C222">
        <v>28</v>
      </c>
      <c r="D222" t="s">
        <v>136</v>
      </c>
      <c r="E222" t="s">
        <v>161</v>
      </c>
      <c r="F222" t="s">
        <v>144</v>
      </c>
      <c r="G222" t="s">
        <v>91</v>
      </c>
      <c r="H222" t="s">
        <v>101</v>
      </c>
      <c r="I222" t="s">
        <v>162</v>
      </c>
      <c r="J222" t="s">
        <v>94</v>
      </c>
      <c r="K222">
        <v>6</v>
      </c>
      <c r="L222">
        <v>1100</v>
      </c>
      <c r="M222">
        <v>6600</v>
      </c>
      <c r="N222" t="s">
        <v>95</v>
      </c>
      <c r="O222" t="s">
        <v>96</v>
      </c>
    </row>
    <row r="223" spans="1:15" x14ac:dyDescent="0.25">
      <c r="A223">
        <v>2018</v>
      </c>
      <c r="B223" s="10">
        <v>45908</v>
      </c>
      <c r="C223">
        <v>8</v>
      </c>
      <c r="D223" t="s">
        <v>147</v>
      </c>
      <c r="E223" t="s">
        <v>150</v>
      </c>
      <c r="F223" t="s">
        <v>107</v>
      </c>
      <c r="G223" t="s">
        <v>100</v>
      </c>
      <c r="H223" t="s">
        <v>101</v>
      </c>
      <c r="I223" t="s">
        <v>162</v>
      </c>
      <c r="J223" t="s">
        <v>94</v>
      </c>
      <c r="K223">
        <v>5</v>
      </c>
      <c r="L223">
        <v>1100</v>
      </c>
      <c r="M223">
        <v>5500</v>
      </c>
      <c r="N223" t="s">
        <v>108</v>
      </c>
      <c r="O223" t="s">
        <v>115</v>
      </c>
    </row>
    <row r="224" spans="1:15" x14ac:dyDescent="0.25">
      <c r="A224">
        <v>2027</v>
      </c>
      <c r="B224" s="10">
        <v>45956</v>
      </c>
      <c r="C224">
        <v>26</v>
      </c>
      <c r="D224" t="s">
        <v>136</v>
      </c>
      <c r="E224" t="s">
        <v>121</v>
      </c>
      <c r="F224" t="s">
        <v>44</v>
      </c>
      <c r="G224" t="s">
        <v>111</v>
      </c>
      <c r="H224" t="s">
        <v>101</v>
      </c>
      <c r="I224" t="s">
        <v>162</v>
      </c>
      <c r="J224" t="s">
        <v>103</v>
      </c>
      <c r="K224">
        <v>17</v>
      </c>
      <c r="L224">
        <v>1100</v>
      </c>
      <c r="M224">
        <v>18700</v>
      </c>
      <c r="N224" t="s">
        <v>108</v>
      </c>
      <c r="O224" t="s">
        <v>104</v>
      </c>
    </row>
    <row r="225" spans="1:15" x14ac:dyDescent="0.25">
      <c r="A225">
        <v>2078</v>
      </c>
      <c r="B225" s="10">
        <v>46007</v>
      </c>
      <c r="C225">
        <v>16</v>
      </c>
      <c r="D225" t="s">
        <v>125</v>
      </c>
      <c r="E225" t="s">
        <v>121</v>
      </c>
      <c r="F225" t="s">
        <v>99</v>
      </c>
      <c r="G225" t="s">
        <v>100</v>
      </c>
      <c r="H225" t="s">
        <v>101</v>
      </c>
      <c r="I225" t="s">
        <v>162</v>
      </c>
      <c r="J225" t="s">
        <v>103</v>
      </c>
      <c r="K225">
        <v>43</v>
      </c>
      <c r="L225">
        <v>1100</v>
      </c>
      <c r="M225">
        <v>47300</v>
      </c>
      <c r="N225" t="s">
        <v>95</v>
      </c>
      <c r="O225" t="s">
        <v>104</v>
      </c>
    </row>
    <row r="226" spans="1:15" x14ac:dyDescent="0.25">
      <c r="A226">
        <v>2324</v>
      </c>
      <c r="B226" s="10">
        <v>45820</v>
      </c>
      <c r="C226">
        <v>12</v>
      </c>
      <c r="D226" t="s">
        <v>153</v>
      </c>
      <c r="E226" t="s">
        <v>112</v>
      </c>
      <c r="F226" t="s">
        <v>99</v>
      </c>
      <c r="G226" t="s">
        <v>100</v>
      </c>
      <c r="H226" t="s">
        <v>101</v>
      </c>
      <c r="I226" t="s">
        <v>123</v>
      </c>
      <c r="J226" t="s">
        <v>94</v>
      </c>
      <c r="K226">
        <v>9</v>
      </c>
      <c r="L226">
        <v>1100</v>
      </c>
      <c r="M226">
        <v>9900</v>
      </c>
      <c r="N226" t="s">
        <v>95</v>
      </c>
      <c r="O226" t="s">
        <v>115</v>
      </c>
    </row>
    <row r="227" spans="1:15" x14ac:dyDescent="0.25">
      <c r="A227">
        <v>2353</v>
      </c>
      <c r="B227" s="10">
        <v>46009</v>
      </c>
      <c r="C227">
        <v>18</v>
      </c>
      <c r="D227" t="s">
        <v>125</v>
      </c>
      <c r="E227" t="s">
        <v>128</v>
      </c>
      <c r="F227" t="s">
        <v>151</v>
      </c>
      <c r="G227" t="s">
        <v>111</v>
      </c>
      <c r="H227" t="s">
        <v>101</v>
      </c>
      <c r="I227" t="s">
        <v>162</v>
      </c>
      <c r="J227" t="s">
        <v>103</v>
      </c>
      <c r="K227">
        <v>27</v>
      </c>
      <c r="L227">
        <v>1100</v>
      </c>
      <c r="M227">
        <v>29700</v>
      </c>
      <c r="N227" t="s">
        <v>95</v>
      </c>
      <c r="O227" t="s">
        <v>96</v>
      </c>
    </row>
    <row r="228" spans="1:15" x14ac:dyDescent="0.25">
      <c r="A228">
        <v>2411</v>
      </c>
      <c r="B228" s="10">
        <v>45885</v>
      </c>
      <c r="C228">
        <v>16</v>
      </c>
      <c r="D228" t="s">
        <v>109</v>
      </c>
      <c r="E228" t="s">
        <v>25</v>
      </c>
      <c r="F228" t="s">
        <v>99</v>
      </c>
      <c r="G228" t="s">
        <v>100</v>
      </c>
      <c r="H228" t="s">
        <v>101</v>
      </c>
      <c r="I228" t="s">
        <v>162</v>
      </c>
      <c r="J228" t="s">
        <v>103</v>
      </c>
      <c r="K228">
        <v>47</v>
      </c>
      <c r="L228">
        <v>1100</v>
      </c>
      <c r="M228">
        <v>51700</v>
      </c>
      <c r="N228" t="s">
        <v>95</v>
      </c>
      <c r="O228" t="s">
        <v>104</v>
      </c>
    </row>
    <row r="229" spans="1:15" x14ac:dyDescent="0.25">
      <c r="A229">
        <v>2529</v>
      </c>
      <c r="B229" s="10">
        <v>45736</v>
      </c>
      <c r="C229">
        <v>20</v>
      </c>
      <c r="D229" t="s">
        <v>140</v>
      </c>
      <c r="E229" t="s">
        <v>150</v>
      </c>
      <c r="F229" t="s">
        <v>117</v>
      </c>
      <c r="G229" t="s">
        <v>118</v>
      </c>
      <c r="H229" t="s">
        <v>101</v>
      </c>
      <c r="I229" t="s">
        <v>162</v>
      </c>
      <c r="J229" t="s">
        <v>103</v>
      </c>
      <c r="K229">
        <v>19</v>
      </c>
      <c r="L229">
        <v>1100</v>
      </c>
      <c r="M229">
        <v>20900</v>
      </c>
      <c r="N229" t="s">
        <v>95</v>
      </c>
      <c r="O229" t="s">
        <v>104</v>
      </c>
    </row>
    <row r="230" spans="1:15" x14ac:dyDescent="0.25">
      <c r="A230">
        <v>2532</v>
      </c>
      <c r="B230" s="10">
        <v>45877</v>
      </c>
      <c r="C230">
        <v>8</v>
      </c>
      <c r="D230" t="s">
        <v>109</v>
      </c>
      <c r="E230" t="s">
        <v>133</v>
      </c>
      <c r="F230" t="s">
        <v>49</v>
      </c>
      <c r="G230" t="s">
        <v>118</v>
      </c>
      <c r="H230" t="s">
        <v>101</v>
      </c>
      <c r="I230" t="s">
        <v>162</v>
      </c>
      <c r="J230" t="s">
        <v>94</v>
      </c>
      <c r="K230">
        <v>5</v>
      </c>
      <c r="L230">
        <v>1100</v>
      </c>
      <c r="M230">
        <v>5500</v>
      </c>
      <c r="N230" t="s">
        <v>108</v>
      </c>
      <c r="O230" t="s">
        <v>96</v>
      </c>
    </row>
    <row r="231" spans="1:15" x14ac:dyDescent="0.25">
      <c r="A231">
        <v>2781</v>
      </c>
      <c r="B231" s="10">
        <v>45934</v>
      </c>
      <c r="C231">
        <v>4</v>
      </c>
      <c r="D231" t="s">
        <v>136</v>
      </c>
      <c r="E231" t="s">
        <v>137</v>
      </c>
      <c r="F231" t="s">
        <v>49</v>
      </c>
      <c r="G231" t="s">
        <v>118</v>
      </c>
      <c r="H231" t="s">
        <v>101</v>
      </c>
      <c r="I231" t="s">
        <v>162</v>
      </c>
      <c r="J231" t="s">
        <v>103</v>
      </c>
      <c r="K231">
        <v>21</v>
      </c>
      <c r="L231">
        <v>1100</v>
      </c>
      <c r="M231">
        <v>23100</v>
      </c>
      <c r="N231" t="s">
        <v>95</v>
      </c>
      <c r="O231" t="s">
        <v>96</v>
      </c>
    </row>
    <row r="232" spans="1:15" x14ac:dyDescent="0.25">
      <c r="A232">
        <v>2816</v>
      </c>
      <c r="B232" s="10">
        <v>45860</v>
      </c>
      <c r="C232">
        <v>22</v>
      </c>
      <c r="D232" t="s">
        <v>145</v>
      </c>
      <c r="E232" t="s">
        <v>138</v>
      </c>
      <c r="F232" t="s">
        <v>148</v>
      </c>
      <c r="G232" t="s">
        <v>118</v>
      </c>
      <c r="H232" t="s">
        <v>101</v>
      </c>
      <c r="I232" t="s">
        <v>162</v>
      </c>
      <c r="J232" t="s">
        <v>103</v>
      </c>
      <c r="K232">
        <v>29</v>
      </c>
      <c r="L232">
        <v>1100</v>
      </c>
      <c r="M232">
        <v>31900</v>
      </c>
      <c r="N232" t="s">
        <v>108</v>
      </c>
      <c r="O232" t="s">
        <v>115</v>
      </c>
    </row>
    <row r="233" spans="1:15" x14ac:dyDescent="0.25">
      <c r="A233">
        <v>2893</v>
      </c>
      <c r="B233" s="10">
        <v>45688</v>
      </c>
      <c r="C233">
        <v>31</v>
      </c>
      <c r="D233" t="s">
        <v>130</v>
      </c>
      <c r="E233" t="s">
        <v>128</v>
      </c>
      <c r="F233" t="s">
        <v>22</v>
      </c>
      <c r="G233" t="s">
        <v>91</v>
      </c>
      <c r="H233" t="s">
        <v>101</v>
      </c>
      <c r="I233" t="s">
        <v>162</v>
      </c>
      <c r="J233" t="s">
        <v>103</v>
      </c>
      <c r="K233">
        <v>24</v>
      </c>
      <c r="L233">
        <v>1100</v>
      </c>
      <c r="M233">
        <v>26400</v>
      </c>
      <c r="N233" t="s">
        <v>108</v>
      </c>
      <c r="O233" t="s">
        <v>115</v>
      </c>
    </row>
    <row r="234" spans="1:15" x14ac:dyDescent="0.25">
      <c r="A234">
        <v>3074</v>
      </c>
      <c r="B234" s="10">
        <v>45992</v>
      </c>
      <c r="C234">
        <v>1</v>
      </c>
      <c r="D234" t="s">
        <v>125</v>
      </c>
      <c r="E234" t="s">
        <v>25</v>
      </c>
      <c r="F234" t="s">
        <v>22</v>
      </c>
      <c r="G234" t="s">
        <v>91</v>
      </c>
      <c r="H234" t="s">
        <v>101</v>
      </c>
      <c r="I234" t="s">
        <v>123</v>
      </c>
      <c r="J234" t="s">
        <v>94</v>
      </c>
      <c r="K234">
        <v>9</v>
      </c>
      <c r="L234">
        <v>1100</v>
      </c>
      <c r="M234">
        <v>9900</v>
      </c>
      <c r="N234" t="s">
        <v>108</v>
      </c>
      <c r="O234" t="s">
        <v>96</v>
      </c>
    </row>
    <row r="235" spans="1:15" x14ac:dyDescent="0.25">
      <c r="A235">
        <v>3159</v>
      </c>
      <c r="B235" s="10">
        <v>45780</v>
      </c>
      <c r="C235">
        <v>3</v>
      </c>
      <c r="D235" t="s">
        <v>120</v>
      </c>
      <c r="E235" t="s">
        <v>98</v>
      </c>
      <c r="F235" t="s">
        <v>36</v>
      </c>
      <c r="G235" t="s">
        <v>100</v>
      </c>
      <c r="H235" t="s">
        <v>101</v>
      </c>
      <c r="I235" t="s">
        <v>162</v>
      </c>
      <c r="J235" t="s">
        <v>103</v>
      </c>
      <c r="K235">
        <v>10</v>
      </c>
      <c r="L235">
        <v>1100</v>
      </c>
      <c r="M235">
        <v>11000</v>
      </c>
      <c r="N235" t="s">
        <v>108</v>
      </c>
      <c r="O235" t="s">
        <v>115</v>
      </c>
    </row>
    <row r="236" spans="1:15" x14ac:dyDescent="0.25">
      <c r="A236">
        <v>3190</v>
      </c>
      <c r="B236" s="10">
        <v>45949</v>
      </c>
      <c r="C236">
        <v>19</v>
      </c>
      <c r="D236" t="s">
        <v>136</v>
      </c>
      <c r="E236" t="s">
        <v>133</v>
      </c>
      <c r="F236" t="s">
        <v>99</v>
      </c>
      <c r="G236" t="s">
        <v>100</v>
      </c>
      <c r="H236" t="s">
        <v>101</v>
      </c>
      <c r="I236" t="s">
        <v>123</v>
      </c>
      <c r="J236" t="s">
        <v>94</v>
      </c>
      <c r="K236">
        <v>2</v>
      </c>
      <c r="L236">
        <v>1100</v>
      </c>
      <c r="M236">
        <v>2200</v>
      </c>
      <c r="N236" t="s">
        <v>95</v>
      </c>
      <c r="O236" t="s">
        <v>115</v>
      </c>
    </row>
    <row r="237" spans="1:15" x14ac:dyDescent="0.25">
      <c r="A237">
        <v>3283</v>
      </c>
      <c r="B237" s="10">
        <v>45961</v>
      </c>
      <c r="C237">
        <v>31</v>
      </c>
      <c r="D237" t="s">
        <v>136</v>
      </c>
      <c r="E237" t="s">
        <v>137</v>
      </c>
      <c r="F237" t="s">
        <v>28</v>
      </c>
      <c r="G237" t="s">
        <v>126</v>
      </c>
      <c r="H237" t="s">
        <v>101</v>
      </c>
      <c r="I237" t="s">
        <v>162</v>
      </c>
      <c r="J237" t="s">
        <v>94</v>
      </c>
      <c r="K237">
        <v>8</v>
      </c>
      <c r="L237">
        <v>1100</v>
      </c>
      <c r="M237">
        <v>8800</v>
      </c>
      <c r="N237" t="s">
        <v>95</v>
      </c>
      <c r="O237" t="s">
        <v>115</v>
      </c>
    </row>
    <row r="238" spans="1:15" x14ac:dyDescent="0.25">
      <c r="A238">
        <v>3286</v>
      </c>
      <c r="B238" s="10">
        <v>45765</v>
      </c>
      <c r="C238">
        <v>18</v>
      </c>
      <c r="D238" t="s">
        <v>105</v>
      </c>
      <c r="E238" t="s">
        <v>137</v>
      </c>
      <c r="F238" t="s">
        <v>44</v>
      </c>
      <c r="G238" t="s">
        <v>111</v>
      </c>
      <c r="H238" t="s">
        <v>101</v>
      </c>
      <c r="I238" t="s">
        <v>162</v>
      </c>
      <c r="J238" t="s">
        <v>103</v>
      </c>
      <c r="K238">
        <v>31</v>
      </c>
      <c r="L238">
        <v>1100</v>
      </c>
      <c r="M238">
        <v>34100</v>
      </c>
      <c r="N238" t="s">
        <v>95</v>
      </c>
      <c r="O238" t="s">
        <v>96</v>
      </c>
    </row>
    <row r="239" spans="1:15" x14ac:dyDescent="0.25">
      <c r="A239">
        <v>3292</v>
      </c>
      <c r="B239" s="10">
        <v>45904</v>
      </c>
      <c r="C239">
        <v>4</v>
      </c>
      <c r="D239" t="s">
        <v>147</v>
      </c>
      <c r="E239" t="s">
        <v>112</v>
      </c>
      <c r="F239" t="s">
        <v>36</v>
      </c>
      <c r="G239" t="s">
        <v>100</v>
      </c>
      <c r="H239" t="s">
        <v>101</v>
      </c>
      <c r="I239" t="s">
        <v>162</v>
      </c>
      <c r="J239" t="s">
        <v>94</v>
      </c>
      <c r="K239">
        <v>7</v>
      </c>
      <c r="L239">
        <v>1100</v>
      </c>
      <c r="M239">
        <v>7700</v>
      </c>
      <c r="N239" t="s">
        <v>95</v>
      </c>
      <c r="O239" t="s">
        <v>104</v>
      </c>
    </row>
    <row r="240" spans="1:15" x14ac:dyDescent="0.25">
      <c r="A240">
        <v>3333</v>
      </c>
      <c r="B240" s="10">
        <v>45681</v>
      </c>
      <c r="C240">
        <v>24</v>
      </c>
      <c r="D240" t="s">
        <v>130</v>
      </c>
      <c r="E240" t="s">
        <v>25</v>
      </c>
      <c r="F240" t="s">
        <v>49</v>
      </c>
      <c r="G240" t="s">
        <v>118</v>
      </c>
      <c r="H240" t="s">
        <v>101</v>
      </c>
      <c r="I240" t="s">
        <v>123</v>
      </c>
      <c r="J240" t="s">
        <v>94</v>
      </c>
      <c r="K240">
        <v>3</v>
      </c>
      <c r="L240">
        <v>1100</v>
      </c>
      <c r="M240">
        <v>3300</v>
      </c>
      <c r="N240" t="s">
        <v>108</v>
      </c>
      <c r="O240" t="s">
        <v>115</v>
      </c>
    </row>
    <row r="241" spans="1:15" x14ac:dyDescent="0.25">
      <c r="A241">
        <v>3381</v>
      </c>
      <c r="B241" s="10">
        <v>45729</v>
      </c>
      <c r="C241">
        <v>13</v>
      </c>
      <c r="D241" t="s">
        <v>140</v>
      </c>
      <c r="E241" t="s">
        <v>161</v>
      </c>
      <c r="F241" t="s">
        <v>144</v>
      </c>
      <c r="G241" t="s">
        <v>91</v>
      </c>
      <c r="H241" t="s">
        <v>101</v>
      </c>
      <c r="I241" t="s">
        <v>162</v>
      </c>
      <c r="J241" t="s">
        <v>103</v>
      </c>
      <c r="K241">
        <v>5</v>
      </c>
      <c r="L241">
        <v>1100</v>
      </c>
      <c r="M241">
        <v>5500</v>
      </c>
      <c r="N241" t="s">
        <v>95</v>
      </c>
      <c r="O241" t="s">
        <v>115</v>
      </c>
    </row>
    <row r="242" spans="1:15" x14ac:dyDescent="0.25">
      <c r="A242">
        <v>3476</v>
      </c>
      <c r="B242" s="10">
        <v>45783</v>
      </c>
      <c r="C242">
        <v>6</v>
      </c>
      <c r="D242" t="s">
        <v>120</v>
      </c>
      <c r="E242" t="s">
        <v>110</v>
      </c>
      <c r="F242" t="s">
        <v>117</v>
      </c>
      <c r="G242" t="s">
        <v>118</v>
      </c>
      <c r="H242" t="s">
        <v>101</v>
      </c>
      <c r="I242" t="s">
        <v>162</v>
      </c>
      <c r="J242" t="s">
        <v>94</v>
      </c>
      <c r="K242">
        <v>4</v>
      </c>
      <c r="L242">
        <v>1100</v>
      </c>
      <c r="M242">
        <v>4400</v>
      </c>
      <c r="N242" t="s">
        <v>95</v>
      </c>
      <c r="O242" t="s">
        <v>104</v>
      </c>
    </row>
    <row r="243" spans="1:15" x14ac:dyDescent="0.25">
      <c r="A243">
        <v>3555</v>
      </c>
      <c r="B243" s="10">
        <v>45677</v>
      </c>
      <c r="C243">
        <v>20</v>
      </c>
      <c r="D243" t="s">
        <v>130</v>
      </c>
      <c r="E243" t="s">
        <v>110</v>
      </c>
      <c r="F243" t="s">
        <v>22</v>
      </c>
      <c r="G243" t="s">
        <v>91</v>
      </c>
      <c r="H243" t="s">
        <v>101</v>
      </c>
      <c r="I243" t="s">
        <v>162</v>
      </c>
      <c r="J243" t="s">
        <v>94</v>
      </c>
      <c r="K243">
        <v>2</v>
      </c>
      <c r="L243">
        <v>1100</v>
      </c>
      <c r="M243">
        <v>2200</v>
      </c>
      <c r="N243" t="s">
        <v>108</v>
      </c>
      <c r="O243" t="s">
        <v>96</v>
      </c>
    </row>
    <row r="244" spans="1:15" x14ac:dyDescent="0.25">
      <c r="A244">
        <v>3673</v>
      </c>
      <c r="B244" s="10">
        <v>45955</v>
      </c>
      <c r="C244">
        <v>25</v>
      </c>
      <c r="D244" t="s">
        <v>136</v>
      </c>
      <c r="E244" t="s">
        <v>110</v>
      </c>
      <c r="F244" t="s">
        <v>151</v>
      </c>
      <c r="G244" t="s">
        <v>111</v>
      </c>
      <c r="H244" t="s">
        <v>101</v>
      </c>
      <c r="I244" t="s">
        <v>162</v>
      </c>
      <c r="J244" t="s">
        <v>94</v>
      </c>
      <c r="K244">
        <v>6</v>
      </c>
      <c r="L244">
        <v>1100</v>
      </c>
      <c r="M244">
        <v>6600</v>
      </c>
      <c r="N244" t="s">
        <v>95</v>
      </c>
      <c r="O244" t="s">
        <v>104</v>
      </c>
    </row>
    <row r="245" spans="1:15" x14ac:dyDescent="0.25">
      <c r="A245">
        <v>3694</v>
      </c>
      <c r="B245" s="10">
        <v>45996</v>
      </c>
      <c r="C245">
        <v>5</v>
      </c>
      <c r="D245" t="s">
        <v>125</v>
      </c>
      <c r="E245" t="s">
        <v>116</v>
      </c>
      <c r="F245" t="s">
        <v>113</v>
      </c>
      <c r="G245" t="s">
        <v>114</v>
      </c>
      <c r="H245" t="s">
        <v>101</v>
      </c>
      <c r="I245" t="s">
        <v>162</v>
      </c>
      <c r="J245" t="s">
        <v>103</v>
      </c>
      <c r="K245">
        <v>13</v>
      </c>
      <c r="L245">
        <v>1100</v>
      </c>
      <c r="M245">
        <v>14300</v>
      </c>
      <c r="N245" t="s">
        <v>108</v>
      </c>
      <c r="O245" t="s">
        <v>96</v>
      </c>
    </row>
    <row r="246" spans="1:15" x14ac:dyDescent="0.25">
      <c r="A246">
        <v>3767</v>
      </c>
      <c r="B246" s="10">
        <v>45958</v>
      </c>
      <c r="C246">
        <v>28</v>
      </c>
      <c r="D246" t="s">
        <v>136</v>
      </c>
      <c r="E246" t="s">
        <v>150</v>
      </c>
      <c r="F246" t="s">
        <v>22</v>
      </c>
      <c r="G246" t="s">
        <v>91</v>
      </c>
      <c r="H246" t="s">
        <v>101</v>
      </c>
      <c r="I246" t="s">
        <v>162</v>
      </c>
      <c r="J246" t="s">
        <v>94</v>
      </c>
      <c r="K246">
        <v>5</v>
      </c>
      <c r="L246">
        <v>1100</v>
      </c>
      <c r="M246">
        <v>5500</v>
      </c>
      <c r="N246" t="s">
        <v>95</v>
      </c>
      <c r="O246" t="s">
        <v>96</v>
      </c>
    </row>
    <row r="247" spans="1:15" x14ac:dyDescent="0.25">
      <c r="A247">
        <v>4029</v>
      </c>
      <c r="B247" s="10">
        <v>45862</v>
      </c>
      <c r="C247">
        <v>24</v>
      </c>
      <c r="D247" t="s">
        <v>145</v>
      </c>
      <c r="E247" t="s">
        <v>110</v>
      </c>
      <c r="F247" t="s">
        <v>151</v>
      </c>
      <c r="G247" t="s">
        <v>111</v>
      </c>
      <c r="H247" t="s">
        <v>101</v>
      </c>
      <c r="I247" t="s">
        <v>162</v>
      </c>
      <c r="J247" t="s">
        <v>103</v>
      </c>
      <c r="K247">
        <v>11</v>
      </c>
      <c r="L247">
        <v>1100</v>
      </c>
      <c r="M247">
        <v>12100</v>
      </c>
      <c r="N247" t="s">
        <v>108</v>
      </c>
      <c r="O247" t="s">
        <v>115</v>
      </c>
    </row>
    <row r="248" spans="1:15" x14ac:dyDescent="0.25">
      <c r="A248">
        <v>4042</v>
      </c>
      <c r="B248" s="10">
        <v>45981</v>
      </c>
      <c r="C248">
        <v>20</v>
      </c>
      <c r="D248" t="s">
        <v>90</v>
      </c>
      <c r="E248" t="s">
        <v>133</v>
      </c>
      <c r="F248" t="s">
        <v>49</v>
      </c>
      <c r="G248" t="s">
        <v>118</v>
      </c>
      <c r="H248" t="s">
        <v>101</v>
      </c>
      <c r="I248" t="s">
        <v>162</v>
      </c>
      <c r="J248" t="s">
        <v>103</v>
      </c>
      <c r="K248">
        <v>13</v>
      </c>
      <c r="L248">
        <v>1100</v>
      </c>
      <c r="M248">
        <v>14300</v>
      </c>
      <c r="N248" t="s">
        <v>108</v>
      </c>
      <c r="O248" t="s">
        <v>115</v>
      </c>
    </row>
    <row r="249" spans="1:15" x14ac:dyDescent="0.25">
      <c r="A249">
        <v>4096</v>
      </c>
      <c r="B249" s="10">
        <v>45859</v>
      </c>
      <c r="C249">
        <v>21</v>
      </c>
      <c r="D249" t="s">
        <v>145</v>
      </c>
      <c r="E249" t="s">
        <v>161</v>
      </c>
      <c r="F249" t="s">
        <v>117</v>
      </c>
      <c r="G249" t="s">
        <v>118</v>
      </c>
      <c r="H249" t="s">
        <v>101</v>
      </c>
      <c r="I249" t="s">
        <v>162</v>
      </c>
      <c r="J249" t="s">
        <v>94</v>
      </c>
      <c r="K249">
        <v>6</v>
      </c>
      <c r="L249">
        <v>1100</v>
      </c>
      <c r="M249">
        <v>6600</v>
      </c>
      <c r="N249" t="s">
        <v>108</v>
      </c>
      <c r="O249" t="s">
        <v>115</v>
      </c>
    </row>
    <row r="250" spans="1:15" x14ac:dyDescent="0.25">
      <c r="A250">
        <v>4097</v>
      </c>
      <c r="B250" s="10">
        <v>45812</v>
      </c>
      <c r="C250">
        <v>4</v>
      </c>
      <c r="D250" t="s">
        <v>153</v>
      </c>
      <c r="E250" t="s">
        <v>142</v>
      </c>
      <c r="F250" t="s">
        <v>49</v>
      </c>
      <c r="G250" t="s">
        <v>118</v>
      </c>
      <c r="H250" t="s">
        <v>101</v>
      </c>
      <c r="I250" t="s">
        <v>162</v>
      </c>
      <c r="J250" t="s">
        <v>103</v>
      </c>
      <c r="K250">
        <v>5</v>
      </c>
      <c r="L250">
        <v>1100</v>
      </c>
      <c r="M250">
        <v>5500</v>
      </c>
      <c r="N250" t="s">
        <v>95</v>
      </c>
      <c r="O250" t="s">
        <v>115</v>
      </c>
    </row>
    <row r="251" spans="1:15" x14ac:dyDescent="0.25">
      <c r="A251">
        <v>4344</v>
      </c>
      <c r="B251" s="10">
        <v>45754</v>
      </c>
      <c r="C251">
        <v>7</v>
      </c>
      <c r="D251" t="s">
        <v>105</v>
      </c>
      <c r="E251" t="s">
        <v>112</v>
      </c>
      <c r="F251" t="s">
        <v>141</v>
      </c>
      <c r="G251" t="s">
        <v>100</v>
      </c>
      <c r="H251" t="s">
        <v>101</v>
      </c>
      <c r="I251" t="s">
        <v>162</v>
      </c>
      <c r="J251" t="s">
        <v>103</v>
      </c>
      <c r="K251">
        <v>18</v>
      </c>
      <c r="L251">
        <v>1100</v>
      </c>
      <c r="M251">
        <v>19800</v>
      </c>
      <c r="N251" t="s">
        <v>95</v>
      </c>
      <c r="O251" t="s">
        <v>115</v>
      </c>
    </row>
    <row r="252" spans="1:15" x14ac:dyDescent="0.25">
      <c r="A252">
        <v>4457</v>
      </c>
      <c r="B252" s="10">
        <v>45888</v>
      </c>
      <c r="C252">
        <v>19</v>
      </c>
      <c r="D252" t="s">
        <v>109</v>
      </c>
      <c r="E252" t="s">
        <v>133</v>
      </c>
      <c r="F252" t="s">
        <v>28</v>
      </c>
      <c r="G252" t="s">
        <v>126</v>
      </c>
      <c r="H252" t="s">
        <v>101</v>
      </c>
      <c r="I252" t="s">
        <v>162</v>
      </c>
      <c r="J252" t="s">
        <v>94</v>
      </c>
      <c r="K252">
        <v>8</v>
      </c>
      <c r="L252">
        <v>1100</v>
      </c>
      <c r="M252">
        <v>8800</v>
      </c>
      <c r="N252" t="s">
        <v>108</v>
      </c>
      <c r="O252" t="s">
        <v>104</v>
      </c>
    </row>
    <row r="253" spans="1:15" x14ac:dyDescent="0.25">
      <c r="A253">
        <v>4568</v>
      </c>
      <c r="B253" s="10">
        <v>45979</v>
      </c>
      <c r="C253">
        <v>18</v>
      </c>
      <c r="D253" t="s">
        <v>90</v>
      </c>
      <c r="E253" t="s">
        <v>112</v>
      </c>
      <c r="F253" t="s">
        <v>122</v>
      </c>
      <c r="G253" t="s">
        <v>114</v>
      </c>
      <c r="H253" t="s">
        <v>101</v>
      </c>
      <c r="I253" t="s">
        <v>162</v>
      </c>
      <c r="J253" t="s">
        <v>94</v>
      </c>
      <c r="K253">
        <v>6</v>
      </c>
      <c r="L253">
        <v>1100</v>
      </c>
      <c r="M253">
        <v>6600</v>
      </c>
      <c r="N253" t="s">
        <v>108</v>
      </c>
      <c r="O253" t="s">
        <v>104</v>
      </c>
    </row>
    <row r="254" spans="1:15" x14ac:dyDescent="0.25">
      <c r="A254">
        <v>4783</v>
      </c>
      <c r="B254" s="10">
        <v>46018</v>
      </c>
      <c r="C254">
        <v>27</v>
      </c>
      <c r="D254" t="s">
        <v>125</v>
      </c>
      <c r="E254" t="s">
        <v>142</v>
      </c>
      <c r="F254" t="s">
        <v>144</v>
      </c>
      <c r="G254" t="s">
        <v>91</v>
      </c>
      <c r="H254" t="s">
        <v>101</v>
      </c>
      <c r="I254" t="s">
        <v>162</v>
      </c>
      <c r="J254" t="s">
        <v>94</v>
      </c>
      <c r="K254">
        <v>10</v>
      </c>
      <c r="L254">
        <v>1100</v>
      </c>
      <c r="M254">
        <v>11000</v>
      </c>
      <c r="N254" t="s">
        <v>95</v>
      </c>
      <c r="O254" t="s">
        <v>115</v>
      </c>
    </row>
    <row r="255" spans="1:15" x14ac:dyDescent="0.25">
      <c r="A255">
        <v>4839</v>
      </c>
      <c r="B255" s="10">
        <v>45925</v>
      </c>
      <c r="C255">
        <v>25</v>
      </c>
      <c r="D255" t="s">
        <v>147</v>
      </c>
      <c r="E255" t="s">
        <v>112</v>
      </c>
      <c r="F255" t="s">
        <v>117</v>
      </c>
      <c r="G255" t="s">
        <v>118</v>
      </c>
      <c r="H255" t="s">
        <v>101</v>
      </c>
      <c r="I255" t="s">
        <v>162</v>
      </c>
      <c r="J255" t="s">
        <v>103</v>
      </c>
      <c r="K255">
        <v>50</v>
      </c>
      <c r="L255">
        <v>1100</v>
      </c>
      <c r="M255">
        <v>55000</v>
      </c>
      <c r="N255" t="s">
        <v>108</v>
      </c>
      <c r="O255" t="s">
        <v>115</v>
      </c>
    </row>
    <row r="256" spans="1:15" x14ac:dyDescent="0.25">
      <c r="A256">
        <v>4945</v>
      </c>
      <c r="B256" s="10">
        <v>45995</v>
      </c>
      <c r="C256">
        <v>4</v>
      </c>
      <c r="D256" t="s">
        <v>125</v>
      </c>
      <c r="E256" t="s">
        <v>137</v>
      </c>
      <c r="F256" t="s">
        <v>141</v>
      </c>
      <c r="G256" t="s">
        <v>100</v>
      </c>
      <c r="H256" t="s">
        <v>101</v>
      </c>
      <c r="I256" t="s">
        <v>123</v>
      </c>
      <c r="J256" t="s">
        <v>94</v>
      </c>
      <c r="K256">
        <v>6</v>
      </c>
      <c r="L256">
        <v>1100</v>
      </c>
      <c r="M256">
        <v>6600</v>
      </c>
      <c r="N256" t="s">
        <v>95</v>
      </c>
      <c r="O256" t="s">
        <v>104</v>
      </c>
    </row>
    <row r="257" spans="1:15" x14ac:dyDescent="0.25">
      <c r="A257">
        <v>4982</v>
      </c>
      <c r="B257" s="10">
        <v>45994</v>
      </c>
      <c r="C257">
        <v>3</v>
      </c>
      <c r="D257" t="s">
        <v>125</v>
      </c>
      <c r="E257" t="s">
        <v>106</v>
      </c>
      <c r="F257" t="s">
        <v>117</v>
      </c>
      <c r="G257" t="s">
        <v>118</v>
      </c>
      <c r="H257" t="s">
        <v>101</v>
      </c>
      <c r="I257" t="s">
        <v>162</v>
      </c>
      <c r="J257" t="s">
        <v>103</v>
      </c>
      <c r="K257">
        <v>50</v>
      </c>
      <c r="L257">
        <v>1100</v>
      </c>
      <c r="M257">
        <v>55000</v>
      </c>
      <c r="N257" t="s">
        <v>108</v>
      </c>
      <c r="O257" t="s">
        <v>96</v>
      </c>
    </row>
    <row r="258" spans="1:15" x14ac:dyDescent="0.25">
      <c r="A258">
        <v>99</v>
      </c>
      <c r="B258" s="10">
        <v>45959</v>
      </c>
      <c r="C258">
        <v>29</v>
      </c>
      <c r="D258" t="s">
        <v>136</v>
      </c>
      <c r="E258" t="s">
        <v>142</v>
      </c>
      <c r="F258" t="s">
        <v>44</v>
      </c>
      <c r="G258" t="s">
        <v>111</v>
      </c>
      <c r="H258" t="s">
        <v>101</v>
      </c>
      <c r="I258" t="s">
        <v>162</v>
      </c>
      <c r="J258" t="s">
        <v>94</v>
      </c>
      <c r="K258">
        <v>10</v>
      </c>
      <c r="L258">
        <v>1200</v>
      </c>
      <c r="M258">
        <v>12000</v>
      </c>
      <c r="N258" t="s">
        <v>95</v>
      </c>
      <c r="O258" t="s">
        <v>104</v>
      </c>
    </row>
    <row r="259" spans="1:15" x14ac:dyDescent="0.25">
      <c r="A259">
        <v>188</v>
      </c>
      <c r="B259" s="10">
        <v>45882</v>
      </c>
      <c r="C259">
        <v>13</v>
      </c>
      <c r="D259" t="s">
        <v>109</v>
      </c>
      <c r="E259" t="s">
        <v>133</v>
      </c>
      <c r="F259" t="s">
        <v>107</v>
      </c>
      <c r="G259" t="s">
        <v>100</v>
      </c>
      <c r="H259" t="s">
        <v>101</v>
      </c>
      <c r="I259" t="s">
        <v>162</v>
      </c>
      <c r="J259" t="s">
        <v>94</v>
      </c>
      <c r="K259">
        <v>6</v>
      </c>
      <c r="L259">
        <v>1200</v>
      </c>
      <c r="M259">
        <v>7200</v>
      </c>
      <c r="N259" t="s">
        <v>108</v>
      </c>
      <c r="O259" t="s">
        <v>115</v>
      </c>
    </row>
    <row r="260" spans="1:15" x14ac:dyDescent="0.25">
      <c r="A260">
        <v>423</v>
      </c>
      <c r="B260" s="10">
        <v>45734</v>
      </c>
      <c r="C260">
        <v>18</v>
      </c>
      <c r="D260" t="s">
        <v>140</v>
      </c>
      <c r="E260" t="s">
        <v>25</v>
      </c>
      <c r="F260" t="s">
        <v>148</v>
      </c>
      <c r="G260" t="s">
        <v>118</v>
      </c>
      <c r="H260" t="s">
        <v>101</v>
      </c>
      <c r="I260" t="s">
        <v>162</v>
      </c>
      <c r="J260" t="s">
        <v>94</v>
      </c>
      <c r="K260">
        <v>5</v>
      </c>
      <c r="L260">
        <v>1200</v>
      </c>
      <c r="M260">
        <v>6000</v>
      </c>
      <c r="N260" t="s">
        <v>108</v>
      </c>
      <c r="O260" t="s">
        <v>115</v>
      </c>
    </row>
    <row r="261" spans="1:15" x14ac:dyDescent="0.25">
      <c r="A261">
        <v>481</v>
      </c>
      <c r="B261" s="10">
        <v>45856</v>
      </c>
      <c r="C261">
        <v>18</v>
      </c>
      <c r="D261" t="s">
        <v>145</v>
      </c>
      <c r="E261" t="s">
        <v>161</v>
      </c>
      <c r="F261" t="s">
        <v>22</v>
      </c>
      <c r="G261" t="s">
        <v>91</v>
      </c>
      <c r="H261" t="s">
        <v>101</v>
      </c>
      <c r="I261" t="s">
        <v>162</v>
      </c>
      <c r="J261" t="s">
        <v>94</v>
      </c>
      <c r="K261">
        <v>6</v>
      </c>
      <c r="L261">
        <v>1200</v>
      </c>
      <c r="M261">
        <v>7200</v>
      </c>
      <c r="N261" t="s">
        <v>95</v>
      </c>
      <c r="O261" t="s">
        <v>96</v>
      </c>
    </row>
    <row r="262" spans="1:15" x14ac:dyDescent="0.25">
      <c r="A262">
        <v>629</v>
      </c>
      <c r="B262" s="10">
        <v>46005</v>
      </c>
      <c r="C262">
        <v>14</v>
      </c>
      <c r="D262" t="s">
        <v>125</v>
      </c>
      <c r="E262" t="s">
        <v>110</v>
      </c>
      <c r="F262" t="s">
        <v>49</v>
      </c>
      <c r="G262" t="s">
        <v>118</v>
      </c>
      <c r="H262" t="s">
        <v>101</v>
      </c>
      <c r="I262" t="s">
        <v>162</v>
      </c>
      <c r="J262" t="s">
        <v>94</v>
      </c>
      <c r="K262">
        <v>5</v>
      </c>
      <c r="L262">
        <v>1200</v>
      </c>
      <c r="M262">
        <v>6000</v>
      </c>
      <c r="N262" t="s">
        <v>108</v>
      </c>
      <c r="O262" t="s">
        <v>115</v>
      </c>
    </row>
    <row r="263" spans="1:15" x14ac:dyDescent="0.25">
      <c r="A263">
        <v>664</v>
      </c>
      <c r="B263" s="10">
        <v>45897</v>
      </c>
      <c r="C263">
        <v>28</v>
      </c>
      <c r="D263" t="s">
        <v>109</v>
      </c>
      <c r="E263" t="s">
        <v>116</v>
      </c>
      <c r="F263" t="s">
        <v>141</v>
      </c>
      <c r="G263" t="s">
        <v>100</v>
      </c>
      <c r="H263" t="s">
        <v>101</v>
      </c>
      <c r="I263" t="s">
        <v>162</v>
      </c>
      <c r="J263" t="s">
        <v>94</v>
      </c>
      <c r="K263">
        <v>2</v>
      </c>
      <c r="L263">
        <v>1200</v>
      </c>
      <c r="M263">
        <v>2400</v>
      </c>
      <c r="N263" t="s">
        <v>95</v>
      </c>
      <c r="O263" t="s">
        <v>115</v>
      </c>
    </row>
    <row r="264" spans="1:15" x14ac:dyDescent="0.25">
      <c r="A264">
        <v>731</v>
      </c>
      <c r="B264" s="10">
        <v>45867</v>
      </c>
      <c r="C264">
        <v>29</v>
      </c>
      <c r="D264" t="s">
        <v>145</v>
      </c>
      <c r="E264" t="s">
        <v>133</v>
      </c>
      <c r="F264" t="s">
        <v>28</v>
      </c>
      <c r="G264" t="s">
        <v>126</v>
      </c>
      <c r="H264" t="s">
        <v>101</v>
      </c>
      <c r="I264" t="s">
        <v>162</v>
      </c>
      <c r="J264" t="s">
        <v>94</v>
      </c>
      <c r="K264">
        <v>4</v>
      </c>
      <c r="L264">
        <v>1200</v>
      </c>
      <c r="M264">
        <v>4800</v>
      </c>
      <c r="N264" t="s">
        <v>108</v>
      </c>
      <c r="O264" t="s">
        <v>96</v>
      </c>
    </row>
    <row r="265" spans="1:15" x14ac:dyDescent="0.25">
      <c r="A265">
        <v>767</v>
      </c>
      <c r="B265" s="10">
        <v>45802</v>
      </c>
      <c r="C265">
        <v>25</v>
      </c>
      <c r="D265" t="s">
        <v>120</v>
      </c>
      <c r="E265" t="s">
        <v>112</v>
      </c>
      <c r="F265" t="s">
        <v>113</v>
      </c>
      <c r="G265" t="s">
        <v>114</v>
      </c>
      <c r="H265" t="s">
        <v>101</v>
      </c>
      <c r="I265" t="s">
        <v>162</v>
      </c>
      <c r="J265" t="s">
        <v>94</v>
      </c>
      <c r="K265">
        <v>9</v>
      </c>
      <c r="L265">
        <v>1200</v>
      </c>
      <c r="M265">
        <v>10800</v>
      </c>
      <c r="N265" t="s">
        <v>95</v>
      </c>
      <c r="O265" t="s">
        <v>115</v>
      </c>
    </row>
    <row r="266" spans="1:15" x14ac:dyDescent="0.25">
      <c r="A266">
        <v>836</v>
      </c>
      <c r="B266" s="10">
        <v>45706</v>
      </c>
      <c r="C266">
        <v>18</v>
      </c>
      <c r="D266" t="s">
        <v>97</v>
      </c>
      <c r="E266" t="s">
        <v>110</v>
      </c>
      <c r="F266" t="s">
        <v>113</v>
      </c>
      <c r="G266" t="s">
        <v>114</v>
      </c>
      <c r="H266" t="s">
        <v>101</v>
      </c>
      <c r="I266" t="s">
        <v>162</v>
      </c>
      <c r="J266" t="s">
        <v>94</v>
      </c>
      <c r="K266">
        <v>8</v>
      </c>
      <c r="L266">
        <v>1200</v>
      </c>
      <c r="M266">
        <v>9600</v>
      </c>
      <c r="N266" t="s">
        <v>95</v>
      </c>
      <c r="O266" t="s">
        <v>115</v>
      </c>
    </row>
    <row r="267" spans="1:15" x14ac:dyDescent="0.25">
      <c r="A267">
        <v>847</v>
      </c>
      <c r="B267" s="10">
        <v>45971</v>
      </c>
      <c r="C267">
        <v>10</v>
      </c>
      <c r="D267" t="s">
        <v>90</v>
      </c>
      <c r="E267" t="s">
        <v>128</v>
      </c>
      <c r="F267" t="s">
        <v>36</v>
      </c>
      <c r="G267" t="s">
        <v>100</v>
      </c>
      <c r="H267" t="s">
        <v>101</v>
      </c>
      <c r="I267" t="s">
        <v>162</v>
      </c>
      <c r="J267" t="s">
        <v>94</v>
      </c>
      <c r="K267">
        <v>2</v>
      </c>
      <c r="L267">
        <v>1200</v>
      </c>
      <c r="M267">
        <v>2400</v>
      </c>
      <c r="N267" t="s">
        <v>108</v>
      </c>
      <c r="O267" t="s">
        <v>96</v>
      </c>
    </row>
    <row r="268" spans="1:15" x14ac:dyDescent="0.25">
      <c r="A268">
        <v>950</v>
      </c>
      <c r="B268" s="10">
        <v>45729</v>
      </c>
      <c r="C268">
        <v>13</v>
      </c>
      <c r="D268" t="s">
        <v>140</v>
      </c>
      <c r="E268" t="s">
        <v>106</v>
      </c>
      <c r="F268" t="s">
        <v>28</v>
      </c>
      <c r="G268" t="s">
        <v>126</v>
      </c>
      <c r="H268" t="s">
        <v>101</v>
      </c>
      <c r="I268" t="s">
        <v>162</v>
      </c>
      <c r="J268" t="s">
        <v>94</v>
      </c>
      <c r="K268">
        <v>9</v>
      </c>
      <c r="L268">
        <v>1200</v>
      </c>
      <c r="M268">
        <v>10800</v>
      </c>
      <c r="N268" t="s">
        <v>108</v>
      </c>
      <c r="O268" t="s">
        <v>115</v>
      </c>
    </row>
    <row r="269" spans="1:15" x14ac:dyDescent="0.25">
      <c r="A269">
        <v>975</v>
      </c>
      <c r="B269" s="10">
        <v>45899</v>
      </c>
      <c r="C269">
        <v>30</v>
      </c>
      <c r="D269" t="s">
        <v>109</v>
      </c>
      <c r="E269" t="s">
        <v>128</v>
      </c>
      <c r="F269" t="s">
        <v>113</v>
      </c>
      <c r="G269" t="s">
        <v>114</v>
      </c>
      <c r="H269" t="s">
        <v>101</v>
      </c>
      <c r="I269" t="s">
        <v>162</v>
      </c>
      <c r="J269" t="s">
        <v>94</v>
      </c>
      <c r="K269">
        <v>1</v>
      </c>
      <c r="L269">
        <v>1200</v>
      </c>
      <c r="M269">
        <v>1200</v>
      </c>
      <c r="N269" t="s">
        <v>108</v>
      </c>
      <c r="O269" t="s">
        <v>96</v>
      </c>
    </row>
    <row r="270" spans="1:15" x14ac:dyDescent="0.25">
      <c r="A270">
        <v>985</v>
      </c>
      <c r="B270" s="10">
        <v>45918</v>
      </c>
      <c r="C270">
        <v>18</v>
      </c>
      <c r="D270" t="s">
        <v>147</v>
      </c>
      <c r="E270" t="s">
        <v>121</v>
      </c>
      <c r="F270" t="s">
        <v>44</v>
      </c>
      <c r="G270" t="s">
        <v>111</v>
      </c>
      <c r="H270" t="s">
        <v>101</v>
      </c>
      <c r="I270" t="s">
        <v>162</v>
      </c>
      <c r="J270" t="s">
        <v>94</v>
      </c>
      <c r="K270">
        <v>10</v>
      </c>
      <c r="L270">
        <v>1200</v>
      </c>
      <c r="M270">
        <v>12000</v>
      </c>
      <c r="N270" t="s">
        <v>95</v>
      </c>
      <c r="O270" t="s">
        <v>96</v>
      </c>
    </row>
    <row r="271" spans="1:15" x14ac:dyDescent="0.25">
      <c r="A271">
        <v>1056</v>
      </c>
      <c r="B271" s="10">
        <v>45944</v>
      </c>
      <c r="C271">
        <v>14</v>
      </c>
      <c r="D271" t="s">
        <v>136</v>
      </c>
      <c r="E271" t="s">
        <v>31</v>
      </c>
      <c r="F271" t="s">
        <v>49</v>
      </c>
      <c r="G271" t="s">
        <v>118</v>
      </c>
      <c r="H271" t="s">
        <v>101</v>
      </c>
      <c r="I271" t="s">
        <v>162</v>
      </c>
      <c r="J271" t="s">
        <v>94</v>
      </c>
      <c r="K271">
        <v>10</v>
      </c>
      <c r="L271">
        <v>1200</v>
      </c>
      <c r="M271">
        <v>12000</v>
      </c>
      <c r="N271" t="s">
        <v>95</v>
      </c>
      <c r="O271" t="s">
        <v>115</v>
      </c>
    </row>
    <row r="272" spans="1:15" x14ac:dyDescent="0.25">
      <c r="A272">
        <v>1083</v>
      </c>
      <c r="B272" s="10">
        <v>45947</v>
      </c>
      <c r="C272">
        <v>17</v>
      </c>
      <c r="D272" t="s">
        <v>136</v>
      </c>
      <c r="E272" t="s">
        <v>98</v>
      </c>
      <c r="F272" t="s">
        <v>122</v>
      </c>
      <c r="G272" t="s">
        <v>114</v>
      </c>
      <c r="H272" t="s">
        <v>101</v>
      </c>
      <c r="I272" t="s">
        <v>162</v>
      </c>
      <c r="J272" t="s">
        <v>94</v>
      </c>
      <c r="K272">
        <v>2</v>
      </c>
      <c r="L272">
        <v>1200</v>
      </c>
      <c r="M272">
        <v>2400</v>
      </c>
      <c r="N272" t="s">
        <v>95</v>
      </c>
      <c r="O272" t="s">
        <v>96</v>
      </c>
    </row>
    <row r="273" spans="1:15" x14ac:dyDescent="0.25">
      <c r="A273">
        <v>1208</v>
      </c>
      <c r="B273" s="10">
        <v>45731</v>
      </c>
      <c r="C273">
        <v>15</v>
      </c>
      <c r="D273" t="s">
        <v>140</v>
      </c>
      <c r="E273" t="s">
        <v>121</v>
      </c>
      <c r="F273" t="s">
        <v>107</v>
      </c>
      <c r="G273" t="s">
        <v>100</v>
      </c>
      <c r="H273" t="s">
        <v>101</v>
      </c>
      <c r="I273" t="s">
        <v>162</v>
      </c>
      <c r="J273" t="s">
        <v>94</v>
      </c>
      <c r="K273">
        <v>3</v>
      </c>
      <c r="L273">
        <v>1200</v>
      </c>
      <c r="M273">
        <v>3600</v>
      </c>
      <c r="N273" t="s">
        <v>108</v>
      </c>
      <c r="O273" t="s">
        <v>104</v>
      </c>
    </row>
    <row r="274" spans="1:15" x14ac:dyDescent="0.25">
      <c r="A274">
        <v>1261</v>
      </c>
      <c r="B274" s="10">
        <v>45996</v>
      </c>
      <c r="C274">
        <v>5</v>
      </c>
      <c r="D274" t="s">
        <v>125</v>
      </c>
      <c r="E274" t="s">
        <v>128</v>
      </c>
      <c r="F274" t="s">
        <v>141</v>
      </c>
      <c r="G274" t="s">
        <v>100</v>
      </c>
      <c r="H274" t="s">
        <v>101</v>
      </c>
      <c r="I274" t="s">
        <v>162</v>
      </c>
      <c r="J274" t="s">
        <v>94</v>
      </c>
      <c r="K274">
        <v>10</v>
      </c>
      <c r="L274">
        <v>1200</v>
      </c>
      <c r="M274">
        <v>12000</v>
      </c>
      <c r="N274" t="s">
        <v>108</v>
      </c>
      <c r="O274" t="s">
        <v>104</v>
      </c>
    </row>
    <row r="275" spans="1:15" x14ac:dyDescent="0.25">
      <c r="A275">
        <v>1280</v>
      </c>
      <c r="B275" s="10">
        <v>45710</v>
      </c>
      <c r="C275">
        <v>22</v>
      </c>
      <c r="D275" t="s">
        <v>97</v>
      </c>
      <c r="E275" t="s">
        <v>161</v>
      </c>
      <c r="F275" t="s">
        <v>99</v>
      </c>
      <c r="G275" t="s">
        <v>100</v>
      </c>
      <c r="H275" t="s">
        <v>101</v>
      </c>
      <c r="I275" t="s">
        <v>162</v>
      </c>
      <c r="J275" t="s">
        <v>94</v>
      </c>
      <c r="K275">
        <v>4</v>
      </c>
      <c r="L275">
        <v>1200</v>
      </c>
      <c r="M275">
        <v>4800</v>
      </c>
      <c r="N275" t="s">
        <v>95</v>
      </c>
      <c r="O275" t="s">
        <v>104</v>
      </c>
    </row>
    <row r="276" spans="1:15" x14ac:dyDescent="0.25">
      <c r="A276">
        <v>1413</v>
      </c>
      <c r="B276" s="10">
        <v>45864</v>
      </c>
      <c r="C276">
        <v>26</v>
      </c>
      <c r="D276" t="s">
        <v>145</v>
      </c>
      <c r="E276" t="s">
        <v>25</v>
      </c>
      <c r="F276" t="s">
        <v>144</v>
      </c>
      <c r="G276" t="s">
        <v>91</v>
      </c>
      <c r="H276" t="s">
        <v>101</v>
      </c>
      <c r="I276" t="s">
        <v>162</v>
      </c>
      <c r="J276" t="s">
        <v>94</v>
      </c>
      <c r="K276">
        <v>6</v>
      </c>
      <c r="L276">
        <v>1200</v>
      </c>
      <c r="M276">
        <v>7200</v>
      </c>
      <c r="N276" t="s">
        <v>95</v>
      </c>
      <c r="O276" t="s">
        <v>104</v>
      </c>
    </row>
    <row r="277" spans="1:15" x14ac:dyDescent="0.25">
      <c r="A277">
        <v>1455</v>
      </c>
      <c r="B277" s="10">
        <v>45837</v>
      </c>
      <c r="C277">
        <v>29</v>
      </c>
      <c r="D277" t="s">
        <v>153</v>
      </c>
      <c r="E277" t="s">
        <v>128</v>
      </c>
      <c r="F277" t="s">
        <v>44</v>
      </c>
      <c r="G277" t="s">
        <v>111</v>
      </c>
      <c r="H277" t="s">
        <v>101</v>
      </c>
      <c r="I277" t="s">
        <v>162</v>
      </c>
      <c r="J277" t="s">
        <v>94</v>
      </c>
      <c r="K277">
        <v>2</v>
      </c>
      <c r="L277">
        <v>1200</v>
      </c>
      <c r="M277">
        <v>2400</v>
      </c>
      <c r="N277" t="s">
        <v>108</v>
      </c>
      <c r="O277" t="s">
        <v>104</v>
      </c>
    </row>
    <row r="278" spans="1:15" x14ac:dyDescent="0.25">
      <c r="A278">
        <v>1506</v>
      </c>
      <c r="B278" s="10">
        <v>45869</v>
      </c>
      <c r="C278">
        <v>31</v>
      </c>
      <c r="D278" t="s">
        <v>145</v>
      </c>
      <c r="E278" t="s">
        <v>161</v>
      </c>
      <c r="F278" t="s">
        <v>117</v>
      </c>
      <c r="G278" t="s">
        <v>118</v>
      </c>
      <c r="H278" t="s">
        <v>101</v>
      </c>
      <c r="I278" t="s">
        <v>162</v>
      </c>
      <c r="J278" t="s">
        <v>94</v>
      </c>
      <c r="K278">
        <v>1</v>
      </c>
      <c r="L278">
        <v>1200</v>
      </c>
      <c r="M278">
        <v>1200</v>
      </c>
      <c r="N278" t="s">
        <v>95</v>
      </c>
      <c r="O278" t="s">
        <v>104</v>
      </c>
    </row>
    <row r="279" spans="1:15" x14ac:dyDescent="0.25">
      <c r="A279">
        <v>1567</v>
      </c>
      <c r="B279" s="10">
        <v>45880</v>
      </c>
      <c r="C279">
        <v>11</v>
      </c>
      <c r="D279" t="s">
        <v>109</v>
      </c>
      <c r="E279" t="s">
        <v>31</v>
      </c>
      <c r="F279" t="s">
        <v>151</v>
      </c>
      <c r="G279" t="s">
        <v>111</v>
      </c>
      <c r="H279" t="s">
        <v>101</v>
      </c>
      <c r="I279" t="s">
        <v>162</v>
      </c>
      <c r="J279" t="s">
        <v>94</v>
      </c>
      <c r="K279">
        <v>3</v>
      </c>
      <c r="L279">
        <v>1200</v>
      </c>
      <c r="M279">
        <v>3600</v>
      </c>
      <c r="N279" t="s">
        <v>95</v>
      </c>
      <c r="O279" t="s">
        <v>115</v>
      </c>
    </row>
    <row r="280" spans="1:15" x14ac:dyDescent="0.25">
      <c r="A280">
        <v>1671</v>
      </c>
      <c r="B280" s="10">
        <v>45950</v>
      </c>
      <c r="C280">
        <v>20</v>
      </c>
      <c r="D280" t="s">
        <v>136</v>
      </c>
      <c r="E280" t="s">
        <v>116</v>
      </c>
      <c r="F280" t="s">
        <v>44</v>
      </c>
      <c r="G280" t="s">
        <v>111</v>
      </c>
      <c r="H280" t="s">
        <v>101</v>
      </c>
      <c r="I280" t="s">
        <v>162</v>
      </c>
      <c r="J280" t="s">
        <v>94</v>
      </c>
      <c r="K280">
        <v>1</v>
      </c>
      <c r="L280">
        <v>1200</v>
      </c>
      <c r="M280">
        <v>1200</v>
      </c>
      <c r="N280" t="s">
        <v>108</v>
      </c>
      <c r="O280" t="s">
        <v>96</v>
      </c>
    </row>
    <row r="281" spans="1:15" x14ac:dyDescent="0.25">
      <c r="A281">
        <v>1681</v>
      </c>
      <c r="B281" s="10">
        <v>45897</v>
      </c>
      <c r="C281">
        <v>28</v>
      </c>
      <c r="D281" t="s">
        <v>109</v>
      </c>
      <c r="E281" t="s">
        <v>25</v>
      </c>
      <c r="F281" t="s">
        <v>36</v>
      </c>
      <c r="G281" t="s">
        <v>100</v>
      </c>
      <c r="H281" t="s">
        <v>101</v>
      </c>
      <c r="I281" t="s">
        <v>162</v>
      </c>
      <c r="J281" t="s">
        <v>94</v>
      </c>
      <c r="K281">
        <v>10</v>
      </c>
      <c r="L281">
        <v>1200</v>
      </c>
      <c r="M281">
        <v>12000</v>
      </c>
      <c r="N281" t="s">
        <v>108</v>
      </c>
      <c r="O281" t="s">
        <v>96</v>
      </c>
    </row>
    <row r="282" spans="1:15" x14ac:dyDescent="0.25">
      <c r="A282">
        <v>2009</v>
      </c>
      <c r="B282" s="10">
        <v>45708</v>
      </c>
      <c r="C282">
        <v>20</v>
      </c>
      <c r="D282" t="s">
        <v>97</v>
      </c>
      <c r="E282" t="s">
        <v>138</v>
      </c>
      <c r="F282" t="s">
        <v>134</v>
      </c>
      <c r="G282" t="s">
        <v>100</v>
      </c>
      <c r="H282" t="s">
        <v>101</v>
      </c>
      <c r="I282" t="s">
        <v>162</v>
      </c>
      <c r="J282" t="s">
        <v>94</v>
      </c>
      <c r="K282">
        <v>3</v>
      </c>
      <c r="L282">
        <v>1200</v>
      </c>
      <c r="M282">
        <v>3600</v>
      </c>
      <c r="N282" t="s">
        <v>95</v>
      </c>
      <c r="O282" t="s">
        <v>96</v>
      </c>
    </row>
    <row r="283" spans="1:15" x14ac:dyDescent="0.25">
      <c r="A283">
        <v>2045</v>
      </c>
      <c r="B283" s="10">
        <v>45738</v>
      </c>
      <c r="C283">
        <v>22</v>
      </c>
      <c r="D283" t="s">
        <v>140</v>
      </c>
      <c r="E283" t="s">
        <v>138</v>
      </c>
      <c r="F283" t="s">
        <v>49</v>
      </c>
      <c r="G283" t="s">
        <v>118</v>
      </c>
      <c r="H283" t="s">
        <v>101</v>
      </c>
      <c r="I283" t="s">
        <v>162</v>
      </c>
      <c r="J283" t="s">
        <v>94</v>
      </c>
      <c r="K283">
        <v>1</v>
      </c>
      <c r="L283">
        <v>1200</v>
      </c>
      <c r="M283">
        <v>1200</v>
      </c>
      <c r="N283" t="s">
        <v>108</v>
      </c>
      <c r="O283" t="s">
        <v>115</v>
      </c>
    </row>
    <row r="284" spans="1:15" x14ac:dyDescent="0.25">
      <c r="A284">
        <v>2053</v>
      </c>
      <c r="B284" s="10">
        <v>45920</v>
      </c>
      <c r="C284">
        <v>20</v>
      </c>
      <c r="D284" t="s">
        <v>147</v>
      </c>
      <c r="E284" t="s">
        <v>121</v>
      </c>
      <c r="F284" t="s">
        <v>22</v>
      </c>
      <c r="G284" t="s">
        <v>91</v>
      </c>
      <c r="H284" t="s">
        <v>101</v>
      </c>
      <c r="I284" t="s">
        <v>162</v>
      </c>
      <c r="J284" t="s">
        <v>94</v>
      </c>
      <c r="K284">
        <v>7</v>
      </c>
      <c r="L284">
        <v>1200</v>
      </c>
      <c r="M284">
        <v>8400</v>
      </c>
      <c r="N284" t="s">
        <v>95</v>
      </c>
      <c r="O284" t="s">
        <v>104</v>
      </c>
    </row>
    <row r="285" spans="1:15" x14ac:dyDescent="0.25">
      <c r="A285">
        <v>2202</v>
      </c>
      <c r="B285" s="10">
        <v>45839</v>
      </c>
      <c r="C285">
        <v>1</v>
      </c>
      <c r="D285" t="s">
        <v>145</v>
      </c>
      <c r="E285" t="s">
        <v>112</v>
      </c>
      <c r="F285" t="s">
        <v>22</v>
      </c>
      <c r="G285" t="s">
        <v>91</v>
      </c>
      <c r="H285" t="s">
        <v>101</v>
      </c>
      <c r="I285" t="s">
        <v>162</v>
      </c>
      <c r="J285" t="s">
        <v>94</v>
      </c>
      <c r="K285">
        <v>3</v>
      </c>
      <c r="L285">
        <v>1200</v>
      </c>
      <c r="M285">
        <v>3600</v>
      </c>
      <c r="N285" t="s">
        <v>95</v>
      </c>
      <c r="O285" t="s">
        <v>104</v>
      </c>
    </row>
    <row r="286" spans="1:15" x14ac:dyDescent="0.25">
      <c r="A286">
        <v>2212</v>
      </c>
      <c r="B286" s="10">
        <v>45920</v>
      </c>
      <c r="C286">
        <v>20</v>
      </c>
      <c r="D286" t="s">
        <v>147</v>
      </c>
      <c r="E286" t="s">
        <v>110</v>
      </c>
      <c r="F286" t="s">
        <v>141</v>
      </c>
      <c r="G286" t="s">
        <v>100</v>
      </c>
      <c r="H286" t="s">
        <v>101</v>
      </c>
      <c r="I286" t="s">
        <v>162</v>
      </c>
      <c r="J286" t="s">
        <v>94</v>
      </c>
      <c r="K286">
        <v>4</v>
      </c>
      <c r="L286">
        <v>1200</v>
      </c>
      <c r="M286">
        <v>4800</v>
      </c>
      <c r="N286" t="s">
        <v>95</v>
      </c>
      <c r="O286" t="s">
        <v>115</v>
      </c>
    </row>
    <row r="287" spans="1:15" x14ac:dyDescent="0.25">
      <c r="A287">
        <v>2318</v>
      </c>
      <c r="B287" s="10">
        <v>45748</v>
      </c>
      <c r="C287">
        <v>1</v>
      </c>
      <c r="D287" t="s">
        <v>105</v>
      </c>
      <c r="E287" t="s">
        <v>133</v>
      </c>
      <c r="F287" t="s">
        <v>134</v>
      </c>
      <c r="G287" t="s">
        <v>100</v>
      </c>
      <c r="H287" t="s">
        <v>101</v>
      </c>
      <c r="I287" t="s">
        <v>162</v>
      </c>
      <c r="J287" t="s">
        <v>94</v>
      </c>
      <c r="K287">
        <v>10</v>
      </c>
      <c r="L287">
        <v>1200</v>
      </c>
      <c r="M287">
        <v>12000</v>
      </c>
      <c r="N287" t="s">
        <v>108</v>
      </c>
      <c r="O287" t="s">
        <v>96</v>
      </c>
    </row>
    <row r="288" spans="1:15" x14ac:dyDescent="0.25">
      <c r="A288">
        <v>2342</v>
      </c>
      <c r="B288" s="10">
        <v>45746</v>
      </c>
      <c r="C288">
        <v>30</v>
      </c>
      <c r="D288" t="s">
        <v>140</v>
      </c>
      <c r="E288" t="s">
        <v>138</v>
      </c>
      <c r="F288" t="s">
        <v>148</v>
      </c>
      <c r="G288" t="s">
        <v>118</v>
      </c>
      <c r="H288" t="s">
        <v>101</v>
      </c>
      <c r="I288" t="s">
        <v>162</v>
      </c>
      <c r="J288" t="s">
        <v>94</v>
      </c>
      <c r="K288">
        <v>7</v>
      </c>
      <c r="L288">
        <v>1200</v>
      </c>
      <c r="M288">
        <v>8400</v>
      </c>
      <c r="N288" t="s">
        <v>95</v>
      </c>
      <c r="O288" t="s">
        <v>104</v>
      </c>
    </row>
    <row r="289" spans="1:15" x14ac:dyDescent="0.25">
      <c r="A289">
        <v>2511</v>
      </c>
      <c r="B289" s="10">
        <v>45966</v>
      </c>
      <c r="C289">
        <v>5</v>
      </c>
      <c r="D289" t="s">
        <v>90</v>
      </c>
      <c r="E289" t="s">
        <v>133</v>
      </c>
      <c r="F289" t="s">
        <v>113</v>
      </c>
      <c r="G289" t="s">
        <v>114</v>
      </c>
      <c r="H289" t="s">
        <v>101</v>
      </c>
      <c r="I289" t="s">
        <v>162</v>
      </c>
      <c r="J289" t="s">
        <v>94</v>
      </c>
      <c r="K289">
        <v>8</v>
      </c>
      <c r="L289">
        <v>1200</v>
      </c>
      <c r="M289">
        <v>9600</v>
      </c>
      <c r="N289" t="s">
        <v>95</v>
      </c>
      <c r="O289" t="s">
        <v>96</v>
      </c>
    </row>
    <row r="290" spans="1:15" x14ac:dyDescent="0.25">
      <c r="A290">
        <v>2637</v>
      </c>
      <c r="B290" s="10">
        <v>45941</v>
      </c>
      <c r="C290">
        <v>11</v>
      </c>
      <c r="D290" t="s">
        <v>136</v>
      </c>
      <c r="E290" t="s">
        <v>106</v>
      </c>
      <c r="F290" t="s">
        <v>144</v>
      </c>
      <c r="G290" t="s">
        <v>91</v>
      </c>
      <c r="H290" t="s">
        <v>101</v>
      </c>
      <c r="I290" t="s">
        <v>162</v>
      </c>
      <c r="J290" t="s">
        <v>94</v>
      </c>
      <c r="K290">
        <v>2</v>
      </c>
      <c r="L290">
        <v>1200</v>
      </c>
      <c r="M290">
        <v>2400</v>
      </c>
      <c r="N290" t="s">
        <v>108</v>
      </c>
      <c r="O290" t="s">
        <v>96</v>
      </c>
    </row>
    <row r="291" spans="1:15" x14ac:dyDescent="0.25">
      <c r="A291">
        <v>2762</v>
      </c>
      <c r="B291" s="10">
        <v>45743</v>
      </c>
      <c r="C291">
        <v>27</v>
      </c>
      <c r="D291" t="s">
        <v>140</v>
      </c>
      <c r="E291" t="s">
        <v>25</v>
      </c>
      <c r="F291" t="s">
        <v>122</v>
      </c>
      <c r="G291" t="s">
        <v>114</v>
      </c>
      <c r="H291" t="s">
        <v>101</v>
      </c>
      <c r="I291" t="s">
        <v>162</v>
      </c>
      <c r="J291" t="s">
        <v>94</v>
      </c>
      <c r="K291">
        <v>5</v>
      </c>
      <c r="L291">
        <v>1200</v>
      </c>
      <c r="M291">
        <v>6000</v>
      </c>
      <c r="N291" t="s">
        <v>95</v>
      </c>
      <c r="O291" t="s">
        <v>104</v>
      </c>
    </row>
    <row r="292" spans="1:15" x14ac:dyDescent="0.25">
      <c r="A292">
        <v>2778</v>
      </c>
      <c r="B292" s="10">
        <v>45861</v>
      </c>
      <c r="C292">
        <v>23</v>
      </c>
      <c r="D292" t="s">
        <v>145</v>
      </c>
      <c r="E292" t="s">
        <v>142</v>
      </c>
      <c r="F292" t="s">
        <v>44</v>
      </c>
      <c r="G292" t="s">
        <v>111</v>
      </c>
      <c r="H292" t="s">
        <v>101</v>
      </c>
      <c r="I292" t="s">
        <v>162</v>
      </c>
      <c r="J292" t="s">
        <v>94</v>
      </c>
      <c r="K292">
        <v>1</v>
      </c>
      <c r="L292">
        <v>1200</v>
      </c>
      <c r="M292">
        <v>1200</v>
      </c>
      <c r="N292" t="s">
        <v>95</v>
      </c>
      <c r="O292" t="s">
        <v>115</v>
      </c>
    </row>
    <row r="293" spans="1:15" x14ac:dyDescent="0.25">
      <c r="A293">
        <v>2817</v>
      </c>
      <c r="B293" s="10">
        <v>45832</v>
      </c>
      <c r="C293">
        <v>24</v>
      </c>
      <c r="D293" t="s">
        <v>153</v>
      </c>
      <c r="E293" t="s">
        <v>25</v>
      </c>
      <c r="F293" t="s">
        <v>148</v>
      </c>
      <c r="G293" t="s">
        <v>118</v>
      </c>
      <c r="H293" t="s">
        <v>101</v>
      </c>
      <c r="I293" t="s">
        <v>162</v>
      </c>
      <c r="J293" t="s">
        <v>94</v>
      </c>
      <c r="K293">
        <v>1</v>
      </c>
      <c r="L293">
        <v>1200</v>
      </c>
      <c r="M293">
        <v>1200</v>
      </c>
      <c r="N293" t="s">
        <v>95</v>
      </c>
      <c r="O293" t="s">
        <v>104</v>
      </c>
    </row>
    <row r="294" spans="1:15" x14ac:dyDescent="0.25">
      <c r="A294">
        <v>2875</v>
      </c>
      <c r="B294" s="10">
        <v>45842</v>
      </c>
      <c r="C294">
        <v>4</v>
      </c>
      <c r="D294" t="s">
        <v>145</v>
      </c>
      <c r="E294" t="s">
        <v>106</v>
      </c>
      <c r="F294" t="s">
        <v>134</v>
      </c>
      <c r="G294" t="s">
        <v>100</v>
      </c>
      <c r="H294" t="s">
        <v>101</v>
      </c>
      <c r="I294" t="s">
        <v>162</v>
      </c>
      <c r="J294" t="s">
        <v>94</v>
      </c>
      <c r="K294">
        <v>1</v>
      </c>
      <c r="L294">
        <v>1200</v>
      </c>
      <c r="M294">
        <v>1200</v>
      </c>
      <c r="N294" t="s">
        <v>108</v>
      </c>
      <c r="O294" t="s">
        <v>115</v>
      </c>
    </row>
    <row r="295" spans="1:15" x14ac:dyDescent="0.25">
      <c r="A295">
        <v>2890</v>
      </c>
      <c r="B295" s="10">
        <v>45999</v>
      </c>
      <c r="C295">
        <v>8</v>
      </c>
      <c r="D295" t="s">
        <v>125</v>
      </c>
      <c r="E295" t="s">
        <v>31</v>
      </c>
      <c r="F295" t="s">
        <v>113</v>
      </c>
      <c r="G295" t="s">
        <v>114</v>
      </c>
      <c r="H295" t="s">
        <v>101</v>
      </c>
      <c r="I295" t="s">
        <v>162</v>
      </c>
      <c r="J295" t="s">
        <v>94</v>
      </c>
      <c r="K295">
        <v>3</v>
      </c>
      <c r="L295">
        <v>1200</v>
      </c>
      <c r="M295">
        <v>3600</v>
      </c>
      <c r="N295" t="s">
        <v>108</v>
      </c>
      <c r="O295" t="s">
        <v>96</v>
      </c>
    </row>
    <row r="296" spans="1:15" x14ac:dyDescent="0.25">
      <c r="A296">
        <v>2895</v>
      </c>
      <c r="B296" s="10">
        <v>45674</v>
      </c>
      <c r="C296">
        <v>17</v>
      </c>
      <c r="D296" t="s">
        <v>130</v>
      </c>
      <c r="E296" t="s">
        <v>133</v>
      </c>
      <c r="F296" t="s">
        <v>44</v>
      </c>
      <c r="G296" t="s">
        <v>111</v>
      </c>
      <c r="H296" t="s">
        <v>101</v>
      </c>
      <c r="I296" t="s">
        <v>162</v>
      </c>
      <c r="J296" t="s">
        <v>94</v>
      </c>
      <c r="K296">
        <v>2</v>
      </c>
      <c r="L296">
        <v>1200</v>
      </c>
      <c r="M296">
        <v>2400</v>
      </c>
      <c r="N296" t="s">
        <v>108</v>
      </c>
      <c r="O296" t="s">
        <v>115</v>
      </c>
    </row>
    <row r="297" spans="1:15" x14ac:dyDescent="0.25">
      <c r="A297">
        <v>3236</v>
      </c>
      <c r="B297" s="10">
        <v>45709</v>
      </c>
      <c r="C297">
        <v>21</v>
      </c>
      <c r="D297" t="s">
        <v>97</v>
      </c>
      <c r="E297" t="s">
        <v>138</v>
      </c>
      <c r="F297" t="s">
        <v>99</v>
      </c>
      <c r="G297" t="s">
        <v>100</v>
      </c>
      <c r="H297" t="s">
        <v>101</v>
      </c>
      <c r="I297" t="s">
        <v>162</v>
      </c>
      <c r="J297" t="s">
        <v>94</v>
      </c>
      <c r="K297">
        <v>2</v>
      </c>
      <c r="L297">
        <v>1200</v>
      </c>
      <c r="M297">
        <v>2400</v>
      </c>
      <c r="N297" t="s">
        <v>108</v>
      </c>
      <c r="O297" t="s">
        <v>96</v>
      </c>
    </row>
    <row r="298" spans="1:15" x14ac:dyDescent="0.25">
      <c r="A298">
        <v>3289</v>
      </c>
      <c r="B298" s="10">
        <v>45828</v>
      </c>
      <c r="C298">
        <v>20</v>
      </c>
      <c r="D298" t="s">
        <v>153</v>
      </c>
      <c r="E298" t="s">
        <v>161</v>
      </c>
      <c r="F298" t="s">
        <v>28</v>
      </c>
      <c r="G298" t="s">
        <v>126</v>
      </c>
      <c r="H298" t="s">
        <v>101</v>
      </c>
      <c r="I298" t="s">
        <v>162</v>
      </c>
      <c r="J298" t="s">
        <v>94</v>
      </c>
      <c r="K298">
        <v>3</v>
      </c>
      <c r="L298">
        <v>1200</v>
      </c>
      <c r="M298">
        <v>3600</v>
      </c>
      <c r="N298" t="s">
        <v>108</v>
      </c>
      <c r="O298" t="s">
        <v>96</v>
      </c>
    </row>
    <row r="299" spans="1:15" x14ac:dyDescent="0.25">
      <c r="A299">
        <v>3351</v>
      </c>
      <c r="B299" s="10">
        <v>45789</v>
      </c>
      <c r="C299">
        <v>12</v>
      </c>
      <c r="D299" t="s">
        <v>120</v>
      </c>
      <c r="E299" t="s">
        <v>150</v>
      </c>
      <c r="F299" t="s">
        <v>99</v>
      </c>
      <c r="G299" t="s">
        <v>100</v>
      </c>
      <c r="H299" t="s">
        <v>101</v>
      </c>
      <c r="I299" t="s">
        <v>162</v>
      </c>
      <c r="J299" t="s">
        <v>94</v>
      </c>
      <c r="K299">
        <v>1</v>
      </c>
      <c r="L299">
        <v>1200</v>
      </c>
      <c r="M299">
        <v>1200</v>
      </c>
      <c r="N299" t="s">
        <v>95</v>
      </c>
      <c r="O299" t="s">
        <v>115</v>
      </c>
    </row>
    <row r="300" spans="1:15" x14ac:dyDescent="0.25">
      <c r="A300">
        <v>3675</v>
      </c>
      <c r="B300" s="10">
        <v>45922</v>
      </c>
      <c r="C300">
        <v>22</v>
      </c>
      <c r="D300" t="s">
        <v>147</v>
      </c>
      <c r="E300" t="s">
        <v>161</v>
      </c>
      <c r="F300" t="s">
        <v>28</v>
      </c>
      <c r="G300" t="s">
        <v>126</v>
      </c>
      <c r="H300" t="s">
        <v>101</v>
      </c>
      <c r="I300" t="s">
        <v>162</v>
      </c>
      <c r="J300" t="s">
        <v>94</v>
      </c>
      <c r="K300">
        <v>1</v>
      </c>
      <c r="L300">
        <v>1200</v>
      </c>
      <c r="M300">
        <v>1200</v>
      </c>
      <c r="N300" t="s">
        <v>108</v>
      </c>
      <c r="O300" t="s">
        <v>104</v>
      </c>
    </row>
    <row r="301" spans="1:15" x14ac:dyDescent="0.25">
      <c r="A301">
        <v>3700</v>
      </c>
      <c r="B301" s="10">
        <v>45796</v>
      </c>
      <c r="C301">
        <v>19</v>
      </c>
      <c r="D301" t="s">
        <v>120</v>
      </c>
      <c r="E301" t="s">
        <v>31</v>
      </c>
      <c r="F301" t="s">
        <v>99</v>
      </c>
      <c r="G301" t="s">
        <v>100</v>
      </c>
      <c r="H301" t="s">
        <v>101</v>
      </c>
      <c r="I301" t="s">
        <v>162</v>
      </c>
      <c r="J301" t="s">
        <v>94</v>
      </c>
      <c r="K301">
        <v>1</v>
      </c>
      <c r="L301">
        <v>1200</v>
      </c>
      <c r="M301">
        <v>1200</v>
      </c>
      <c r="N301" t="s">
        <v>108</v>
      </c>
      <c r="O301" t="s">
        <v>96</v>
      </c>
    </row>
    <row r="302" spans="1:15" x14ac:dyDescent="0.25">
      <c r="A302">
        <v>3716</v>
      </c>
      <c r="B302" s="10">
        <v>45811</v>
      </c>
      <c r="C302">
        <v>3</v>
      </c>
      <c r="D302" t="s">
        <v>153</v>
      </c>
      <c r="E302" t="s">
        <v>98</v>
      </c>
      <c r="F302" t="s">
        <v>107</v>
      </c>
      <c r="G302" t="s">
        <v>100</v>
      </c>
      <c r="H302" t="s">
        <v>101</v>
      </c>
      <c r="I302" t="s">
        <v>162</v>
      </c>
      <c r="J302" t="s">
        <v>94</v>
      </c>
      <c r="K302">
        <v>4</v>
      </c>
      <c r="L302">
        <v>1200</v>
      </c>
      <c r="M302">
        <v>4800</v>
      </c>
      <c r="N302" t="s">
        <v>108</v>
      </c>
      <c r="O302" t="s">
        <v>104</v>
      </c>
    </row>
    <row r="303" spans="1:15" x14ac:dyDescent="0.25">
      <c r="A303">
        <v>3735</v>
      </c>
      <c r="B303" s="10">
        <v>45899</v>
      </c>
      <c r="C303">
        <v>30</v>
      </c>
      <c r="D303" t="s">
        <v>109</v>
      </c>
      <c r="E303" t="s">
        <v>121</v>
      </c>
      <c r="F303" t="s">
        <v>99</v>
      </c>
      <c r="G303" t="s">
        <v>100</v>
      </c>
      <c r="H303" t="s">
        <v>101</v>
      </c>
      <c r="I303" t="s">
        <v>162</v>
      </c>
      <c r="J303" t="s">
        <v>94</v>
      </c>
      <c r="K303">
        <v>6</v>
      </c>
      <c r="L303">
        <v>1200</v>
      </c>
      <c r="M303">
        <v>7200</v>
      </c>
      <c r="N303" t="s">
        <v>108</v>
      </c>
      <c r="O303" t="s">
        <v>104</v>
      </c>
    </row>
    <row r="304" spans="1:15" x14ac:dyDescent="0.25">
      <c r="A304">
        <v>3848</v>
      </c>
      <c r="B304" s="10">
        <v>45999</v>
      </c>
      <c r="C304">
        <v>8</v>
      </c>
      <c r="D304" t="s">
        <v>125</v>
      </c>
      <c r="E304" t="s">
        <v>112</v>
      </c>
      <c r="F304" t="s">
        <v>144</v>
      </c>
      <c r="G304" t="s">
        <v>91</v>
      </c>
      <c r="H304" t="s">
        <v>101</v>
      </c>
      <c r="I304" t="s">
        <v>162</v>
      </c>
      <c r="J304" t="s">
        <v>94</v>
      </c>
      <c r="K304">
        <v>10</v>
      </c>
      <c r="L304">
        <v>1200</v>
      </c>
      <c r="M304">
        <v>12000</v>
      </c>
      <c r="N304" t="s">
        <v>95</v>
      </c>
      <c r="O304" t="s">
        <v>115</v>
      </c>
    </row>
    <row r="305" spans="1:15" x14ac:dyDescent="0.25">
      <c r="A305">
        <v>3975</v>
      </c>
      <c r="B305" s="10">
        <v>45835</v>
      </c>
      <c r="C305">
        <v>27</v>
      </c>
      <c r="D305" t="s">
        <v>153</v>
      </c>
      <c r="E305" t="s">
        <v>110</v>
      </c>
      <c r="F305" t="s">
        <v>28</v>
      </c>
      <c r="G305" t="s">
        <v>126</v>
      </c>
      <c r="H305" t="s">
        <v>101</v>
      </c>
      <c r="I305" t="s">
        <v>162</v>
      </c>
      <c r="J305" t="s">
        <v>94</v>
      </c>
      <c r="K305">
        <v>2</v>
      </c>
      <c r="L305">
        <v>1200</v>
      </c>
      <c r="M305">
        <v>2400</v>
      </c>
      <c r="N305" t="s">
        <v>95</v>
      </c>
      <c r="O305" t="s">
        <v>115</v>
      </c>
    </row>
    <row r="306" spans="1:15" x14ac:dyDescent="0.25">
      <c r="A306">
        <v>4158</v>
      </c>
      <c r="B306" s="10">
        <v>45895</v>
      </c>
      <c r="C306">
        <v>26</v>
      </c>
      <c r="D306" t="s">
        <v>109</v>
      </c>
      <c r="E306" t="s">
        <v>133</v>
      </c>
      <c r="F306" t="s">
        <v>99</v>
      </c>
      <c r="G306" t="s">
        <v>100</v>
      </c>
      <c r="H306" t="s">
        <v>101</v>
      </c>
      <c r="I306" t="s">
        <v>162</v>
      </c>
      <c r="J306" t="s">
        <v>94</v>
      </c>
      <c r="K306">
        <v>7</v>
      </c>
      <c r="L306">
        <v>1200</v>
      </c>
      <c r="M306">
        <v>8400</v>
      </c>
      <c r="N306" t="s">
        <v>95</v>
      </c>
      <c r="O306" t="s">
        <v>104</v>
      </c>
    </row>
    <row r="307" spans="1:15" x14ac:dyDescent="0.25">
      <c r="A307">
        <v>4159</v>
      </c>
      <c r="B307" s="10">
        <v>45700</v>
      </c>
      <c r="C307">
        <v>12</v>
      </c>
      <c r="D307" t="s">
        <v>97</v>
      </c>
      <c r="E307" t="s">
        <v>133</v>
      </c>
      <c r="F307" t="s">
        <v>44</v>
      </c>
      <c r="G307" t="s">
        <v>111</v>
      </c>
      <c r="H307" t="s">
        <v>101</v>
      </c>
      <c r="I307" t="s">
        <v>162</v>
      </c>
      <c r="J307" t="s">
        <v>94</v>
      </c>
      <c r="K307">
        <v>4</v>
      </c>
      <c r="L307">
        <v>1200</v>
      </c>
      <c r="M307">
        <v>4800</v>
      </c>
      <c r="N307" t="s">
        <v>95</v>
      </c>
      <c r="O307" t="s">
        <v>115</v>
      </c>
    </row>
    <row r="308" spans="1:15" x14ac:dyDescent="0.25">
      <c r="A308">
        <v>4160</v>
      </c>
      <c r="B308" s="10">
        <v>45841</v>
      </c>
      <c r="C308">
        <v>3</v>
      </c>
      <c r="D308" t="s">
        <v>145</v>
      </c>
      <c r="E308" t="s">
        <v>112</v>
      </c>
      <c r="F308" t="s">
        <v>144</v>
      </c>
      <c r="G308" t="s">
        <v>91</v>
      </c>
      <c r="H308" t="s">
        <v>101</v>
      </c>
      <c r="I308" t="s">
        <v>162</v>
      </c>
      <c r="J308" t="s">
        <v>94</v>
      </c>
      <c r="K308">
        <v>10</v>
      </c>
      <c r="L308">
        <v>1200</v>
      </c>
      <c r="M308">
        <v>12000</v>
      </c>
      <c r="N308" t="s">
        <v>108</v>
      </c>
      <c r="O308" t="s">
        <v>104</v>
      </c>
    </row>
    <row r="309" spans="1:15" x14ac:dyDescent="0.25">
      <c r="A309">
        <v>4181</v>
      </c>
      <c r="B309" s="10">
        <v>45790</v>
      </c>
      <c r="C309">
        <v>13</v>
      </c>
      <c r="D309" t="s">
        <v>120</v>
      </c>
      <c r="E309" t="s">
        <v>106</v>
      </c>
      <c r="F309" t="s">
        <v>113</v>
      </c>
      <c r="G309" t="s">
        <v>114</v>
      </c>
      <c r="H309" t="s">
        <v>101</v>
      </c>
      <c r="I309" t="s">
        <v>162</v>
      </c>
      <c r="J309" t="s">
        <v>94</v>
      </c>
      <c r="K309">
        <v>10</v>
      </c>
      <c r="L309">
        <v>1200</v>
      </c>
      <c r="M309">
        <v>12000</v>
      </c>
      <c r="N309" t="s">
        <v>108</v>
      </c>
      <c r="O309" t="s">
        <v>96</v>
      </c>
    </row>
    <row r="310" spans="1:15" x14ac:dyDescent="0.25">
      <c r="A310">
        <v>4538</v>
      </c>
      <c r="B310" s="10">
        <v>45693</v>
      </c>
      <c r="C310">
        <v>5</v>
      </c>
      <c r="D310" t="s">
        <v>97</v>
      </c>
      <c r="E310" t="s">
        <v>161</v>
      </c>
      <c r="F310" t="s">
        <v>107</v>
      </c>
      <c r="G310" t="s">
        <v>100</v>
      </c>
      <c r="H310" t="s">
        <v>101</v>
      </c>
      <c r="I310" t="s">
        <v>162</v>
      </c>
      <c r="J310" t="s">
        <v>94</v>
      </c>
      <c r="K310">
        <v>8</v>
      </c>
      <c r="L310">
        <v>1200</v>
      </c>
      <c r="M310">
        <v>9600</v>
      </c>
      <c r="N310" t="s">
        <v>108</v>
      </c>
      <c r="O310" t="s">
        <v>104</v>
      </c>
    </row>
    <row r="311" spans="1:15" x14ac:dyDescent="0.25">
      <c r="A311">
        <v>4627</v>
      </c>
      <c r="B311" s="10">
        <v>45886</v>
      </c>
      <c r="C311">
        <v>17</v>
      </c>
      <c r="D311" t="s">
        <v>109</v>
      </c>
      <c r="E311" t="s">
        <v>128</v>
      </c>
      <c r="F311" t="s">
        <v>49</v>
      </c>
      <c r="G311" t="s">
        <v>118</v>
      </c>
      <c r="H311" t="s">
        <v>101</v>
      </c>
      <c r="I311" t="s">
        <v>162</v>
      </c>
      <c r="J311" t="s">
        <v>94</v>
      </c>
      <c r="K311">
        <v>5</v>
      </c>
      <c r="L311">
        <v>1200</v>
      </c>
      <c r="M311">
        <v>6000</v>
      </c>
      <c r="N311" t="s">
        <v>108</v>
      </c>
      <c r="O311" t="s">
        <v>96</v>
      </c>
    </row>
    <row r="312" spans="1:15" x14ac:dyDescent="0.25">
      <c r="A312">
        <v>4854</v>
      </c>
      <c r="B312" s="10">
        <v>45915</v>
      </c>
      <c r="C312">
        <v>15</v>
      </c>
      <c r="D312" t="s">
        <v>147</v>
      </c>
      <c r="E312" t="s">
        <v>121</v>
      </c>
      <c r="F312" t="s">
        <v>107</v>
      </c>
      <c r="G312" t="s">
        <v>100</v>
      </c>
      <c r="H312" t="s">
        <v>101</v>
      </c>
      <c r="I312" t="s">
        <v>162</v>
      </c>
      <c r="J312" t="s">
        <v>94</v>
      </c>
      <c r="K312">
        <v>3</v>
      </c>
      <c r="L312">
        <v>1200</v>
      </c>
      <c r="M312">
        <v>3600</v>
      </c>
      <c r="N312" t="s">
        <v>95</v>
      </c>
      <c r="O312" t="s">
        <v>104</v>
      </c>
    </row>
    <row r="313" spans="1:15" x14ac:dyDescent="0.25">
      <c r="A313">
        <v>4960</v>
      </c>
      <c r="B313" s="10">
        <v>45762</v>
      </c>
      <c r="C313">
        <v>15</v>
      </c>
      <c r="D313" t="s">
        <v>105</v>
      </c>
      <c r="E313" t="s">
        <v>161</v>
      </c>
      <c r="F313" t="s">
        <v>49</v>
      </c>
      <c r="G313" t="s">
        <v>118</v>
      </c>
      <c r="H313" t="s">
        <v>101</v>
      </c>
      <c r="I313" t="s">
        <v>162</v>
      </c>
      <c r="J313" t="s">
        <v>94</v>
      </c>
      <c r="K313">
        <v>2</v>
      </c>
      <c r="L313">
        <v>1200</v>
      </c>
      <c r="M313">
        <v>2400</v>
      </c>
      <c r="N313" t="s">
        <v>108</v>
      </c>
      <c r="O313" t="s">
        <v>96</v>
      </c>
    </row>
    <row r="314" spans="1:15" x14ac:dyDescent="0.25">
      <c r="A314">
        <v>4984</v>
      </c>
      <c r="B314" s="10">
        <v>46012</v>
      </c>
      <c r="C314">
        <v>21</v>
      </c>
      <c r="D314" t="s">
        <v>125</v>
      </c>
      <c r="E314" t="s">
        <v>31</v>
      </c>
      <c r="F314" t="s">
        <v>148</v>
      </c>
      <c r="G314" t="s">
        <v>118</v>
      </c>
      <c r="H314" t="s">
        <v>101</v>
      </c>
      <c r="I314" t="s">
        <v>162</v>
      </c>
      <c r="J314" t="s">
        <v>94</v>
      </c>
      <c r="K314">
        <v>7</v>
      </c>
      <c r="L314">
        <v>1200</v>
      </c>
      <c r="M314">
        <v>8400</v>
      </c>
      <c r="N314" t="s">
        <v>95</v>
      </c>
      <c r="O314" t="s">
        <v>115</v>
      </c>
    </row>
    <row r="315" spans="1:15" x14ac:dyDescent="0.25">
      <c r="A315">
        <v>165</v>
      </c>
      <c r="B315" s="10">
        <v>45773</v>
      </c>
      <c r="C315">
        <v>26</v>
      </c>
      <c r="D315" t="s">
        <v>105</v>
      </c>
      <c r="E315" t="s">
        <v>112</v>
      </c>
      <c r="F315" t="s">
        <v>134</v>
      </c>
      <c r="G315" t="s">
        <v>100</v>
      </c>
      <c r="H315" t="s">
        <v>101</v>
      </c>
      <c r="I315" t="s">
        <v>162</v>
      </c>
      <c r="J315" t="s">
        <v>94</v>
      </c>
      <c r="K315">
        <v>10</v>
      </c>
      <c r="L315">
        <v>1300</v>
      </c>
      <c r="M315">
        <v>13000</v>
      </c>
      <c r="N315" t="s">
        <v>108</v>
      </c>
      <c r="O315" t="s">
        <v>104</v>
      </c>
    </row>
    <row r="316" spans="1:15" x14ac:dyDescent="0.25">
      <c r="A316">
        <v>854</v>
      </c>
      <c r="B316" s="10">
        <v>46018</v>
      </c>
      <c r="C316">
        <v>27</v>
      </c>
      <c r="D316" t="s">
        <v>125</v>
      </c>
      <c r="E316" t="s">
        <v>133</v>
      </c>
      <c r="F316" t="s">
        <v>141</v>
      </c>
      <c r="G316" t="s">
        <v>100</v>
      </c>
      <c r="H316" t="s">
        <v>101</v>
      </c>
      <c r="I316" t="s">
        <v>162</v>
      </c>
      <c r="J316" t="s">
        <v>94</v>
      </c>
      <c r="K316">
        <v>8</v>
      </c>
      <c r="L316">
        <v>1300</v>
      </c>
      <c r="M316">
        <v>10400</v>
      </c>
      <c r="N316" t="s">
        <v>108</v>
      </c>
      <c r="O316" t="s">
        <v>104</v>
      </c>
    </row>
    <row r="317" spans="1:15" x14ac:dyDescent="0.25">
      <c r="A317">
        <v>899</v>
      </c>
      <c r="B317" s="10">
        <v>45944</v>
      </c>
      <c r="C317">
        <v>14</v>
      </c>
      <c r="D317" t="s">
        <v>136</v>
      </c>
      <c r="E317" t="s">
        <v>110</v>
      </c>
      <c r="F317" t="s">
        <v>99</v>
      </c>
      <c r="G317" t="s">
        <v>100</v>
      </c>
      <c r="H317" t="s">
        <v>101</v>
      </c>
      <c r="I317" t="s">
        <v>162</v>
      </c>
      <c r="J317" t="s">
        <v>94</v>
      </c>
      <c r="K317">
        <v>7</v>
      </c>
      <c r="L317">
        <v>1300</v>
      </c>
      <c r="M317">
        <v>9100</v>
      </c>
      <c r="N317" t="s">
        <v>108</v>
      </c>
      <c r="O317" t="s">
        <v>104</v>
      </c>
    </row>
    <row r="318" spans="1:15" x14ac:dyDescent="0.25">
      <c r="A318">
        <v>1490</v>
      </c>
      <c r="B318" s="10">
        <v>45842</v>
      </c>
      <c r="C318">
        <v>4</v>
      </c>
      <c r="D318" t="s">
        <v>145</v>
      </c>
      <c r="E318" t="s">
        <v>112</v>
      </c>
      <c r="F318" t="s">
        <v>134</v>
      </c>
      <c r="G318" t="s">
        <v>100</v>
      </c>
      <c r="H318" t="s">
        <v>101</v>
      </c>
      <c r="I318" t="s">
        <v>162</v>
      </c>
      <c r="J318" t="s">
        <v>94</v>
      </c>
      <c r="K318">
        <v>6</v>
      </c>
      <c r="L318">
        <v>1300</v>
      </c>
      <c r="M318">
        <v>7800</v>
      </c>
      <c r="N318" t="s">
        <v>95</v>
      </c>
      <c r="O318" t="s">
        <v>96</v>
      </c>
    </row>
    <row r="319" spans="1:15" x14ac:dyDescent="0.25">
      <c r="A319">
        <v>1550</v>
      </c>
      <c r="B319" s="10">
        <v>45751</v>
      </c>
      <c r="C319">
        <v>4</v>
      </c>
      <c r="D319" t="s">
        <v>105</v>
      </c>
      <c r="E319" t="s">
        <v>161</v>
      </c>
      <c r="F319" t="s">
        <v>117</v>
      </c>
      <c r="G319" t="s">
        <v>118</v>
      </c>
      <c r="H319" t="s">
        <v>101</v>
      </c>
      <c r="I319" t="s">
        <v>162</v>
      </c>
      <c r="J319" t="s">
        <v>94</v>
      </c>
      <c r="K319">
        <v>3</v>
      </c>
      <c r="L319">
        <v>1300</v>
      </c>
      <c r="M319">
        <v>3900</v>
      </c>
      <c r="N319" t="s">
        <v>95</v>
      </c>
      <c r="O319" t="s">
        <v>96</v>
      </c>
    </row>
    <row r="320" spans="1:15" x14ac:dyDescent="0.25">
      <c r="A320">
        <v>2213</v>
      </c>
      <c r="B320" s="10">
        <v>45781</v>
      </c>
      <c r="C320">
        <v>4</v>
      </c>
      <c r="D320" t="s">
        <v>120</v>
      </c>
      <c r="E320" t="s">
        <v>137</v>
      </c>
      <c r="F320" t="s">
        <v>99</v>
      </c>
      <c r="G320" t="s">
        <v>100</v>
      </c>
      <c r="H320" t="s">
        <v>101</v>
      </c>
      <c r="I320" t="s">
        <v>162</v>
      </c>
      <c r="J320" t="s">
        <v>94</v>
      </c>
      <c r="K320">
        <v>5</v>
      </c>
      <c r="L320">
        <v>1300</v>
      </c>
      <c r="M320">
        <v>6500</v>
      </c>
      <c r="N320" t="s">
        <v>108</v>
      </c>
      <c r="O320" t="s">
        <v>96</v>
      </c>
    </row>
    <row r="321" spans="1:15" x14ac:dyDescent="0.25">
      <c r="A321">
        <v>2250</v>
      </c>
      <c r="B321" s="10">
        <v>45945</v>
      </c>
      <c r="C321">
        <v>15</v>
      </c>
      <c r="D321" t="s">
        <v>136</v>
      </c>
      <c r="E321" t="s">
        <v>161</v>
      </c>
      <c r="F321" t="s">
        <v>49</v>
      </c>
      <c r="G321" t="s">
        <v>118</v>
      </c>
      <c r="H321" t="s">
        <v>101</v>
      </c>
      <c r="I321" t="s">
        <v>162</v>
      </c>
      <c r="J321" t="s">
        <v>94</v>
      </c>
      <c r="K321">
        <v>6</v>
      </c>
      <c r="L321">
        <v>1300</v>
      </c>
      <c r="M321">
        <v>7800</v>
      </c>
      <c r="N321" t="s">
        <v>108</v>
      </c>
      <c r="O321" t="s">
        <v>96</v>
      </c>
    </row>
    <row r="322" spans="1:15" x14ac:dyDescent="0.25">
      <c r="A322">
        <v>2809</v>
      </c>
      <c r="B322" s="10">
        <v>45677</v>
      </c>
      <c r="C322">
        <v>20</v>
      </c>
      <c r="D322" t="s">
        <v>130</v>
      </c>
      <c r="E322" t="s">
        <v>137</v>
      </c>
      <c r="F322" t="s">
        <v>151</v>
      </c>
      <c r="G322" t="s">
        <v>111</v>
      </c>
      <c r="H322" t="s">
        <v>101</v>
      </c>
      <c r="I322" t="s">
        <v>162</v>
      </c>
      <c r="J322" t="s">
        <v>94</v>
      </c>
      <c r="K322">
        <v>9</v>
      </c>
      <c r="L322">
        <v>1300</v>
      </c>
      <c r="M322">
        <v>11700</v>
      </c>
      <c r="N322" t="s">
        <v>95</v>
      </c>
      <c r="O322" t="s">
        <v>115</v>
      </c>
    </row>
    <row r="323" spans="1:15" x14ac:dyDescent="0.25">
      <c r="A323">
        <v>2852</v>
      </c>
      <c r="B323" s="10">
        <v>45796</v>
      </c>
      <c r="C323">
        <v>19</v>
      </c>
      <c r="D323" t="s">
        <v>120</v>
      </c>
      <c r="E323" t="s">
        <v>133</v>
      </c>
      <c r="F323" t="s">
        <v>28</v>
      </c>
      <c r="G323" t="s">
        <v>126</v>
      </c>
      <c r="H323" t="s">
        <v>101</v>
      </c>
      <c r="I323" t="s">
        <v>162</v>
      </c>
      <c r="J323" t="s">
        <v>94</v>
      </c>
      <c r="K323">
        <v>10</v>
      </c>
      <c r="L323">
        <v>1300</v>
      </c>
      <c r="M323">
        <v>13000</v>
      </c>
      <c r="N323" t="s">
        <v>108</v>
      </c>
      <c r="O323" t="s">
        <v>104</v>
      </c>
    </row>
    <row r="324" spans="1:15" x14ac:dyDescent="0.25">
      <c r="A324">
        <v>3096</v>
      </c>
      <c r="B324" s="10">
        <v>45955</v>
      </c>
      <c r="C324">
        <v>25</v>
      </c>
      <c r="D324" t="s">
        <v>136</v>
      </c>
      <c r="E324" t="s">
        <v>138</v>
      </c>
      <c r="F324" t="s">
        <v>117</v>
      </c>
      <c r="G324" t="s">
        <v>118</v>
      </c>
      <c r="H324" t="s">
        <v>101</v>
      </c>
      <c r="I324" t="s">
        <v>162</v>
      </c>
      <c r="J324" t="s">
        <v>94</v>
      </c>
      <c r="K324">
        <v>10</v>
      </c>
      <c r="L324">
        <v>1300</v>
      </c>
      <c r="M324">
        <v>13000</v>
      </c>
      <c r="N324" t="s">
        <v>95</v>
      </c>
      <c r="O324" t="s">
        <v>115</v>
      </c>
    </row>
    <row r="325" spans="1:15" x14ac:dyDescent="0.25">
      <c r="A325">
        <v>3277</v>
      </c>
      <c r="B325" s="10">
        <v>45817</v>
      </c>
      <c r="C325">
        <v>9</v>
      </c>
      <c r="D325" t="s">
        <v>153</v>
      </c>
      <c r="E325" t="s">
        <v>142</v>
      </c>
      <c r="F325" t="s">
        <v>148</v>
      </c>
      <c r="G325" t="s">
        <v>118</v>
      </c>
      <c r="H325" t="s">
        <v>101</v>
      </c>
      <c r="I325" t="s">
        <v>162</v>
      </c>
      <c r="J325" t="s">
        <v>94</v>
      </c>
      <c r="K325">
        <v>7</v>
      </c>
      <c r="L325">
        <v>1300</v>
      </c>
      <c r="M325">
        <v>9100</v>
      </c>
      <c r="N325" t="s">
        <v>95</v>
      </c>
      <c r="O325" t="s">
        <v>104</v>
      </c>
    </row>
    <row r="326" spans="1:15" x14ac:dyDescent="0.25">
      <c r="A326">
        <v>3373</v>
      </c>
      <c r="B326" s="10">
        <v>45985</v>
      </c>
      <c r="C326">
        <v>24</v>
      </c>
      <c r="D326" t="s">
        <v>90</v>
      </c>
      <c r="E326" t="s">
        <v>106</v>
      </c>
      <c r="F326" t="s">
        <v>148</v>
      </c>
      <c r="G326" t="s">
        <v>118</v>
      </c>
      <c r="H326" t="s">
        <v>101</v>
      </c>
      <c r="I326" t="s">
        <v>162</v>
      </c>
      <c r="J326" t="s">
        <v>94</v>
      </c>
      <c r="K326">
        <v>7</v>
      </c>
      <c r="L326">
        <v>1300</v>
      </c>
      <c r="M326">
        <v>9100</v>
      </c>
      <c r="N326" t="s">
        <v>95</v>
      </c>
      <c r="O326" t="s">
        <v>115</v>
      </c>
    </row>
    <row r="327" spans="1:15" x14ac:dyDescent="0.25">
      <c r="A327">
        <v>3513</v>
      </c>
      <c r="B327" s="10">
        <v>45710</v>
      </c>
      <c r="C327">
        <v>22</v>
      </c>
      <c r="D327" t="s">
        <v>97</v>
      </c>
      <c r="E327" t="s">
        <v>142</v>
      </c>
      <c r="F327" t="s">
        <v>144</v>
      </c>
      <c r="G327" t="s">
        <v>91</v>
      </c>
      <c r="H327" t="s">
        <v>101</v>
      </c>
      <c r="I327" t="s">
        <v>162</v>
      </c>
      <c r="J327" t="s">
        <v>94</v>
      </c>
      <c r="K327">
        <v>8</v>
      </c>
      <c r="L327">
        <v>1300</v>
      </c>
      <c r="M327">
        <v>10400</v>
      </c>
      <c r="N327" t="s">
        <v>95</v>
      </c>
      <c r="O327" t="s">
        <v>115</v>
      </c>
    </row>
    <row r="328" spans="1:15" x14ac:dyDescent="0.25">
      <c r="A328">
        <v>3519</v>
      </c>
      <c r="B328" s="10">
        <v>45784</v>
      </c>
      <c r="C328">
        <v>7</v>
      </c>
      <c r="D328" t="s">
        <v>120</v>
      </c>
      <c r="E328" t="s">
        <v>110</v>
      </c>
      <c r="F328" t="s">
        <v>122</v>
      </c>
      <c r="G328" t="s">
        <v>114</v>
      </c>
      <c r="H328" t="s">
        <v>101</v>
      </c>
      <c r="I328" t="s">
        <v>162</v>
      </c>
      <c r="J328" t="s">
        <v>94</v>
      </c>
      <c r="K328">
        <v>5</v>
      </c>
      <c r="L328">
        <v>1300</v>
      </c>
      <c r="M328">
        <v>6500</v>
      </c>
      <c r="N328" t="s">
        <v>95</v>
      </c>
      <c r="O328" t="s">
        <v>115</v>
      </c>
    </row>
    <row r="329" spans="1:15" x14ac:dyDescent="0.25">
      <c r="A329">
        <v>3620</v>
      </c>
      <c r="B329" s="10">
        <v>45801</v>
      </c>
      <c r="C329">
        <v>24</v>
      </c>
      <c r="D329" t="s">
        <v>120</v>
      </c>
      <c r="E329" t="s">
        <v>112</v>
      </c>
      <c r="F329" t="s">
        <v>49</v>
      </c>
      <c r="G329" t="s">
        <v>118</v>
      </c>
      <c r="H329" t="s">
        <v>101</v>
      </c>
      <c r="I329" t="s">
        <v>162</v>
      </c>
      <c r="J329" t="s">
        <v>94</v>
      </c>
      <c r="K329">
        <v>5</v>
      </c>
      <c r="L329">
        <v>1300</v>
      </c>
      <c r="M329">
        <v>6500</v>
      </c>
      <c r="N329" t="s">
        <v>108</v>
      </c>
      <c r="O329" t="s">
        <v>104</v>
      </c>
    </row>
    <row r="330" spans="1:15" x14ac:dyDescent="0.25">
      <c r="A330">
        <v>3679</v>
      </c>
      <c r="B330" s="10">
        <v>45868</v>
      </c>
      <c r="C330">
        <v>30</v>
      </c>
      <c r="D330" t="s">
        <v>145</v>
      </c>
      <c r="E330" t="s">
        <v>106</v>
      </c>
      <c r="F330" t="s">
        <v>151</v>
      </c>
      <c r="G330" t="s">
        <v>111</v>
      </c>
      <c r="H330" t="s">
        <v>101</v>
      </c>
      <c r="I330" t="s">
        <v>162</v>
      </c>
      <c r="J330" t="s">
        <v>94</v>
      </c>
      <c r="K330">
        <v>2</v>
      </c>
      <c r="L330">
        <v>1300</v>
      </c>
      <c r="M330">
        <v>2600</v>
      </c>
      <c r="N330" t="s">
        <v>95</v>
      </c>
      <c r="O330" t="s">
        <v>96</v>
      </c>
    </row>
    <row r="331" spans="1:15" x14ac:dyDescent="0.25">
      <c r="A331">
        <v>3695</v>
      </c>
      <c r="B331" s="10">
        <v>45674</v>
      </c>
      <c r="C331">
        <v>17</v>
      </c>
      <c r="D331" t="s">
        <v>130</v>
      </c>
      <c r="E331" t="s">
        <v>137</v>
      </c>
      <c r="F331" t="s">
        <v>99</v>
      </c>
      <c r="G331" t="s">
        <v>100</v>
      </c>
      <c r="H331" t="s">
        <v>101</v>
      </c>
      <c r="I331" t="s">
        <v>162</v>
      </c>
      <c r="J331" t="s">
        <v>94</v>
      </c>
      <c r="K331">
        <v>2</v>
      </c>
      <c r="L331">
        <v>1300</v>
      </c>
      <c r="M331">
        <v>2600</v>
      </c>
      <c r="N331" t="s">
        <v>108</v>
      </c>
      <c r="O331" t="s">
        <v>115</v>
      </c>
    </row>
    <row r="332" spans="1:15" x14ac:dyDescent="0.25">
      <c r="A332">
        <v>3847</v>
      </c>
      <c r="B332" s="10">
        <v>45860</v>
      </c>
      <c r="C332">
        <v>22</v>
      </c>
      <c r="D332" t="s">
        <v>145</v>
      </c>
      <c r="E332" t="s">
        <v>25</v>
      </c>
      <c r="F332" t="s">
        <v>151</v>
      </c>
      <c r="G332" t="s">
        <v>111</v>
      </c>
      <c r="H332" t="s">
        <v>101</v>
      </c>
      <c r="I332" t="s">
        <v>162</v>
      </c>
      <c r="J332" t="s">
        <v>94</v>
      </c>
      <c r="K332">
        <v>8</v>
      </c>
      <c r="L332">
        <v>1300</v>
      </c>
      <c r="M332">
        <v>10400</v>
      </c>
      <c r="N332" t="s">
        <v>108</v>
      </c>
      <c r="O332" t="s">
        <v>104</v>
      </c>
    </row>
    <row r="333" spans="1:15" x14ac:dyDescent="0.25">
      <c r="A333">
        <v>3946</v>
      </c>
      <c r="B333" s="10">
        <v>45783</v>
      </c>
      <c r="C333">
        <v>6</v>
      </c>
      <c r="D333" t="s">
        <v>120</v>
      </c>
      <c r="E333" t="s">
        <v>31</v>
      </c>
      <c r="F333" t="s">
        <v>28</v>
      </c>
      <c r="G333" t="s">
        <v>126</v>
      </c>
      <c r="H333" t="s">
        <v>101</v>
      </c>
      <c r="I333" t="s">
        <v>162</v>
      </c>
      <c r="J333" t="s">
        <v>94</v>
      </c>
      <c r="K333">
        <v>5</v>
      </c>
      <c r="L333">
        <v>1300</v>
      </c>
      <c r="M333">
        <v>6500</v>
      </c>
      <c r="N333" t="s">
        <v>95</v>
      </c>
      <c r="O333" t="s">
        <v>115</v>
      </c>
    </row>
    <row r="334" spans="1:15" x14ac:dyDescent="0.25">
      <c r="A334">
        <v>4021</v>
      </c>
      <c r="B334" s="10">
        <v>45734</v>
      </c>
      <c r="C334">
        <v>18</v>
      </c>
      <c r="D334" t="s">
        <v>140</v>
      </c>
      <c r="E334" t="s">
        <v>133</v>
      </c>
      <c r="F334" t="s">
        <v>141</v>
      </c>
      <c r="G334" t="s">
        <v>100</v>
      </c>
      <c r="H334" t="s">
        <v>101</v>
      </c>
      <c r="I334" t="s">
        <v>162</v>
      </c>
      <c r="J334" t="s">
        <v>94</v>
      </c>
      <c r="K334">
        <v>9</v>
      </c>
      <c r="L334">
        <v>1300</v>
      </c>
      <c r="M334">
        <v>11700</v>
      </c>
      <c r="N334" t="s">
        <v>95</v>
      </c>
      <c r="O334" t="s">
        <v>104</v>
      </c>
    </row>
    <row r="335" spans="1:15" x14ac:dyDescent="0.25">
      <c r="A335">
        <v>4364</v>
      </c>
      <c r="B335" s="10">
        <v>45850</v>
      </c>
      <c r="C335">
        <v>12</v>
      </c>
      <c r="D335" t="s">
        <v>145</v>
      </c>
      <c r="E335" t="s">
        <v>31</v>
      </c>
      <c r="F335" t="s">
        <v>28</v>
      </c>
      <c r="G335" t="s">
        <v>126</v>
      </c>
      <c r="H335" t="s">
        <v>101</v>
      </c>
      <c r="I335" t="s">
        <v>162</v>
      </c>
      <c r="J335" t="s">
        <v>94</v>
      </c>
      <c r="K335">
        <v>7</v>
      </c>
      <c r="L335">
        <v>1300</v>
      </c>
      <c r="M335">
        <v>9100</v>
      </c>
      <c r="N335" t="s">
        <v>95</v>
      </c>
      <c r="O335" t="s">
        <v>115</v>
      </c>
    </row>
    <row r="336" spans="1:15" x14ac:dyDescent="0.25">
      <c r="A336">
        <v>4524</v>
      </c>
      <c r="B336" s="10">
        <v>45692</v>
      </c>
      <c r="C336">
        <v>4</v>
      </c>
      <c r="D336" t="s">
        <v>97</v>
      </c>
      <c r="E336" t="s">
        <v>128</v>
      </c>
      <c r="F336" t="s">
        <v>151</v>
      </c>
      <c r="G336" t="s">
        <v>111</v>
      </c>
      <c r="H336" t="s">
        <v>101</v>
      </c>
      <c r="I336" t="s">
        <v>162</v>
      </c>
      <c r="J336" t="s">
        <v>94</v>
      </c>
      <c r="K336">
        <v>9</v>
      </c>
      <c r="L336">
        <v>1300</v>
      </c>
      <c r="M336">
        <v>11700</v>
      </c>
      <c r="N336" t="s">
        <v>95</v>
      </c>
      <c r="O336" t="s">
        <v>115</v>
      </c>
    </row>
    <row r="337" spans="1:15" x14ac:dyDescent="0.25">
      <c r="A337">
        <v>4661</v>
      </c>
      <c r="B337" s="10">
        <v>45744</v>
      </c>
      <c r="C337">
        <v>28</v>
      </c>
      <c r="D337" t="s">
        <v>140</v>
      </c>
      <c r="E337" t="s">
        <v>98</v>
      </c>
      <c r="F337" t="s">
        <v>28</v>
      </c>
      <c r="G337" t="s">
        <v>126</v>
      </c>
      <c r="H337" t="s">
        <v>101</v>
      </c>
      <c r="I337" t="s">
        <v>162</v>
      </c>
      <c r="J337" t="s">
        <v>94</v>
      </c>
      <c r="K337">
        <v>9</v>
      </c>
      <c r="L337">
        <v>1300</v>
      </c>
      <c r="M337">
        <v>11700</v>
      </c>
      <c r="N337" t="s">
        <v>108</v>
      </c>
      <c r="O337" t="s">
        <v>115</v>
      </c>
    </row>
    <row r="338" spans="1:15" x14ac:dyDescent="0.25">
      <c r="A338">
        <v>80</v>
      </c>
      <c r="B338" s="10">
        <v>45671</v>
      </c>
      <c r="C338">
        <v>14</v>
      </c>
      <c r="D338" t="s">
        <v>130</v>
      </c>
      <c r="E338" t="s">
        <v>128</v>
      </c>
      <c r="F338" t="s">
        <v>44</v>
      </c>
      <c r="G338" t="s">
        <v>111</v>
      </c>
      <c r="H338" t="s">
        <v>101</v>
      </c>
      <c r="I338" t="s">
        <v>152</v>
      </c>
      <c r="J338" t="s">
        <v>103</v>
      </c>
      <c r="K338">
        <v>50</v>
      </c>
      <c r="L338">
        <v>1400</v>
      </c>
      <c r="M338">
        <v>70000</v>
      </c>
      <c r="N338" t="s">
        <v>95</v>
      </c>
      <c r="O338" t="s">
        <v>104</v>
      </c>
    </row>
    <row r="339" spans="1:15" x14ac:dyDescent="0.25">
      <c r="A339">
        <v>210</v>
      </c>
      <c r="B339" s="10">
        <v>45842</v>
      </c>
      <c r="C339">
        <v>4</v>
      </c>
      <c r="D339" t="s">
        <v>145</v>
      </c>
      <c r="E339" t="s">
        <v>31</v>
      </c>
      <c r="F339" t="s">
        <v>107</v>
      </c>
      <c r="G339" t="s">
        <v>100</v>
      </c>
      <c r="H339" t="s">
        <v>101</v>
      </c>
      <c r="I339" t="s">
        <v>162</v>
      </c>
      <c r="J339" t="s">
        <v>94</v>
      </c>
      <c r="K339">
        <v>7</v>
      </c>
      <c r="L339">
        <v>1400</v>
      </c>
      <c r="M339">
        <v>9800</v>
      </c>
      <c r="N339" t="s">
        <v>108</v>
      </c>
      <c r="O339" t="s">
        <v>104</v>
      </c>
    </row>
    <row r="340" spans="1:15" x14ac:dyDescent="0.25">
      <c r="A340">
        <v>348</v>
      </c>
      <c r="B340" s="10">
        <v>45891</v>
      </c>
      <c r="C340">
        <v>22</v>
      </c>
      <c r="D340" t="s">
        <v>109</v>
      </c>
      <c r="E340" t="s">
        <v>112</v>
      </c>
      <c r="F340" t="s">
        <v>49</v>
      </c>
      <c r="G340" t="s">
        <v>118</v>
      </c>
      <c r="H340" t="s">
        <v>101</v>
      </c>
      <c r="I340" t="s">
        <v>152</v>
      </c>
      <c r="J340" t="s">
        <v>103</v>
      </c>
      <c r="K340">
        <v>35</v>
      </c>
      <c r="L340">
        <v>1400</v>
      </c>
      <c r="M340">
        <v>49000</v>
      </c>
      <c r="N340" t="s">
        <v>95</v>
      </c>
      <c r="O340" t="s">
        <v>115</v>
      </c>
    </row>
    <row r="341" spans="1:15" x14ac:dyDescent="0.25">
      <c r="A341">
        <v>532</v>
      </c>
      <c r="B341" s="10">
        <v>45717</v>
      </c>
      <c r="C341">
        <v>1</v>
      </c>
      <c r="D341" t="s">
        <v>140</v>
      </c>
      <c r="E341" t="s">
        <v>112</v>
      </c>
      <c r="F341" t="s">
        <v>113</v>
      </c>
      <c r="G341" t="s">
        <v>114</v>
      </c>
      <c r="H341" t="s">
        <v>101</v>
      </c>
      <c r="I341" t="s">
        <v>152</v>
      </c>
      <c r="J341" t="s">
        <v>103</v>
      </c>
      <c r="K341">
        <v>48</v>
      </c>
      <c r="L341">
        <v>1400</v>
      </c>
      <c r="M341">
        <v>67200</v>
      </c>
      <c r="N341" t="s">
        <v>108</v>
      </c>
      <c r="O341" t="s">
        <v>115</v>
      </c>
    </row>
    <row r="342" spans="1:15" x14ac:dyDescent="0.25">
      <c r="A342">
        <v>1935</v>
      </c>
      <c r="B342" s="10">
        <v>45821</v>
      </c>
      <c r="C342">
        <v>13</v>
      </c>
      <c r="D342" t="s">
        <v>153</v>
      </c>
      <c r="E342" t="s">
        <v>133</v>
      </c>
      <c r="F342" t="s">
        <v>113</v>
      </c>
      <c r="G342" t="s">
        <v>114</v>
      </c>
      <c r="H342" t="s">
        <v>101</v>
      </c>
      <c r="I342" t="s">
        <v>162</v>
      </c>
      <c r="J342" t="s">
        <v>94</v>
      </c>
      <c r="K342">
        <v>4</v>
      </c>
      <c r="L342">
        <v>1400</v>
      </c>
      <c r="M342">
        <v>5600</v>
      </c>
      <c r="N342" t="s">
        <v>95</v>
      </c>
      <c r="O342" t="s">
        <v>115</v>
      </c>
    </row>
    <row r="343" spans="1:15" x14ac:dyDescent="0.25">
      <c r="A343">
        <v>2723</v>
      </c>
      <c r="B343" s="10">
        <v>45814</v>
      </c>
      <c r="C343">
        <v>6</v>
      </c>
      <c r="D343" t="s">
        <v>153</v>
      </c>
      <c r="E343" t="s">
        <v>137</v>
      </c>
      <c r="F343" t="s">
        <v>141</v>
      </c>
      <c r="G343" t="s">
        <v>100</v>
      </c>
      <c r="H343" t="s">
        <v>101</v>
      </c>
      <c r="I343" t="s">
        <v>152</v>
      </c>
      <c r="J343" t="s">
        <v>103</v>
      </c>
      <c r="K343">
        <v>5</v>
      </c>
      <c r="L343">
        <v>1400</v>
      </c>
      <c r="M343">
        <v>7000</v>
      </c>
      <c r="N343" t="s">
        <v>108</v>
      </c>
      <c r="O343" t="s">
        <v>115</v>
      </c>
    </row>
    <row r="344" spans="1:15" x14ac:dyDescent="0.25">
      <c r="A344">
        <v>2896</v>
      </c>
      <c r="B344" s="10">
        <v>45680</v>
      </c>
      <c r="C344">
        <v>23</v>
      </c>
      <c r="D344" t="s">
        <v>130</v>
      </c>
      <c r="E344" t="s">
        <v>25</v>
      </c>
      <c r="F344" t="s">
        <v>134</v>
      </c>
      <c r="G344" t="s">
        <v>100</v>
      </c>
      <c r="H344" t="s">
        <v>101</v>
      </c>
      <c r="I344" t="s">
        <v>162</v>
      </c>
      <c r="J344" t="s">
        <v>94</v>
      </c>
      <c r="K344">
        <v>7</v>
      </c>
      <c r="L344">
        <v>1400</v>
      </c>
      <c r="M344">
        <v>9800</v>
      </c>
      <c r="N344" t="s">
        <v>95</v>
      </c>
      <c r="O344" t="s">
        <v>104</v>
      </c>
    </row>
    <row r="345" spans="1:15" x14ac:dyDescent="0.25">
      <c r="A345">
        <v>3089</v>
      </c>
      <c r="B345" s="10">
        <v>45972</v>
      </c>
      <c r="C345">
        <v>11</v>
      </c>
      <c r="D345" t="s">
        <v>90</v>
      </c>
      <c r="E345" t="s">
        <v>25</v>
      </c>
      <c r="F345" t="s">
        <v>117</v>
      </c>
      <c r="G345" t="s">
        <v>118</v>
      </c>
      <c r="H345" t="s">
        <v>101</v>
      </c>
      <c r="I345" t="s">
        <v>152</v>
      </c>
      <c r="J345" t="s">
        <v>103</v>
      </c>
      <c r="K345">
        <v>26</v>
      </c>
      <c r="L345">
        <v>1400</v>
      </c>
      <c r="M345">
        <v>36400</v>
      </c>
      <c r="N345" t="s">
        <v>95</v>
      </c>
      <c r="O345" t="s">
        <v>96</v>
      </c>
    </row>
    <row r="346" spans="1:15" x14ac:dyDescent="0.25">
      <c r="A346">
        <v>3166</v>
      </c>
      <c r="B346" s="10">
        <v>45670</v>
      </c>
      <c r="C346">
        <v>13</v>
      </c>
      <c r="D346" t="s">
        <v>130</v>
      </c>
      <c r="E346" t="s">
        <v>98</v>
      </c>
      <c r="F346" t="s">
        <v>49</v>
      </c>
      <c r="G346" t="s">
        <v>118</v>
      </c>
      <c r="H346" t="s">
        <v>101</v>
      </c>
      <c r="I346" t="s">
        <v>152</v>
      </c>
      <c r="J346" t="s">
        <v>103</v>
      </c>
      <c r="K346">
        <v>15</v>
      </c>
      <c r="L346">
        <v>1400</v>
      </c>
      <c r="M346">
        <v>21000</v>
      </c>
      <c r="N346" t="s">
        <v>95</v>
      </c>
      <c r="O346" t="s">
        <v>104</v>
      </c>
    </row>
    <row r="347" spans="1:15" x14ac:dyDescent="0.25">
      <c r="A347">
        <v>3212</v>
      </c>
      <c r="B347" s="10">
        <v>46007</v>
      </c>
      <c r="C347">
        <v>16</v>
      </c>
      <c r="D347" t="s">
        <v>125</v>
      </c>
      <c r="E347" t="s">
        <v>138</v>
      </c>
      <c r="F347" t="s">
        <v>49</v>
      </c>
      <c r="G347" t="s">
        <v>118</v>
      </c>
      <c r="H347" t="s">
        <v>101</v>
      </c>
      <c r="I347" t="s">
        <v>152</v>
      </c>
      <c r="J347" t="s">
        <v>103</v>
      </c>
      <c r="K347">
        <v>21</v>
      </c>
      <c r="L347">
        <v>1400</v>
      </c>
      <c r="M347">
        <v>29400</v>
      </c>
      <c r="N347" t="s">
        <v>95</v>
      </c>
      <c r="O347" t="s">
        <v>104</v>
      </c>
    </row>
    <row r="348" spans="1:15" x14ac:dyDescent="0.25">
      <c r="A348">
        <v>3514</v>
      </c>
      <c r="B348" s="10">
        <v>45705</v>
      </c>
      <c r="C348">
        <v>17</v>
      </c>
      <c r="D348" t="s">
        <v>97</v>
      </c>
      <c r="E348" t="s">
        <v>31</v>
      </c>
      <c r="F348" t="s">
        <v>113</v>
      </c>
      <c r="G348" t="s">
        <v>114</v>
      </c>
      <c r="H348" t="s">
        <v>101</v>
      </c>
      <c r="I348" t="s">
        <v>152</v>
      </c>
      <c r="J348" t="s">
        <v>103</v>
      </c>
      <c r="K348">
        <v>38</v>
      </c>
      <c r="L348">
        <v>1400</v>
      </c>
      <c r="M348">
        <v>53200</v>
      </c>
      <c r="N348" t="s">
        <v>108</v>
      </c>
      <c r="O348" t="s">
        <v>104</v>
      </c>
    </row>
    <row r="349" spans="1:15" x14ac:dyDescent="0.25">
      <c r="A349">
        <v>4396</v>
      </c>
      <c r="B349" s="10">
        <v>46000</v>
      </c>
      <c r="C349">
        <v>9</v>
      </c>
      <c r="D349" t="s">
        <v>125</v>
      </c>
      <c r="E349" t="s">
        <v>133</v>
      </c>
      <c r="F349" t="s">
        <v>44</v>
      </c>
      <c r="G349" t="s">
        <v>111</v>
      </c>
      <c r="H349" t="s">
        <v>101</v>
      </c>
      <c r="I349" t="s">
        <v>152</v>
      </c>
      <c r="J349" t="s">
        <v>103</v>
      </c>
      <c r="K349">
        <v>5</v>
      </c>
      <c r="L349">
        <v>1400</v>
      </c>
      <c r="M349">
        <v>7000</v>
      </c>
      <c r="N349" t="s">
        <v>95</v>
      </c>
      <c r="O349" t="s">
        <v>115</v>
      </c>
    </row>
    <row r="350" spans="1:15" x14ac:dyDescent="0.25">
      <c r="A350">
        <v>4431</v>
      </c>
      <c r="B350" s="10">
        <v>45950</v>
      </c>
      <c r="C350">
        <v>20</v>
      </c>
      <c r="D350" t="s">
        <v>136</v>
      </c>
      <c r="E350" t="s">
        <v>25</v>
      </c>
      <c r="F350" t="s">
        <v>49</v>
      </c>
      <c r="G350" t="s">
        <v>118</v>
      </c>
      <c r="H350" t="s">
        <v>101</v>
      </c>
      <c r="I350" t="s">
        <v>152</v>
      </c>
      <c r="J350" t="s">
        <v>103</v>
      </c>
      <c r="K350">
        <v>48</v>
      </c>
      <c r="L350">
        <v>1400</v>
      </c>
      <c r="M350">
        <v>67200</v>
      </c>
      <c r="N350" t="s">
        <v>95</v>
      </c>
      <c r="O350" t="s">
        <v>96</v>
      </c>
    </row>
    <row r="351" spans="1:15" x14ac:dyDescent="0.25">
      <c r="A351">
        <v>4458</v>
      </c>
      <c r="B351" s="10">
        <v>45793</v>
      </c>
      <c r="C351">
        <v>16</v>
      </c>
      <c r="D351" t="s">
        <v>120</v>
      </c>
      <c r="E351" t="s">
        <v>150</v>
      </c>
      <c r="F351" t="s">
        <v>22</v>
      </c>
      <c r="G351" t="s">
        <v>91</v>
      </c>
      <c r="H351" t="s">
        <v>101</v>
      </c>
      <c r="I351" t="s">
        <v>152</v>
      </c>
      <c r="J351" t="s">
        <v>103</v>
      </c>
      <c r="K351">
        <v>44</v>
      </c>
      <c r="L351">
        <v>1400</v>
      </c>
      <c r="M351">
        <v>61600</v>
      </c>
      <c r="N351" t="s">
        <v>95</v>
      </c>
      <c r="O351" t="s">
        <v>96</v>
      </c>
    </row>
    <row r="352" spans="1:15" x14ac:dyDescent="0.25">
      <c r="A352">
        <v>4956</v>
      </c>
      <c r="B352" s="10">
        <v>45824</v>
      </c>
      <c r="C352">
        <v>16</v>
      </c>
      <c r="D352" t="s">
        <v>153</v>
      </c>
      <c r="E352" t="s">
        <v>116</v>
      </c>
      <c r="F352" t="s">
        <v>113</v>
      </c>
      <c r="G352" t="s">
        <v>114</v>
      </c>
      <c r="H352" t="s">
        <v>101</v>
      </c>
      <c r="I352" t="s">
        <v>152</v>
      </c>
      <c r="J352" t="s">
        <v>103</v>
      </c>
      <c r="K352">
        <v>12</v>
      </c>
      <c r="L352">
        <v>1400</v>
      </c>
      <c r="M352">
        <v>16800</v>
      </c>
      <c r="N352" t="s">
        <v>95</v>
      </c>
      <c r="O352" t="s">
        <v>115</v>
      </c>
    </row>
    <row r="353" spans="1:15" x14ac:dyDescent="0.25">
      <c r="A353">
        <v>258</v>
      </c>
      <c r="B353" s="10">
        <v>46010</v>
      </c>
      <c r="C353">
        <v>19</v>
      </c>
      <c r="D353" t="s">
        <v>125</v>
      </c>
      <c r="E353" t="s">
        <v>98</v>
      </c>
      <c r="F353" t="s">
        <v>22</v>
      </c>
      <c r="G353" t="s">
        <v>91</v>
      </c>
      <c r="H353" t="s">
        <v>101</v>
      </c>
      <c r="I353" t="s">
        <v>152</v>
      </c>
      <c r="J353" t="s">
        <v>103</v>
      </c>
      <c r="K353">
        <v>46</v>
      </c>
      <c r="L353">
        <v>1500</v>
      </c>
      <c r="M353">
        <v>69000</v>
      </c>
      <c r="N353" t="s">
        <v>95</v>
      </c>
      <c r="O353" t="s">
        <v>96</v>
      </c>
    </row>
    <row r="354" spans="1:15" x14ac:dyDescent="0.25">
      <c r="A354">
        <v>262</v>
      </c>
      <c r="B354" s="10">
        <v>45824</v>
      </c>
      <c r="C354">
        <v>16</v>
      </c>
      <c r="D354" t="s">
        <v>153</v>
      </c>
      <c r="E354" t="s">
        <v>98</v>
      </c>
      <c r="F354" t="s">
        <v>151</v>
      </c>
      <c r="G354" t="s">
        <v>111</v>
      </c>
      <c r="H354" t="s">
        <v>101</v>
      </c>
      <c r="I354" t="s">
        <v>152</v>
      </c>
      <c r="J354" t="s">
        <v>103</v>
      </c>
      <c r="K354">
        <v>16</v>
      </c>
      <c r="L354">
        <v>1500</v>
      </c>
      <c r="M354">
        <v>24000</v>
      </c>
      <c r="N354" t="s">
        <v>108</v>
      </c>
      <c r="O354" t="s">
        <v>96</v>
      </c>
    </row>
    <row r="355" spans="1:15" x14ac:dyDescent="0.25">
      <c r="A355">
        <v>337</v>
      </c>
      <c r="B355" s="10">
        <v>45661</v>
      </c>
      <c r="C355">
        <v>4</v>
      </c>
      <c r="D355" t="s">
        <v>130</v>
      </c>
      <c r="E355" t="s">
        <v>142</v>
      </c>
      <c r="F355" t="s">
        <v>113</v>
      </c>
      <c r="G355" t="s">
        <v>114</v>
      </c>
      <c r="H355" t="s">
        <v>101</v>
      </c>
      <c r="I355" t="s">
        <v>152</v>
      </c>
      <c r="J355" t="s">
        <v>103</v>
      </c>
      <c r="K355">
        <v>33</v>
      </c>
      <c r="L355">
        <v>1500</v>
      </c>
      <c r="M355">
        <v>49500</v>
      </c>
      <c r="N355" t="s">
        <v>108</v>
      </c>
      <c r="O355" t="s">
        <v>115</v>
      </c>
    </row>
    <row r="356" spans="1:15" x14ac:dyDescent="0.25">
      <c r="A356">
        <v>515</v>
      </c>
      <c r="B356" s="10">
        <v>45987</v>
      </c>
      <c r="C356">
        <v>26</v>
      </c>
      <c r="D356" t="s">
        <v>90</v>
      </c>
      <c r="E356" t="s">
        <v>128</v>
      </c>
      <c r="F356" t="s">
        <v>36</v>
      </c>
      <c r="G356" t="s">
        <v>100</v>
      </c>
      <c r="H356" t="s">
        <v>101</v>
      </c>
      <c r="I356" t="s">
        <v>152</v>
      </c>
      <c r="J356" t="s">
        <v>103</v>
      </c>
      <c r="K356">
        <v>15</v>
      </c>
      <c r="L356">
        <v>1500</v>
      </c>
      <c r="M356">
        <v>22500</v>
      </c>
      <c r="N356" t="s">
        <v>95</v>
      </c>
      <c r="O356" t="s">
        <v>115</v>
      </c>
    </row>
    <row r="357" spans="1:15" x14ac:dyDescent="0.25">
      <c r="A357">
        <v>592</v>
      </c>
      <c r="B357" s="10">
        <v>45803</v>
      </c>
      <c r="C357">
        <v>26</v>
      </c>
      <c r="D357" t="s">
        <v>120</v>
      </c>
      <c r="E357" t="s">
        <v>110</v>
      </c>
      <c r="F357" t="s">
        <v>144</v>
      </c>
      <c r="G357" t="s">
        <v>91</v>
      </c>
      <c r="H357" t="s">
        <v>101</v>
      </c>
      <c r="I357" t="s">
        <v>152</v>
      </c>
      <c r="J357" t="s">
        <v>103</v>
      </c>
      <c r="K357">
        <v>17</v>
      </c>
      <c r="L357">
        <v>1500</v>
      </c>
      <c r="M357">
        <v>25500</v>
      </c>
      <c r="N357" t="s">
        <v>95</v>
      </c>
      <c r="O357" t="s">
        <v>96</v>
      </c>
    </row>
    <row r="358" spans="1:15" x14ac:dyDescent="0.25">
      <c r="A358">
        <v>762</v>
      </c>
      <c r="B358" s="10">
        <v>46018</v>
      </c>
      <c r="C358">
        <v>27</v>
      </c>
      <c r="D358" t="s">
        <v>125</v>
      </c>
      <c r="E358" t="s">
        <v>110</v>
      </c>
      <c r="F358" t="s">
        <v>144</v>
      </c>
      <c r="G358" t="s">
        <v>91</v>
      </c>
      <c r="H358" t="s">
        <v>101</v>
      </c>
      <c r="I358" t="s">
        <v>152</v>
      </c>
      <c r="J358" t="s">
        <v>103</v>
      </c>
      <c r="K358">
        <v>24</v>
      </c>
      <c r="L358">
        <v>1500</v>
      </c>
      <c r="M358">
        <v>36000</v>
      </c>
      <c r="N358" t="s">
        <v>108</v>
      </c>
      <c r="O358" t="s">
        <v>104</v>
      </c>
    </row>
    <row r="359" spans="1:15" x14ac:dyDescent="0.25">
      <c r="A359">
        <v>779</v>
      </c>
      <c r="B359" s="10">
        <v>45778</v>
      </c>
      <c r="C359">
        <v>1</v>
      </c>
      <c r="D359" t="s">
        <v>120</v>
      </c>
      <c r="E359" t="s">
        <v>142</v>
      </c>
      <c r="F359" t="s">
        <v>99</v>
      </c>
      <c r="G359" t="s">
        <v>100</v>
      </c>
      <c r="H359" t="s">
        <v>101</v>
      </c>
      <c r="I359" t="s">
        <v>152</v>
      </c>
      <c r="J359" t="s">
        <v>103</v>
      </c>
      <c r="K359">
        <v>50</v>
      </c>
      <c r="L359">
        <v>1500</v>
      </c>
      <c r="M359">
        <v>75000</v>
      </c>
      <c r="N359" t="s">
        <v>108</v>
      </c>
      <c r="O359" t="s">
        <v>115</v>
      </c>
    </row>
    <row r="360" spans="1:15" x14ac:dyDescent="0.25">
      <c r="A360">
        <v>851</v>
      </c>
      <c r="B360" s="10">
        <v>45916</v>
      </c>
      <c r="C360">
        <v>16</v>
      </c>
      <c r="D360" t="s">
        <v>147</v>
      </c>
      <c r="E360" t="s">
        <v>25</v>
      </c>
      <c r="F360" t="s">
        <v>134</v>
      </c>
      <c r="G360" t="s">
        <v>100</v>
      </c>
      <c r="H360" t="s">
        <v>101</v>
      </c>
      <c r="I360" t="s">
        <v>152</v>
      </c>
      <c r="J360" t="s">
        <v>103</v>
      </c>
      <c r="K360">
        <v>49</v>
      </c>
      <c r="L360">
        <v>1500</v>
      </c>
      <c r="M360">
        <v>73500</v>
      </c>
      <c r="N360" t="s">
        <v>95</v>
      </c>
      <c r="O360" t="s">
        <v>115</v>
      </c>
    </row>
    <row r="361" spans="1:15" x14ac:dyDescent="0.25">
      <c r="A361">
        <v>967</v>
      </c>
      <c r="B361" s="10">
        <v>45744</v>
      </c>
      <c r="C361">
        <v>28</v>
      </c>
      <c r="D361" t="s">
        <v>140</v>
      </c>
      <c r="E361" t="s">
        <v>25</v>
      </c>
      <c r="F361" t="s">
        <v>134</v>
      </c>
      <c r="G361" t="s">
        <v>100</v>
      </c>
      <c r="H361" t="s">
        <v>101</v>
      </c>
      <c r="I361" t="s">
        <v>152</v>
      </c>
      <c r="J361" t="s">
        <v>103</v>
      </c>
      <c r="K361">
        <v>14</v>
      </c>
      <c r="L361">
        <v>1500</v>
      </c>
      <c r="M361">
        <v>21000</v>
      </c>
      <c r="N361" t="s">
        <v>95</v>
      </c>
      <c r="O361" t="s">
        <v>115</v>
      </c>
    </row>
    <row r="362" spans="1:15" x14ac:dyDescent="0.25">
      <c r="A362">
        <v>977</v>
      </c>
      <c r="B362" s="10">
        <v>45749</v>
      </c>
      <c r="C362">
        <v>2</v>
      </c>
      <c r="D362" t="s">
        <v>105</v>
      </c>
      <c r="E362" t="s">
        <v>116</v>
      </c>
      <c r="F362" t="s">
        <v>36</v>
      </c>
      <c r="G362" t="s">
        <v>100</v>
      </c>
      <c r="H362" t="s">
        <v>101</v>
      </c>
      <c r="I362" t="s">
        <v>152</v>
      </c>
      <c r="J362" t="s">
        <v>103</v>
      </c>
      <c r="K362">
        <v>34</v>
      </c>
      <c r="L362">
        <v>1500</v>
      </c>
      <c r="M362">
        <v>51000</v>
      </c>
      <c r="N362" t="s">
        <v>95</v>
      </c>
      <c r="O362" t="s">
        <v>104</v>
      </c>
    </row>
    <row r="363" spans="1:15" x14ac:dyDescent="0.25">
      <c r="A363">
        <v>1119</v>
      </c>
      <c r="B363" s="10">
        <v>45822</v>
      </c>
      <c r="C363">
        <v>14</v>
      </c>
      <c r="D363" t="s">
        <v>153</v>
      </c>
      <c r="E363" t="s">
        <v>161</v>
      </c>
      <c r="F363" t="s">
        <v>113</v>
      </c>
      <c r="G363" t="s">
        <v>114</v>
      </c>
      <c r="H363" t="s">
        <v>101</v>
      </c>
      <c r="I363" t="s">
        <v>152</v>
      </c>
      <c r="J363" t="s">
        <v>103</v>
      </c>
      <c r="K363">
        <v>35</v>
      </c>
      <c r="L363">
        <v>1500</v>
      </c>
      <c r="M363">
        <v>52500</v>
      </c>
      <c r="N363" t="s">
        <v>108</v>
      </c>
      <c r="O363" t="s">
        <v>96</v>
      </c>
    </row>
    <row r="364" spans="1:15" x14ac:dyDescent="0.25">
      <c r="A364">
        <v>1355</v>
      </c>
      <c r="B364" s="10">
        <v>45700</v>
      </c>
      <c r="C364">
        <v>12</v>
      </c>
      <c r="D364" t="s">
        <v>97</v>
      </c>
      <c r="E364" t="s">
        <v>98</v>
      </c>
      <c r="F364" t="s">
        <v>134</v>
      </c>
      <c r="G364" t="s">
        <v>100</v>
      </c>
      <c r="H364" t="s">
        <v>101</v>
      </c>
      <c r="I364" t="s">
        <v>152</v>
      </c>
      <c r="J364" t="s">
        <v>103</v>
      </c>
      <c r="K364">
        <v>48</v>
      </c>
      <c r="L364">
        <v>1500</v>
      </c>
      <c r="M364">
        <v>72000</v>
      </c>
      <c r="N364" t="s">
        <v>95</v>
      </c>
      <c r="O364" t="s">
        <v>96</v>
      </c>
    </row>
    <row r="365" spans="1:15" x14ac:dyDescent="0.25">
      <c r="A365">
        <v>1447</v>
      </c>
      <c r="B365" s="10">
        <v>45912</v>
      </c>
      <c r="C365">
        <v>12</v>
      </c>
      <c r="D365" t="s">
        <v>147</v>
      </c>
      <c r="E365" t="s">
        <v>25</v>
      </c>
      <c r="F365" t="s">
        <v>49</v>
      </c>
      <c r="G365" t="s">
        <v>118</v>
      </c>
      <c r="H365" t="s">
        <v>101</v>
      </c>
      <c r="I365" t="s">
        <v>152</v>
      </c>
      <c r="J365" t="s">
        <v>103</v>
      </c>
      <c r="K365">
        <v>18</v>
      </c>
      <c r="L365">
        <v>1500</v>
      </c>
      <c r="M365">
        <v>27000</v>
      </c>
      <c r="N365" t="s">
        <v>95</v>
      </c>
      <c r="O365" t="s">
        <v>104</v>
      </c>
    </row>
    <row r="366" spans="1:15" x14ac:dyDescent="0.25">
      <c r="A366">
        <v>1515</v>
      </c>
      <c r="B366" s="10">
        <v>45675</v>
      </c>
      <c r="C366">
        <v>18</v>
      </c>
      <c r="D366" t="s">
        <v>130</v>
      </c>
      <c r="E366" t="s">
        <v>116</v>
      </c>
      <c r="F366" t="s">
        <v>44</v>
      </c>
      <c r="G366" t="s">
        <v>111</v>
      </c>
      <c r="H366" t="s">
        <v>101</v>
      </c>
      <c r="I366" t="s">
        <v>152</v>
      </c>
      <c r="J366" t="s">
        <v>103</v>
      </c>
      <c r="K366">
        <v>10</v>
      </c>
      <c r="L366">
        <v>1500</v>
      </c>
      <c r="M366">
        <v>15000</v>
      </c>
      <c r="N366" t="s">
        <v>95</v>
      </c>
      <c r="O366" t="s">
        <v>115</v>
      </c>
    </row>
    <row r="367" spans="1:15" x14ac:dyDescent="0.25">
      <c r="A367">
        <v>1519</v>
      </c>
      <c r="B367" s="10">
        <v>45832</v>
      </c>
      <c r="C367">
        <v>24</v>
      </c>
      <c r="D367" t="s">
        <v>153</v>
      </c>
      <c r="E367" t="s">
        <v>161</v>
      </c>
      <c r="F367" t="s">
        <v>141</v>
      </c>
      <c r="G367" t="s">
        <v>100</v>
      </c>
      <c r="H367" t="s">
        <v>101</v>
      </c>
      <c r="I367" t="s">
        <v>152</v>
      </c>
      <c r="J367" t="s">
        <v>103</v>
      </c>
      <c r="K367">
        <v>8</v>
      </c>
      <c r="L367">
        <v>1500</v>
      </c>
      <c r="M367">
        <v>12000</v>
      </c>
      <c r="N367" t="s">
        <v>95</v>
      </c>
      <c r="O367" t="s">
        <v>96</v>
      </c>
    </row>
    <row r="368" spans="1:15" x14ac:dyDescent="0.25">
      <c r="A368">
        <v>1538</v>
      </c>
      <c r="B368" s="10">
        <v>45899</v>
      </c>
      <c r="C368">
        <v>30</v>
      </c>
      <c r="D368" t="s">
        <v>109</v>
      </c>
      <c r="E368" t="s">
        <v>98</v>
      </c>
      <c r="F368" t="s">
        <v>107</v>
      </c>
      <c r="G368" t="s">
        <v>100</v>
      </c>
      <c r="H368" t="s">
        <v>101</v>
      </c>
      <c r="I368" t="s">
        <v>152</v>
      </c>
      <c r="J368" t="s">
        <v>103</v>
      </c>
      <c r="K368">
        <v>22</v>
      </c>
      <c r="L368">
        <v>1500</v>
      </c>
      <c r="M368">
        <v>33000</v>
      </c>
      <c r="N368" t="s">
        <v>95</v>
      </c>
      <c r="O368" t="s">
        <v>96</v>
      </c>
    </row>
    <row r="369" spans="1:15" x14ac:dyDescent="0.25">
      <c r="A369">
        <v>1716</v>
      </c>
      <c r="B369" s="10">
        <v>45782</v>
      </c>
      <c r="C369">
        <v>5</v>
      </c>
      <c r="D369" t="s">
        <v>120</v>
      </c>
      <c r="E369" t="s">
        <v>110</v>
      </c>
      <c r="F369" t="s">
        <v>117</v>
      </c>
      <c r="G369" t="s">
        <v>118</v>
      </c>
      <c r="H369" t="s">
        <v>101</v>
      </c>
      <c r="I369" t="s">
        <v>152</v>
      </c>
      <c r="J369" t="s">
        <v>103</v>
      </c>
      <c r="K369">
        <v>11</v>
      </c>
      <c r="L369">
        <v>1500</v>
      </c>
      <c r="M369">
        <v>16500</v>
      </c>
      <c r="N369" t="s">
        <v>95</v>
      </c>
      <c r="O369" t="s">
        <v>115</v>
      </c>
    </row>
    <row r="370" spans="1:15" x14ac:dyDescent="0.25">
      <c r="A370">
        <v>1800</v>
      </c>
      <c r="B370" s="10">
        <v>45957</v>
      </c>
      <c r="C370">
        <v>27</v>
      </c>
      <c r="D370" t="s">
        <v>136</v>
      </c>
      <c r="E370" t="s">
        <v>133</v>
      </c>
      <c r="F370" t="s">
        <v>49</v>
      </c>
      <c r="G370" t="s">
        <v>118</v>
      </c>
      <c r="H370" t="s">
        <v>101</v>
      </c>
      <c r="I370" t="s">
        <v>152</v>
      </c>
      <c r="J370" t="s">
        <v>103</v>
      </c>
      <c r="K370">
        <v>11</v>
      </c>
      <c r="L370">
        <v>1500</v>
      </c>
      <c r="M370">
        <v>16500</v>
      </c>
      <c r="N370" t="s">
        <v>108</v>
      </c>
      <c r="O370" t="s">
        <v>96</v>
      </c>
    </row>
    <row r="371" spans="1:15" x14ac:dyDescent="0.25">
      <c r="A371">
        <v>1821</v>
      </c>
      <c r="B371" s="10">
        <v>45954</v>
      </c>
      <c r="C371">
        <v>24</v>
      </c>
      <c r="D371" t="s">
        <v>136</v>
      </c>
      <c r="E371" t="s">
        <v>138</v>
      </c>
      <c r="F371" t="s">
        <v>28</v>
      </c>
      <c r="G371" t="s">
        <v>126</v>
      </c>
      <c r="H371" t="s">
        <v>101</v>
      </c>
      <c r="I371" t="s">
        <v>152</v>
      </c>
      <c r="J371" t="s">
        <v>103</v>
      </c>
      <c r="K371">
        <v>11</v>
      </c>
      <c r="L371">
        <v>1500</v>
      </c>
      <c r="M371">
        <v>16500</v>
      </c>
      <c r="N371" t="s">
        <v>95</v>
      </c>
      <c r="O371" t="s">
        <v>96</v>
      </c>
    </row>
    <row r="372" spans="1:15" x14ac:dyDescent="0.25">
      <c r="A372">
        <v>2057</v>
      </c>
      <c r="B372" s="10">
        <v>45935</v>
      </c>
      <c r="C372">
        <v>5</v>
      </c>
      <c r="D372" t="s">
        <v>136</v>
      </c>
      <c r="E372" t="s">
        <v>161</v>
      </c>
      <c r="F372" t="s">
        <v>134</v>
      </c>
      <c r="G372" t="s">
        <v>100</v>
      </c>
      <c r="H372" t="s">
        <v>101</v>
      </c>
      <c r="I372" t="s">
        <v>152</v>
      </c>
      <c r="J372" t="s">
        <v>103</v>
      </c>
      <c r="K372">
        <v>43</v>
      </c>
      <c r="L372">
        <v>1500</v>
      </c>
      <c r="M372">
        <v>64500</v>
      </c>
      <c r="N372" t="s">
        <v>108</v>
      </c>
      <c r="O372" t="s">
        <v>115</v>
      </c>
    </row>
    <row r="373" spans="1:15" x14ac:dyDescent="0.25">
      <c r="A373">
        <v>2288</v>
      </c>
      <c r="B373" s="10">
        <v>45950</v>
      </c>
      <c r="C373">
        <v>20</v>
      </c>
      <c r="D373" t="s">
        <v>136</v>
      </c>
      <c r="E373" t="s">
        <v>138</v>
      </c>
      <c r="F373" t="s">
        <v>113</v>
      </c>
      <c r="G373" t="s">
        <v>114</v>
      </c>
      <c r="H373" t="s">
        <v>101</v>
      </c>
      <c r="I373" t="s">
        <v>152</v>
      </c>
      <c r="J373" t="s">
        <v>103</v>
      </c>
      <c r="K373">
        <v>43</v>
      </c>
      <c r="L373">
        <v>1500</v>
      </c>
      <c r="M373">
        <v>64500</v>
      </c>
      <c r="N373" t="s">
        <v>95</v>
      </c>
      <c r="O373" t="s">
        <v>96</v>
      </c>
    </row>
    <row r="374" spans="1:15" x14ac:dyDescent="0.25">
      <c r="A374">
        <v>2294</v>
      </c>
      <c r="B374" s="10">
        <v>45749</v>
      </c>
      <c r="C374">
        <v>2</v>
      </c>
      <c r="D374" t="s">
        <v>105</v>
      </c>
      <c r="E374" t="s">
        <v>106</v>
      </c>
      <c r="F374" t="s">
        <v>144</v>
      </c>
      <c r="G374" t="s">
        <v>91</v>
      </c>
      <c r="H374" t="s">
        <v>101</v>
      </c>
      <c r="I374" t="s">
        <v>152</v>
      </c>
      <c r="J374" t="s">
        <v>103</v>
      </c>
      <c r="K374">
        <v>29</v>
      </c>
      <c r="L374">
        <v>1500</v>
      </c>
      <c r="M374">
        <v>43500</v>
      </c>
      <c r="N374" t="s">
        <v>108</v>
      </c>
      <c r="O374" t="s">
        <v>104</v>
      </c>
    </row>
    <row r="375" spans="1:15" x14ac:dyDescent="0.25">
      <c r="A375">
        <v>2567</v>
      </c>
      <c r="B375" s="10">
        <v>45745</v>
      </c>
      <c r="C375">
        <v>29</v>
      </c>
      <c r="D375" t="s">
        <v>140</v>
      </c>
      <c r="E375" t="s">
        <v>110</v>
      </c>
      <c r="F375" t="s">
        <v>99</v>
      </c>
      <c r="G375" t="s">
        <v>100</v>
      </c>
      <c r="H375" t="s">
        <v>101</v>
      </c>
      <c r="I375" t="s">
        <v>152</v>
      </c>
      <c r="J375" t="s">
        <v>103</v>
      </c>
      <c r="K375">
        <v>15</v>
      </c>
      <c r="L375">
        <v>1500</v>
      </c>
      <c r="M375">
        <v>22500</v>
      </c>
      <c r="N375" t="s">
        <v>108</v>
      </c>
      <c r="O375" t="s">
        <v>104</v>
      </c>
    </row>
    <row r="376" spans="1:15" x14ac:dyDescent="0.25">
      <c r="A376">
        <v>2932</v>
      </c>
      <c r="B376" s="10">
        <v>45724</v>
      </c>
      <c r="C376">
        <v>8</v>
      </c>
      <c r="D376" t="s">
        <v>140</v>
      </c>
      <c r="E376" t="s">
        <v>116</v>
      </c>
      <c r="F376" t="s">
        <v>28</v>
      </c>
      <c r="G376" t="s">
        <v>126</v>
      </c>
      <c r="H376" t="s">
        <v>101</v>
      </c>
      <c r="I376" t="s">
        <v>152</v>
      </c>
      <c r="J376" t="s">
        <v>103</v>
      </c>
      <c r="K376">
        <v>39</v>
      </c>
      <c r="L376">
        <v>1500</v>
      </c>
      <c r="M376">
        <v>58500</v>
      </c>
      <c r="N376" t="s">
        <v>108</v>
      </c>
      <c r="O376" t="s">
        <v>96</v>
      </c>
    </row>
    <row r="377" spans="1:15" x14ac:dyDescent="0.25">
      <c r="A377">
        <v>3015</v>
      </c>
      <c r="B377" s="10">
        <v>45658</v>
      </c>
      <c r="C377">
        <v>1</v>
      </c>
      <c r="D377" t="s">
        <v>130</v>
      </c>
      <c r="E377" t="s">
        <v>137</v>
      </c>
      <c r="F377" t="s">
        <v>141</v>
      </c>
      <c r="G377" t="s">
        <v>100</v>
      </c>
      <c r="H377" t="s">
        <v>101</v>
      </c>
      <c r="I377" t="s">
        <v>152</v>
      </c>
      <c r="J377" t="s">
        <v>103</v>
      </c>
      <c r="K377">
        <v>5</v>
      </c>
      <c r="L377">
        <v>1500</v>
      </c>
      <c r="M377">
        <v>7500</v>
      </c>
      <c r="N377" t="s">
        <v>108</v>
      </c>
      <c r="O377" t="s">
        <v>96</v>
      </c>
    </row>
    <row r="378" spans="1:15" x14ac:dyDescent="0.25">
      <c r="A378">
        <v>3140</v>
      </c>
      <c r="B378" s="10">
        <v>45762</v>
      </c>
      <c r="C378">
        <v>15</v>
      </c>
      <c r="D378" t="s">
        <v>105</v>
      </c>
      <c r="E378" t="s">
        <v>137</v>
      </c>
      <c r="F378" t="s">
        <v>117</v>
      </c>
      <c r="G378" t="s">
        <v>118</v>
      </c>
      <c r="H378" t="s">
        <v>101</v>
      </c>
      <c r="I378" t="s">
        <v>152</v>
      </c>
      <c r="J378" t="s">
        <v>103</v>
      </c>
      <c r="K378">
        <v>14</v>
      </c>
      <c r="L378">
        <v>1500</v>
      </c>
      <c r="M378">
        <v>21000</v>
      </c>
      <c r="N378" t="s">
        <v>108</v>
      </c>
      <c r="O378" t="s">
        <v>104</v>
      </c>
    </row>
    <row r="379" spans="1:15" x14ac:dyDescent="0.25">
      <c r="A379">
        <v>3171</v>
      </c>
      <c r="B379" s="10">
        <v>45686</v>
      </c>
      <c r="C379">
        <v>29</v>
      </c>
      <c r="D379" t="s">
        <v>130</v>
      </c>
      <c r="E379" t="s">
        <v>128</v>
      </c>
      <c r="F379" t="s">
        <v>49</v>
      </c>
      <c r="G379" t="s">
        <v>118</v>
      </c>
      <c r="H379" t="s">
        <v>101</v>
      </c>
      <c r="I379" t="s">
        <v>152</v>
      </c>
      <c r="J379" t="s">
        <v>103</v>
      </c>
      <c r="K379">
        <v>21</v>
      </c>
      <c r="L379">
        <v>1500</v>
      </c>
      <c r="M379">
        <v>31500</v>
      </c>
      <c r="N379" t="s">
        <v>95</v>
      </c>
      <c r="O379" t="s">
        <v>96</v>
      </c>
    </row>
    <row r="380" spans="1:15" x14ac:dyDescent="0.25">
      <c r="A380">
        <v>3249</v>
      </c>
      <c r="B380" s="10">
        <v>45827</v>
      </c>
      <c r="C380">
        <v>19</v>
      </c>
      <c r="D380" t="s">
        <v>153</v>
      </c>
      <c r="E380" t="s">
        <v>133</v>
      </c>
      <c r="F380" t="s">
        <v>122</v>
      </c>
      <c r="G380" t="s">
        <v>114</v>
      </c>
      <c r="H380" t="s">
        <v>101</v>
      </c>
      <c r="I380" t="s">
        <v>152</v>
      </c>
      <c r="J380" t="s">
        <v>103</v>
      </c>
      <c r="K380">
        <v>25</v>
      </c>
      <c r="L380">
        <v>1500</v>
      </c>
      <c r="M380">
        <v>37500</v>
      </c>
      <c r="N380" t="s">
        <v>108</v>
      </c>
      <c r="O380" t="s">
        <v>115</v>
      </c>
    </row>
    <row r="381" spans="1:15" x14ac:dyDescent="0.25">
      <c r="A381">
        <v>3637</v>
      </c>
      <c r="B381" s="10">
        <v>45745</v>
      </c>
      <c r="C381">
        <v>29</v>
      </c>
      <c r="D381" t="s">
        <v>140</v>
      </c>
      <c r="E381" t="s">
        <v>110</v>
      </c>
      <c r="F381" t="s">
        <v>113</v>
      </c>
      <c r="G381" t="s">
        <v>114</v>
      </c>
      <c r="H381" t="s">
        <v>101</v>
      </c>
      <c r="I381" t="s">
        <v>152</v>
      </c>
      <c r="J381" t="s">
        <v>103</v>
      </c>
      <c r="K381">
        <v>30</v>
      </c>
      <c r="L381">
        <v>1500</v>
      </c>
      <c r="M381">
        <v>45000</v>
      </c>
      <c r="N381" t="s">
        <v>95</v>
      </c>
      <c r="O381" t="s">
        <v>104</v>
      </c>
    </row>
    <row r="382" spans="1:15" x14ac:dyDescent="0.25">
      <c r="A382">
        <v>3657</v>
      </c>
      <c r="B382" s="10">
        <v>45936</v>
      </c>
      <c r="C382">
        <v>6</v>
      </c>
      <c r="D382" t="s">
        <v>136</v>
      </c>
      <c r="E382" t="s">
        <v>121</v>
      </c>
      <c r="F382" t="s">
        <v>141</v>
      </c>
      <c r="G382" t="s">
        <v>100</v>
      </c>
      <c r="H382" t="s">
        <v>101</v>
      </c>
      <c r="I382" t="s">
        <v>152</v>
      </c>
      <c r="J382" t="s">
        <v>103</v>
      </c>
      <c r="K382">
        <v>7</v>
      </c>
      <c r="L382">
        <v>1500</v>
      </c>
      <c r="M382">
        <v>10500</v>
      </c>
      <c r="N382" t="s">
        <v>95</v>
      </c>
      <c r="O382" t="s">
        <v>96</v>
      </c>
    </row>
    <row r="383" spans="1:15" x14ac:dyDescent="0.25">
      <c r="A383">
        <v>3935</v>
      </c>
      <c r="B383" s="10">
        <v>45938</v>
      </c>
      <c r="C383">
        <v>8</v>
      </c>
      <c r="D383" t="s">
        <v>136</v>
      </c>
      <c r="E383" t="s">
        <v>133</v>
      </c>
      <c r="F383" t="s">
        <v>22</v>
      </c>
      <c r="G383" t="s">
        <v>91</v>
      </c>
      <c r="H383" t="s">
        <v>101</v>
      </c>
      <c r="I383" t="s">
        <v>152</v>
      </c>
      <c r="J383" t="s">
        <v>103</v>
      </c>
      <c r="K383">
        <v>34</v>
      </c>
      <c r="L383">
        <v>1500</v>
      </c>
      <c r="M383">
        <v>51000</v>
      </c>
      <c r="N383" t="s">
        <v>108</v>
      </c>
      <c r="O383" t="s">
        <v>96</v>
      </c>
    </row>
    <row r="384" spans="1:15" x14ac:dyDescent="0.25">
      <c r="A384">
        <v>4136</v>
      </c>
      <c r="B384" s="10">
        <v>45939</v>
      </c>
      <c r="C384">
        <v>9</v>
      </c>
      <c r="D384" t="s">
        <v>136</v>
      </c>
      <c r="E384" t="s">
        <v>116</v>
      </c>
      <c r="F384" t="s">
        <v>36</v>
      </c>
      <c r="G384" t="s">
        <v>100</v>
      </c>
      <c r="H384" t="s">
        <v>101</v>
      </c>
      <c r="I384" t="s">
        <v>152</v>
      </c>
      <c r="J384" t="s">
        <v>103</v>
      </c>
      <c r="K384">
        <v>48</v>
      </c>
      <c r="L384">
        <v>1500</v>
      </c>
      <c r="M384">
        <v>72000</v>
      </c>
      <c r="N384" t="s">
        <v>95</v>
      </c>
      <c r="O384" t="s">
        <v>115</v>
      </c>
    </row>
    <row r="385" spans="1:15" x14ac:dyDescent="0.25">
      <c r="A385">
        <v>4175</v>
      </c>
      <c r="B385" s="10">
        <v>45790</v>
      </c>
      <c r="C385">
        <v>13</v>
      </c>
      <c r="D385" t="s">
        <v>120</v>
      </c>
      <c r="E385" t="s">
        <v>112</v>
      </c>
      <c r="F385" t="s">
        <v>49</v>
      </c>
      <c r="G385" t="s">
        <v>118</v>
      </c>
      <c r="H385" t="s">
        <v>101</v>
      </c>
      <c r="I385" t="s">
        <v>152</v>
      </c>
      <c r="J385" t="s">
        <v>103</v>
      </c>
      <c r="K385">
        <v>49</v>
      </c>
      <c r="L385">
        <v>1500</v>
      </c>
      <c r="M385">
        <v>73500</v>
      </c>
      <c r="N385" t="s">
        <v>95</v>
      </c>
      <c r="O385" t="s">
        <v>104</v>
      </c>
    </row>
    <row r="386" spans="1:15" x14ac:dyDescent="0.25">
      <c r="A386">
        <v>4301</v>
      </c>
      <c r="B386" s="10">
        <v>45966</v>
      </c>
      <c r="C386">
        <v>5</v>
      </c>
      <c r="D386" t="s">
        <v>90</v>
      </c>
      <c r="E386" t="s">
        <v>150</v>
      </c>
      <c r="F386" t="s">
        <v>113</v>
      </c>
      <c r="G386" t="s">
        <v>114</v>
      </c>
      <c r="H386" t="s">
        <v>101</v>
      </c>
      <c r="I386" t="s">
        <v>152</v>
      </c>
      <c r="J386" t="s">
        <v>103</v>
      </c>
      <c r="K386">
        <v>6</v>
      </c>
      <c r="L386">
        <v>1500</v>
      </c>
      <c r="M386">
        <v>9000</v>
      </c>
      <c r="N386" t="s">
        <v>95</v>
      </c>
      <c r="O386" t="s">
        <v>96</v>
      </c>
    </row>
    <row r="387" spans="1:15" x14ac:dyDescent="0.25">
      <c r="A387">
        <v>4433</v>
      </c>
      <c r="B387" s="10">
        <v>45919</v>
      </c>
      <c r="C387">
        <v>19</v>
      </c>
      <c r="D387" t="s">
        <v>147</v>
      </c>
      <c r="E387" t="s">
        <v>150</v>
      </c>
      <c r="F387" t="s">
        <v>117</v>
      </c>
      <c r="G387" t="s">
        <v>118</v>
      </c>
      <c r="H387" t="s">
        <v>101</v>
      </c>
      <c r="I387" t="s">
        <v>152</v>
      </c>
      <c r="J387" t="s">
        <v>103</v>
      </c>
      <c r="K387">
        <v>28</v>
      </c>
      <c r="L387">
        <v>1500</v>
      </c>
      <c r="M387">
        <v>42000</v>
      </c>
      <c r="N387" t="s">
        <v>95</v>
      </c>
      <c r="O387" t="s">
        <v>96</v>
      </c>
    </row>
    <row r="388" spans="1:15" x14ac:dyDescent="0.25">
      <c r="A388">
        <v>4446</v>
      </c>
      <c r="B388" s="10">
        <v>45762</v>
      </c>
      <c r="C388">
        <v>15</v>
      </c>
      <c r="D388" t="s">
        <v>105</v>
      </c>
      <c r="E388" t="s">
        <v>116</v>
      </c>
      <c r="F388" t="s">
        <v>144</v>
      </c>
      <c r="G388" t="s">
        <v>91</v>
      </c>
      <c r="H388" t="s">
        <v>101</v>
      </c>
      <c r="I388" t="s">
        <v>152</v>
      </c>
      <c r="J388" t="s">
        <v>103</v>
      </c>
      <c r="K388">
        <v>41</v>
      </c>
      <c r="L388">
        <v>1500</v>
      </c>
      <c r="M388">
        <v>61500</v>
      </c>
      <c r="N388" t="s">
        <v>95</v>
      </c>
      <c r="O388" t="s">
        <v>96</v>
      </c>
    </row>
    <row r="389" spans="1:15" x14ac:dyDescent="0.25">
      <c r="A389">
        <v>4505</v>
      </c>
      <c r="B389" s="10">
        <v>45862</v>
      </c>
      <c r="C389">
        <v>24</v>
      </c>
      <c r="D389" t="s">
        <v>145</v>
      </c>
      <c r="E389" t="s">
        <v>128</v>
      </c>
      <c r="F389" t="s">
        <v>107</v>
      </c>
      <c r="G389" t="s">
        <v>100</v>
      </c>
      <c r="H389" t="s">
        <v>101</v>
      </c>
      <c r="I389" t="s">
        <v>152</v>
      </c>
      <c r="J389" t="s">
        <v>103</v>
      </c>
      <c r="K389">
        <v>46</v>
      </c>
      <c r="L389">
        <v>1500</v>
      </c>
      <c r="M389">
        <v>69000</v>
      </c>
      <c r="N389" t="s">
        <v>95</v>
      </c>
      <c r="O389" t="s">
        <v>104</v>
      </c>
    </row>
    <row r="390" spans="1:15" x14ac:dyDescent="0.25">
      <c r="A390">
        <v>4666</v>
      </c>
      <c r="B390" s="10">
        <v>45743</v>
      </c>
      <c r="C390">
        <v>27</v>
      </c>
      <c r="D390" t="s">
        <v>140</v>
      </c>
      <c r="E390" t="s">
        <v>112</v>
      </c>
      <c r="F390" t="s">
        <v>151</v>
      </c>
      <c r="G390" t="s">
        <v>111</v>
      </c>
      <c r="H390" t="s">
        <v>101</v>
      </c>
      <c r="I390" t="s">
        <v>152</v>
      </c>
      <c r="J390" t="s">
        <v>103</v>
      </c>
      <c r="K390">
        <v>20</v>
      </c>
      <c r="L390">
        <v>1500</v>
      </c>
      <c r="M390">
        <v>30000</v>
      </c>
      <c r="N390" t="s">
        <v>108</v>
      </c>
      <c r="O390" t="s">
        <v>96</v>
      </c>
    </row>
    <row r="391" spans="1:15" x14ac:dyDescent="0.25">
      <c r="A391">
        <v>4747</v>
      </c>
      <c r="B391" s="10">
        <v>45859</v>
      </c>
      <c r="C391">
        <v>21</v>
      </c>
      <c r="D391" t="s">
        <v>145</v>
      </c>
      <c r="E391" t="s">
        <v>137</v>
      </c>
      <c r="F391" t="s">
        <v>36</v>
      </c>
      <c r="G391" t="s">
        <v>100</v>
      </c>
      <c r="H391" t="s">
        <v>101</v>
      </c>
      <c r="I391" t="s">
        <v>152</v>
      </c>
      <c r="J391" t="s">
        <v>103</v>
      </c>
      <c r="K391">
        <v>19</v>
      </c>
      <c r="L391">
        <v>1500</v>
      </c>
      <c r="M391">
        <v>28500</v>
      </c>
      <c r="N391" t="s">
        <v>95</v>
      </c>
      <c r="O391" t="s">
        <v>115</v>
      </c>
    </row>
    <row r="392" spans="1:15" x14ac:dyDescent="0.25">
      <c r="A392">
        <v>106</v>
      </c>
      <c r="B392" s="10">
        <v>45864</v>
      </c>
      <c r="C392">
        <v>26</v>
      </c>
      <c r="D392" t="s">
        <v>145</v>
      </c>
      <c r="E392" t="s">
        <v>116</v>
      </c>
      <c r="F392" t="s">
        <v>107</v>
      </c>
      <c r="G392" t="s">
        <v>100</v>
      </c>
      <c r="H392" t="s">
        <v>101</v>
      </c>
      <c r="I392" t="s">
        <v>152</v>
      </c>
      <c r="J392" t="s">
        <v>103</v>
      </c>
      <c r="K392">
        <v>10</v>
      </c>
      <c r="L392">
        <v>1600</v>
      </c>
      <c r="M392">
        <v>16000</v>
      </c>
      <c r="N392" t="s">
        <v>95</v>
      </c>
      <c r="O392" t="s">
        <v>115</v>
      </c>
    </row>
    <row r="393" spans="1:15" x14ac:dyDescent="0.25">
      <c r="A393">
        <v>120</v>
      </c>
      <c r="B393" s="10">
        <v>45828</v>
      </c>
      <c r="C393">
        <v>20</v>
      </c>
      <c r="D393" t="s">
        <v>153</v>
      </c>
      <c r="E393" t="s">
        <v>137</v>
      </c>
      <c r="F393" t="s">
        <v>117</v>
      </c>
      <c r="G393" t="s">
        <v>118</v>
      </c>
      <c r="H393" t="s">
        <v>101</v>
      </c>
      <c r="I393" t="s">
        <v>152</v>
      </c>
      <c r="J393" t="s">
        <v>103</v>
      </c>
      <c r="K393">
        <v>25</v>
      </c>
      <c r="L393">
        <v>1600</v>
      </c>
      <c r="M393">
        <v>40000</v>
      </c>
      <c r="N393" t="s">
        <v>95</v>
      </c>
      <c r="O393" t="s">
        <v>96</v>
      </c>
    </row>
    <row r="394" spans="1:15" x14ac:dyDescent="0.25">
      <c r="A394">
        <v>286</v>
      </c>
      <c r="B394" s="10">
        <v>45956</v>
      </c>
      <c r="C394">
        <v>26</v>
      </c>
      <c r="D394" t="s">
        <v>136</v>
      </c>
      <c r="E394" t="s">
        <v>133</v>
      </c>
      <c r="F394" t="s">
        <v>28</v>
      </c>
      <c r="G394" t="s">
        <v>126</v>
      </c>
      <c r="H394" t="s">
        <v>101</v>
      </c>
      <c r="I394" t="s">
        <v>152</v>
      </c>
      <c r="J394" t="s">
        <v>94</v>
      </c>
      <c r="K394">
        <v>8</v>
      </c>
      <c r="L394">
        <v>1600</v>
      </c>
      <c r="M394">
        <v>12800</v>
      </c>
      <c r="N394" t="s">
        <v>95</v>
      </c>
      <c r="O394" t="s">
        <v>96</v>
      </c>
    </row>
    <row r="395" spans="1:15" x14ac:dyDescent="0.25">
      <c r="A395">
        <v>389</v>
      </c>
      <c r="B395" s="10">
        <v>45856</v>
      </c>
      <c r="C395">
        <v>18</v>
      </c>
      <c r="D395" t="s">
        <v>145</v>
      </c>
      <c r="E395" t="s">
        <v>121</v>
      </c>
      <c r="F395" t="s">
        <v>141</v>
      </c>
      <c r="G395" t="s">
        <v>100</v>
      </c>
      <c r="H395" t="s">
        <v>101</v>
      </c>
      <c r="I395" t="s">
        <v>152</v>
      </c>
      <c r="J395" t="s">
        <v>103</v>
      </c>
      <c r="K395">
        <v>39</v>
      </c>
      <c r="L395">
        <v>1600</v>
      </c>
      <c r="M395">
        <v>62400</v>
      </c>
      <c r="N395" t="s">
        <v>95</v>
      </c>
      <c r="O395" t="s">
        <v>115</v>
      </c>
    </row>
    <row r="396" spans="1:15" x14ac:dyDescent="0.25">
      <c r="A396">
        <v>511</v>
      </c>
      <c r="B396" s="10">
        <v>46005</v>
      </c>
      <c r="C396">
        <v>14</v>
      </c>
      <c r="D396" t="s">
        <v>125</v>
      </c>
      <c r="E396" t="s">
        <v>133</v>
      </c>
      <c r="F396" t="s">
        <v>36</v>
      </c>
      <c r="G396" t="s">
        <v>100</v>
      </c>
      <c r="H396" t="s">
        <v>101</v>
      </c>
      <c r="I396" t="s">
        <v>152</v>
      </c>
      <c r="J396" t="s">
        <v>103</v>
      </c>
      <c r="K396">
        <v>44</v>
      </c>
      <c r="L396">
        <v>1600</v>
      </c>
      <c r="M396">
        <v>70400</v>
      </c>
      <c r="N396" t="s">
        <v>95</v>
      </c>
      <c r="O396" t="s">
        <v>96</v>
      </c>
    </row>
    <row r="397" spans="1:15" x14ac:dyDescent="0.25">
      <c r="A397">
        <v>690</v>
      </c>
      <c r="B397" s="10">
        <v>45950</v>
      </c>
      <c r="C397">
        <v>20</v>
      </c>
      <c r="D397" t="s">
        <v>136</v>
      </c>
      <c r="E397" t="s">
        <v>161</v>
      </c>
      <c r="F397" t="s">
        <v>22</v>
      </c>
      <c r="G397" t="s">
        <v>91</v>
      </c>
      <c r="H397" t="s">
        <v>101</v>
      </c>
      <c r="I397" t="s">
        <v>152</v>
      </c>
      <c r="J397" t="s">
        <v>103</v>
      </c>
      <c r="K397">
        <v>10</v>
      </c>
      <c r="L397">
        <v>1600</v>
      </c>
      <c r="M397">
        <v>16000</v>
      </c>
      <c r="N397" t="s">
        <v>108</v>
      </c>
      <c r="O397" t="s">
        <v>96</v>
      </c>
    </row>
    <row r="398" spans="1:15" x14ac:dyDescent="0.25">
      <c r="A398">
        <v>773</v>
      </c>
      <c r="B398" s="10">
        <v>45713</v>
      </c>
      <c r="C398">
        <v>25</v>
      </c>
      <c r="D398" t="s">
        <v>97</v>
      </c>
      <c r="E398" t="s">
        <v>98</v>
      </c>
      <c r="F398" t="s">
        <v>141</v>
      </c>
      <c r="G398" t="s">
        <v>100</v>
      </c>
      <c r="H398" t="s">
        <v>101</v>
      </c>
      <c r="I398" t="s">
        <v>152</v>
      </c>
      <c r="J398" t="s">
        <v>103</v>
      </c>
      <c r="K398">
        <v>36</v>
      </c>
      <c r="L398">
        <v>1600</v>
      </c>
      <c r="M398">
        <v>57600</v>
      </c>
      <c r="N398" t="s">
        <v>95</v>
      </c>
      <c r="O398" t="s">
        <v>104</v>
      </c>
    </row>
    <row r="399" spans="1:15" x14ac:dyDescent="0.25">
      <c r="A399">
        <v>972</v>
      </c>
      <c r="B399" s="10">
        <v>45888</v>
      </c>
      <c r="C399">
        <v>19</v>
      </c>
      <c r="D399" t="s">
        <v>109</v>
      </c>
      <c r="E399" t="s">
        <v>128</v>
      </c>
      <c r="F399" t="s">
        <v>49</v>
      </c>
      <c r="G399" t="s">
        <v>118</v>
      </c>
      <c r="H399" t="s">
        <v>37</v>
      </c>
      <c r="I399" t="s">
        <v>143</v>
      </c>
      <c r="J399" t="s">
        <v>103</v>
      </c>
      <c r="K399">
        <v>10</v>
      </c>
      <c r="L399">
        <v>1600</v>
      </c>
      <c r="M399">
        <v>16000</v>
      </c>
      <c r="N399" t="s">
        <v>95</v>
      </c>
      <c r="O399" t="s">
        <v>115</v>
      </c>
    </row>
    <row r="400" spans="1:15" x14ac:dyDescent="0.25">
      <c r="A400">
        <v>1068</v>
      </c>
      <c r="B400" s="10">
        <v>45744</v>
      </c>
      <c r="C400">
        <v>28</v>
      </c>
      <c r="D400" t="s">
        <v>140</v>
      </c>
      <c r="E400" t="s">
        <v>112</v>
      </c>
      <c r="F400" t="s">
        <v>49</v>
      </c>
      <c r="G400" t="s">
        <v>118</v>
      </c>
      <c r="H400" t="s">
        <v>101</v>
      </c>
      <c r="I400" t="s">
        <v>152</v>
      </c>
      <c r="J400" t="s">
        <v>103</v>
      </c>
      <c r="K400">
        <v>7</v>
      </c>
      <c r="L400">
        <v>1600</v>
      </c>
      <c r="M400">
        <v>11200</v>
      </c>
      <c r="N400" t="s">
        <v>95</v>
      </c>
      <c r="O400" t="s">
        <v>115</v>
      </c>
    </row>
    <row r="401" spans="1:15" x14ac:dyDescent="0.25">
      <c r="A401">
        <v>1131</v>
      </c>
      <c r="B401" s="10">
        <v>45777</v>
      </c>
      <c r="C401">
        <v>30</v>
      </c>
      <c r="D401" t="s">
        <v>105</v>
      </c>
      <c r="E401" t="s">
        <v>137</v>
      </c>
      <c r="F401" t="s">
        <v>148</v>
      </c>
      <c r="G401" t="s">
        <v>118</v>
      </c>
      <c r="H401" t="s">
        <v>101</v>
      </c>
      <c r="I401" t="s">
        <v>152</v>
      </c>
      <c r="J401" t="s">
        <v>103</v>
      </c>
      <c r="K401">
        <v>26</v>
      </c>
      <c r="L401">
        <v>1600</v>
      </c>
      <c r="M401">
        <v>41600</v>
      </c>
      <c r="N401" t="s">
        <v>95</v>
      </c>
      <c r="O401" t="s">
        <v>115</v>
      </c>
    </row>
    <row r="402" spans="1:15" x14ac:dyDescent="0.25">
      <c r="A402">
        <v>1164</v>
      </c>
      <c r="B402" s="10">
        <v>45691</v>
      </c>
      <c r="C402">
        <v>3</v>
      </c>
      <c r="D402" t="s">
        <v>97</v>
      </c>
      <c r="E402" t="s">
        <v>98</v>
      </c>
      <c r="F402" t="s">
        <v>141</v>
      </c>
      <c r="G402" t="s">
        <v>100</v>
      </c>
      <c r="H402" t="s">
        <v>37</v>
      </c>
      <c r="I402" t="s">
        <v>143</v>
      </c>
      <c r="J402" t="s">
        <v>103</v>
      </c>
      <c r="K402">
        <v>7</v>
      </c>
      <c r="L402">
        <v>1600</v>
      </c>
      <c r="M402">
        <v>11200</v>
      </c>
      <c r="N402" t="s">
        <v>95</v>
      </c>
      <c r="O402" t="s">
        <v>104</v>
      </c>
    </row>
    <row r="403" spans="1:15" x14ac:dyDescent="0.25">
      <c r="A403">
        <v>1327</v>
      </c>
      <c r="B403" s="10">
        <v>45762</v>
      </c>
      <c r="C403">
        <v>15</v>
      </c>
      <c r="D403" t="s">
        <v>105</v>
      </c>
      <c r="E403" t="s">
        <v>121</v>
      </c>
      <c r="F403" t="s">
        <v>22</v>
      </c>
      <c r="G403" t="s">
        <v>91</v>
      </c>
      <c r="H403" t="s">
        <v>37</v>
      </c>
      <c r="I403" t="s">
        <v>143</v>
      </c>
      <c r="J403" t="s">
        <v>103</v>
      </c>
      <c r="K403">
        <v>13</v>
      </c>
      <c r="L403">
        <v>1600</v>
      </c>
      <c r="M403">
        <v>20800</v>
      </c>
      <c r="N403" t="s">
        <v>95</v>
      </c>
      <c r="O403" t="s">
        <v>104</v>
      </c>
    </row>
    <row r="404" spans="1:15" x14ac:dyDescent="0.25">
      <c r="A404">
        <v>1351</v>
      </c>
      <c r="B404" s="10">
        <v>45809</v>
      </c>
      <c r="C404">
        <v>1</v>
      </c>
      <c r="D404" t="s">
        <v>153</v>
      </c>
      <c r="E404" t="s">
        <v>138</v>
      </c>
      <c r="F404" t="s">
        <v>28</v>
      </c>
      <c r="G404" t="s">
        <v>126</v>
      </c>
      <c r="H404" t="s">
        <v>37</v>
      </c>
      <c r="I404" t="s">
        <v>143</v>
      </c>
      <c r="J404" t="s">
        <v>103</v>
      </c>
      <c r="K404">
        <v>27</v>
      </c>
      <c r="L404">
        <v>1600</v>
      </c>
      <c r="M404">
        <v>43200</v>
      </c>
      <c r="N404" t="s">
        <v>95</v>
      </c>
      <c r="O404" t="s">
        <v>104</v>
      </c>
    </row>
    <row r="405" spans="1:15" x14ac:dyDescent="0.25">
      <c r="A405">
        <v>1470</v>
      </c>
      <c r="B405" s="10">
        <v>45900</v>
      </c>
      <c r="C405">
        <v>31</v>
      </c>
      <c r="D405" t="s">
        <v>109</v>
      </c>
      <c r="E405" t="s">
        <v>25</v>
      </c>
      <c r="F405" t="s">
        <v>141</v>
      </c>
      <c r="G405" t="s">
        <v>100</v>
      </c>
      <c r="H405" t="s">
        <v>101</v>
      </c>
      <c r="I405" t="s">
        <v>152</v>
      </c>
      <c r="J405" t="s">
        <v>103</v>
      </c>
      <c r="K405">
        <v>8</v>
      </c>
      <c r="L405">
        <v>1600</v>
      </c>
      <c r="M405">
        <v>12800</v>
      </c>
      <c r="N405" t="s">
        <v>95</v>
      </c>
      <c r="O405" t="s">
        <v>115</v>
      </c>
    </row>
    <row r="406" spans="1:15" x14ac:dyDescent="0.25">
      <c r="A406">
        <v>1594</v>
      </c>
      <c r="B406" s="10">
        <v>45795</v>
      </c>
      <c r="C406">
        <v>18</v>
      </c>
      <c r="D406" t="s">
        <v>120</v>
      </c>
      <c r="E406" t="s">
        <v>161</v>
      </c>
      <c r="F406" t="s">
        <v>49</v>
      </c>
      <c r="G406" t="s">
        <v>118</v>
      </c>
      <c r="H406" t="s">
        <v>101</v>
      </c>
      <c r="I406" t="s">
        <v>152</v>
      </c>
      <c r="J406" t="s">
        <v>103</v>
      </c>
      <c r="K406">
        <v>25</v>
      </c>
      <c r="L406">
        <v>1600</v>
      </c>
      <c r="M406">
        <v>40000</v>
      </c>
      <c r="N406" t="s">
        <v>95</v>
      </c>
      <c r="O406" t="s">
        <v>115</v>
      </c>
    </row>
    <row r="407" spans="1:15" x14ac:dyDescent="0.25">
      <c r="A407">
        <v>1723</v>
      </c>
      <c r="B407" s="10">
        <v>45661</v>
      </c>
      <c r="C407">
        <v>4</v>
      </c>
      <c r="D407" t="s">
        <v>130</v>
      </c>
      <c r="E407" t="s">
        <v>150</v>
      </c>
      <c r="F407" t="s">
        <v>144</v>
      </c>
      <c r="G407" t="s">
        <v>91</v>
      </c>
      <c r="H407" t="s">
        <v>101</v>
      </c>
      <c r="I407" t="s">
        <v>152</v>
      </c>
      <c r="J407" t="s">
        <v>103</v>
      </c>
      <c r="K407">
        <v>15</v>
      </c>
      <c r="L407">
        <v>1600</v>
      </c>
      <c r="M407">
        <v>24000</v>
      </c>
      <c r="N407" t="s">
        <v>95</v>
      </c>
      <c r="O407" t="s">
        <v>104</v>
      </c>
    </row>
    <row r="408" spans="1:15" x14ac:dyDescent="0.25">
      <c r="A408">
        <v>1809</v>
      </c>
      <c r="B408" s="10">
        <v>45704</v>
      </c>
      <c r="C408">
        <v>16</v>
      </c>
      <c r="D408" t="s">
        <v>97</v>
      </c>
      <c r="E408" t="s">
        <v>98</v>
      </c>
      <c r="F408" t="s">
        <v>134</v>
      </c>
      <c r="G408" t="s">
        <v>100</v>
      </c>
      <c r="H408" t="s">
        <v>37</v>
      </c>
      <c r="I408" t="s">
        <v>143</v>
      </c>
      <c r="J408" t="s">
        <v>103</v>
      </c>
      <c r="K408">
        <v>45</v>
      </c>
      <c r="L408">
        <v>1600</v>
      </c>
      <c r="M408">
        <v>72000</v>
      </c>
      <c r="N408" t="s">
        <v>95</v>
      </c>
      <c r="O408" t="s">
        <v>115</v>
      </c>
    </row>
    <row r="409" spans="1:15" x14ac:dyDescent="0.25">
      <c r="A409">
        <v>2020</v>
      </c>
      <c r="B409" s="10">
        <v>45814</v>
      </c>
      <c r="C409">
        <v>6</v>
      </c>
      <c r="D409" t="s">
        <v>153</v>
      </c>
      <c r="E409" t="s">
        <v>106</v>
      </c>
      <c r="F409" t="s">
        <v>141</v>
      </c>
      <c r="G409" t="s">
        <v>100</v>
      </c>
      <c r="H409" t="s">
        <v>37</v>
      </c>
      <c r="I409" t="s">
        <v>143</v>
      </c>
      <c r="J409" t="s">
        <v>103</v>
      </c>
      <c r="K409">
        <v>22</v>
      </c>
      <c r="L409">
        <v>1600</v>
      </c>
      <c r="M409">
        <v>35200</v>
      </c>
      <c r="N409" t="s">
        <v>108</v>
      </c>
      <c r="O409" t="s">
        <v>96</v>
      </c>
    </row>
    <row r="410" spans="1:15" x14ac:dyDescent="0.25">
      <c r="A410">
        <v>2040</v>
      </c>
      <c r="B410" s="10">
        <v>45731</v>
      </c>
      <c r="C410">
        <v>15</v>
      </c>
      <c r="D410" t="s">
        <v>140</v>
      </c>
      <c r="E410" t="s">
        <v>161</v>
      </c>
      <c r="F410" t="s">
        <v>28</v>
      </c>
      <c r="G410" t="s">
        <v>126</v>
      </c>
      <c r="H410" t="s">
        <v>101</v>
      </c>
      <c r="I410" t="s">
        <v>152</v>
      </c>
      <c r="J410" t="s">
        <v>94</v>
      </c>
      <c r="K410">
        <v>7</v>
      </c>
      <c r="L410">
        <v>1600</v>
      </c>
      <c r="M410">
        <v>11200</v>
      </c>
      <c r="N410" t="s">
        <v>95</v>
      </c>
      <c r="O410" t="s">
        <v>104</v>
      </c>
    </row>
    <row r="411" spans="1:15" x14ac:dyDescent="0.25">
      <c r="A411">
        <v>2130</v>
      </c>
      <c r="B411" s="10">
        <v>45820</v>
      </c>
      <c r="C411">
        <v>12</v>
      </c>
      <c r="D411" t="s">
        <v>153</v>
      </c>
      <c r="E411" t="s">
        <v>106</v>
      </c>
      <c r="F411" t="s">
        <v>44</v>
      </c>
      <c r="G411" t="s">
        <v>111</v>
      </c>
      <c r="H411" t="s">
        <v>101</v>
      </c>
      <c r="I411" t="s">
        <v>152</v>
      </c>
      <c r="J411" t="s">
        <v>103</v>
      </c>
      <c r="K411">
        <v>7</v>
      </c>
      <c r="L411">
        <v>1600</v>
      </c>
      <c r="M411">
        <v>11200</v>
      </c>
      <c r="N411" t="s">
        <v>95</v>
      </c>
      <c r="O411" t="s">
        <v>104</v>
      </c>
    </row>
    <row r="412" spans="1:15" x14ac:dyDescent="0.25">
      <c r="A412">
        <v>2376</v>
      </c>
      <c r="B412" s="10">
        <v>45740</v>
      </c>
      <c r="C412">
        <v>24</v>
      </c>
      <c r="D412" t="s">
        <v>140</v>
      </c>
      <c r="E412" t="s">
        <v>133</v>
      </c>
      <c r="F412" t="s">
        <v>49</v>
      </c>
      <c r="G412" t="s">
        <v>118</v>
      </c>
      <c r="H412" t="s">
        <v>101</v>
      </c>
      <c r="I412" t="s">
        <v>152</v>
      </c>
      <c r="J412" t="s">
        <v>103</v>
      </c>
      <c r="K412">
        <v>8</v>
      </c>
      <c r="L412">
        <v>1600</v>
      </c>
      <c r="M412">
        <v>12800</v>
      </c>
      <c r="N412" t="s">
        <v>95</v>
      </c>
      <c r="O412" t="s">
        <v>96</v>
      </c>
    </row>
    <row r="413" spans="1:15" x14ac:dyDescent="0.25">
      <c r="A413">
        <v>2440</v>
      </c>
      <c r="B413" s="10">
        <v>45974</v>
      </c>
      <c r="C413">
        <v>13</v>
      </c>
      <c r="D413" t="s">
        <v>90</v>
      </c>
      <c r="E413" t="s">
        <v>137</v>
      </c>
      <c r="F413" t="s">
        <v>151</v>
      </c>
      <c r="G413" t="s">
        <v>111</v>
      </c>
      <c r="H413" t="s">
        <v>37</v>
      </c>
      <c r="I413" t="s">
        <v>143</v>
      </c>
      <c r="J413" t="s">
        <v>103</v>
      </c>
      <c r="K413">
        <v>41</v>
      </c>
      <c r="L413">
        <v>1600</v>
      </c>
      <c r="M413">
        <v>65600</v>
      </c>
      <c r="N413" t="s">
        <v>108</v>
      </c>
      <c r="O413" t="s">
        <v>96</v>
      </c>
    </row>
    <row r="414" spans="1:15" x14ac:dyDescent="0.25">
      <c r="A414">
        <v>2596</v>
      </c>
      <c r="B414" s="10">
        <v>45662</v>
      </c>
      <c r="C414">
        <v>5</v>
      </c>
      <c r="D414" t="s">
        <v>130</v>
      </c>
      <c r="E414" t="s">
        <v>116</v>
      </c>
      <c r="F414" t="s">
        <v>122</v>
      </c>
      <c r="G414" t="s">
        <v>114</v>
      </c>
      <c r="H414" t="s">
        <v>101</v>
      </c>
      <c r="I414" t="s">
        <v>152</v>
      </c>
      <c r="J414" t="s">
        <v>94</v>
      </c>
      <c r="K414">
        <v>8</v>
      </c>
      <c r="L414">
        <v>1600</v>
      </c>
      <c r="M414">
        <v>12800</v>
      </c>
      <c r="N414" t="s">
        <v>95</v>
      </c>
      <c r="O414" t="s">
        <v>104</v>
      </c>
    </row>
    <row r="415" spans="1:15" x14ac:dyDescent="0.25">
      <c r="A415">
        <v>2663</v>
      </c>
      <c r="B415" s="10">
        <v>45851</v>
      </c>
      <c r="C415">
        <v>13</v>
      </c>
      <c r="D415" t="s">
        <v>145</v>
      </c>
      <c r="E415" t="s">
        <v>116</v>
      </c>
      <c r="F415" t="s">
        <v>44</v>
      </c>
      <c r="G415" t="s">
        <v>111</v>
      </c>
      <c r="H415" t="s">
        <v>101</v>
      </c>
      <c r="I415" t="s">
        <v>152</v>
      </c>
      <c r="J415" t="s">
        <v>103</v>
      </c>
      <c r="K415">
        <v>35</v>
      </c>
      <c r="L415">
        <v>1600</v>
      </c>
      <c r="M415">
        <v>56000</v>
      </c>
      <c r="N415" t="s">
        <v>95</v>
      </c>
      <c r="O415" t="s">
        <v>96</v>
      </c>
    </row>
    <row r="416" spans="1:15" x14ac:dyDescent="0.25">
      <c r="A416">
        <v>2763</v>
      </c>
      <c r="B416" s="10">
        <v>45976</v>
      </c>
      <c r="C416">
        <v>15</v>
      </c>
      <c r="D416" t="s">
        <v>90</v>
      </c>
      <c r="E416" t="s">
        <v>138</v>
      </c>
      <c r="F416" t="s">
        <v>151</v>
      </c>
      <c r="G416" t="s">
        <v>111</v>
      </c>
      <c r="H416" t="s">
        <v>101</v>
      </c>
      <c r="I416" t="s">
        <v>152</v>
      </c>
      <c r="J416" t="s">
        <v>103</v>
      </c>
      <c r="K416">
        <v>12</v>
      </c>
      <c r="L416">
        <v>1600</v>
      </c>
      <c r="M416">
        <v>19200</v>
      </c>
      <c r="N416" t="s">
        <v>108</v>
      </c>
      <c r="O416" t="s">
        <v>96</v>
      </c>
    </row>
    <row r="417" spans="1:15" x14ac:dyDescent="0.25">
      <c r="A417">
        <v>2806</v>
      </c>
      <c r="B417" s="10">
        <v>45955</v>
      </c>
      <c r="C417">
        <v>25</v>
      </c>
      <c r="D417" t="s">
        <v>136</v>
      </c>
      <c r="E417" t="s">
        <v>116</v>
      </c>
      <c r="F417" t="s">
        <v>99</v>
      </c>
      <c r="G417" t="s">
        <v>100</v>
      </c>
      <c r="H417" t="s">
        <v>101</v>
      </c>
      <c r="I417" t="s">
        <v>152</v>
      </c>
      <c r="J417" t="s">
        <v>94</v>
      </c>
      <c r="K417">
        <v>5</v>
      </c>
      <c r="L417">
        <v>1600</v>
      </c>
      <c r="M417">
        <v>8000</v>
      </c>
      <c r="N417" t="s">
        <v>108</v>
      </c>
      <c r="O417" t="s">
        <v>96</v>
      </c>
    </row>
    <row r="418" spans="1:15" x14ac:dyDescent="0.25">
      <c r="A418">
        <v>2892</v>
      </c>
      <c r="B418" s="10">
        <v>45877</v>
      </c>
      <c r="C418">
        <v>8</v>
      </c>
      <c r="D418" t="s">
        <v>109</v>
      </c>
      <c r="E418" t="s">
        <v>112</v>
      </c>
      <c r="F418" t="s">
        <v>144</v>
      </c>
      <c r="G418" t="s">
        <v>91</v>
      </c>
      <c r="H418" t="s">
        <v>101</v>
      </c>
      <c r="I418" t="s">
        <v>152</v>
      </c>
      <c r="J418" t="s">
        <v>94</v>
      </c>
      <c r="K418">
        <v>4</v>
      </c>
      <c r="L418">
        <v>1600</v>
      </c>
      <c r="M418">
        <v>6400</v>
      </c>
      <c r="N418" t="s">
        <v>108</v>
      </c>
      <c r="O418" t="s">
        <v>115</v>
      </c>
    </row>
    <row r="419" spans="1:15" x14ac:dyDescent="0.25">
      <c r="A419">
        <v>3014</v>
      </c>
      <c r="B419" s="10">
        <v>45763</v>
      </c>
      <c r="C419">
        <v>16</v>
      </c>
      <c r="D419" t="s">
        <v>105</v>
      </c>
      <c r="E419" t="s">
        <v>110</v>
      </c>
      <c r="F419" t="s">
        <v>151</v>
      </c>
      <c r="G419" t="s">
        <v>111</v>
      </c>
      <c r="H419" t="s">
        <v>37</v>
      </c>
      <c r="I419" t="s">
        <v>143</v>
      </c>
      <c r="J419" t="s">
        <v>103</v>
      </c>
      <c r="K419">
        <v>6</v>
      </c>
      <c r="L419">
        <v>1600</v>
      </c>
      <c r="M419">
        <v>9600</v>
      </c>
      <c r="N419" t="s">
        <v>108</v>
      </c>
      <c r="O419" t="s">
        <v>96</v>
      </c>
    </row>
    <row r="420" spans="1:15" x14ac:dyDescent="0.25">
      <c r="A420">
        <v>3126</v>
      </c>
      <c r="B420" s="10">
        <v>45838</v>
      </c>
      <c r="C420">
        <v>30</v>
      </c>
      <c r="D420" t="s">
        <v>153</v>
      </c>
      <c r="E420" t="s">
        <v>121</v>
      </c>
      <c r="F420" t="s">
        <v>99</v>
      </c>
      <c r="G420" t="s">
        <v>100</v>
      </c>
      <c r="H420" t="s">
        <v>101</v>
      </c>
      <c r="I420" t="s">
        <v>152</v>
      </c>
      <c r="J420" t="s">
        <v>103</v>
      </c>
      <c r="K420">
        <v>20</v>
      </c>
      <c r="L420">
        <v>1600</v>
      </c>
      <c r="M420">
        <v>32000</v>
      </c>
      <c r="N420" t="s">
        <v>108</v>
      </c>
      <c r="O420" t="s">
        <v>115</v>
      </c>
    </row>
    <row r="421" spans="1:15" x14ac:dyDescent="0.25">
      <c r="A421">
        <v>3141</v>
      </c>
      <c r="B421" s="10">
        <v>45674</v>
      </c>
      <c r="C421">
        <v>17</v>
      </c>
      <c r="D421" t="s">
        <v>130</v>
      </c>
      <c r="E421" t="s">
        <v>110</v>
      </c>
      <c r="F421" t="s">
        <v>148</v>
      </c>
      <c r="G421" t="s">
        <v>118</v>
      </c>
      <c r="H421" t="s">
        <v>101</v>
      </c>
      <c r="I421" t="s">
        <v>152</v>
      </c>
      <c r="J421" t="s">
        <v>103</v>
      </c>
      <c r="K421">
        <v>47</v>
      </c>
      <c r="L421">
        <v>1600</v>
      </c>
      <c r="M421">
        <v>75200</v>
      </c>
      <c r="N421" t="s">
        <v>108</v>
      </c>
      <c r="O421" t="s">
        <v>115</v>
      </c>
    </row>
    <row r="422" spans="1:15" x14ac:dyDescent="0.25">
      <c r="A422">
        <v>3162</v>
      </c>
      <c r="B422" s="10">
        <v>45796</v>
      </c>
      <c r="C422">
        <v>19</v>
      </c>
      <c r="D422" t="s">
        <v>120</v>
      </c>
      <c r="E422" t="s">
        <v>161</v>
      </c>
      <c r="F422" t="s">
        <v>117</v>
      </c>
      <c r="G422" t="s">
        <v>118</v>
      </c>
      <c r="H422" t="s">
        <v>101</v>
      </c>
      <c r="I422" t="s">
        <v>152</v>
      </c>
      <c r="J422" t="s">
        <v>103</v>
      </c>
      <c r="K422">
        <v>20</v>
      </c>
      <c r="L422">
        <v>1600</v>
      </c>
      <c r="M422">
        <v>32000</v>
      </c>
      <c r="N422" t="s">
        <v>95</v>
      </c>
      <c r="O422" t="s">
        <v>115</v>
      </c>
    </row>
    <row r="423" spans="1:15" x14ac:dyDescent="0.25">
      <c r="A423">
        <v>3243</v>
      </c>
      <c r="B423" s="10">
        <v>45760</v>
      </c>
      <c r="C423">
        <v>13</v>
      </c>
      <c r="D423" t="s">
        <v>105</v>
      </c>
      <c r="E423" t="s">
        <v>161</v>
      </c>
      <c r="F423" t="s">
        <v>99</v>
      </c>
      <c r="G423" t="s">
        <v>100</v>
      </c>
      <c r="H423" t="s">
        <v>37</v>
      </c>
      <c r="I423" t="s">
        <v>143</v>
      </c>
      <c r="J423" t="s">
        <v>103</v>
      </c>
      <c r="K423">
        <v>30</v>
      </c>
      <c r="L423">
        <v>1600</v>
      </c>
      <c r="M423">
        <v>48000</v>
      </c>
      <c r="N423" t="s">
        <v>108</v>
      </c>
      <c r="O423" t="s">
        <v>115</v>
      </c>
    </row>
    <row r="424" spans="1:15" x14ac:dyDescent="0.25">
      <c r="A424">
        <v>3293</v>
      </c>
      <c r="B424" s="10">
        <v>45798</v>
      </c>
      <c r="C424">
        <v>21</v>
      </c>
      <c r="D424" t="s">
        <v>120</v>
      </c>
      <c r="E424" t="s">
        <v>128</v>
      </c>
      <c r="F424" t="s">
        <v>99</v>
      </c>
      <c r="G424" t="s">
        <v>100</v>
      </c>
      <c r="H424" t="s">
        <v>101</v>
      </c>
      <c r="I424" t="s">
        <v>152</v>
      </c>
      <c r="J424" t="s">
        <v>103</v>
      </c>
      <c r="K424">
        <v>43</v>
      </c>
      <c r="L424">
        <v>1600</v>
      </c>
      <c r="M424">
        <v>68800</v>
      </c>
      <c r="N424" t="s">
        <v>108</v>
      </c>
      <c r="O424" t="s">
        <v>104</v>
      </c>
    </row>
    <row r="425" spans="1:15" x14ac:dyDescent="0.25">
      <c r="A425">
        <v>3312</v>
      </c>
      <c r="B425" s="10">
        <v>45788</v>
      </c>
      <c r="C425">
        <v>11</v>
      </c>
      <c r="D425" t="s">
        <v>120</v>
      </c>
      <c r="E425" t="s">
        <v>137</v>
      </c>
      <c r="F425" t="s">
        <v>49</v>
      </c>
      <c r="G425" t="s">
        <v>118</v>
      </c>
      <c r="H425" t="s">
        <v>101</v>
      </c>
      <c r="I425" t="s">
        <v>152</v>
      </c>
      <c r="J425" t="s">
        <v>103</v>
      </c>
      <c r="K425">
        <v>6</v>
      </c>
      <c r="L425">
        <v>1600</v>
      </c>
      <c r="M425">
        <v>9600</v>
      </c>
      <c r="N425" t="s">
        <v>108</v>
      </c>
      <c r="O425" t="s">
        <v>104</v>
      </c>
    </row>
    <row r="426" spans="1:15" x14ac:dyDescent="0.25">
      <c r="A426">
        <v>3355</v>
      </c>
      <c r="B426" s="10">
        <v>45716</v>
      </c>
      <c r="C426">
        <v>28</v>
      </c>
      <c r="D426" t="s">
        <v>97</v>
      </c>
      <c r="E426" t="s">
        <v>112</v>
      </c>
      <c r="F426" t="s">
        <v>49</v>
      </c>
      <c r="G426" t="s">
        <v>118</v>
      </c>
      <c r="H426" t="s">
        <v>37</v>
      </c>
      <c r="I426" t="s">
        <v>143</v>
      </c>
      <c r="J426" t="s">
        <v>103</v>
      </c>
      <c r="K426">
        <v>18</v>
      </c>
      <c r="L426">
        <v>1600</v>
      </c>
      <c r="M426">
        <v>28800</v>
      </c>
      <c r="N426" t="s">
        <v>95</v>
      </c>
      <c r="O426" t="s">
        <v>96</v>
      </c>
    </row>
    <row r="427" spans="1:15" x14ac:dyDescent="0.25">
      <c r="A427">
        <v>3615</v>
      </c>
      <c r="B427" s="10">
        <v>45789</v>
      </c>
      <c r="C427">
        <v>12</v>
      </c>
      <c r="D427" t="s">
        <v>120</v>
      </c>
      <c r="E427" t="s">
        <v>137</v>
      </c>
      <c r="F427" t="s">
        <v>28</v>
      </c>
      <c r="G427" t="s">
        <v>126</v>
      </c>
      <c r="H427" t="s">
        <v>101</v>
      </c>
      <c r="I427" t="s">
        <v>152</v>
      </c>
      <c r="J427" t="s">
        <v>103</v>
      </c>
      <c r="K427">
        <v>15</v>
      </c>
      <c r="L427">
        <v>1600</v>
      </c>
      <c r="M427">
        <v>24000</v>
      </c>
      <c r="N427" t="s">
        <v>95</v>
      </c>
      <c r="O427" t="s">
        <v>96</v>
      </c>
    </row>
    <row r="428" spans="1:15" x14ac:dyDescent="0.25">
      <c r="A428">
        <v>3809</v>
      </c>
      <c r="B428" s="10">
        <v>45726</v>
      </c>
      <c r="C428">
        <v>10</v>
      </c>
      <c r="D428" t="s">
        <v>140</v>
      </c>
      <c r="E428" t="s">
        <v>106</v>
      </c>
      <c r="F428" t="s">
        <v>107</v>
      </c>
      <c r="G428" t="s">
        <v>100</v>
      </c>
      <c r="H428" t="s">
        <v>101</v>
      </c>
      <c r="I428" t="s">
        <v>152</v>
      </c>
      <c r="J428" t="s">
        <v>103</v>
      </c>
      <c r="K428">
        <v>29</v>
      </c>
      <c r="L428">
        <v>1600</v>
      </c>
      <c r="M428">
        <v>46400</v>
      </c>
      <c r="N428" t="s">
        <v>108</v>
      </c>
      <c r="O428" t="s">
        <v>115</v>
      </c>
    </row>
    <row r="429" spans="1:15" x14ac:dyDescent="0.25">
      <c r="A429">
        <v>3909</v>
      </c>
      <c r="B429" s="10">
        <v>45670</v>
      </c>
      <c r="C429">
        <v>13</v>
      </c>
      <c r="D429" t="s">
        <v>130</v>
      </c>
      <c r="E429" t="s">
        <v>137</v>
      </c>
      <c r="F429" t="s">
        <v>99</v>
      </c>
      <c r="G429" t="s">
        <v>100</v>
      </c>
      <c r="H429" t="s">
        <v>101</v>
      </c>
      <c r="I429" t="s">
        <v>152</v>
      </c>
      <c r="J429" t="s">
        <v>103</v>
      </c>
      <c r="K429">
        <v>22</v>
      </c>
      <c r="L429">
        <v>1600</v>
      </c>
      <c r="M429">
        <v>35200</v>
      </c>
      <c r="N429" t="s">
        <v>95</v>
      </c>
      <c r="O429" t="s">
        <v>104</v>
      </c>
    </row>
    <row r="430" spans="1:15" x14ac:dyDescent="0.25">
      <c r="A430">
        <v>3967</v>
      </c>
      <c r="B430" s="10">
        <v>45680</v>
      </c>
      <c r="C430">
        <v>23</v>
      </c>
      <c r="D430" t="s">
        <v>130</v>
      </c>
      <c r="E430" t="s">
        <v>161</v>
      </c>
      <c r="F430" t="s">
        <v>28</v>
      </c>
      <c r="G430" t="s">
        <v>126</v>
      </c>
      <c r="H430" t="s">
        <v>101</v>
      </c>
      <c r="I430" t="s">
        <v>152</v>
      </c>
      <c r="J430" t="s">
        <v>103</v>
      </c>
      <c r="K430">
        <v>43</v>
      </c>
      <c r="L430">
        <v>1600</v>
      </c>
      <c r="M430">
        <v>68800</v>
      </c>
      <c r="N430" t="s">
        <v>108</v>
      </c>
      <c r="O430" t="s">
        <v>96</v>
      </c>
    </row>
    <row r="431" spans="1:15" x14ac:dyDescent="0.25">
      <c r="A431">
        <v>3978</v>
      </c>
      <c r="B431" s="10">
        <v>45833</v>
      </c>
      <c r="C431">
        <v>25</v>
      </c>
      <c r="D431" t="s">
        <v>153</v>
      </c>
      <c r="E431" t="s">
        <v>121</v>
      </c>
      <c r="F431" t="s">
        <v>44</v>
      </c>
      <c r="G431" t="s">
        <v>111</v>
      </c>
      <c r="H431" t="s">
        <v>101</v>
      </c>
      <c r="I431" t="s">
        <v>152</v>
      </c>
      <c r="J431" t="s">
        <v>103</v>
      </c>
      <c r="K431">
        <v>15</v>
      </c>
      <c r="L431">
        <v>1600</v>
      </c>
      <c r="M431">
        <v>24000</v>
      </c>
      <c r="N431" t="s">
        <v>108</v>
      </c>
      <c r="O431" t="s">
        <v>115</v>
      </c>
    </row>
    <row r="432" spans="1:15" x14ac:dyDescent="0.25">
      <c r="A432">
        <v>4125</v>
      </c>
      <c r="B432" s="10">
        <v>45994</v>
      </c>
      <c r="C432">
        <v>3</v>
      </c>
      <c r="D432" t="s">
        <v>125</v>
      </c>
      <c r="E432" t="s">
        <v>110</v>
      </c>
      <c r="F432" t="s">
        <v>148</v>
      </c>
      <c r="G432" t="s">
        <v>118</v>
      </c>
      <c r="H432" t="s">
        <v>101</v>
      </c>
      <c r="I432" t="s">
        <v>152</v>
      </c>
      <c r="J432" t="s">
        <v>103</v>
      </c>
      <c r="K432">
        <v>19</v>
      </c>
      <c r="L432">
        <v>1600</v>
      </c>
      <c r="M432">
        <v>30400</v>
      </c>
      <c r="N432" t="s">
        <v>108</v>
      </c>
      <c r="O432" t="s">
        <v>96</v>
      </c>
    </row>
    <row r="433" spans="1:15" x14ac:dyDescent="0.25">
      <c r="A433">
        <v>4268</v>
      </c>
      <c r="B433" s="10">
        <v>45659</v>
      </c>
      <c r="C433">
        <v>2</v>
      </c>
      <c r="D433" t="s">
        <v>130</v>
      </c>
      <c r="E433" t="s">
        <v>161</v>
      </c>
      <c r="F433" t="s">
        <v>113</v>
      </c>
      <c r="G433" t="s">
        <v>114</v>
      </c>
      <c r="H433" t="s">
        <v>101</v>
      </c>
      <c r="I433" t="s">
        <v>152</v>
      </c>
      <c r="J433" t="s">
        <v>94</v>
      </c>
      <c r="K433">
        <v>8</v>
      </c>
      <c r="L433">
        <v>1600</v>
      </c>
      <c r="M433">
        <v>12800</v>
      </c>
      <c r="N433" t="s">
        <v>108</v>
      </c>
      <c r="O433" t="s">
        <v>96</v>
      </c>
    </row>
    <row r="434" spans="1:15" x14ac:dyDescent="0.25">
      <c r="A434">
        <v>4476</v>
      </c>
      <c r="B434" s="10">
        <v>45961</v>
      </c>
      <c r="C434">
        <v>31</v>
      </c>
      <c r="D434" t="s">
        <v>136</v>
      </c>
      <c r="E434" t="s">
        <v>106</v>
      </c>
      <c r="F434" t="s">
        <v>141</v>
      </c>
      <c r="G434" t="s">
        <v>100</v>
      </c>
      <c r="H434" t="s">
        <v>101</v>
      </c>
      <c r="I434" t="s">
        <v>152</v>
      </c>
      <c r="J434" t="s">
        <v>103</v>
      </c>
      <c r="K434">
        <v>10</v>
      </c>
      <c r="L434">
        <v>1600</v>
      </c>
      <c r="M434">
        <v>16000</v>
      </c>
      <c r="N434" t="s">
        <v>108</v>
      </c>
      <c r="O434" t="s">
        <v>96</v>
      </c>
    </row>
    <row r="435" spans="1:15" x14ac:dyDescent="0.25">
      <c r="A435">
        <v>4533</v>
      </c>
      <c r="B435" s="10">
        <v>45730</v>
      </c>
      <c r="C435">
        <v>14</v>
      </c>
      <c r="D435" t="s">
        <v>140</v>
      </c>
      <c r="E435" t="s">
        <v>110</v>
      </c>
      <c r="F435" t="s">
        <v>117</v>
      </c>
      <c r="G435" t="s">
        <v>118</v>
      </c>
      <c r="H435" t="s">
        <v>101</v>
      </c>
      <c r="I435" t="s">
        <v>152</v>
      </c>
      <c r="J435" t="s">
        <v>103</v>
      </c>
      <c r="K435">
        <v>27</v>
      </c>
      <c r="L435">
        <v>1600</v>
      </c>
      <c r="M435">
        <v>43200</v>
      </c>
      <c r="N435" t="s">
        <v>108</v>
      </c>
      <c r="O435" t="s">
        <v>115</v>
      </c>
    </row>
    <row r="436" spans="1:15" x14ac:dyDescent="0.25">
      <c r="A436">
        <v>4676</v>
      </c>
      <c r="B436" s="10">
        <v>45921</v>
      </c>
      <c r="C436">
        <v>21</v>
      </c>
      <c r="D436" t="s">
        <v>147</v>
      </c>
      <c r="E436" t="s">
        <v>142</v>
      </c>
      <c r="F436" t="s">
        <v>151</v>
      </c>
      <c r="G436" t="s">
        <v>111</v>
      </c>
      <c r="H436" t="s">
        <v>37</v>
      </c>
      <c r="I436" t="s">
        <v>143</v>
      </c>
      <c r="J436" t="s">
        <v>103</v>
      </c>
      <c r="K436">
        <v>36</v>
      </c>
      <c r="L436">
        <v>1600</v>
      </c>
      <c r="M436">
        <v>57600</v>
      </c>
      <c r="N436" t="s">
        <v>95</v>
      </c>
      <c r="O436" t="s">
        <v>104</v>
      </c>
    </row>
    <row r="437" spans="1:15" x14ac:dyDescent="0.25">
      <c r="A437">
        <v>4814</v>
      </c>
      <c r="B437" s="10">
        <v>45745</v>
      </c>
      <c r="C437">
        <v>29</v>
      </c>
      <c r="D437" t="s">
        <v>140</v>
      </c>
      <c r="E437" t="s">
        <v>138</v>
      </c>
      <c r="F437" t="s">
        <v>144</v>
      </c>
      <c r="G437" t="s">
        <v>91</v>
      </c>
      <c r="H437" t="s">
        <v>37</v>
      </c>
      <c r="I437" t="s">
        <v>143</v>
      </c>
      <c r="J437" t="s">
        <v>103</v>
      </c>
      <c r="K437">
        <v>26</v>
      </c>
      <c r="L437">
        <v>1600</v>
      </c>
      <c r="M437">
        <v>41600</v>
      </c>
      <c r="N437" t="s">
        <v>95</v>
      </c>
      <c r="O437" t="s">
        <v>104</v>
      </c>
    </row>
    <row r="438" spans="1:15" x14ac:dyDescent="0.25">
      <c r="A438">
        <v>4898</v>
      </c>
      <c r="B438" s="10">
        <v>45913</v>
      </c>
      <c r="C438">
        <v>13</v>
      </c>
      <c r="D438" t="s">
        <v>147</v>
      </c>
      <c r="E438" t="s">
        <v>110</v>
      </c>
      <c r="F438" t="s">
        <v>144</v>
      </c>
      <c r="G438" t="s">
        <v>91</v>
      </c>
      <c r="H438" t="s">
        <v>37</v>
      </c>
      <c r="I438" t="s">
        <v>143</v>
      </c>
      <c r="J438" t="s">
        <v>103</v>
      </c>
      <c r="K438">
        <v>21</v>
      </c>
      <c r="L438">
        <v>1600</v>
      </c>
      <c r="M438">
        <v>33600</v>
      </c>
      <c r="N438" t="s">
        <v>108</v>
      </c>
      <c r="O438" t="s">
        <v>115</v>
      </c>
    </row>
    <row r="439" spans="1:15" x14ac:dyDescent="0.25">
      <c r="A439">
        <v>4934</v>
      </c>
      <c r="B439" s="10">
        <v>45942</v>
      </c>
      <c r="C439">
        <v>12</v>
      </c>
      <c r="D439" t="s">
        <v>136</v>
      </c>
      <c r="E439" t="s">
        <v>128</v>
      </c>
      <c r="F439" t="s">
        <v>122</v>
      </c>
      <c r="G439" t="s">
        <v>114</v>
      </c>
      <c r="H439" t="s">
        <v>101</v>
      </c>
      <c r="I439" t="s">
        <v>152</v>
      </c>
      <c r="J439" t="s">
        <v>103</v>
      </c>
      <c r="K439">
        <v>39</v>
      </c>
      <c r="L439">
        <v>1600</v>
      </c>
      <c r="M439">
        <v>62400</v>
      </c>
      <c r="N439" t="s">
        <v>108</v>
      </c>
      <c r="O439" t="s">
        <v>115</v>
      </c>
    </row>
    <row r="440" spans="1:15" x14ac:dyDescent="0.25">
      <c r="A440">
        <v>4941</v>
      </c>
      <c r="B440" s="10">
        <v>45834</v>
      </c>
      <c r="C440">
        <v>26</v>
      </c>
      <c r="D440" t="s">
        <v>153</v>
      </c>
      <c r="E440" t="s">
        <v>31</v>
      </c>
      <c r="F440" t="s">
        <v>117</v>
      </c>
      <c r="G440" t="s">
        <v>118</v>
      </c>
      <c r="H440" t="s">
        <v>101</v>
      </c>
      <c r="I440" t="s">
        <v>152</v>
      </c>
      <c r="J440" t="s">
        <v>103</v>
      </c>
      <c r="K440">
        <v>30</v>
      </c>
      <c r="L440">
        <v>1600</v>
      </c>
      <c r="M440">
        <v>48000</v>
      </c>
      <c r="N440" t="s">
        <v>95</v>
      </c>
      <c r="O440" t="s">
        <v>115</v>
      </c>
    </row>
    <row r="441" spans="1:15" x14ac:dyDescent="0.25">
      <c r="A441">
        <v>4979</v>
      </c>
      <c r="B441" s="10">
        <v>45799</v>
      </c>
      <c r="C441">
        <v>22</v>
      </c>
      <c r="D441" t="s">
        <v>120</v>
      </c>
      <c r="E441" t="s">
        <v>106</v>
      </c>
      <c r="F441" t="s">
        <v>134</v>
      </c>
      <c r="G441" t="s">
        <v>100</v>
      </c>
      <c r="H441" t="s">
        <v>101</v>
      </c>
      <c r="I441" t="s">
        <v>152</v>
      </c>
      <c r="J441" t="s">
        <v>103</v>
      </c>
      <c r="K441">
        <v>27</v>
      </c>
      <c r="L441">
        <v>1600</v>
      </c>
      <c r="M441">
        <v>43200</v>
      </c>
      <c r="N441" t="s">
        <v>108</v>
      </c>
      <c r="O441" t="s">
        <v>96</v>
      </c>
    </row>
    <row r="442" spans="1:15" x14ac:dyDescent="0.25">
      <c r="A442">
        <v>24</v>
      </c>
      <c r="B442" s="10">
        <v>45990</v>
      </c>
      <c r="C442">
        <v>29</v>
      </c>
      <c r="D442" t="s">
        <v>90</v>
      </c>
      <c r="E442" t="s">
        <v>150</v>
      </c>
      <c r="F442" t="s">
        <v>151</v>
      </c>
      <c r="G442" t="s">
        <v>111</v>
      </c>
      <c r="H442" t="s">
        <v>101</v>
      </c>
      <c r="I442" t="s">
        <v>152</v>
      </c>
      <c r="J442" t="s">
        <v>94</v>
      </c>
      <c r="K442">
        <v>4</v>
      </c>
      <c r="L442">
        <v>1700</v>
      </c>
      <c r="M442">
        <v>6800</v>
      </c>
      <c r="N442" t="s">
        <v>95</v>
      </c>
      <c r="O442" t="s">
        <v>104</v>
      </c>
    </row>
    <row r="443" spans="1:15" x14ac:dyDescent="0.25">
      <c r="A443">
        <v>90</v>
      </c>
      <c r="B443" s="10">
        <v>45865</v>
      </c>
      <c r="C443">
        <v>27</v>
      </c>
      <c r="D443" t="s">
        <v>145</v>
      </c>
      <c r="E443" t="s">
        <v>161</v>
      </c>
      <c r="F443" t="s">
        <v>49</v>
      </c>
      <c r="G443" t="s">
        <v>118</v>
      </c>
      <c r="H443" t="s">
        <v>37</v>
      </c>
      <c r="I443" t="s">
        <v>143</v>
      </c>
      <c r="J443" t="s">
        <v>103</v>
      </c>
      <c r="K443">
        <v>35</v>
      </c>
      <c r="L443">
        <v>1700</v>
      </c>
      <c r="M443">
        <v>59500</v>
      </c>
      <c r="N443" t="s">
        <v>108</v>
      </c>
      <c r="O443" t="s">
        <v>115</v>
      </c>
    </row>
    <row r="444" spans="1:15" x14ac:dyDescent="0.25">
      <c r="A444">
        <v>145</v>
      </c>
      <c r="B444" s="10">
        <v>45727</v>
      </c>
      <c r="C444">
        <v>11</v>
      </c>
      <c r="D444" t="s">
        <v>140</v>
      </c>
      <c r="E444" t="s">
        <v>142</v>
      </c>
      <c r="F444" t="s">
        <v>151</v>
      </c>
      <c r="G444" t="s">
        <v>111</v>
      </c>
      <c r="H444" t="s">
        <v>37</v>
      </c>
      <c r="I444" t="s">
        <v>143</v>
      </c>
      <c r="J444" t="s">
        <v>103</v>
      </c>
      <c r="K444">
        <v>42</v>
      </c>
      <c r="L444">
        <v>1700</v>
      </c>
      <c r="M444">
        <v>71400</v>
      </c>
      <c r="N444" t="s">
        <v>95</v>
      </c>
      <c r="O444" t="s">
        <v>115</v>
      </c>
    </row>
    <row r="445" spans="1:15" x14ac:dyDescent="0.25">
      <c r="A445">
        <v>215</v>
      </c>
      <c r="B445" s="10">
        <v>45679</v>
      </c>
      <c r="C445">
        <v>22</v>
      </c>
      <c r="D445" t="s">
        <v>130</v>
      </c>
      <c r="E445" t="s">
        <v>150</v>
      </c>
      <c r="F445" t="s">
        <v>144</v>
      </c>
      <c r="G445" t="s">
        <v>91</v>
      </c>
      <c r="H445" t="s">
        <v>37</v>
      </c>
      <c r="I445" t="s">
        <v>143</v>
      </c>
      <c r="J445" t="s">
        <v>103</v>
      </c>
      <c r="K445">
        <v>39</v>
      </c>
      <c r="L445">
        <v>1700</v>
      </c>
      <c r="M445">
        <v>66300</v>
      </c>
      <c r="N445" t="s">
        <v>108</v>
      </c>
      <c r="O445" t="s">
        <v>115</v>
      </c>
    </row>
    <row r="446" spans="1:15" x14ac:dyDescent="0.25">
      <c r="A446">
        <v>218</v>
      </c>
      <c r="B446" s="10">
        <v>45912</v>
      </c>
      <c r="C446">
        <v>12</v>
      </c>
      <c r="D446" t="s">
        <v>147</v>
      </c>
      <c r="E446" t="s">
        <v>161</v>
      </c>
      <c r="F446" t="s">
        <v>151</v>
      </c>
      <c r="G446" t="s">
        <v>111</v>
      </c>
      <c r="H446" t="s">
        <v>37</v>
      </c>
      <c r="I446" t="s">
        <v>143</v>
      </c>
      <c r="J446" t="s">
        <v>103</v>
      </c>
      <c r="K446">
        <v>10</v>
      </c>
      <c r="L446">
        <v>1700</v>
      </c>
      <c r="M446">
        <v>17000</v>
      </c>
      <c r="N446" t="s">
        <v>108</v>
      </c>
      <c r="O446" t="s">
        <v>104</v>
      </c>
    </row>
    <row r="447" spans="1:15" x14ac:dyDescent="0.25">
      <c r="A447">
        <v>301</v>
      </c>
      <c r="B447" s="10">
        <v>45850</v>
      </c>
      <c r="C447">
        <v>12</v>
      </c>
      <c r="D447" t="s">
        <v>145</v>
      </c>
      <c r="E447" t="s">
        <v>138</v>
      </c>
      <c r="F447" t="s">
        <v>117</v>
      </c>
      <c r="G447" t="s">
        <v>118</v>
      </c>
      <c r="H447" t="s">
        <v>101</v>
      </c>
      <c r="I447" t="s">
        <v>152</v>
      </c>
      <c r="J447" t="s">
        <v>94</v>
      </c>
      <c r="K447">
        <v>4</v>
      </c>
      <c r="L447">
        <v>1700</v>
      </c>
      <c r="M447">
        <v>6800</v>
      </c>
      <c r="N447" t="s">
        <v>108</v>
      </c>
      <c r="O447" t="s">
        <v>96</v>
      </c>
    </row>
    <row r="448" spans="1:15" x14ac:dyDescent="0.25">
      <c r="A448">
        <v>421</v>
      </c>
      <c r="B448" s="10">
        <v>45894</v>
      </c>
      <c r="C448">
        <v>25</v>
      </c>
      <c r="D448" t="s">
        <v>109</v>
      </c>
      <c r="E448" t="s">
        <v>25</v>
      </c>
      <c r="F448" t="s">
        <v>36</v>
      </c>
      <c r="G448" t="s">
        <v>100</v>
      </c>
      <c r="H448" t="s">
        <v>101</v>
      </c>
      <c r="I448" t="s">
        <v>152</v>
      </c>
      <c r="J448" t="s">
        <v>103</v>
      </c>
      <c r="K448">
        <v>36</v>
      </c>
      <c r="L448">
        <v>1700</v>
      </c>
      <c r="M448">
        <v>61200</v>
      </c>
      <c r="N448" t="s">
        <v>95</v>
      </c>
      <c r="O448" t="s">
        <v>115</v>
      </c>
    </row>
    <row r="449" spans="1:15" x14ac:dyDescent="0.25">
      <c r="A449">
        <v>448</v>
      </c>
      <c r="B449" s="10">
        <v>45683</v>
      </c>
      <c r="C449">
        <v>26</v>
      </c>
      <c r="D449" t="s">
        <v>130</v>
      </c>
      <c r="E449" t="s">
        <v>142</v>
      </c>
      <c r="F449" t="s">
        <v>148</v>
      </c>
      <c r="G449" t="s">
        <v>118</v>
      </c>
      <c r="H449" t="s">
        <v>101</v>
      </c>
      <c r="I449" t="s">
        <v>152</v>
      </c>
      <c r="J449" t="s">
        <v>94</v>
      </c>
      <c r="K449">
        <v>1</v>
      </c>
      <c r="L449">
        <v>1700</v>
      </c>
      <c r="M449">
        <v>1700</v>
      </c>
      <c r="N449" t="s">
        <v>108</v>
      </c>
      <c r="O449" t="s">
        <v>104</v>
      </c>
    </row>
    <row r="450" spans="1:15" x14ac:dyDescent="0.25">
      <c r="A450">
        <v>460</v>
      </c>
      <c r="B450" s="10">
        <v>46016</v>
      </c>
      <c r="C450">
        <v>25</v>
      </c>
      <c r="D450" t="s">
        <v>125</v>
      </c>
      <c r="E450" t="s">
        <v>110</v>
      </c>
      <c r="F450" t="s">
        <v>148</v>
      </c>
      <c r="G450" t="s">
        <v>118</v>
      </c>
      <c r="H450" t="s">
        <v>101</v>
      </c>
      <c r="I450" t="s">
        <v>152</v>
      </c>
      <c r="J450" t="s">
        <v>94</v>
      </c>
      <c r="K450">
        <v>7</v>
      </c>
      <c r="L450">
        <v>1700</v>
      </c>
      <c r="M450">
        <v>11900</v>
      </c>
      <c r="N450" t="s">
        <v>95</v>
      </c>
      <c r="O450" t="s">
        <v>104</v>
      </c>
    </row>
    <row r="451" spans="1:15" x14ac:dyDescent="0.25">
      <c r="A451">
        <v>470</v>
      </c>
      <c r="B451" s="10">
        <v>45846</v>
      </c>
      <c r="C451">
        <v>8</v>
      </c>
      <c r="D451" t="s">
        <v>145</v>
      </c>
      <c r="E451" t="s">
        <v>121</v>
      </c>
      <c r="F451" t="s">
        <v>151</v>
      </c>
      <c r="G451" t="s">
        <v>111</v>
      </c>
      <c r="H451" t="s">
        <v>101</v>
      </c>
      <c r="I451" t="s">
        <v>152</v>
      </c>
      <c r="J451" t="s">
        <v>94</v>
      </c>
      <c r="K451">
        <v>1</v>
      </c>
      <c r="L451">
        <v>1700</v>
      </c>
      <c r="M451">
        <v>1700</v>
      </c>
      <c r="N451" t="s">
        <v>95</v>
      </c>
      <c r="O451" t="s">
        <v>115</v>
      </c>
    </row>
    <row r="452" spans="1:15" x14ac:dyDescent="0.25">
      <c r="A452">
        <v>476</v>
      </c>
      <c r="B452" s="10">
        <v>45787</v>
      </c>
      <c r="C452">
        <v>10</v>
      </c>
      <c r="D452" t="s">
        <v>120</v>
      </c>
      <c r="E452" t="s">
        <v>106</v>
      </c>
      <c r="F452" t="s">
        <v>151</v>
      </c>
      <c r="G452" t="s">
        <v>111</v>
      </c>
      <c r="H452" t="s">
        <v>37</v>
      </c>
      <c r="I452" t="s">
        <v>143</v>
      </c>
      <c r="J452" t="s">
        <v>103</v>
      </c>
      <c r="K452">
        <v>42</v>
      </c>
      <c r="L452">
        <v>1700</v>
      </c>
      <c r="M452">
        <v>71400</v>
      </c>
      <c r="N452" t="s">
        <v>95</v>
      </c>
      <c r="O452" t="s">
        <v>104</v>
      </c>
    </row>
    <row r="453" spans="1:15" x14ac:dyDescent="0.25">
      <c r="A453">
        <v>477</v>
      </c>
      <c r="B453" s="10">
        <v>45919</v>
      </c>
      <c r="C453">
        <v>19</v>
      </c>
      <c r="D453" t="s">
        <v>147</v>
      </c>
      <c r="E453" t="s">
        <v>98</v>
      </c>
      <c r="F453" t="s">
        <v>141</v>
      </c>
      <c r="G453" t="s">
        <v>100</v>
      </c>
      <c r="H453" t="s">
        <v>37</v>
      </c>
      <c r="I453" t="s">
        <v>143</v>
      </c>
      <c r="J453" t="s">
        <v>103</v>
      </c>
      <c r="K453">
        <v>24</v>
      </c>
      <c r="L453">
        <v>1700</v>
      </c>
      <c r="M453">
        <v>40800</v>
      </c>
      <c r="N453" t="s">
        <v>95</v>
      </c>
      <c r="O453" t="s">
        <v>115</v>
      </c>
    </row>
    <row r="454" spans="1:15" x14ac:dyDescent="0.25">
      <c r="A454">
        <v>528</v>
      </c>
      <c r="B454" s="10">
        <v>45994</v>
      </c>
      <c r="C454">
        <v>3</v>
      </c>
      <c r="D454" t="s">
        <v>125</v>
      </c>
      <c r="E454" t="s">
        <v>110</v>
      </c>
      <c r="F454" t="s">
        <v>148</v>
      </c>
      <c r="G454" t="s">
        <v>118</v>
      </c>
      <c r="H454" t="s">
        <v>37</v>
      </c>
      <c r="I454" t="s">
        <v>143</v>
      </c>
      <c r="J454" t="s">
        <v>103</v>
      </c>
      <c r="K454">
        <v>31</v>
      </c>
      <c r="L454">
        <v>1700</v>
      </c>
      <c r="M454">
        <v>52700</v>
      </c>
      <c r="N454" t="s">
        <v>95</v>
      </c>
      <c r="O454" t="s">
        <v>115</v>
      </c>
    </row>
    <row r="455" spans="1:15" x14ac:dyDescent="0.25">
      <c r="A455">
        <v>616</v>
      </c>
      <c r="B455" s="10">
        <v>45679</v>
      </c>
      <c r="C455">
        <v>22</v>
      </c>
      <c r="D455" t="s">
        <v>130</v>
      </c>
      <c r="E455" t="s">
        <v>121</v>
      </c>
      <c r="F455" t="s">
        <v>151</v>
      </c>
      <c r="G455" t="s">
        <v>111</v>
      </c>
      <c r="H455" t="s">
        <v>37</v>
      </c>
      <c r="I455" t="s">
        <v>143</v>
      </c>
      <c r="J455" t="s">
        <v>103</v>
      </c>
      <c r="K455">
        <v>36</v>
      </c>
      <c r="L455">
        <v>1700</v>
      </c>
      <c r="M455">
        <v>61200</v>
      </c>
      <c r="N455" t="s">
        <v>108</v>
      </c>
      <c r="O455" t="s">
        <v>115</v>
      </c>
    </row>
    <row r="456" spans="1:15" x14ac:dyDescent="0.25">
      <c r="A456">
        <v>620</v>
      </c>
      <c r="B456" s="10">
        <v>45955</v>
      </c>
      <c r="C456">
        <v>25</v>
      </c>
      <c r="D456" t="s">
        <v>136</v>
      </c>
      <c r="E456" t="s">
        <v>31</v>
      </c>
      <c r="F456" t="s">
        <v>113</v>
      </c>
      <c r="G456" t="s">
        <v>114</v>
      </c>
      <c r="H456" t="s">
        <v>37</v>
      </c>
      <c r="I456" t="s">
        <v>143</v>
      </c>
      <c r="J456" t="s">
        <v>103</v>
      </c>
      <c r="K456">
        <v>16</v>
      </c>
      <c r="L456">
        <v>1700</v>
      </c>
      <c r="M456">
        <v>27200</v>
      </c>
      <c r="N456" t="s">
        <v>108</v>
      </c>
      <c r="O456" t="s">
        <v>104</v>
      </c>
    </row>
    <row r="457" spans="1:15" x14ac:dyDescent="0.25">
      <c r="A457">
        <v>730</v>
      </c>
      <c r="B457" s="10">
        <v>45936</v>
      </c>
      <c r="C457">
        <v>6</v>
      </c>
      <c r="D457" t="s">
        <v>136</v>
      </c>
      <c r="E457" t="s">
        <v>112</v>
      </c>
      <c r="F457" t="s">
        <v>22</v>
      </c>
      <c r="G457" t="s">
        <v>91</v>
      </c>
      <c r="H457" t="s">
        <v>101</v>
      </c>
      <c r="I457" t="s">
        <v>152</v>
      </c>
      <c r="J457" t="s">
        <v>94</v>
      </c>
      <c r="K457">
        <v>4</v>
      </c>
      <c r="L457">
        <v>1700</v>
      </c>
      <c r="M457">
        <v>6800</v>
      </c>
      <c r="N457" t="s">
        <v>108</v>
      </c>
      <c r="O457" t="s">
        <v>115</v>
      </c>
    </row>
    <row r="458" spans="1:15" x14ac:dyDescent="0.25">
      <c r="A458">
        <v>757</v>
      </c>
      <c r="B458" s="10">
        <v>45760</v>
      </c>
      <c r="C458">
        <v>13</v>
      </c>
      <c r="D458" t="s">
        <v>105</v>
      </c>
      <c r="E458" t="s">
        <v>106</v>
      </c>
      <c r="F458" t="s">
        <v>44</v>
      </c>
      <c r="G458" t="s">
        <v>111</v>
      </c>
      <c r="H458" t="s">
        <v>37</v>
      </c>
      <c r="I458" t="s">
        <v>143</v>
      </c>
      <c r="J458" t="s">
        <v>103</v>
      </c>
      <c r="K458">
        <v>33</v>
      </c>
      <c r="L458">
        <v>1700</v>
      </c>
      <c r="M458">
        <v>56100</v>
      </c>
      <c r="N458" t="s">
        <v>95</v>
      </c>
      <c r="O458" t="s">
        <v>115</v>
      </c>
    </row>
    <row r="459" spans="1:15" x14ac:dyDescent="0.25">
      <c r="A459">
        <v>777</v>
      </c>
      <c r="B459" s="10">
        <v>45956</v>
      </c>
      <c r="C459">
        <v>26</v>
      </c>
      <c r="D459" t="s">
        <v>136</v>
      </c>
      <c r="E459" t="s">
        <v>25</v>
      </c>
      <c r="F459" t="s">
        <v>148</v>
      </c>
      <c r="G459" t="s">
        <v>118</v>
      </c>
      <c r="H459" t="s">
        <v>101</v>
      </c>
      <c r="I459" t="s">
        <v>152</v>
      </c>
      <c r="J459" t="s">
        <v>94</v>
      </c>
      <c r="K459">
        <v>5</v>
      </c>
      <c r="L459">
        <v>1700</v>
      </c>
      <c r="M459">
        <v>8500</v>
      </c>
      <c r="N459" t="s">
        <v>95</v>
      </c>
      <c r="O459" t="s">
        <v>115</v>
      </c>
    </row>
    <row r="460" spans="1:15" x14ac:dyDescent="0.25">
      <c r="A460">
        <v>848</v>
      </c>
      <c r="B460" s="10">
        <v>45908</v>
      </c>
      <c r="C460">
        <v>8</v>
      </c>
      <c r="D460" t="s">
        <v>147</v>
      </c>
      <c r="E460" t="s">
        <v>121</v>
      </c>
      <c r="F460" t="s">
        <v>49</v>
      </c>
      <c r="G460" t="s">
        <v>118</v>
      </c>
      <c r="H460" t="s">
        <v>101</v>
      </c>
      <c r="I460" t="s">
        <v>152</v>
      </c>
      <c r="J460" t="s">
        <v>103</v>
      </c>
      <c r="K460">
        <v>22</v>
      </c>
      <c r="L460">
        <v>1700</v>
      </c>
      <c r="M460">
        <v>37400</v>
      </c>
      <c r="N460" t="s">
        <v>95</v>
      </c>
      <c r="O460" t="s">
        <v>96</v>
      </c>
    </row>
    <row r="461" spans="1:15" x14ac:dyDescent="0.25">
      <c r="A461">
        <v>887</v>
      </c>
      <c r="B461" s="10">
        <v>45753</v>
      </c>
      <c r="C461">
        <v>6</v>
      </c>
      <c r="D461" t="s">
        <v>105</v>
      </c>
      <c r="E461" t="s">
        <v>121</v>
      </c>
      <c r="F461" t="s">
        <v>134</v>
      </c>
      <c r="G461" t="s">
        <v>100</v>
      </c>
      <c r="H461" t="s">
        <v>37</v>
      </c>
      <c r="I461" t="s">
        <v>143</v>
      </c>
      <c r="J461" t="s">
        <v>103</v>
      </c>
      <c r="K461">
        <v>7</v>
      </c>
      <c r="L461">
        <v>1700</v>
      </c>
      <c r="M461">
        <v>11900</v>
      </c>
      <c r="N461" t="s">
        <v>108</v>
      </c>
      <c r="O461" t="s">
        <v>96</v>
      </c>
    </row>
    <row r="462" spans="1:15" x14ac:dyDescent="0.25">
      <c r="A462">
        <v>939</v>
      </c>
      <c r="B462" s="10">
        <v>45697</v>
      </c>
      <c r="C462">
        <v>9</v>
      </c>
      <c r="D462" t="s">
        <v>97</v>
      </c>
      <c r="E462" t="s">
        <v>98</v>
      </c>
      <c r="F462" t="s">
        <v>141</v>
      </c>
      <c r="G462" t="s">
        <v>100</v>
      </c>
      <c r="H462" t="s">
        <v>37</v>
      </c>
      <c r="I462" t="s">
        <v>143</v>
      </c>
      <c r="J462" t="s">
        <v>103</v>
      </c>
      <c r="K462">
        <v>32</v>
      </c>
      <c r="L462">
        <v>1700</v>
      </c>
      <c r="M462">
        <v>54400</v>
      </c>
      <c r="N462" t="s">
        <v>108</v>
      </c>
      <c r="O462" t="s">
        <v>104</v>
      </c>
    </row>
    <row r="463" spans="1:15" x14ac:dyDescent="0.25">
      <c r="A463">
        <v>1044</v>
      </c>
      <c r="B463" s="10">
        <v>45767</v>
      </c>
      <c r="C463">
        <v>20</v>
      </c>
      <c r="D463" t="s">
        <v>105</v>
      </c>
      <c r="E463" t="s">
        <v>133</v>
      </c>
      <c r="F463" t="s">
        <v>28</v>
      </c>
      <c r="G463" t="s">
        <v>126</v>
      </c>
      <c r="H463" t="s">
        <v>37</v>
      </c>
      <c r="I463" t="s">
        <v>143</v>
      </c>
      <c r="J463" t="s">
        <v>103</v>
      </c>
      <c r="K463">
        <v>42</v>
      </c>
      <c r="L463">
        <v>1700</v>
      </c>
      <c r="M463">
        <v>71400</v>
      </c>
      <c r="N463" t="s">
        <v>108</v>
      </c>
      <c r="O463" t="s">
        <v>115</v>
      </c>
    </row>
    <row r="464" spans="1:15" x14ac:dyDescent="0.25">
      <c r="A464">
        <v>1082</v>
      </c>
      <c r="B464" s="10">
        <v>45860</v>
      </c>
      <c r="C464">
        <v>22</v>
      </c>
      <c r="D464" t="s">
        <v>145</v>
      </c>
      <c r="E464" t="s">
        <v>31</v>
      </c>
      <c r="F464" t="s">
        <v>141</v>
      </c>
      <c r="G464" t="s">
        <v>100</v>
      </c>
      <c r="H464" t="s">
        <v>37</v>
      </c>
      <c r="I464" t="s">
        <v>143</v>
      </c>
      <c r="J464" t="s">
        <v>103</v>
      </c>
      <c r="K464">
        <v>15</v>
      </c>
      <c r="L464">
        <v>1700</v>
      </c>
      <c r="M464">
        <v>25500</v>
      </c>
      <c r="N464" t="s">
        <v>95</v>
      </c>
      <c r="O464" t="s">
        <v>96</v>
      </c>
    </row>
    <row r="465" spans="1:15" x14ac:dyDescent="0.25">
      <c r="A465">
        <v>1085</v>
      </c>
      <c r="B465" s="10">
        <v>46005</v>
      </c>
      <c r="C465">
        <v>14</v>
      </c>
      <c r="D465" t="s">
        <v>125</v>
      </c>
      <c r="E465" t="s">
        <v>137</v>
      </c>
      <c r="F465" t="s">
        <v>148</v>
      </c>
      <c r="G465" t="s">
        <v>118</v>
      </c>
      <c r="H465" t="s">
        <v>37</v>
      </c>
      <c r="I465" t="s">
        <v>143</v>
      </c>
      <c r="J465" t="s">
        <v>103</v>
      </c>
      <c r="K465">
        <v>5</v>
      </c>
      <c r="L465">
        <v>1700</v>
      </c>
      <c r="M465">
        <v>8500</v>
      </c>
      <c r="N465" t="s">
        <v>108</v>
      </c>
      <c r="O465" t="s">
        <v>96</v>
      </c>
    </row>
    <row r="466" spans="1:15" x14ac:dyDescent="0.25">
      <c r="A466">
        <v>1209</v>
      </c>
      <c r="B466" s="10">
        <v>45812</v>
      </c>
      <c r="C466">
        <v>4</v>
      </c>
      <c r="D466" t="s">
        <v>153</v>
      </c>
      <c r="E466" t="s">
        <v>121</v>
      </c>
      <c r="F466" t="s">
        <v>122</v>
      </c>
      <c r="G466" t="s">
        <v>114</v>
      </c>
      <c r="H466" t="s">
        <v>101</v>
      </c>
      <c r="I466" t="s">
        <v>152</v>
      </c>
      <c r="J466" t="s">
        <v>94</v>
      </c>
      <c r="K466">
        <v>8</v>
      </c>
      <c r="L466">
        <v>1700</v>
      </c>
      <c r="M466">
        <v>13600</v>
      </c>
      <c r="N466" t="s">
        <v>95</v>
      </c>
      <c r="O466" t="s">
        <v>115</v>
      </c>
    </row>
    <row r="467" spans="1:15" x14ac:dyDescent="0.25">
      <c r="A467">
        <v>1288</v>
      </c>
      <c r="B467" s="10">
        <v>45842</v>
      </c>
      <c r="C467">
        <v>4</v>
      </c>
      <c r="D467" t="s">
        <v>145</v>
      </c>
      <c r="E467" t="s">
        <v>161</v>
      </c>
      <c r="F467" t="s">
        <v>117</v>
      </c>
      <c r="G467" t="s">
        <v>118</v>
      </c>
      <c r="H467" t="s">
        <v>37</v>
      </c>
      <c r="I467" t="s">
        <v>143</v>
      </c>
      <c r="J467" t="s">
        <v>103</v>
      </c>
      <c r="K467">
        <v>20</v>
      </c>
      <c r="L467">
        <v>1700</v>
      </c>
      <c r="M467">
        <v>34000</v>
      </c>
      <c r="N467" t="s">
        <v>108</v>
      </c>
      <c r="O467" t="s">
        <v>104</v>
      </c>
    </row>
    <row r="468" spans="1:15" x14ac:dyDescent="0.25">
      <c r="A468">
        <v>1300</v>
      </c>
      <c r="B468" s="10">
        <v>45717</v>
      </c>
      <c r="C468">
        <v>1</v>
      </c>
      <c r="D468" t="s">
        <v>140</v>
      </c>
      <c r="E468" t="s">
        <v>25</v>
      </c>
      <c r="F468" t="s">
        <v>122</v>
      </c>
      <c r="G468" t="s">
        <v>114</v>
      </c>
      <c r="H468" t="s">
        <v>37</v>
      </c>
      <c r="I468" t="s">
        <v>143</v>
      </c>
      <c r="J468" t="s">
        <v>103</v>
      </c>
      <c r="K468">
        <v>25</v>
      </c>
      <c r="L468">
        <v>1700</v>
      </c>
      <c r="M468">
        <v>42500</v>
      </c>
      <c r="N468" t="s">
        <v>95</v>
      </c>
      <c r="O468" t="s">
        <v>96</v>
      </c>
    </row>
    <row r="469" spans="1:15" x14ac:dyDescent="0.25">
      <c r="A469">
        <v>1349</v>
      </c>
      <c r="B469" s="10">
        <v>45968</v>
      </c>
      <c r="C469">
        <v>7</v>
      </c>
      <c r="D469" t="s">
        <v>90</v>
      </c>
      <c r="E469" t="s">
        <v>31</v>
      </c>
      <c r="F469" t="s">
        <v>36</v>
      </c>
      <c r="G469" t="s">
        <v>100</v>
      </c>
      <c r="H469" t="s">
        <v>101</v>
      </c>
      <c r="I469" t="s">
        <v>152</v>
      </c>
      <c r="J469" t="s">
        <v>94</v>
      </c>
      <c r="K469">
        <v>1</v>
      </c>
      <c r="L469">
        <v>1700</v>
      </c>
      <c r="M469">
        <v>1700</v>
      </c>
      <c r="N469" t="s">
        <v>95</v>
      </c>
      <c r="O469" t="s">
        <v>115</v>
      </c>
    </row>
    <row r="470" spans="1:15" x14ac:dyDescent="0.25">
      <c r="A470">
        <v>1448</v>
      </c>
      <c r="B470" s="10">
        <v>45851</v>
      </c>
      <c r="C470">
        <v>13</v>
      </c>
      <c r="D470" t="s">
        <v>145</v>
      </c>
      <c r="E470" t="s">
        <v>98</v>
      </c>
      <c r="F470" t="s">
        <v>28</v>
      </c>
      <c r="G470" t="s">
        <v>126</v>
      </c>
      <c r="H470" t="s">
        <v>37</v>
      </c>
      <c r="I470" t="s">
        <v>143</v>
      </c>
      <c r="J470" t="s">
        <v>103</v>
      </c>
      <c r="K470">
        <v>38</v>
      </c>
      <c r="L470">
        <v>1700</v>
      </c>
      <c r="M470">
        <v>64600</v>
      </c>
      <c r="N470" t="s">
        <v>95</v>
      </c>
      <c r="O470" t="s">
        <v>115</v>
      </c>
    </row>
    <row r="471" spans="1:15" x14ac:dyDescent="0.25">
      <c r="A471">
        <v>1545</v>
      </c>
      <c r="B471" s="10">
        <v>45719</v>
      </c>
      <c r="C471">
        <v>3</v>
      </c>
      <c r="D471" t="s">
        <v>140</v>
      </c>
      <c r="E471" t="s">
        <v>142</v>
      </c>
      <c r="F471" t="s">
        <v>44</v>
      </c>
      <c r="G471" t="s">
        <v>111</v>
      </c>
      <c r="H471" t="s">
        <v>101</v>
      </c>
      <c r="I471" t="s">
        <v>152</v>
      </c>
      <c r="J471" t="s">
        <v>94</v>
      </c>
      <c r="K471">
        <v>3</v>
      </c>
      <c r="L471">
        <v>1700</v>
      </c>
      <c r="M471">
        <v>5100</v>
      </c>
      <c r="N471" t="s">
        <v>95</v>
      </c>
      <c r="O471" t="s">
        <v>115</v>
      </c>
    </row>
    <row r="472" spans="1:15" x14ac:dyDescent="0.25">
      <c r="A472">
        <v>1579</v>
      </c>
      <c r="B472" s="10">
        <v>45932</v>
      </c>
      <c r="C472">
        <v>2</v>
      </c>
      <c r="D472" t="s">
        <v>136</v>
      </c>
      <c r="E472" t="s">
        <v>106</v>
      </c>
      <c r="F472" t="s">
        <v>36</v>
      </c>
      <c r="G472" t="s">
        <v>100</v>
      </c>
      <c r="H472" t="s">
        <v>101</v>
      </c>
      <c r="I472" t="s">
        <v>152</v>
      </c>
      <c r="J472" t="s">
        <v>94</v>
      </c>
      <c r="K472">
        <v>5</v>
      </c>
      <c r="L472">
        <v>1700</v>
      </c>
      <c r="M472">
        <v>8500</v>
      </c>
      <c r="N472" t="s">
        <v>95</v>
      </c>
      <c r="O472" t="s">
        <v>115</v>
      </c>
    </row>
    <row r="473" spans="1:15" x14ac:dyDescent="0.25">
      <c r="A473">
        <v>1599</v>
      </c>
      <c r="B473" s="10">
        <v>46004</v>
      </c>
      <c r="C473">
        <v>13</v>
      </c>
      <c r="D473" t="s">
        <v>125</v>
      </c>
      <c r="E473" t="s">
        <v>116</v>
      </c>
      <c r="F473" t="s">
        <v>107</v>
      </c>
      <c r="G473" t="s">
        <v>100</v>
      </c>
      <c r="H473" t="s">
        <v>37</v>
      </c>
      <c r="I473" t="s">
        <v>143</v>
      </c>
      <c r="J473" t="s">
        <v>103</v>
      </c>
      <c r="K473">
        <v>41</v>
      </c>
      <c r="L473">
        <v>1700</v>
      </c>
      <c r="M473">
        <v>69700</v>
      </c>
      <c r="N473" t="s">
        <v>95</v>
      </c>
      <c r="O473" t="s">
        <v>104</v>
      </c>
    </row>
    <row r="474" spans="1:15" x14ac:dyDescent="0.25">
      <c r="A474">
        <v>1778</v>
      </c>
      <c r="B474" s="10">
        <v>45767</v>
      </c>
      <c r="C474">
        <v>20</v>
      </c>
      <c r="D474" t="s">
        <v>105</v>
      </c>
      <c r="E474" t="s">
        <v>133</v>
      </c>
      <c r="F474" t="s">
        <v>148</v>
      </c>
      <c r="G474" t="s">
        <v>118</v>
      </c>
      <c r="H474" t="s">
        <v>37</v>
      </c>
      <c r="I474" t="s">
        <v>143</v>
      </c>
      <c r="J474" t="s">
        <v>103</v>
      </c>
      <c r="K474">
        <v>12</v>
      </c>
      <c r="L474">
        <v>1700</v>
      </c>
      <c r="M474">
        <v>20400</v>
      </c>
      <c r="N474" t="s">
        <v>108</v>
      </c>
      <c r="O474" t="s">
        <v>96</v>
      </c>
    </row>
    <row r="475" spans="1:15" x14ac:dyDescent="0.25">
      <c r="A475">
        <v>1813</v>
      </c>
      <c r="B475" s="10">
        <v>45705</v>
      </c>
      <c r="C475">
        <v>17</v>
      </c>
      <c r="D475" t="s">
        <v>97</v>
      </c>
      <c r="E475" t="s">
        <v>31</v>
      </c>
      <c r="F475" t="s">
        <v>99</v>
      </c>
      <c r="G475" t="s">
        <v>100</v>
      </c>
      <c r="H475" t="s">
        <v>101</v>
      </c>
      <c r="I475" t="s">
        <v>152</v>
      </c>
      <c r="J475" t="s">
        <v>103</v>
      </c>
      <c r="K475">
        <v>14</v>
      </c>
      <c r="L475">
        <v>1700</v>
      </c>
      <c r="M475">
        <v>23800</v>
      </c>
      <c r="N475" t="s">
        <v>108</v>
      </c>
      <c r="O475" t="s">
        <v>96</v>
      </c>
    </row>
    <row r="476" spans="1:15" x14ac:dyDescent="0.25">
      <c r="A476">
        <v>1827</v>
      </c>
      <c r="B476" s="10">
        <v>45777</v>
      </c>
      <c r="C476">
        <v>30</v>
      </c>
      <c r="D476" t="s">
        <v>105</v>
      </c>
      <c r="E476" t="s">
        <v>110</v>
      </c>
      <c r="F476" t="s">
        <v>117</v>
      </c>
      <c r="G476" t="s">
        <v>118</v>
      </c>
      <c r="H476" t="s">
        <v>101</v>
      </c>
      <c r="I476" t="s">
        <v>152</v>
      </c>
      <c r="J476" t="s">
        <v>94</v>
      </c>
      <c r="K476">
        <v>9</v>
      </c>
      <c r="L476">
        <v>1700</v>
      </c>
      <c r="M476">
        <v>15300</v>
      </c>
      <c r="N476" t="s">
        <v>108</v>
      </c>
      <c r="O476" t="s">
        <v>104</v>
      </c>
    </row>
    <row r="477" spans="1:15" x14ac:dyDescent="0.25">
      <c r="A477">
        <v>1886</v>
      </c>
      <c r="B477" s="10">
        <v>45843</v>
      </c>
      <c r="C477">
        <v>5</v>
      </c>
      <c r="D477" t="s">
        <v>145</v>
      </c>
      <c r="E477" t="s">
        <v>110</v>
      </c>
      <c r="F477" t="s">
        <v>144</v>
      </c>
      <c r="G477" t="s">
        <v>91</v>
      </c>
      <c r="H477" t="s">
        <v>37</v>
      </c>
      <c r="I477" t="s">
        <v>143</v>
      </c>
      <c r="J477" t="s">
        <v>103</v>
      </c>
      <c r="K477">
        <v>35</v>
      </c>
      <c r="L477">
        <v>1700</v>
      </c>
      <c r="M477">
        <v>59500</v>
      </c>
      <c r="N477" t="s">
        <v>108</v>
      </c>
      <c r="O477" t="s">
        <v>96</v>
      </c>
    </row>
    <row r="478" spans="1:15" x14ac:dyDescent="0.25">
      <c r="A478">
        <v>1926</v>
      </c>
      <c r="B478" s="10">
        <v>45980</v>
      </c>
      <c r="C478">
        <v>19</v>
      </c>
      <c r="D478" t="s">
        <v>90</v>
      </c>
      <c r="E478" t="s">
        <v>116</v>
      </c>
      <c r="F478" t="s">
        <v>122</v>
      </c>
      <c r="G478" t="s">
        <v>114</v>
      </c>
      <c r="H478" t="s">
        <v>101</v>
      </c>
      <c r="I478" t="s">
        <v>152</v>
      </c>
      <c r="J478" t="s">
        <v>94</v>
      </c>
      <c r="K478">
        <v>10</v>
      </c>
      <c r="L478">
        <v>1700</v>
      </c>
      <c r="M478">
        <v>17000</v>
      </c>
      <c r="N478" t="s">
        <v>95</v>
      </c>
      <c r="O478" t="s">
        <v>96</v>
      </c>
    </row>
    <row r="479" spans="1:15" x14ac:dyDescent="0.25">
      <c r="A479">
        <v>2076</v>
      </c>
      <c r="B479" s="10">
        <v>46000</v>
      </c>
      <c r="C479">
        <v>9</v>
      </c>
      <c r="D479" t="s">
        <v>125</v>
      </c>
      <c r="E479" t="s">
        <v>133</v>
      </c>
      <c r="F479" t="s">
        <v>117</v>
      </c>
      <c r="G479" t="s">
        <v>118</v>
      </c>
      <c r="H479" t="s">
        <v>37</v>
      </c>
      <c r="I479" t="s">
        <v>143</v>
      </c>
      <c r="J479" t="s">
        <v>103</v>
      </c>
      <c r="K479">
        <v>35</v>
      </c>
      <c r="L479">
        <v>1700</v>
      </c>
      <c r="M479">
        <v>59500</v>
      </c>
      <c r="N479" t="s">
        <v>108</v>
      </c>
      <c r="O479" t="s">
        <v>96</v>
      </c>
    </row>
    <row r="480" spans="1:15" x14ac:dyDescent="0.25">
      <c r="A480">
        <v>2216</v>
      </c>
      <c r="B480" s="10">
        <v>45757</v>
      </c>
      <c r="C480">
        <v>10</v>
      </c>
      <c r="D480" t="s">
        <v>105</v>
      </c>
      <c r="E480" t="s">
        <v>121</v>
      </c>
      <c r="F480" t="s">
        <v>107</v>
      </c>
      <c r="G480" t="s">
        <v>100</v>
      </c>
      <c r="H480" t="s">
        <v>37</v>
      </c>
      <c r="I480" t="s">
        <v>143</v>
      </c>
      <c r="J480" t="s">
        <v>103</v>
      </c>
      <c r="K480">
        <v>50</v>
      </c>
      <c r="L480">
        <v>1700</v>
      </c>
      <c r="M480">
        <v>85000</v>
      </c>
      <c r="N480" t="s">
        <v>95</v>
      </c>
      <c r="O480" t="s">
        <v>115</v>
      </c>
    </row>
    <row r="481" spans="1:15" x14ac:dyDescent="0.25">
      <c r="A481">
        <v>2243</v>
      </c>
      <c r="B481" s="10">
        <v>45964</v>
      </c>
      <c r="C481">
        <v>3</v>
      </c>
      <c r="D481" t="s">
        <v>90</v>
      </c>
      <c r="E481" t="s">
        <v>161</v>
      </c>
      <c r="F481" t="s">
        <v>148</v>
      </c>
      <c r="G481" t="s">
        <v>118</v>
      </c>
      <c r="H481" t="s">
        <v>101</v>
      </c>
      <c r="I481" t="s">
        <v>152</v>
      </c>
      <c r="J481" t="s">
        <v>103</v>
      </c>
      <c r="K481">
        <v>47</v>
      </c>
      <c r="L481">
        <v>1700</v>
      </c>
      <c r="M481">
        <v>79900</v>
      </c>
      <c r="N481" t="s">
        <v>108</v>
      </c>
      <c r="O481" t="s">
        <v>96</v>
      </c>
    </row>
    <row r="482" spans="1:15" x14ac:dyDescent="0.25">
      <c r="A482">
        <v>2244</v>
      </c>
      <c r="B482" s="10">
        <v>45986</v>
      </c>
      <c r="C482">
        <v>25</v>
      </c>
      <c r="D482" t="s">
        <v>90</v>
      </c>
      <c r="E482" t="s">
        <v>110</v>
      </c>
      <c r="F482" t="s">
        <v>117</v>
      </c>
      <c r="G482" t="s">
        <v>118</v>
      </c>
      <c r="H482" t="s">
        <v>101</v>
      </c>
      <c r="I482" t="s">
        <v>152</v>
      </c>
      <c r="J482" t="s">
        <v>94</v>
      </c>
      <c r="K482">
        <v>9</v>
      </c>
      <c r="L482">
        <v>1700</v>
      </c>
      <c r="M482">
        <v>15300</v>
      </c>
      <c r="N482" t="s">
        <v>108</v>
      </c>
      <c r="O482" t="s">
        <v>104</v>
      </c>
    </row>
    <row r="483" spans="1:15" x14ac:dyDescent="0.25">
      <c r="A483">
        <v>2282</v>
      </c>
      <c r="B483" s="10">
        <v>45672</v>
      </c>
      <c r="C483">
        <v>15</v>
      </c>
      <c r="D483" t="s">
        <v>130</v>
      </c>
      <c r="E483" t="s">
        <v>150</v>
      </c>
      <c r="F483" t="s">
        <v>49</v>
      </c>
      <c r="G483" t="s">
        <v>118</v>
      </c>
      <c r="H483" t="s">
        <v>101</v>
      </c>
      <c r="I483" t="s">
        <v>152</v>
      </c>
      <c r="J483" t="s">
        <v>94</v>
      </c>
      <c r="K483">
        <v>8</v>
      </c>
      <c r="L483">
        <v>1700</v>
      </c>
      <c r="M483">
        <v>13600</v>
      </c>
      <c r="N483" t="s">
        <v>108</v>
      </c>
      <c r="O483" t="s">
        <v>115</v>
      </c>
    </row>
    <row r="484" spans="1:15" x14ac:dyDescent="0.25">
      <c r="A484">
        <v>2373</v>
      </c>
      <c r="B484" s="10">
        <v>45799</v>
      </c>
      <c r="C484">
        <v>22</v>
      </c>
      <c r="D484" t="s">
        <v>120</v>
      </c>
      <c r="E484" t="s">
        <v>106</v>
      </c>
      <c r="F484" t="s">
        <v>134</v>
      </c>
      <c r="G484" t="s">
        <v>100</v>
      </c>
      <c r="H484" t="s">
        <v>37</v>
      </c>
      <c r="I484" t="s">
        <v>143</v>
      </c>
      <c r="J484" t="s">
        <v>103</v>
      </c>
      <c r="K484">
        <v>39</v>
      </c>
      <c r="L484">
        <v>1700</v>
      </c>
      <c r="M484">
        <v>66300</v>
      </c>
      <c r="N484" t="s">
        <v>108</v>
      </c>
      <c r="O484" t="s">
        <v>115</v>
      </c>
    </row>
    <row r="485" spans="1:15" x14ac:dyDescent="0.25">
      <c r="A485">
        <v>2423</v>
      </c>
      <c r="B485" s="10">
        <v>45873</v>
      </c>
      <c r="C485">
        <v>4</v>
      </c>
      <c r="D485" t="s">
        <v>109</v>
      </c>
      <c r="E485" t="s">
        <v>161</v>
      </c>
      <c r="F485" t="s">
        <v>122</v>
      </c>
      <c r="G485" t="s">
        <v>114</v>
      </c>
      <c r="H485" t="s">
        <v>37</v>
      </c>
      <c r="I485" t="s">
        <v>143</v>
      </c>
      <c r="J485" t="s">
        <v>103</v>
      </c>
      <c r="K485">
        <v>29</v>
      </c>
      <c r="L485">
        <v>1700</v>
      </c>
      <c r="M485">
        <v>49300</v>
      </c>
      <c r="N485" t="s">
        <v>95</v>
      </c>
      <c r="O485" t="s">
        <v>96</v>
      </c>
    </row>
    <row r="486" spans="1:15" x14ac:dyDescent="0.25">
      <c r="A486">
        <v>2539</v>
      </c>
      <c r="B486" s="10">
        <v>45709</v>
      </c>
      <c r="C486">
        <v>21</v>
      </c>
      <c r="D486" t="s">
        <v>97</v>
      </c>
      <c r="E486" t="s">
        <v>133</v>
      </c>
      <c r="F486" t="s">
        <v>117</v>
      </c>
      <c r="G486" t="s">
        <v>118</v>
      </c>
      <c r="H486" t="s">
        <v>101</v>
      </c>
      <c r="I486" t="s">
        <v>152</v>
      </c>
      <c r="J486" t="s">
        <v>94</v>
      </c>
      <c r="K486">
        <v>10</v>
      </c>
      <c r="L486">
        <v>1700</v>
      </c>
      <c r="M486">
        <v>17000</v>
      </c>
      <c r="N486" t="s">
        <v>95</v>
      </c>
      <c r="O486" t="s">
        <v>104</v>
      </c>
    </row>
    <row r="487" spans="1:15" x14ac:dyDescent="0.25">
      <c r="A487">
        <v>2630</v>
      </c>
      <c r="B487" s="10">
        <v>45834</v>
      </c>
      <c r="C487">
        <v>26</v>
      </c>
      <c r="D487" t="s">
        <v>153</v>
      </c>
      <c r="E487" t="s">
        <v>138</v>
      </c>
      <c r="F487" t="s">
        <v>99</v>
      </c>
      <c r="G487" t="s">
        <v>100</v>
      </c>
      <c r="H487" t="s">
        <v>37</v>
      </c>
      <c r="I487" t="s">
        <v>143</v>
      </c>
      <c r="J487" t="s">
        <v>103</v>
      </c>
      <c r="K487">
        <v>47</v>
      </c>
      <c r="L487">
        <v>1700</v>
      </c>
      <c r="M487">
        <v>79900</v>
      </c>
      <c r="N487" t="s">
        <v>95</v>
      </c>
      <c r="O487" t="s">
        <v>104</v>
      </c>
    </row>
    <row r="488" spans="1:15" x14ac:dyDescent="0.25">
      <c r="A488">
        <v>2671</v>
      </c>
      <c r="B488" s="10">
        <v>45683</v>
      </c>
      <c r="C488">
        <v>26</v>
      </c>
      <c r="D488" t="s">
        <v>130</v>
      </c>
      <c r="E488" t="s">
        <v>161</v>
      </c>
      <c r="F488" t="s">
        <v>113</v>
      </c>
      <c r="G488" t="s">
        <v>114</v>
      </c>
      <c r="H488" t="s">
        <v>101</v>
      </c>
      <c r="I488" t="s">
        <v>152</v>
      </c>
      <c r="J488" t="s">
        <v>94</v>
      </c>
      <c r="K488">
        <v>3</v>
      </c>
      <c r="L488">
        <v>1700</v>
      </c>
      <c r="M488">
        <v>5100</v>
      </c>
      <c r="N488" t="s">
        <v>108</v>
      </c>
      <c r="O488" t="s">
        <v>115</v>
      </c>
    </row>
    <row r="489" spans="1:15" x14ac:dyDescent="0.25">
      <c r="A489">
        <v>2673</v>
      </c>
      <c r="B489" s="10">
        <v>45811</v>
      </c>
      <c r="C489">
        <v>3</v>
      </c>
      <c r="D489" t="s">
        <v>153</v>
      </c>
      <c r="E489" t="s">
        <v>106</v>
      </c>
      <c r="F489" t="s">
        <v>28</v>
      </c>
      <c r="G489" t="s">
        <v>126</v>
      </c>
      <c r="H489" t="s">
        <v>37</v>
      </c>
      <c r="I489" t="s">
        <v>143</v>
      </c>
      <c r="J489" t="s">
        <v>103</v>
      </c>
      <c r="K489">
        <v>38</v>
      </c>
      <c r="L489">
        <v>1700</v>
      </c>
      <c r="M489">
        <v>64600</v>
      </c>
      <c r="N489" t="s">
        <v>108</v>
      </c>
      <c r="O489" t="s">
        <v>96</v>
      </c>
    </row>
    <row r="490" spans="1:15" x14ac:dyDescent="0.25">
      <c r="A490">
        <v>2707</v>
      </c>
      <c r="B490" s="10">
        <v>45869</v>
      </c>
      <c r="C490">
        <v>31</v>
      </c>
      <c r="D490" t="s">
        <v>145</v>
      </c>
      <c r="E490" t="s">
        <v>128</v>
      </c>
      <c r="F490" t="s">
        <v>141</v>
      </c>
      <c r="G490" t="s">
        <v>100</v>
      </c>
      <c r="H490" t="s">
        <v>37</v>
      </c>
      <c r="I490" t="s">
        <v>143</v>
      </c>
      <c r="J490" t="s">
        <v>103</v>
      </c>
      <c r="K490">
        <v>11</v>
      </c>
      <c r="L490">
        <v>1700</v>
      </c>
      <c r="M490">
        <v>18700</v>
      </c>
      <c r="N490" t="s">
        <v>108</v>
      </c>
      <c r="O490" t="s">
        <v>96</v>
      </c>
    </row>
    <row r="491" spans="1:15" x14ac:dyDescent="0.25">
      <c r="A491">
        <v>2719</v>
      </c>
      <c r="B491" s="10">
        <v>45788</v>
      </c>
      <c r="C491">
        <v>11</v>
      </c>
      <c r="D491" t="s">
        <v>120</v>
      </c>
      <c r="E491" t="s">
        <v>106</v>
      </c>
      <c r="F491" t="s">
        <v>49</v>
      </c>
      <c r="G491" t="s">
        <v>118</v>
      </c>
      <c r="H491" t="s">
        <v>101</v>
      </c>
      <c r="I491" t="s">
        <v>152</v>
      </c>
      <c r="J491" t="s">
        <v>94</v>
      </c>
      <c r="K491">
        <v>3</v>
      </c>
      <c r="L491">
        <v>1700</v>
      </c>
      <c r="M491">
        <v>5100</v>
      </c>
      <c r="N491" t="s">
        <v>95</v>
      </c>
      <c r="O491" t="s">
        <v>115</v>
      </c>
    </row>
    <row r="492" spans="1:15" x14ac:dyDescent="0.25">
      <c r="A492">
        <v>2764</v>
      </c>
      <c r="B492" s="10">
        <v>46013</v>
      </c>
      <c r="C492">
        <v>22</v>
      </c>
      <c r="D492" t="s">
        <v>125</v>
      </c>
      <c r="E492" t="s">
        <v>31</v>
      </c>
      <c r="F492" t="s">
        <v>113</v>
      </c>
      <c r="G492" t="s">
        <v>114</v>
      </c>
      <c r="H492" t="s">
        <v>101</v>
      </c>
      <c r="I492" t="s">
        <v>152</v>
      </c>
      <c r="J492" t="s">
        <v>94</v>
      </c>
      <c r="K492">
        <v>9</v>
      </c>
      <c r="L492">
        <v>1700</v>
      </c>
      <c r="M492">
        <v>15300</v>
      </c>
      <c r="N492" t="s">
        <v>108</v>
      </c>
      <c r="O492" t="s">
        <v>115</v>
      </c>
    </row>
    <row r="493" spans="1:15" x14ac:dyDescent="0.25">
      <c r="A493">
        <v>2800</v>
      </c>
      <c r="B493" s="10">
        <v>45822</v>
      </c>
      <c r="C493">
        <v>14</v>
      </c>
      <c r="D493" t="s">
        <v>153</v>
      </c>
      <c r="E493" t="s">
        <v>161</v>
      </c>
      <c r="F493" t="s">
        <v>122</v>
      </c>
      <c r="G493" t="s">
        <v>114</v>
      </c>
      <c r="H493" t="s">
        <v>37</v>
      </c>
      <c r="I493" t="s">
        <v>143</v>
      </c>
      <c r="J493" t="s">
        <v>103</v>
      </c>
      <c r="K493">
        <v>15</v>
      </c>
      <c r="L493">
        <v>1700</v>
      </c>
      <c r="M493">
        <v>25500</v>
      </c>
      <c r="N493" t="s">
        <v>95</v>
      </c>
      <c r="O493" t="s">
        <v>96</v>
      </c>
    </row>
    <row r="494" spans="1:15" x14ac:dyDescent="0.25">
      <c r="A494">
        <v>2891</v>
      </c>
      <c r="B494" s="10">
        <v>45865</v>
      </c>
      <c r="C494">
        <v>27</v>
      </c>
      <c r="D494" t="s">
        <v>145</v>
      </c>
      <c r="E494" t="s">
        <v>112</v>
      </c>
      <c r="F494" t="s">
        <v>99</v>
      </c>
      <c r="G494" t="s">
        <v>100</v>
      </c>
      <c r="H494" t="s">
        <v>37</v>
      </c>
      <c r="I494" t="s">
        <v>143</v>
      </c>
      <c r="J494" t="s">
        <v>103</v>
      </c>
      <c r="K494">
        <v>21</v>
      </c>
      <c r="L494">
        <v>1700</v>
      </c>
      <c r="M494">
        <v>35700</v>
      </c>
      <c r="N494" t="s">
        <v>108</v>
      </c>
      <c r="O494" t="s">
        <v>96</v>
      </c>
    </row>
    <row r="495" spans="1:15" x14ac:dyDescent="0.25">
      <c r="A495">
        <v>3233</v>
      </c>
      <c r="B495" s="10">
        <v>45964</v>
      </c>
      <c r="C495">
        <v>3</v>
      </c>
      <c r="D495" t="s">
        <v>90</v>
      </c>
      <c r="E495" t="s">
        <v>128</v>
      </c>
      <c r="F495" t="s">
        <v>99</v>
      </c>
      <c r="G495" t="s">
        <v>100</v>
      </c>
      <c r="H495" t="s">
        <v>101</v>
      </c>
      <c r="I495" t="s">
        <v>152</v>
      </c>
      <c r="J495" t="s">
        <v>94</v>
      </c>
      <c r="K495">
        <v>10</v>
      </c>
      <c r="L495">
        <v>1700</v>
      </c>
      <c r="M495">
        <v>17000</v>
      </c>
      <c r="N495" t="s">
        <v>108</v>
      </c>
      <c r="O495" t="s">
        <v>115</v>
      </c>
    </row>
    <row r="496" spans="1:15" x14ac:dyDescent="0.25">
      <c r="A496">
        <v>3338</v>
      </c>
      <c r="B496" s="10">
        <v>45841</v>
      </c>
      <c r="C496">
        <v>3</v>
      </c>
      <c r="D496" t="s">
        <v>145</v>
      </c>
      <c r="E496" t="s">
        <v>31</v>
      </c>
      <c r="F496" t="s">
        <v>28</v>
      </c>
      <c r="G496" t="s">
        <v>126</v>
      </c>
      <c r="H496" t="s">
        <v>37</v>
      </c>
      <c r="I496" t="s">
        <v>143</v>
      </c>
      <c r="J496" t="s">
        <v>103</v>
      </c>
      <c r="K496">
        <v>38</v>
      </c>
      <c r="L496">
        <v>1700</v>
      </c>
      <c r="M496">
        <v>64600</v>
      </c>
      <c r="N496" t="s">
        <v>108</v>
      </c>
      <c r="O496" t="s">
        <v>96</v>
      </c>
    </row>
    <row r="497" spans="1:15" x14ac:dyDescent="0.25">
      <c r="A497">
        <v>3526</v>
      </c>
      <c r="B497" s="10">
        <v>45780</v>
      </c>
      <c r="C497">
        <v>3</v>
      </c>
      <c r="D497" t="s">
        <v>120</v>
      </c>
      <c r="E497" t="s">
        <v>25</v>
      </c>
      <c r="F497" t="s">
        <v>117</v>
      </c>
      <c r="G497" t="s">
        <v>118</v>
      </c>
      <c r="H497" t="s">
        <v>101</v>
      </c>
      <c r="I497" t="s">
        <v>152</v>
      </c>
      <c r="J497" t="s">
        <v>94</v>
      </c>
      <c r="K497">
        <v>1</v>
      </c>
      <c r="L497">
        <v>1700</v>
      </c>
      <c r="M497">
        <v>1700</v>
      </c>
      <c r="N497" t="s">
        <v>108</v>
      </c>
      <c r="O497" t="s">
        <v>104</v>
      </c>
    </row>
    <row r="498" spans="1:15" x14ac:dyDescent="0.25">
      <c r="A498">
        <v>3925</v>
      </c>
      <c r="B498" s="10">
        <v>45717</v>
      </c>
      <c r="C498">
        <v>1</v>
      </c>
      <c r="D498" t="s">
        <v>140</v>
      </c>
      <c r="E498" t="s">
        <v>112</v>
      </c>
      <c r="F498" t="s">
        <v>22</v>
      </c>
      <c r="G498" t="s">
        <v>91</v>
      </c>
      <c r="H498" t="s">
        <v>37</v>
      </c>
      <c r="I498" t="s">
        <v>143</v>
      </c>
      <c r="J498" t="s">
        <v>103</v>
      </c>
      <c r="K498">
        <v>39</v>
      </c>
      <c r="L498">
        <v>1700</v>
      </c>
      <c r="M498">
        <v>66300</v>
      </c>
      <c r="N498" t="s">
        <v>95</v>
      </c>
      <c r="O498" t="s">
        <v>96</v>
      </c>
    </row>
    <row r="499" spans="1:15" x14ac:dyDescent="0.25">
      <c r="A499">
        <v>4017</v>
      </c>
      <c r="B499" s="10">
        <v>45806</v>
      </c>
      <c r="C499">
        <v>29</v>
      </c>
      <c r="D499" t="s">
        <v>120</v>
      </c>
      <c r="E499" t="s">
        <v>138</v>
      </c>
      <c r="F499" t="s">
        <v>22</v>
      </c>
      <c r="G499" t="s">
        <v>91</v>
      </c>
      <c r="H499" t="s">
        <v>37</v>
      </c>
      <c r="I499" t="s">
        <v>143</v>
      </c>
      <c r="J499" t="s">
        <v>103</v>
      </c>
      <c r="K499">
        <v>37</v>
      </c>
      <c r="L499">
        <v>1700</v>
      </c>
      <c r="M499">
        <v>62900</v>
      </c>
      <c r="N499" t="s">
        <v>108</v>
      </c>
      <c r="O499" t="s">
        <v>96</v>
      </c>
    </row>
    <row r="500" spans="1:15" x14ac:dyDescent="0.25">
      <c r="A500">
        <v>4201</v>
      </c>
      <c r="B500" s="10">
        <v>45847</v>
      </c>
      <c r="C500">
        <v>9</v>
      </c>
      <c r="D500" t="s">
        <v>145</v>
      </c>
      <c r="E500" t="s">
        <v>150</v>
      </c>
      <c r="F500" t="s">
        <v>117</v>
      </c>
      <c r="G500" t="s">
        <v>118</v>
      </c>
      <c r="H500" t="s">
        <v>37</v>
      </c>
      <c r="I500" t="s">
        <v>143</v>
      </c>
      <c r="J500" t="s">
        <v>103</v>
      </c>
      <c r="K500">
        <v>8</v>
      </c>
      <c r="L500">
        <v>1700</v>
      </c>
      <c r="M500">
        <v>13600</v>
      </c>
      <c r="N500" t="s">
        <v>95</v>
      </c>
      <c r="O500" t="s">
        <v>115</v>
      </c>
    </row>
    <row r="501" spans="1:15" x14ac:dyDescent="0.25">
      <c r="A501">
        <v>4210</v>
      </c>
      <c r="B501" s="10">
        <v>45674</v>
      </c>
      <c r="C501">
        <v>17</v>
      </c>
      <c r="D501" t="s">
        <v>130</v>
      </c>
      <c r="E501" t="s">
        <v>133</v>
      </c>
      <c r="F501" t="s">
        <v>134</v>
      </c>
      <c r="G501" t="s">
        <v>100</v>
      </c>
      <c r="H501" t="s">
        <v>101</v>
      </c>
      <c r="I501" t="s">
        <v>152</v>
      </c>
      <c r="J501" t="s">
        <v>94</v>
      </c>
      <c r="K501">
        <v>2</v>
      </c>
      <c r="L501">
        <v>1700</v>
      </c>
      <c r="M501">
        <v>3400</v>
      </c>
      <c r="N501" t="s">
        <v>108</v>
      </c>
      <c r="O501" t="s">
        <v>104</v>
      </c>
    </row>
    <row r="502" spans="1:15" x14ac:dyDescent="0.25">
      <c r="A502">
        <v>4250</v>
      </c>
      <c r="B502" s="10">
        <v>45687</v>
      </c>
      <c r="C502">
        <v>30</v>
      </c>
      <c r="D502" t="s">
        <v>130</v>
      </c>
      <c r="E502" t="s">
        <v>106</v>
      </c>
      <c r="F502" t="s">
        <v>141</v>
      </c>
      <c r="G502" t="s">
        <v>100</v>
      </c>
      <c r="H502" t="s">
        <v>37</v>
      </c>
      <c r="I502" t="s">
        <v>143</v>
      </c>
      <c r="J502" t="s">
        <v>103</v>
      </c>
      <c r="K502">
        <v>15</v>
      </c>
      <c r="L502">
        <v>1700</v>
      </c>
      <c r="M502">
        <v>25500</v>
      </c>
      <c r="N502" t="s">
        <v>108</v>
      </c>
      <c r="O502" t="s">
        <v>96</v>
      </c>
    </row>
    <row r="503" spans="1:15" x14ac:dyDescent="0.25">
      <c r="A503">
        <v>4266</v>
      </c>
      <c r="B503" s="10">
        <v>45827</v>
      </c>
      <c r="C503">
        <v>19</v>
      </c>
      <c r="D503" t="s">
        <v>153</v>
      </c>
      <c r="E503" t="s">
        <v>116</v>
      </c>
      <c r="F503" t="s">
        <v>44</v>
      </c>
      <c r="G503" t="s">
        <v>111</v>
      </c>
      <c r="H503" t="s">
        <v>37</v>
      </c>
      <c r="I503" t="s">
        <v>143</v>
      </c>
      <c r="J503" t="s">
        <v>103</v>
      </c>
      <c r="K503">
        <v>33</v>
      </c>
      <c r="L503">
        <v>1700</v>
      </c>
      <c r="M503">
        <v>56100</v>
      </c>
      <c r="N503" t="s">
        <v>108</v>
      </c>
      <c r="O503" t="s">
        <v>104</v>
      </c>
    </row>
    <row r="504" spans="1:15" x14ac:dyDescent="0.25">
      <c r="A504">
        <v>4293</v>
      </c>
      <c r="B504" s="10">
        <v>45929</v>
      </c>
      <c r="C504">
        <v>29</v>
      </c>
      <c r="D504" t="s">
        <v>147</v>
      </c>
      <c r="E504" t="s">
        <v>150</v>
      </c>
      <c r="F504" t="s">
        <v>99</v>
      </c>
      <c r="G504" t="s">
        <v>100</v>
      </c>
      <c r="H504" t="s">
        <v>101</v>
      </c>
      <c r="I504" t="s">
        <v>152</v>
      </c>
      <c r="J504" t="s">
        <v>94</v>
      </c>
      <c r="K504">
        <v>1</v>
      </c>
      <c r="L504">
        <v>1700</v>
      </c>
      <c r="M504">
        <v>1700</v>
      </c>
      <c r="N504" t="s">
        <v>95</v>
      </c>
      <c r="O504" t="s">
        <v>115</v>
      </c>
    </row>
    <row r="505" spans="1:15" x14ac:dyDescent="0.25">
      <c r="A505">
        <v>4305</v>
      </c>
      <c r="B505" s="10">
        <v>45718</v>
      </c>
      <c r="C505">
        <v>2</v>
      </c>
      <c r="D505" t="s">
        <v>140</v>
      </c>
      <c r="E505" t="s">
        <v>106</v>
      </c>
      <c r="F505" t="s">
        <v>99</v>
      </c>
      <c r="G505" t="s">
        <v>100</v>
      </c>
      <c r="H505" t="s">
        <v>101</v>
      </c>
      <c r="I505" t="s">
        <v>152</v>
      </c>
      <c r="J505" t="s">
        <v>94</v>
      </c>
      <c r="K505">
        <v>7</v>
      </c>
      <c r="L505">
        <v>1700</v>
      </c>
      <c r="M505">
        <v>11900</v>
      </c>
      <c r="N505" t="s">
        <v>95</v>
      </c>
      <c r="O505" t="s">
        <v>96</v>
      </c>
    </row>
    <row r="506" spans="1:15" x14ac:dyDescent="0.25">
      <c r="A506">
        <v>4487</v>
      </c>
      <c r="B506" s="10">
        <v>45688</v>
      </c>
      <c r="C506">
        <v>31</v>
      </c>
      <c r="D506" t="s">
        <v>130</v>
      </c>
      <c r="E506" t="s">
        <v>138</v>
      </c>
      <c r="F506" t="s">
        <v>113</v>
      </c>
      <c r="G506" t="s">
        <v>114</v>
      </c>
      <c r="H506" t="s">
        <v>37</v>
      </c>
      <c r="I506" t="s">
        <v>143</v>
      </c>
      <c r="J506" t="s">
        <v>103</v>
      </c>
      <c r="K506">
        <v>42</v>
      </c>
      <c r="L506">
        <v>1700</v>
      </c>
      <c r="M506">
        <v>71400</v>
      </c>
      <c r="N506" t="s">
        <v>95</v>
      </c>
      <c r="O506" t="s">
        <v>104</v>
      </c>
    </row>
    <row r="507" spans="1:15" x14ac:dyDescent="0.25">
      <c r="A507">
        <v>4556</v>
      </c>
      <c r="B507" s="10">
        <v>46010</v>
      </c>
      <c r="C507">
        <v>19</v>
      </c>
      <c r="D507" t="s">
        <v>125</v>
      </c>
      <c r="E507" t="s">
        <v>142</v>
      </c>
      <c r="F507" t="s">
        <v>99</v>
      </c>
      <c r="G507" t="s">
        <v>100</v>
      </c>
      <c r="H507" t="s">
        <v>37</v>
      </c>
      <c r="I507" t="s">
        <v>143</v>
      </c>
      <c r="J507" t="s">
        <v>103</v>
      </c>
      <c r="K507">
        <v>28</v>
      </c>
      <c r="L507">
        <v>1700</v>
      </c>
      <c r="M507">
        <v>47600</v>
      </c>
      <c r="N507" t="s">
        <v>108</v>
      </c>
      <c r="O507" t="s">
        <v>96</v>
      </c>
    </row>
    <row r="508" spans="1:15" x14ac:dyDescent="0.25">
      <c r="A508">
        <v>4572</v>
      </c>
      <c r="B508" s="10">
        <v>46003</v>
      </c>
      <c r="C508">
        <v>12</v>
      </c>
      <c r="D508" t="s">
        <v>125</v>
      </c>
      <c r="E508" t="s">
        <v>138</v>
      </c>
      <c r="F508" t="s">
        <v>22</v>
      </c>
      <c r="G508" t="s">
        <v>91</v>
      </c>
      <c r="H508" t="s">
        <v>37</v>
      </c>
      <c r="I508" t="s">
        <v>143</v>
      </c>
      <c r="J508" t="s">
        <v>103</v>
      </c>
      <c r="K508">
        <v>41</v>
      </c>
      <c r="L508">
        <v>1700</v>
      </c>
      <c r="M508">
        <v>69700</v>
      </c>
      <c r="N508" t="s">
        <v>108</v>
      </c>
      <c r="O508" t="s">
        <v>104</v>
      </c>
    </row>
    <row r="509" spans="1:15" x14ac:dyDescent="0.25">
      <c r="A509">
        <v>4581</v>
      </c>
      <c r="B509" s="10">
        <v>45875</v>
      </c>
      <c r="C509">
        <v>6</v>
      </c>
      <c r="D509" t="s">
        <v>109</v>
      </c>
      <c r="E509" t="s">
        <v>128</v>
      </c>
      <c r="F509" t="s">
        <v>117</v>
      </c>
      <c r="G509" t="s">
        <v>118</v>
      </c>
      <c r="H509" t="s">
        <v>37</v>
      </c>
      <c r="I509" t="s">
        <v>143</v>
      </c>
      <c r="J509" t="s">
        <v>103</v>
      </c>
      <c r="K509">
        <v>21</v>
      </c>
      <c r="L509">
        <v>1700</v>
      </c>
      <c r="M509">
        <v>35700</v>
      </c>
      <c r="N509" t="s">
        <v>108</v>
      </c>
      <c r="O509" t="s">
        <v>96</v>
      </c>
    </row>
    <row r="510" spans="1:15" x14ac:dyDescent="0.25">
      <c r="A510">
        <v>4615</v>
      </c>
      <c r="B510" s="10">
        <v>45910</v>
      </c>
      <c r="C510">
        <v>10</v>
      </c>
      <c r="D510" t="s">
        <v>147</v>
      </c>
      <c r="E510" t="s">
        <v>161</v>
      </c>
      <c r="F510" t="s">
        <v>107</v>
      </c>
      <c r="G510" t="s">
        <v>100</v>
      </c>
      <c r="H510" t="s">
        <v>37</v>
      </c>
      <c r="I510" t="s">
        <v>143</v>
      </c>
      <c r="J510" t="s">
        <v>103</v>
      </c>
      <c r="K510">
        <v>21</v>
      </c>
      <c r="L510">
        <v>1700</v>
      </c>
      <c r="M510">
        <v>35700</v>
      </c>
      <c r="N510" t="s">
        <v>108</v>
      </c>
      <c r="O510" t="s">
        <v>104</v>
      </c>
    </row>
    <row r="511" spans="1:15" x14ac:dyDescent="0.25">
      <c r="A511">
        <v>4692</v>
      </c>
      <c r="B511" s="10">
        <v>45667</v>
      </c>
      <c r="C511">
        <v>10</v>
      </c>
      <c r="D511" t="s">
        <v>130</v>
      </c>
      <c r="E511" t="s">
        <v>161</v>
      </c>
      <c r="F511" t="s">
        <v>36</v>
      </c>
      <c r="G511" t="s">
        <v>100</v>
      </c>
      <c r="H511" t="s">
        <v>37</v>
      </c>
      <c r="I511" t="s">
        <v>143</v>
      </c>
      <c r="J511" t="s">
        <v>103</v>
      </c>
      <c r="K511">
        <v>11</v>
      </c>
      <c r="L511">
        <v>1700</v>
      </c>
      <c r="M511">
        <v>18700</v>
      </c>
      <c r="N511" t="s">
        <v>95</v>
      </c>
      <c r="O511" t="s">
        <v>115</v>
      </c>
    </row>
    <row r="512" spans="1:15" x14ac:dyDescent="0.25">
      <c r="A512">
        <v>4732</v>
      </c>
      <c r="B512" s="10">
        <v>45744</v>
      </c>
      <c r="C512">
        <v>28</v>
      </c>
      <c r="D512" t="s">
        <v>140</v>
      </c>
      <c r="E512" t="s">
        <v>137</v>
      </c>
      <c r="F512" t="s">
        <v>22</v>
      </c>
      <c r="G512" t="s">
        <v>91</v>
      </c>
      <c r="H512" t="s">
        <v>37</v>
      </c>
      <c r="I512" t="s">
        <v>143</v>
      </c>
      <c r="J512" t="s">
        <v>103</v>
      </c>
      <c r="K512">
        <v>34</v>
      </c>
      <c r="L512">
        <v>1700</v>
      </c>
      <c r="M512">
        <v>57800</v>
      </c>
      <c r="N512" t="s">
        <v>108</v>
      </c>
      <c r="O512" t="s">
        <v>115</v>
      </c>
    </row>
    <row r="513" spans="1:15" x14ac:dyDescent="0.25">
      <c r="A513">
        <v>4886</v>
      </c>
      <c r="B513" s="10">
        <v>45804</v>
      </c>
      <c r="C513">
        <v>27</v>
      </c>
      <c r="D513" t="s">
        <v>120</v>
      </c>
      <c r="E513" t="s">
        <v>112</v>
      </c>
      <c r="F513" t="s">
        <v>144</v>
      </c>
      <c r="G513" t="s">
        <v>91</v>
      </c>
      <c r="H513" t="s">
        <v>37</v>
      </c>
      <c r="I513" t="s">
        <v>143</v>
      </c>
      <c r="J513" t="s">
        <v>103</v>
      </c>
      <c r="K513">
        <v>21</v>
      </c>
      <c r="L513">
        <v>1700</v>
      </c>
      <c r="M513">
        <v>35700</v>
      </c>
      <c r="N513" t="s">
        <v>95</v>
      </c>
      <c r="O513" t="s">
        <v>104</v>
      </c>
    </row>
    <row r="514" spans="1:15" x14ac:dyDescent="0.25">
      <c r="A514">
        <v>4892</v>
      </c>
      <c r="B514" s="10">
        <v>45839</v>
      </c>
      <c r="C514">
        <v>1</v>
      </c>
      <c r="D514" t="s">
        <v>145</v>
      </c>
      <c r="E514" t="s">
        <v>161</v>
      </c>
      <c r="F514" t="s">
        <v>49</v>
      </c>
      <c r="G514" t="s">
        <v>118</v>
      </c>
      <c r="H514" t="s">
        <v>101</v>
      </c>
      <c r="I514" t="s">
        <v>152</v>
      </c>
      <c r="J514" t="s">
        <v>94</v>
      </c>
      <c r="K514">
        <v>2</v>
      </c>
      <c r="L514">
        <v>1700</v>
      </c>
      <c r="M514">
        <v>3400</v>
      </c>
      <c r="N514" t="s">
        <v>108</v>
      </c>
      <c r="O514" t="s">
        <v>104</v>
      </c>
    </row>
    <row r="515" spans="1:15" x14ac:dyDescent="0.25">
      <c r="A515">
        <v>4916</v>
      </c>
      <c r="B515" s="10">
        <v>45798</v>
      </c>
      <c r="C515">
        <v>21</v>
      </c>
      <c r="D515" t="s">
        <v>120</v>
      </c>
      <c r="E515" t="s">
        <v>31</v>
      </c>
      <c r="F515" t="s">
        <v>99</v>
      </c>
      <c r="G515" t="s">
        <v>100</v>
      </c>
      <c r="H515" t="s">
        <v>37</v>
      </c>
      <c r="I515" t="s">
        <v>143</v>
      </c>
      <c r="J515" t="s">
        <v>103</v>
      </c>
      <c r="K515">
        <v>8</v>
      </c>
      <c r="L515">
        <v>1700</v>
      </c>
      <c r="M515">
        <v>13600</v>
      </c>
      <c r="N515" t="s">
        <v>95</v>
      </c>
      <c r="O515" t="s">
        <v>96</v>
      </c>
    </row>
    <row r="516" spans="1:15" x14ac:dyDescent="0.25">
      <c r="A516">
        <v>30</v>
      </c>
      <c r="B516" s="10">
        <v>45785</v>
      </c>
      <c r="C516">
        <v>8</v>
      </c>
      <c r="D516" t="s">
        <v>120</v>
      </c>
      <c r="E516" t="s">
        <v>106</v>
      </c>
      <c r="F516" t="s">
        <v>49</v>
      </c>
      <c r="G516" t="s">
        <v>118</v>
      </c>
      <c r="H516" t="s">
        <v>101</v>
      </c>
      <c r="I516" t="s">
        <v>152</v>
      </c>
      <c r="J516" t="s">
        <v>94</v>
      </c>
      <c r="K516">
        <v>7</v>
      </c>
      <c r="L516">
        <v>1800</v>
      </c>
      <c r="M516">
        <v>12600</v>
      </c>
      <c r="N516" t="s">
        <v>95</v>
      </c>
      <c r="O516" t="s">
        <v>115</v>
      </c>
    </row>
    <row r="517" spans="1:15" x14ac:dyDescent="0.25">
      <c r="A517">
        <v>67</v>
      </c>
      <c r="B517" s="10">
        <v>45799</v>
      </c>
      <c r="C517">
        <v>22</v>
      </c>
      <c r="D517" t="s">
        <v>120</v>
      </c>
      <c r="E517" t="s">
        <v>112</v>
      </c>
      <c r="F517" t="s">
        <v>117</v>
      </c>
      <c r="G517" t="s">
        <v>118</v>
      </c>
      <c r="H517" t="s">
        <v>101</v>
      </c>
      <c r="I517" t="s">
        <v>152</v>
      </c>
      <c r="J517" t="s">
        <v>94</v>
      </c>
      <c r="K517">
        <v>5</v>
      </c>
      <c r="L517">
        <v>1800</v>
      </c>
      <c r="M517">
        <v>9000</v>
      </c>
      <c r="N517" t="s">
        <v>108</v>
      </c>
      <c r="O517" t="s">
        <v>104</v>
      </c>
    </row>
    <row r="518" spans="1:15" x14ac:dyDescent="0.25">
      <c r="A518">
        <v>186</v>
      </c>
      <c r="B518" s="10">
        <v>45950</v>
      </c>
      <c r="C518">
        <v>20</v>
      </c>
      <c r="D518" t="s">
        <v>136</v>
      </c>
      <c r="E518" t="s">
        <v>98</v>
      </c>
      <c r="F518" t="s">
        <v>49</v>
      </c>
      <c r="G518" t="s">
        <v>118</v>
      </c>
      <c r="H518" t="s">
        <v>37</v>
      </c>
      <c r="I518" t="s">
        <v>143</v>
      </c>
      <c r="J518" t="s">
        <v>103</v>
      </c>
      <c r="K518">
        <v>37</v>
      </c>
      <c r="L518">
        <v>1800</v>
      </c>
      <c r="M518">
        <v>66600</v>
      </c>
      <c r="N518" t="s">
        <v>95</v>
      </c>
      <c r="O518" t="s">
        <v>104</v>
      </c>
    </row>
    <row r="519" spans="1:15" x14ac:dyDescent="0.25">
      <c r="A519">
        <v>192</v>
      </c>
      <c r="B519" s="10">
        <v>45962</v>
      </c>
      <c r="C519">
        <v>1</v>
      </c>
      <c r="D519" t="s">
        <v>90</v>
      </c>
      <c r="E519" t="s">
        <v>161</v>
      </c>
      <c r="F519" t="s">
        <v>28</v>
      </c>
      <c r="G519" t="s">
        <v>126</v>
      </c>
      <c r="H519" t="s">
        <v>37</v>
      </c>
      <c r="I519" t="s">
        <v>143</v>
      </c>
      <c r="J519" t="s">
        <v>103</v>
      </c>
      <c r="K519">
        <v>46</v>
      </c>
      <c r="L519">
        <v>1800</v>
      </c>
      <c r="M519">
        <v>82800</v>
      </c>
      <c r="N519" t="s">
        <v>108</v>
      </c>
      <c r="O519" t="s">
        <v>104</v>
      </c>
    </row>
    <row r="520" spans="1:15" x14ac:dyDescent="0.25">
      <c r="A520">
        <v>222</v>
      </c>
      <c r="B520" s="10">
        <v>46001</v>
      </c>
      <c r="C520">
        <v>10</v>
      </c>
      <c r="D520" t="s">
        <v>125</v>
      </c>
      <c r="E520" t="s">
        <v>98</v>
      </c>
      <c r="F520" t="s">
        <v>134</v>
      </c>
      <c r="G520" t="s">
        <v>100</v>
      </c>
      <c r="H520" t="s">
        <v>37</v>
      </c>
      <c r="I520" t="s">
        <v>143</v>
      </c>
      <c r="J520" t="s">
        <v>94</v>
      </c>
      <c r="K520">
        <v>1</v>
      </c>
      <c r="L520">
        <v>1800</v>
      </c>
      <c r="M520">
        <v>1800</v>
      </c>
      <c r="N520" t="s">
        <v>95</v>
      </c>
      <c r="O520" t="s">
        <v>96</v>
      </c>
    </row>
    <row r="521" spans="1:15" x14ac:dyDescent="0.25">
      <c r="A521">
        <v>426</v>
      </c>
      <c r="B521" s="10">
        <v>45936</v>
      </c>
      <c r="C521">
        <v>6</v>
      </c>
      <c r="D521" t="s">
        <v>136</v>
      </c>
      <c r="E521" t="s">
        <v>112</v>
      </c>
      <c r="F521" t="s">
        <v>151</v>
      </c>
      <c r="G521" t="s">
        <v>111</v>
      </c>
      <c r="H521" t="s">
        <v>37</v>
      </c>
      <c r="I521" t="s">
        <v>143</v>
      </c>
      <c r="J521" t="s">
        <v>103</v>
      </c>
      <c r="K521">
        <v>29</v>
      </c>
      <c r="L521">
        <v>1800</v>
      </c>
      <c r="M521">
        <v>52200</v>
      </c>
      <c r="N521" t="s">
        <v>108</v>
      </c>
      <c r="O521" t="s">
        <v>104</v>
      </c>
    </row>
    <row r="522" spans="1:15" x14ac:dyDescent="0.25">
      <c r="A522">
        <v>454</v>
      </c>
      <c r="B522" s="10">
        <v>46000</v>
      </c>
      <c r="C522">
        <v>9</v>
      </c>
      <c r="D522" t="s">
        <v>125</v>
      </c>
      <c r="E522" t="s">
        <v>150</v>
      </c>
      <c r="F522" t="s">
        <v>117</v>
      </c>
      <c r="G522" t="s">
        <v>118</v>
      </c>
      <c r="H522" t="s">
        <v>101</v>
      </c>
      <c r="I522" t="s">
        <v>152</v>
      </c>
      <c r="J522" t="s">
        <v>94</v>
      </c>
      <c r="K522">
        <v>9</v>
      </c>
      <c r="L522">
        <v>1800</v>
      </c>
      <c r="M522">
        <v>16200</v>
      </c>
      <c r="N522" t="s">
        <v>95</v>
      </c>
      <c r="O522" t="s">
        <v>115</v>
      </c>
    </row>
    <row r="523" spans="1:15" x14ac:dyDescent="0.25">
      <c r="A523">
        <v>595</v>
      </c>
      <c r="B523" s="10">
        <v>45932</v>
      </c>
      <c r="C523">
        <v>2</v>
      </c>
      <c r="D523" t="s">
        <v>136</v>
      </c>
      <c r="E523" t="s">
        <v>142</v>
      </c>
      <c r="F523" t="s">
        <v>148</v>
      </c>
      <c r="G523" t="s">
        <v>118</v>
      </c>
      <c r="H523" t="s">
        <v>37</v>
      </c>
      <c r="I523" t="s">
        <v>143</v>
      </c>
      <c r="J523" t="s">
        <v>103</v>
      </c>
      <c r="K523">
        <v>48</v>
      </c>
      <c r="L523">
        <v>1800</v>
      </c>
      <c r="M523">
        <v>86400</v>
      </c>
      <c r="N523" t="s">
        <v>108</v>
      </c>
      <c r="O523" t="s">
        <v>104</v>
      </c>
    </row>
    <row r="524" spans="1:15" x14ac:dyDescent="0.25">
      <c r="A524">
        <v>596</v>
      </c>
      <c r="B524" s="10">
        <v>45869</v>
      </c>
      <c r="C524">
        <v>31</v>
      </c>
      <c r="D524" t="s">
        <v>145</v>
      </c>
      <c r="E524" t="s">
        <v>137</v>
      </c>
      <c r="F524" t="s">
        <v>117</v>
      </c>
      <c r="G524" t="s">
        <v>118</v>
      </c>
      <c r="H524" t="s">
        <v>101</v>
      </c>
      <c r="I524" t="s">
        <v>152</v>
      </c>
      <c r="J524" t="s">
        <v>94</v>
      </c>
      <c r="K524">
        <v>6</v>
      </c>
      <c r="L524">
        <v>1800</v>
      </c>
      <c r="M524">
        <v>10800</v>
      </c>
      <c r="N524" t="s">
        <v>108</v>
      </c>
      <c r="O524" t="s">
        <v>115</v>
      </c>
    </row>
    <row r="525" spans="1:15" x14ac:dyDescent="0.25">
      <c r="A525">
        <v>648</v>
      </c>
      <c r="B525" s="10">
        <v>45889</v>
      </c>
      <c r="C525">
        <v>20</v>
      </c>
      <c r="D525" t="s">
        <v>109</v>
      </c>
      <c r="E525" t="s">
        <v>116</v>
      </c>
      <c r="F525" t="s">
        <v>99</v>
      </c>
      <c r="G525" t="s">
        <v>100</v>
      </c>
      <c r="H525" t="s">
        <v>101</v>
      </c>
      <c r="I525" t="s">
        <v>152</v>
      </c>
      <c r="J525" t="s">
        <v>94</v>
      </c>
      <c r="K525">
        <v>6</v>
      </c>
      <c r="L525">
        <v>1800</v>
      </c>
      <c r="M525">
        <v>10800</v>
      </c>
      <c r="N525" t="s">
        <v>95</v>
      </c>
      <c r="O525" t="s">
        <v>104</v>
      </c>
    </row>
    <row r="526" spans="1:15" x14ac:dyDescent="0.25">
      <c r="A526">
        <v>658</v>
      </c>
      <c r="B526" s="10">
        <v>45782</v>
      </c>
      <c r="C526">
        <v>5</v>
      </c>
      <c r="D526" t="s">
        <v>120</v>
      </c>
      <c r="E526" t="s">
        <v>25</v>
      </c>
      <c r="F526" t="s">
        <v>22</v>
      </c>
      <c r="G526" t="s">
        <v>91</v>
      </c>
      <c r="H526" t="s">
        <v>101</v>
      </c>
      <c r="I526" t="s">
        <v>152</v>
      </c>
      <c r="J526" t="s">
        <v>94</v>
      </c>
      <c r="K526">
        <v>6</v>
      </c>
      <c r="L526">
        <v>1800</v>
      </c>
      <c r="M526">
        <v>10800</v>
      </c>
      <c r="N526" t="s">
        <v>95</v>
      </c>
      <c r="O526" t="s">
        <v>104</v>
      </c>
    </row>
    <row r="527" spans="1:15" x14ac:dyDescent="0.25">
      <c r="A527">
        <v>811</v>
      </c>
      <c r="B527" s="10">
        <v>45909</v>
      </c>
      <c r="C527">
        <v>9</v>
      </c>
      <c r="D527" t="s">
        <v>147</v>
      </c>
      <c r="E527" t="s">
        <v>128</v>
      </c>
      <c r="F527" t="s">
        <v>49</v>
      </c>
      <c r="G527" t="s">
        <v>118</v>
      </c>
      <c r="H527" t="s">
        <v>101</v>
      </c>
      <c r="I527" t="s">
        <v>152</v>
      </c>
      <c r="J527" t="s">
        <v>94</v>
      </c>
      <c r="K527">
        <v>8</v>
      </c>
      <c r="L527">
        <v>1800</v>
      </c>
      <c r="M527">
        <v>14400</v>
      </c>
      <c r="N527" t="s">
        <v>95</v>
      </c>
      <c r="O527" t="s">
        <v>104</v>
      </c>
    </row>
    <row r="528" spans="1:15" x14ac:dyDescent="0.25">
      <c r="A528">
        <v>891</v>
      </c>
      <c r="B528" s="10">
        <v>45692</v>
      </c>
      <c r="C528">
        <v>4</v>
      </c>
      <c r="D528" t="s">
        <v>97</v>
      </c>
      <c r="E528" t="s">
        <v>110</v>
      </c>
      <c r="F528" t="s">
        <v>99</v>
      </c>
      <c r="G528" t="s">
        <v>100</v>
      </c>
      <c r="H528" t="s">
        <v>37</v>
      </c>
      <c r="I528" t="s">
        <v>143</v>
      </c>
      <c r="J528" t="s">
        <v>103</v>
      </c>
      <c r="K528">
        <v>41</v>
      </c>
      <c r="L528">
        <v>1800</v>
      </c>
      <c r="M528">
        <v>73800</v>
      </c>
      <c r="N528" t="s">
        <v>108</v>
      </c>
      <c r="O528" t="s">
        <v>115</v>
      </c>
    </row>
    <row r="529" spans="1:15" x14ac:dyDescent="0.25">
      <c r="A529">
        <v>1005</v>
      </c>
      <c r="B529" s="10">
        <v>45966</v>
      </c>
      <c r="C529">
        <v>5</v>
      </c>
      <c r="D529" t="s">
        <v>90</v>
      </c>
      <c r="E529" t="s">
        <v>161</v>
      </c>
      <c r="F529" t="s">
        <v>151</v>
      </c>
      <c r="G529" t="s">
        <v>111</v>
      </c>
      <c r="H529" t="s">
        <v>37</v>
      </c>
      <c r="I529" t="s">
        <v>143</v>
      </c>
      <c r="J529" t="s">
        <v>103</v>
      </c>
      <c r="K529">
        <v>49</v>
      </c>
      <c r="L529">
        <v>1800</v>
      </c>
      <c r="M529">
        <v>88200</v>
      </c>
      <c r="N529" t="s">
        <v>108</v>
      </c>
      <c r="O529" t="s">
        <v>115</v>
      </c>
    </row>
    <row r="530" spans="1:15" x14ac:dyDescent="0.25">
      <c r="A530">
        <v>1010</v>
      </c>
      <c r="B530" s="10">
        <v>45782</v>
      </c>
      <c r="C530">
        <v>5</v>
      </c>
      <c r="D530" t="s">
        <v>120</v>
      </c>
      <c r="E530" t="s">
        <v>106</v>
      </c>
      <c r="F530" t="s">
        <v>44</v>
      </c>
      <c r="G530" t="s">
        <v>111</v>
      </c>
      <c r="H530" t="s">
        <v>101</v>
      </c>
      <c r="I530" t="s">
        <v>152</v>
      </c>
      <c r="J530" t="s">
        <v>94</v>
      </c>
      <c r="K530">
        <v>6</v>
      </c>
      <c r="L530">
        <v>1800</v>
      </c>
      <c r="M530">
        <v>10800</v>
      </c>
      <c r="N530" t="s">
        <v>95</v>
      </c>
      <c r="O530" t="s">
        <v>104</v>
      </c>
    </row>
    <row r="531" spans="1:15" x14ac:dyDescent="0.25">
      <c r="A531">
        <v>1036</v>
      </c>
      <c r="B531" s="10">
        <v>45705</v>
      </c>
      <c r="C531">
        <v>17</v>
      </c>
      <c r="D531" t="s">
        <v>97</v>
      </c>
      <c r="E531" t="s">
        <v>137</v>
      </c>
      <c r="F531" t="s">
        <v>107</v>
      </c>
      <c r="G531" t="s">
        <v>100</v>
      </c>
      <c r="H531" t="s">
        <v>37</v>
      </c>
      <c r="I531" t="s">
        <v>143</v>
      </c>
      <c r="J531" t="s">
        <v>103</v>
      </c>
      <c r="K531">
        <v>45</v>
      </c>
      <c r="L531">
        <v>1800</v>
      </c>
      <c r="M531">
        <v>81000</v>
      </c>
      <c r="N531" t="s">
        <v>95</v>
      </c>
      <c r="O531" t="s">
        <v>104</v>
      </c>
    </row>
    <row r="532" spans="1:15" x14ac:dyDescent="0.25">
      <c r="A532">
        <v>1161</v>
      </c>
      <c r="B532" s="10">
        <v>45713</v>
      </c>
      <c r="C532">
        <v>25</v>
      </c>
      <c r="D532" t="s">
        <v>97</v>
      </c>
      <c r="E532" t="s">
        <v>121</v>
      </c>
      <c r="F532" t="s">
        <v>113</v>
      </c>
      <c r="G532" t="s">
        <v>114</v>
      </c>
      <c r="H532" t="s">
        <v>37</v>
      </c>
      <c r="I532" t="s">
        <v>143</v>
      </c>
      <c r="J532" t="s">
        <v>94</v>
      </c>
      <c r="K532">
        <v>10</v>
      </c>
      <c r="L532">
        <v>1800</v>
      </c>
      <c r="M532">
        <v>18000</v>
      </c>
      <c r="N532" t="s">
        <v>95</v>
      </c>
      <c r="O532" t="s">
        <v>96</v>
      </c>
    </row>
    <row r="533" spans="1:15" x14ac:dyDescent="0.25">
      <c r="A533">
        <v>1178</v>
      </c>
      <c r="B533" s="10">
        <v>45785</v>
      </c>
      <c r="C533">
        <v>8</v>
      </c>
      <c r="D533" t="s">
        <v>120</v>
      </c>
      <c r="E533" t="s">
        <v>116</v>
      </c>
      <c r="F533" t="s">
        <v>44</v>
      </c>
      <c r="G533" t="s">
        <v>111</v>
      </c>
      <c r="H533" t="s">
        <v>101</v>
      </c>
      <c r="I533" t="s">
        <v>152</v>
      </c>
      <c r="J533" t="s">
        <v>94</v>
      </c>
      <c r="K533">
        <v>5</v>
      </c>
      <c r="L533">
        <v>1800</v>
      </c>
      <c r="M533">
        <v>9000</v>
      </c>
      <c r="N533" t="s">
        <v>108</v>
      </c>
      <c r="O533" t="s">
        <v>104</v>
      </c>
    </row>
    <row r="534" spans="1:15" x14ac:dyDescent="0.25">
      <c r="A534">
        <v>1184</v>
      </c>
      <c r="B534" s="10">
        <v>45849</v>
      </c>
      <c r="C534">
        <v>11</v>
      </c>
      <c r="D534" t="s">
        <v>145</v>
      </c>
      <c r="E534" t="s">
        <v>142</v>
      </c>
      <c r="F534" t="s">
        <v>151</v>
      </c>
      <c r="G534" t="s">
        <v>111</v>
      </c>
      <c r="H534" t="s">
        <v>37</v>
      </c>
      <c r="I534" t="s">
        <v>143</v>
      </c>
      <c r="J534" t="s">
        <v>94</v>
      </c>
      <c r="K534">
        <v>7</v>
      </c>
      <c r="L534">
        <v>1800</v>
      </c>
      <c r="M534">
        <v>12600</v>
      </c>
      <c r="N534" t="s">
        <v>95</v>
      </c>
      <c r="O534" t="s">
        <v>104</v>
      </c>
    </row>
    <row r="535" spans="1:15" x14ac:dyDescent="0.25">
      <c r="A535">
        <v>1229</v>
      </c>
      <c r="B535" s="10">
        <v>45718</v>
      </c>
      <c r="C535">
        <v>2</v>
      </c>
      <c r="D535" t="s">
        <v>140</v>
      </c>
      <c r="E535" t="s">
        <v>137</v>
      </c>
      <c r="F535" t="s">
        <v>122</v>
      </c>
      <c r="G535" t="s">
        <v>114</v>
      </c>
      <c r="H535" t="s">
        <v>37</v>
      </c>
      <c r="I535" t="s">
        <v>143</v>
      </c>
      <c r="J535" t="s">
        <v>103</v>
      </c>
      <c r="K535">
        <v>14</v>
      </c>
      <c r="L535">
        <v>1800</v>
      </c>
      <c r="M535">
        <v>25200</v>
      </c>
      <c r="N535" t="s">
        <v>108</v>
      </c>
      <c r="O535" t="s">
        <v>104</v>
      </c>
    </row>
    <row r="536" spans="1:15" x14ac:dyDescent="0.25">
      <c r="A536">
        <v>1240</v>
      </c>
      <c r="B536" s="10">
        <v>45811</v>
      </c>
      <c r="C536">
        <v>3</v>
      </c>
      <c r="D536" t="s">
        <v>153</v>
      </c>
      <c r="E536" t="s">
        <v>25</v>
      </c>
      <c r="F536" t="s">
        <v>107</v>
      </c>
      <c r="G536" t="s">
        <v>100</v>
      </c>
      <c r="H536" t="s">
        <v>37</v>
      </c>
      <c r="I536" t="s">
        <v>143</v>
      </c>
      <c r="J536" t="s">
        <v>103</v>
      </c>
      <c r="K536">
        <v>13</v>
      </c>
      <c r="L536">
        <v>1800</v>
      </c>
      <c r="M536">
        <v>23400</v>
      </c>
      <c r="N536" t="s">
        <v>108</v>
      </c>
      <c r="O536" t="s">
        <v>96</v>
      </c>
    </row>
    <row r="537" spans="1:15" x14ac:dyDescent="0.25">
      <c r="A537">
        <v>1315</v>
      </c>
      <c r="B537" s="10">
        <v>45936</v>
      </c>
      <c r="C537">
        <v>6</v>
      </c>
      <c r="D537" t="s">
        <v>136</v>
      </c>
      <c r="E537" t="s">
        <v>116</v>
      </c>
      <c r="F537" t="s">
        <v>28</v>
      </c>
      <c r="G537" t="s">
        <v>126</v>
      </c>
      <c r="H537" t="s">
        <v>101</v>
      </c>
      <c r="I537" t="s">
        <v>152</v>
      </c>
      <c r="J537" t="s">
        <v>94</v>
      </c>
      <c r="K537">
        <v>1</v>
      </c>
      <c r="L537">
        <v>1800</v>
      </c>
      <c r="M537">
        <v>1800</v>
      </c>
      <c r="N537" t="s">
        <v>95</v>
      </c>
      <c r="O537" t="s">
        <v>104</v>
      </c>
    </row>
    <row r="538" spans="1:15" x14ac:dyDescent="0.25">
      <c r="A538">
        <v>1399</v>
      </c>
      <c r="B538" s="10">
        <v>45904</v>
      </c>
      <c r="C538">
        <v>4</v>
      </c>
      <c r="D538" t="s">
        <v>147</v>
      </c>
      <c r="E538" t="s">
        <v>106</v>
      </c>
      <c r="F538" t="s">
        <v>28</v>
      </c>
      <c r="G538" t="s">
        <v>126</v>
      </c>
      <c r="H538" t="s">
        <v>37</v>
      </c>
      <c r="I538" t="s">
        <v>143</v>
      </c>
      <c r="J538" t="s">
        <v>103</v>
      </c>
      <c r="K538">
        <v>34</v>
      </c>
      <c r="L538">
        <v>1800</v>
      </c>
      <c r="M538">
        <v>61200</v>
      </c>
      <c r="N538" t="s">
        <v>108</v>
      </c>
      <c r="O538" t="s">
        <v>115</v>
      </c>
    </row>
    <row r="539" spans="1:15" x14ac:dyDescent="0.25">
      <c r="A539">
        <v>1482</v>
      </c>
      <c r="B539" s="10">
        <v>45955</v>
      </c>
      <c r="C539">
        <v>25</v>
      </c>
      <c r="D539" t="s">
        <v>136</v>
      </c>
      <c r="E539" t="s">
        <v>150</v>
      </c>
      <c r="F539" t="s">
        <v>148</v>
      </c>
      <c r="G539" t="s">
        <v>118</v>
      </c>
      <c r="H539" t="s">
        <v>101</v>
      </c>
      <c r="I539" t="s">
        <v>152</v>
      </c>
      <c r="J539" t="s">
        <v>94</v>
      </c>
      <c r="K539">
        <v>1</v>
      </c>
      <c r="L539">
        <v>1800</v>
      </c>
      <c r="M539">
        <v>1800</v>
      </c>
      <c r="N539" t="s">
        <v>95</v>
      </c>
      <c r="O539" t="s">
        <v>96</v>
      </c>
    </row>
    <row r="540" spans="1:15" x14ac:dyDescent="0.25">
      <c r="A540">
        <v>1537</v>
      </c>
      <c r="B540" s="10">
        <v>45915</v>
      </c>
      <c r="C540">
        <v>15</v>
      </c>
      <c r="D540" t="s">
        <v>147</v>
      </c>
      <c r="E540" t="s">
        <v>110</v>
      </c>
      <c r="F540" t="s">
        <v>122</v>
      </c>
      <c r="G540" t="s">
        <v>114</v>
      </c>
      <c r="H540" t="s">
        <v>101</v>
      </c>
      <c r="I540" t="s">
        <v>152</v>
      </c>
      <c r="J540" t="s">
        <v>94</v>
      </c>
      <c r="K540">
        <v>9</v>
      </c>
      <c r="L540">
        <v>1800</v>
      </c>
      <c r="M540">
        <v>16200</v>
      </c>
      <c r="N540" t="s">
        <v>95</v>
      </c>
      <c r="O540" t="s">
        <v>96</v>
      </c>
    </row>
    <row r="541" spans="1:15" x14ac:dyDescent="0.25">
      <c r="A541">
        <v>1638</v>
      </c>
      <c r="B541" s="10">
        <v>45958</v>
      </c>
      <c r="C541">
        <v>28</v>
      </c>
      <c r="D541" t="s">
        <v>136</v>
      </c>
      <c r="E541" t="s">
        <v>150</v>
      </c>
      <c r="F541" t="s">
        <v>113</v>
      </c>
      <c r="G541" t="s">
        <v>114</v>
      </c>
      <c r="H541" t="s">
        <v>101</v>
      </c>
      <c r="I541" t="s">
        <v>152</v>
      </c>
      <c r="J541" t="s">
        <v>94</v>
      </c>
      <c r="K541">
        <v>6</v>
      </c>
      <c r="L541">
        <v>1800</v>
      </c>
      <c r="M541">
        <v>10800</v>
      </c>
      <c r="N541" t="s">
        <v>95</v>
      </c>
      <c r="O541" t="s">
        <v>96</v>
      </c>
    </row>
    <row r="542" spans="1:15" x14ac:dyDescent="0.25">
      <c r="A542">
        <v>1735</v>
      </c>
      <c r="B542" s="10">
        <v>46019</v>
      </c>
      <c r="C542">
        <v>28</v>
      </c>
      <c r="D542" t="s">
        <v>125</v>
      </c>
      <c r="E542" t="s">
        <v>133</v>
      </c>
      <c r="F542" t="s">
        <v>49</v>
      </c>
      <c r="G542" t="s">
        <v>118</v>
      </c>
      <c r="H542" t="s">
        <v>37</v>
      </c>
      <c r="I542" t="s">
        <v>143</v>
      </c>
      <c r="J542" t="s">
        <v>103</v>
      </c>
      <c r="K542">
        <v>8</v>
      </c>
      <c r="L542">
        <v>1800</v>
      </c>
      <c r="M542">
        <v>14400</v>
      </c>
      <c r="N542" t="s">
        <v>95</v>
      </c>
      <c r="O542" t="s">
        <v>104</v>
      </c>
    </row>
    <row r="543" spans="1:15" x14ac:dyDescent="0.25">
      <c r="A543">
        <v>1739</v>
      </c>
      <c r="B543" s="10">
        <v>45937</v>
      </c>
      <c r="C543">
        <v>7</v>
      </c>
      <c r="D543" t="s">
        <v>136</v>
      </c>
      <c r="E543" t="s">
        <v>112</v>
      </c>
      <c r="F543" t="s">
        <v>122</v>
      </c>
      <c r="G543" t="s">
        <v>114</v>
      </c>
      <c r="H543" t="s">
        <v>37</v>
      </c>
      <c r="I543" t="s">
        <v>143</v>
      </c>
      <c r="J543" t="s">
        <v>103</v>
      </c>
      <c r="K543">
        <v>49</v>
      </c>
      <c r="L543">
        <v>1800</v>
      </c>
      <c r="M543">
        <v>88200</v>
      </c>
      <c r="N543" t="s">
        <v>95</v>
      </c>
      <c r="O543" t="s">
        <v>104</v>
      </c>
    </row>
    <row r="544" spans="1:15" x14ac:dyDescent="0.25">
      <c r="A544">
        <v>1744</v>
      </c>
      <c r="B544" s="10">
        <v>45916</v>
      </c>
      <c r="C544">
        <v>16</v>
      </c>
      <c r="D544" t="s">
        <v>147</v>
      </c>
      <c r="E544" t="s">
        <v>121</v>
      </c>
      <c r="F544" t="s">
        <v>117</v>
      </c>
      <c r="G544" t="s">
        <v>118</v>
      </c>
      <c r="H544" t="s">
        <v>37</v>
      </c>
      <c r="I544" t="s">
        <v>143</v>
      </c>
      <c r="J544" t="s">
        <v>103</v>
      </c>
      <c r="K544">
        <v>23</v>
      </c>
      <c r="L544">
        <v>1800</v>
      </c>
      <c r="M544">
        <v>41400</v>
      </c>
      <c r="N544" t="s">
        <v>108</v>
      </c>
      <c r="O544" t="s">
        <v>96</v>
      </c>
    </row>
    <row r="545" spans="1:15" x14ac:dyDescent="0.25">
      <c r="A545">
        <v>1748</v>
      </c>
      <c r="B545" s="10">
        <v>45952</v>
      </c>
      <c r="C545">
        <v>22</v>
      </c>
      <c r="D545" t="s">
        <v>136</v>
      </c>
      <c r="E545" t="s">
        <v>150</v>
      </c>
      <c r="F545" t="s">
        <v>151</v>
      </c>
      <c r="G545" t="s">
        <v>111</v>
      </c>
      <c r="H545" t="s">
        <v>101</v>
      </c>
      <c r="I545" t="s">
        <v>152</v>
      </c>
      <c r="J545" t="s">
        <v>94</v>
      </c>
      <c r="K545">
        <v>7</v>
      </c>
      <c r="L545">
        <v>1800</v>
      </c>
      <c r="M545">
        <v>12600</v>
      </c>
      <c r="N545" t="s">
        <v>108</v>
      </c>
      <c r="O545" t="s">
        <v>104</v>
      </c>
    </row>
    <row r="546" spans="1:15" x14ac:dyDescent="0.25">
      <c r="A546">
        <v>1769</v>
      </c>
      <c r="B546" s="10">
        <v>45870</v>
      </c>
      <c r="C546">
        <v>1</v>
      </c>
      <c r="D546" t="s">
        <v>109</v>
      </c>
      <c r="E546" t="s">
        <v>121</v>
      </c>
      <c r="F546" t="s">
        <v>144</v>
      </c>
      <c r="G546" t="s">
        <v>91</v>
      </c>
      <c r="H546" t="s">
        <v>101</v>
      </c>
      <c r="I546" t="s">
        <v>152</v>
      </c>
      <c r="J546" t="s">
        <v>94</v>
      </c>
      <c r="K546">
        <v>10</v>
      </c>
      <c r="L546">
        <v>1800</v>
      </c>
      <c r="M546">
        <v>18000</v>
      </c>
      <c r="N546" t="s">
        <v>95</v>
      </c>
      <c r="O546" t="s">
        <v>115</v>
      </c>
    </row>
    <row r="547" spans="1:15" x14ac:dyDescent="0.25">
      <c r="A547">
        <v>1793</v>
      </c>
      <c r="B547" s="10">
        <v>45710</v>
      </c>
      <c r="C547">
        <v>22</v>
      </c>
      <c r="D547" t="s">
        <v>97</v>
      </c>
      <c r="E547" t="s">
        <v>112</v>
      </c>
      <c r="F547" t="s">
        <v>122</v>
      </c>
      <c r="G547" t="s">
        <v>114</v>
      </c>
      <c r="H547" t="s">
        <v>101</v>
      </c>
      <c r="I547" t="s">
        <v>152</v>
      </c>
      <c r="J547" t="s">
        <v>94</v>
      </c>
      <c r="K547">
        <v>8</v>
      </c>
      <c r="L547">
        <v>1800</v>
      </c>
      <c r="M547">
        <v>14400</v>
      </c>
      <c r="N547" t="s">
        <v>108</v>
      </c>
      <c r="O547" t="s">
        <v>104</v>
      </c>
    </row>
    <row r="548" spans="1:15" x14ac:dyDescent="0.25">
      <c r="A548">
        <v>1888</v>
      </c>
      <c r="B548" s="10">
        <v>45718</v>
      </c>
      <c r="C548">
        <v>2</v>
      </c>
      <c r="D548" t="s">
        <v>140</v>
      </c>
      <c r="E548" t="s">
        <v>137</v>
      </c>
      <c r="F548" t="s">
        <v>144</v>
      </c>
      <c r="G548" t="s">
        <v>91</v>
      </c>
      <c r="H548" t="s">
        <v>101</v>
      </c>
      <c r="I548" t="s">
        <v>152</v>
      </c>
      <c r="J548" t="s">
        <v>94</v>
      </c>
      <c r="K548">
        <v>9</v>
      </c>
      <c r="L548">
        <v>1800</v>
      </c>
      <c r="M548">
        <v>16200</v>
      </c>
      <c r="N548" t="s">
        <v>108</v>
      </c>
      <c r="O548" t="s">
        <v>96</v>
      </c>
    </row>
    <row r="549" spans="1:15" x14ac:dyDescent="0.25">
      <c r="A549">
        <v>1922</v>
      </c>
      <c r="B549" s="10">
        <v>45912</v>
      </c>
      <c r="C549">
        <v>12</v>
      </c>
      <c r="D549" t="s">
        <v>147</v>
      </c>
      <c r="E549" t="s">
        <v>142</v>
      </c>
      <c r="F549" t="s">
        <v>36</v>
      </c>
      <c r="G549" t="s">
        <v>100</v>
      </c>
      <c r="H549" t="s">
        <v>37</v>
      </c>
      <c r="I549" t="s">
        <v>143</v>
      </c>
      <c r="J549" t="s">
        <v>103</v>
      </c>
      <c r="K549">
        <v>19</v>
      </c>
      <c r="L549">
        <v>1800</v>
      </c>
      <c r="M549">
        <v>34200</v>
      </c>
      <c r="N549" t="s">
        <v>95</v>
      </c>
      <c r="O549" t="s">
        <v>115</v>
      </c>
    </row>
    <row r="550" spans="1:15" x14ac:dyDescent="0.25">
      <c r="A550">
        <v>2109</v>
      </c>
      <c r="B550" s="10">
        <v>45960</v>
      </c>
      <c r="C550">
        <v>30</v>
      </c>
      <c r="D550" t="s">
        <v>136</v>
      </c>
      <c r="E550" t="s">
        <v>137</v>
      </c>
      <c r="F550" t="s">
        <v>44</v>
      </c>
      <c r="G550" t="s">
        <v>111</v>
      </c>
      <c r="H550" t="s">
        <v>101</v>
      </c>
      <c r="I550" t="s">
        <v>152</v>
      </c>
      <c r="J550" t="s">
        <v>94</v>
      </c>
      <c r="K550">
        <v>5</v>
      </c>
      <c r="L550">
        <v>1800</v>
      </c>
      <c r="M550">
        <v>9000</v>
      </c>
      <c r="N550" t="s">
        <v>108</v>
      </c>
      <c r="O550" t="s">
        <v>104</v>
      </c>
    </row>
    <row r="551" spans="1:15" x14ac:dyDescent="0.25">
      <c r="A551">
        <v>2120</v>
      </c>
      <c r="B551" s="10">
        <v>45914</v>
      </c>
      <c r="C551">
        <v>14</v>
      </c>
      <c r="D551" t="s">
        <v>147</v>
      </c>
      <c r="E551" t="s">
        <v>112</v>
      </c>
      <c r="F551" t="s">
        <v>141</v>
      </c>
      <c r="G551" t="s">
        <v>100</v>
      </c>
      <c r="H551" t="s">
        <v>101</v>
      </c>
      <c r="I551" t="s">
        <v>152</v>
      </c>
      <c r="J551" t="s">
        <v>94</v>
      </c>
      <c r="K551">
        <v>8</v>
      </c>
      <c r="L551">
        <v>1800</v>
      </c>
      <c r="M551">
        <v>14400</v>
      </c>
      <c r="N551" t="s">
        <v>108</v>
      </c>
      <c r="O551" t="s">
        <v>104</v>
      </c>
    </row>
    <row r="552" spans="1:15" x14ac:dyDescent="0.25">
      <c r="A552">
        <v>2144</v>
      </c>
      <c r="B552" s="10">
        <v>45873</v>
      </c>
      <c r="C552">
        <v>4</v>
      </c>
      <c r="D552" t="s">
        <v>109</v>
      </c>
      <c r="E552" t="s">
        <v>116</v>
      </c>
      <c r="F552" t="s">
        <v>122</v>
      </c>
      <c r="G552" t="s">
        <v>114</v>
      </c>
      <c r="H552" t="s">
        <v>101</v>
      </c>
      <c r="I552" t="s">
        <v>152</v>
      </c>
      <c r="J552" t="s">
        <v>94</v>
      </c>
      <c r="K552">
        <v>2</v>
      </c>
      <c r="L552">
        <v>1800</v>
      </c>
      <c r="M552">
        <v>3600</v>
      </c>
      <c r="N552" t="s">
        <v>108</v>
      </c>
      <c r="O552" t="s">
        <v>96</v>
      </c>
    </row>
    <row r="553" spans="1:15" x14ac:dyDescent="0.25">
      <c r="A553">
        <v>2257</v>
      </c>
      <c r="B553" s="10">
        <v>45734</v>
      </c>
      <c r="C553">
        <v>18</v>
      </c>
      <c r="D553" t="s">
        <v>140</v>
      </c>
      <c r="E553" t="s">
        <v>106</v>
      </c>
      <c r="F553" t="s">
        <v>148</v>
      </c>
      <c r="G553" t="s">
        <v>118</v>
      </c>
      <c r="H553" t="s">
        <v>37</v>
      </c>
      <c r="I553" t="s">
        <v>143</v>
      </c>
      <c r="J553" t="s">
        <v>103</v>
      </c>
      <c r="K553">
        <v>45</v>
      </c>
      <c r="L553">
        <v>1800</v>
      </c>
      <c r="M553">
        <v>81000</v>
      </c>
      <c r="N553" t="s">
        <v>95</v>
      </c>
      <c r="O553" t="s">
        <v>104</v>
      </c>
    </row>
    <row r="554" spans="1:15" x14ac:dyDescent="0.25">
      <c r="A554">
        <v>2293</v>
      </c>
      <c r="B554" s="10">
        <v>45889</v>
      </c>
      <c r="C554">
        <v>20</v>
      </c>
      <c r="D554" t="s">
        <v>109</v>
      </c>
      <c r="E554" t="s">
        <v>98</v>
      </c>
      <c r="F554" t="s">
        <v>107</v>
      </c>
      <c r="G554" t="s">
        <v>100</v>
      </c>
      <c r="H554" t="s">
        <v>101</v>
      </c>
      <c r="I554" t="s">
        <v>152</v>
      </c>
      <c r="J554" t="s">
        <v>94</v>
      </c>
      <c r="K554">
        <v>8</v>
      </c>
      <c r="L554">
        <v>1800</v>
      </c>
      <c r="M554">
        <v>14400</v>
      </c>
      <c r="N554" t="s">
        <v>95</v>
      </c>
      <c r="O554" t="s">
        <v>115</v>
      </c>
    </row>
    <row r="555" spans="1:15" x14ac:dyDescent="0.25">
      <c r="A555">
        <v>2303</v>
      </c>
      <c r="B555" s="10">
        <v>45926</v>
      </c>
      <c r="C555">
        <v>26</v>
      </c>
      <c r="D555" t="s">
        <v>147</v>
      </c>
      <c r="E555" t="s">
        <v>142</v>
      </c>
      <c r="F555" t="s">
        <v>151</v>
      </c>
      <c r="G555" t="s">
        <v>111</v>
      </c>
      <c r="H555" t="s">
        <v>101</v>
      </c>
      <c r="I555" t="s">
        <v>152</v>
      </c>
      <c r="J555" t="s">
        <v>94</v>
      </c>
      <c r="K555">
        <v>3</v>
      </c>
      <c r="L555">
        <v>1800</v>
      </c>
      <c r="M555">
        <v>5400</v>
      </c>
      <c r="N555" t="s">
        <v>108</v>
      </c>
      <c r="O555" t="s">
        <v>96</v>
      </c>
    </row>
    <row r="556" spans="1:15" x14ac:dyDescent="0.25">
      <c r="A556">
        <v>2329</v>
      </c>
      <c r="B556" s="10">
        <v>45709</v>
      </c>
      <c r="C556">
        <v>21</v>
      </c>
      <c r="D556" t="s">
        <v>97</v>
      </c>
      <c r="E556" t="s">
        <v>116</v>
      </c>
      <c r="F556" t="s">
        <v>44</v>
      </c>
      <c r="G556" t="s">
        <v>111</v>
      </c>
      <c r="H556" t="s">
        <v>37</v>
      </c>
      <c r="I556" t="s">
        <v>143</v>
      </c>
      <c r="J556" t="s">
        <v>103</v>
      </c>
      <c r="K556">
        <v>29</v>
      </c>
      <c r="L556">
        <v>1800</v>
      </c>
      <c r="M556">
        <v>52200</v>
      </c>
      <c r="N556" t="s">
        <v>108</v>
      </c>
      <c r="O556" t="s">
        <v>104</v>
      </c>
    </row>
    <row r="557" spans="1:15" x14ac:dyDescent="0.25">
      <c r="A557">
        <v>2359</v>
      </c>
      <c r="B557" s="10">
        <v>45813</v>
      </c>
      <c r="C557">
        <v>5</v>
      </c>
      <c r="D557" t="s">
        <v>153</v>
      </c>
      <c r="E557" t="s">
        <v>106</v>
      </c>
      <c r="F557" t="s">
        <v>151</v>
      </c>
      <c r="G557" t="s">
        <v>111</v>
      </c>
      <c r="H557" t="s">
        <v>37</v>
      </c>
      <c r="I557" t="s">
        <v>143</v>
      </c>
      <c r="J557" t="s">
        <v>94</v>
      </c>
      <c r="K557">
        <v>1</v>
      </c>
      <c r="L557">
        <v>1800</v>
      </c>
      <c r="M557">
        <v>1800</v>
      </c>
      <c r="N557" t="s">
        <v>95</v>
      </c>
      <c r="O557" t="s">
        <v>104</v>
      </c>
    </row>
    <row r="558" spans="1:15" x14ac:dyDescent="0.25">
      <c r="A558">
        <v>2439</v>
      </c>
      <c r="B558" s="10">
        <v>45978</v>
      </c>
      <c r="C558">
        <v>17</v>
      </c>
      <c r="D558" t="s">
        <v>90</v>
      </c>
      <c r="E558" t="s">
        <v>142</v>
      </c>
      <c r="F558" t="s">
        <v>44</v>
      </c>
      <c r="G558" t="s">
        <v>111</v>
      </c>
      <c r="H558" t="s">
        <v>101</v>
      </c>
      <c r="I558" t="s">
        <v>152</v>
      </c>
      <c r="J558" t="s">
        <v>94</v>
      </c>
      <c r="K558">
        <v>10</v>
      </c>
      <c r="L558">
        <v>1800</v>
      </c>
      <c r="M558">
        <v>18000</v>
      </c>
      <c r="N558" t="s">
        <v>108</v>
      </c>
      <c r="O558" t="s">
        <v>96</v>
      </c>
    </row>
    <row r="559" spans="1:15" x14ac:dyDescent="0.25">
      <c r="A559">
        <v>2458</v>
      </c>
      <c r="B559" s="10">
        <v>45786</v>
      </c>
      <c r="C559">
        <v>9</v>
      </c>
      <c r="D559" t="s">
        <v>120</v>
      </c>
      <c r="E559" t="s">
        <v>137</v>
      </c>
      <c r="F559" t="s">
        <v>117</v>
      </c>
      <c r="G559" t="s">
        <v>118</v>
      </c>
      <c r="H559" t="s">
        <v>101</v>
      </c>
      <c r="I559" t="s">
        <v>152</v>
      </c>
      <c r="J559" t="s">
        <v>94</v>
      </c>
      <c r="K559">
        <v>1</v>
      </c>
      <c r="L559">
        <v>1800</v>
      </c>
      <c r="M559">
        <v>1800</v>
      </c>
      <c r="N559" t="s">
        <v>95</v>
      </c>
      <c r="O559" t="s">
        <v>104</v>
      </c>
    </row>
    <row r="560" spans="1:15" x14ac:dyDescent="0.25">
      <c r="A560">
        <v>2786</v>
      </c>
      <c r="B560" s="10">
        <v>45887</v>
      </c>
      <c r="C560">
        <v>18</v>
      </c>
      <c r="D560" t="s">
        <v>109</v>
      </c>
      <c r="E560" t="s">
        <v>110</v>
      </c>
      <c r="F560" t="s">
        <v>22</v>
      </c>
      <c r="G560" t="s">
        <v>91</v>
      </c>
      <c r="H560" t="s">
        <v>101</v>
      </c>
      <c r="I560" t="s">
        <v>152</v>
      </c>
      <c r="J560" t="s">
        <v>94</v>
      </c>
      <c r="K560">
        <v>2</v>
      </c>
      <c r="L560">
        <v>1800</v>
      </c>
      <c r="M560">
        <v>3600</v>
      </c>
      <c r="N560" t="s">
        <v>108</v>
      </c>
      <c r="O560" t="s">
        <v>104</v>
      </c>
    </row>
    <row r="561" spans="1:15" x14ac:dyDescent="0.25">
      <c r="A561">
        <v>2855</v>
      </c>
      <c r="B561" s="10">
        <v>45916</v>
      </c>
      <c r="C561">
        <v>16</v>
      </c>
      <c r="D561" t="s">
        <v>147</v>
      </c>
      <c r="E561" t="s">
        <v>137</v>
      </c>
      <c r="F561" t="s">
        <v>117</v>
      </c>
      <c r="G561" t="s">
        <v>118</v>
      </c>
      <c r="H561" t="s">
        <v>37</v>
      </c>
      <c r="I561" t="s">
        <v>143</v>
      </c>
      <c r="J561" t="s">
        <v>103</v>
      </c>
      <c r="K561">
        <v>22</v>
      </c>
      <c r="L561">
        <v>1800</v>
      </c>
      <c r="M561">
        <v>39600</v>
      </c>
      <c r="N561" t="s">
        <v>108</v>
      </c>
      <c r="O561" t="s">
        <v>115</v>
      </c>
    </row>
    <row r="562" spans="1:15" x14ac:dyDescent="0.25">
      <c r="A562">
        <v>2862</v>
      </c>
      <c r="B562" s="10">
        <v>45715</v>
      </c>
      <c r="C562">
        <v>27</v>
      </c>
      <c r="D562" t="s">
        <v>97</v>
      </c>
      <c r="E562" t="s">
        <v>150</v>
      </c>
      <c r="F562" t="s">
        <v>49</v>
      </c>
      <c r="G562" t="s">
        <v>118</v>
      </c>
      <c r="H562" t="s">
        <v>101</v>
      </c>
      <c r="I562" t="s">
        <v>152</v>
      </c>
      <c r="J562" t="s">
        <v>94</v>
      </c>
      <c r="K562">
        <v>3</v>
      </c>
      <c r="L562">
        <v>1800</v>
      </c>
      <c r="M562">
        <v>5400</v>
      </c>
      <c r="N562" t="s">
        <v>95</v>
      </c>
      <c r="O562" t="s">
        <v>115</v>
      </c>
    </row>
    <row r="563" spans="1:15" x14ac:dyDescent="0.25">
      <c r="A563">
        <v>2980</v>
      </c>
      <c r="B563" s="10">
        <v>45762</v>
      </c>
      <c r="C563">
        <v>15</v>
      </c>
      <c r="D563" t="s">
        <v>105</v>
      </c>
      <c r="E563" t="s">
        <v>25</v>
      </c>
      <c r="F563" t="s">
        <v>141</v>
      </c>
      <c r="G563" t="s">
        <v>100</v>
      </c>
      <c r="H563" t="s">
        <v>101</v>
      </c>
      <c r="I563" t="s">
        <v>152</v>
      </c>
      <c r="J563" t="s">
        <v>94</v>
      </c>
      <c r="K563">
        <v>6</v>
      </c>
      <c r="L563">
        <v>1800</v>
      </c>
      <c r="M563">
        <v>10800</v>
      </c>
      <c r="N563" t="s">
        <v>108</v>
      </c>
      <c r="O563" t="s">
        <v>115</v>
      </c>
    </row>
    <row r="564" spans="1:15" x14ac:dyDescent="0.25">
      <c r="A564">
        <v>2992</v>
      </c>
      <c r="B564" s="10">
        <v>45872</v>
      </c>
      <c r="C564">
        <v>3</v>
      </c>
      <c r="D564" t="s">
        <v>109</v>
      </c>
      <c r="E564" t="s">
        <v>161</v>
      </c>
      <c r="F564" t="s">
        <v>28</v>
      </c>
      <c r="G564" t="s">
        <v>126</v>
      </c>
      <c r="H564" t="s">
        <v>37</v>
      </c>
      <c r="I564" t="s">
        <v>143</v>
      </c>
      <c r="J564" t="s">
        <v>103</v>
      </c>
      <c r="K564">
        <v>32</v>
      </c>
      <c r="L564">
        <v>1800</v>
      </c>
      <c r="M564">
        <v>57600</v>
      </c>
      <c r="N564" t="s">
        <v>108</v>
      </c>
      <c r="O564" t="s">
        <v>104</v>
      </c>
    </row>
    <row r="565" spans="1:15" x14ac:dyDescent="0.25">
      <c r="A565">
        <v>3000</v>
      </c>
      <c r="B565" s="10">
        <v>45805</v>
      </c>
      <c r="C565">
        <v>28</v>
      </c>
      <c r="D565" t="s">
        <v>120</v>
      </c>
      <c r="E565" t="s">
        <v>116</v>
      </c>
      <c r="F565" t="s">
        <v>141</v>
      </c>
      <c r="G565" t="s">
        <v>100</v>
      </c>
      <c r="H565" t="s">
        <v>101</v>
      </c>
      <c r="I565" t="s">
        <v>152</v>
      </c>
      <c r="J565" t="s">
        <v>94</v>
      </c>
      <c r="K565">
        <v>1</v>
      </c>
      <c r="L565">
        <v>1800</v>
      </c>
      <c r="M565">
        <v>1800</v>
      </c>
      <c r="N565" t="s">
        <v>108</v>
      </c>
      <c r="O565" t="s">
        <v>104</v>
      </c>
    </row>
    <row r="566" spans="1:15" x14ac:dyDescent="0.25">
      <c r="A566">
        <v>3009</v>
      </c>
      <c r="B566" s="10">
        <v>45689</v>
      </c>
      <c r="C566">
        <v>1</v>
      </c>
      <c r="D566" t="s">
        <v>97</v>
      </c>
      <c r="E566" t="s">
        <v>138</v>
      </c>
      <c r="F566" t="s">
        <v>144</v>
      </c>
      <c r="G566" t="s">
        <v>91</v>
      </c>
      <c r="H566" t="s">
        <v>37</v>
      </c>
      <c r="I566" t="s">
        <v>143</v>
      </c>
      <c r="J566" t="s">
        <v>103</v>
      </c>
      <c r="K566">
        <v>11</v>
      </c>
      <c r="L566">
        <v>1800</v>
      </c>
      <c r="M566">
        <v>19800</v>
      </c>
      <c r="N566" t="s">
        <v>95</v>
      </c>
      <c r="O566" t="s">
        <v>96</v>
      </c>
    </row>
    <row r="567" spans="1:15" x14ac:dyDescent="0.25">
      <c r="A567">
        <v>3129</v>
      </c>
      <c r="B567" s="10">
        <v>45848</v>
      </c>
      <c r="C567">
        <v>10</v>
      </c>
      <c r="D567" t="s">
        <v>145</v>
      </c>
      <c r="E567" t="s">
        <v>110</v>
      </c>
      <c r="F567" t="s">
        <v>44</v>
      </c>
      <c r="G567" t="s">
        <v>111</v>
      </c>
      <c r="H567" t="s">
        <v>101</v>
      </c>
      <c r="I567" t="s">
        <v>152</v>
      </c>
      <c r="J567" t="s">
        <v>94</v>
      </c>
      <c r="K567">
        <v>3</v>
      </c>
      <c r="L567">
        <v>1800</v>
      </c>
      <c r="M567">
        <v>5400</v>
      </c>
      <c r="N567" t="s">
        <v>95</v>
      </c>
      <c r="O567" t="s">
        <v>115</v>
      </c>
    </row>
    <row r="568" spans="1:15" x14ac:dyDescent="0.25">
      <c r="A568">
        <v>3145</v>
      </c>
      <c r="B568" s="10">
        <v>45791</v>
      </c>
      <c r="C568">
        <v>14</v>
      </c>
      <c r="D568" t="s">
        <v>120</v>
      </c>
      <c r="E568" t="s">
        <v>137</v>
      </c>
      <c r="F568" t="s">
        <v>144</v>
      </c>
      <c r="G568" t="s">
        <v>91</v>
      </c>
      <c r="H568" t="s">
        <v>101</v>
      </c>
      <c r="I568" t="s">
        <v>152</v>
      </c>
      <c r="J568" t="s">
        <v>94</v>
      </c>
      <c r="K568">
        <v>10</v>
      </c>
      <c r="L568">
        <v>1800</v>
      </c>
      <c r="M568">
        <v>18000</v>
      </c>
      <c r="N568" t="s">
        <v>95</v>
      </c>
      <c r="O568" t="s">
        <v>96</v>
      </c>
    </row>
    <row r="569" spans="1:15" x14ac:dyDescent="0.25">
      <c r="A569">
        <v>3245</v>
      </c>
      <c r="B569" s="10">
        <v>45885</v>
      </c>
      <c r="C569">
        <v>16</v>
      </c>
      <c r="D569" t="s">
        <v>109</v>
      </c>
      <c r="E569" t="s">
        <v>110</v>
      </c>
      <c r="F569" t="s">
        <v>44</v>
      </c>
      <c r="G569" t="s">
        <v>111</v>
      </c>
      <c r="H569" t="s">
        <v>101</v>
      </c>
      <c r="I569" t="s">
        <v>152</v>
      </c>
      <c r="J569" t="s">
        <v>94</v>
      </c>
      <c r="K569">
        <v>9</v>
      </c>
      <c r="L569">
        <v>1800</v>
      </c>
      <c r="M569">
        <v>16200</v>
      </c>
      <c r="N569" t="s">
        <v>95</v>
      </c>
      <c r="O569" t="s">
        <v>104</v>
      </c>
    </row>
    <row r="570" spans="1:15" x14ac:dyDescent="0.25">
      <c r="A570">
        <v>3383</v>
      </c>
      <c r="B570" s="10">
        <v>45854</v>
      </c>
      <c r="C570">
        <v>16</v>
      </c>
      <c r="D570" t="s">
        <v>145</v>
      </c>
      <c r="E570" t="s">
        <v>161</v>
      </c>
      <c r="F570" t="s">
        <v>44</v>
      </c>
      <c r="G570" t="s">
        <v>111</v>
      </c>
      <c r="H570" t="s">
        <v>101</v>
      </c>
      <c r="I570" t="s">
        <v>152</v>
      </c>
      <c r="J570" t="s">
        <v>94</v>
      </c>
      <c r="K570">
        <v>10</v>
      </c>
      <c r="L570">
        <v>1800</v>
      </c>
      <c r="M570">
        <v>18000</v>
      </c>
      <c r="N570" t="s">
        <v>108</v>
      </c>
      <c r="O570" t="s">
        <v>115</v>
      </c>
    </row>
    <row r="571" spans="1:15" x14ac:dyDescent="0.25">
      <c r="A571">
        <v>3458</v>
      </c>
      <c r="B571" s="10">
        <v>45974</v>
      </c>
      <c r="C571">
        <v>13</v>
      </c>
      <c r="D571" t="s">
        <v>90</v>
      </c>
      <c r="E571" t="s">
        <v>106</v>
      </c>
      <c r="F571" t="s">
        <v>151</v>
      </c>
      <c r="G571" t="s">
        <v>111</v>
      </c>
      <c r="H571" t="s">
        <v>101</v>
      </c>
      <c r="I571" t="s">
        <v>152</v>
      </c>
      <c r="J571" t="s">
        <v>94</v>
      </c>
      <c r="K571">
        <v>10</v>
      </c>
      <c r="L571">
        <v>1800</v>
      </c>
      <c r="M571">
        <v>18000</v>
      </c>
      <c r="N571" t="s">
        <v>95</v>
      </c>
      <c r="O571" t="s">
        <v>104</v>
      </c>
    </row>
    <row r="572" spans="1:15" x14ac:dyDescent="0.25">
      <c r="A572">
        <v>3461</v>
      </c>
      <c r="B572" s="10">
        <v>45921</v>
      </c>
      <c r="C572">
        <v>21</v>
      </c>
      <c r="D572" t="s">
        <v>147</v>
      </c>
      <c r="E572" t="s">
        <v>161</v>
      </c>
      <c r="F572" t="s">
        <v>113</v>
      </c>
      <c r="G572" t="s">
        <v>114</v>
      </c>
      <c r="H572" t="s">
        <v>37</v>
      </c>
      <c r="I572" t="s">
        <v>143</v>
      </c>
      <c r="J572" t="s">
        <v>103</v>
      </c>
      <c r="K572">
        <v>5</v>
      </c>
      <c r="L572">
        <v>1800</v>
      </c>
      <c r="M572">
        <v>9000</v>
      </c>
      <c r="N572" t="s">
        <v>108</v>
      </c>
      <c r="O572" t="s">
        <v>96</v>
      </c>
    </row>
    <row r="573" spans="1:15" x14ac:dyDescent="0.25">
      <c r="A573">
        <v>3477</v>
      </c>
      <c r="B573" s="10">
        <v>45731</v>
      </c>
      <c r="C573">
        <v>15</v>
      </c>
      <c r="D573" t="s">
        <v>140</v>
      </c>
      <c r="E573" t="s">
        <v>116</v>
      </c>
      <c r="F573" t="s">
        <v>134</v>
      </c>
      <c r="G573" t="s">
        <v>100</v>
      </c>
      <c r="H573" t="s">
        <v>37</v>
      </c>
      <c r="I573" t="s">
        <v>143</v>
      </c>
      <c r="J573" t="s">
        <v>103</v>
      </c>
      <c r="K573">
        <v>29</v>
      </c>
      <c r="L573">
        <v>1800</v>
      </c>
      <c r="M573">
        <v>52200</v>
      </c>
      <c r="N573" t="s">
        <v>95</v>
      </c>
      <c r="O573" t="s">
        <v>104</v>
      </c>
    </row>
    <row r="574" spans="1:15" x14ac:dyDescent="0.25">
      <c r="A574">
        <v>3484</v>
      </c>
      <c r="B574" s="10">
        <v>45883</v>
      </c>
      <c r="C574">
        <v>14</v>
      </c>
      <c r="D574" t="s">
        <v>109</v>
      </c>
      <c r="E574" t="s">
        <v>137</v>
      </c>
      <c r="F574" t="s">
        <v>44</v>
      </c>
      <c r="G574" t="s">
        <v>111</v>
      </c>
      <c r="H574" t="s">
        <v>101</v>
      </c>
      <c r="I574" t="s">
        <v>152</v>
      </c>
      <c r="J574" t="s">
        <v>94</v>
      </c>
      <c r="K574">
        <v>3</v>
      </c>
      <c r="L574">
        <v>1800</v>
      </c>
      <c r="M574">
        <v>5400</v>
      </c>
      <c r="N574" t="s">
        <v>108</v>
      </c>
      <c r="O574" t="s">
        <v>96</v>
      </c>
    </row>
    <row r="575" spans="1:15" x14ac:dyDescent="0.25">
      <c r="A575">
        <v>3690</v>
      </c>
      <c r="B575" s="10">
        <v>45677</v>
      </c>
      <c r="C575">
        <v>20</v>
      </c>
      <c r="D575" t="s">
        <v>130</v>
      </c>
      <c r="E575" t="s">
        <v>31</v>
      </c>
      <c r="F575" t="s">
        <v>99</v>
      </c>
      <c r="G575" t="s">
        <v>100</v>
      </c>
      <c r="H575" t="s">
        <v>101</v>
      </c>
      <c r="I575" t="s">
        <v>152</v>
      </c>
      <c r="J575" t="s">
        <v>94</v>
      </c>
      <c r="K575">
        <v>10</v>
      </c>
      <c r="L575">
        <v>1800</v>
      </c>
      <c r="M575">
        <v>18000</v>
      </c>
      <c r="N575" t="s">
        <v>108</v>
      </c>
      <c r="O575" t="s">
        <v>115</v>
      </c>
    </row>
    <row r="576" spans="1:15" x14ac:dyDescent="0.25">
      <c r="A576">
        <v>3785</v>
      </c>
      <c r="B576" s="10">
        <v>45969</v>
      </c>
      <c r="C576">
        <v>8</v>
      </c>
      <c r="D576" t="s">
        <v>90</v>
      </c>
      <c r="E576" t="s">
        <v>128</v>
      </c>
      <c r="F576" t="s">
        <v>113</v>
      </c>
      <c r="G576" t="s">
        <v>114</v>
      </c>
      <c r="H576" t="s">
        <v>101</v>
      </c>
      <c r="I576" t="s">
        <v>152</v>
      </c>
      <c r="J576" t="s">
        <v>94</v>
      </c>
      <c r="K576">
        <v>1</v>
      </c>
      <c r="L576">
        <v>1800</v>
      </c>
      <c r="M576">
        <v>1800</v>
      </c>
      <c r="N576" t="s">
        <v>95</v>
      </c>
      <c r="O576" t="s">
        <v>104</v>
      </c>
    </row>
    <row r="577" spans="1:15" x14ac:dyDescent="0.25">
      <c r="A577">
        <v>3804</v>
      </c>
      <c r="B577" s="10">
        <v>45733</v>
      </c>
      <c r="C577">
        <v>17</v>
      </c>
      <c r="D577" t="s">
        <v>140</v>
      </c>
      <c r="E577" t="s">
        <v>128</v>
      </c>
      <c r="F577" t="s">
        <v>122</v>
      </c>
      <c r="G577" t="s">
        <v>114</v>
      </c>
      <c r="H577" t="s">
        <v>101</v>
      </c>
      <c r="I577" t="s">
        <v>152</v>
      </c>
      <c r="J577" t="s">
        <v>94</v>
      </c>
      <c r="K577">
        <v>7</v>
      </c>
      <c r="L577">
        <v>1800</v>
      </c>
      <c r="M577">
        <v>12600</v>
      </c>
      <c r="N577" t="s">
        <v>95</v>
      </c>
      <c r="O577" t="s">
        <v>115</v>
      </c>
    </row>
    <row r="578" spans="1:15" x14ac:dyDescent="0.25">
      <c r="A578">
        <v>3829</v>
      </c>
      <c r="B578" s="10">
        <v>45789</v>
      </c>
      <c r="C578">
        <v>12</v>
      </c>
      <c r="D578" t="s">
        <v>120</v>
      </c>
      <c r="E578" t="s">
        <v>150</v>
      </c>
      <c r="F578" t="s">
        <v>49</v>
      </c>
      <c r="G578" t="s">
        <v>118</v>
      </c>
      <c r="H578" t="s">
        <v>37</v>
      </c>
      <c r="I578" t="s">
        <v>143</v>
      </c>
      <c r="J578" t="s">
        <v>103</v>
      </c>
      <c r="K578">
        <v>27</v>
      </c>
      <c r="L578">
        <v>1800</v>
      </c>
      <c r="M578">
        <v>48600</v>
      </c>
      <c r="N578" t="s">
        <v>108</v>
      </c>
      <c r="O578" t="s">
        <v>104</v>
      </c>
    </row>
    <row r="579" spans="1:15" x14ac:dyDescent="0.25">
      <c r="A579">
        <v>3853</v>
      </c>
      <c r="B579" s="10">
        <v>45667</v>
      </c>
      <c r="C579">
        <v>10</v>
      </c>
      <c r="D579" t="s">
        <v>130</v>
      </c>
      <c r="E579" t="s">
        <v>150</v>
      </c>
      <c r="F579" t="s">
        <v>113</v>
      </c>
      <c r="G579" t="s">
        <v>114</v>
      </c>
      <c r="H579" t="s">
        <v>37</v>
      </c>
      <c r="I579" t="s">
        <v>143</v>
      </c>
      <c r="J579" t="s">
        <v>103</v>
      </c>
      <c r="K579">
        <v>46</v>
      </c>
      <c r="L579">
        <v>1800</v>
      </c>
      <c r="M579">
        <v>82800</v>
      </c>
      <c r="N579" t="s">
        <v>95</v>
      </c>
      <c r="O579" t="s">
        <v>96</v>
      </c>
    </row>
    <row r="580" spans="1:15" x14ac:dyDescent="0.25">
      <c r="A580">
        <v>3867</v>
      </c>
      <c r="B580" s="10">
        <v>45710</v>
      </c>
      <c r="C580">
        <v>22</v>
      </c>
      <c r="D580" t="s">
        <v>97</v>
      </c>
      <c r="E580" t="s">
        <v>116</v>
      </c>
      <c r="F580" t="s">
        <v>134</v>
      </c>
      <c r="G580" t="s">
        <v>100</v>
      </c>
      <c r="H580" t="s">
        <v>101</v>
      </c>
      <c r="I580" t="s">
        <v>152</v>
      </c>
      <c r="J580" t="s">
        <v>94</v>
      </c>
      <c r="K580">
        <v>5</v>
      </c>
      <c r="L580">
        <v>1800</v>
      </c>
      <c r="M580">
        <v>9000</v>
      </c>
      <c r="N580" t="s">
        <v>108</v>
      </c>
      <c r="O580" t="s">
        <v>96</v>
      </c>
    </row>
    <row r="581" spans="1:15" x14ac:dyDescent="0.25">
      <c r="A581">
        <v>3879</v>
      </c>
      <c r="B581" s="10">
        <v>45742</v>
      </c>
      <c r="C581">
        <v>26</v>
      </c>
      <c r="D581" t="s">
        <v>140</v>
      </c>
      <c r="E581" t="s">
        <v>133</v>
      </c>
      <c r="F581" t="s">
        <v>122</v>
      </c>
      <c r="G581" t="s">
        <v>114</v>
      </c>
      <c r="H581" t="s">
        <v>37</v>
      </c>
      <c r="I581" t="s">
        <v>143</v>
      </c>
      <c r="J581" t="s">
        <v>94</v>
      </c>
      <c r="K581">
        <v>7</v>
      </c>
      <c r="L581">
        <v>1800</v>
      </c>
      <c r="M581">
        <v>12600</v>
      </c>
      <c r="N581" t="s">
        <v>108</v>
      </c>
      <c r="O581" t="s">
        <v>96</v>
      </c>
    </row>
    <row r="582" spans="1:15" x14ac:dyDescent="0.25">
      <c r="A582">
        <v>3916</v>
      </c>
      <c r="B582" s="10">
        <v>45831</v>
      </c>
      <c r="C582">
        <v>23</v>
      </c>
      <c r="D582" t="s">
        <v>153</v>
      </c>
      <c r="E582" t="s">
        <v>112</v>
      </c>
      <c r="F582" t="s">
        <v>117</v>
      </c>
      <c r="G582" t="s">
        <v>118</v>
      </c>
      <c r="H582" t="s">
        <v>101</v>
      </c>
      <c r="I582" t="s">
        <v>152</v>
      </c>
      <c r="J582" t="s">
        <v>94</v>
      </c>
      <c r="K582">
        <v>8</v>
      </c>
      <c r="L582">
        <v>1800</v>
      </c>
      <c r="M582">
        <v>14400</v>
      </c>
      <c r="N582" t="s">
        <v>108</v>
      </c>
      <c r="O582" t="s">
        <v>104</v>
      </c>
    </row>
    <row r="583" spans="1:15" x14ac:dyDescent="0.25">
      <c r="A583">
        <v>3963</v>
      </c>
      <c r="B583" s="10">
        <v>45664</v>
      </c>
      <c r="C583">
        <v>7</v>
      </c>
      <c r="D583" t="s">
        <v>130</v>
      </c>
      <c r="E583" t="s">
        <v>110</v>
      </c>
      <c r="F583" t="s">
        <v>113</v>
      </c>
      <c r="G583" t="s">
        <v>114</v>
      </c>
      <c r="H583" t="s">
        <v>101</v>
      </c>
      <c r="I583" t="s">
        <v>152</v>
      </c>
      <c r="J583" t="s">
        <v>94</v>
      </c>
      <c r="K583">
        <v>4</v>
      </c>
      <c r="L583">
        <v>1800</v>
      </c>
      <c r="M583">
        <v>7200</v>
      </c>
      <c r="N583" t="s">
        <v>95</v>
      </c>
      <c r="O583" t="s">
        <v>115</v>
      </c>
    </row>
    <row r="584" spans="1:15" x14ac:dyDescent="0.25">
      <c r="A584">
        <v>4081</v>
      </c>
      <c r="B584" s="10">
        <v>45771</v>
      </c>
      <c r="C584">
        <v>24</v>
      </c>
      <c r="D584" t="s">
        <v>105</v>
      </c>
      <c r="E584" t="s">
        <v>98</v>
      </c>
      <c r="F584" t="s">
        <v>151</v>
      </c>
      <c r="G584" t="s">
        <v>111</v>
      </c>
      <c r="H584" t="s">
        <v>37</v>
      </c>
      <c r="I584" t="s">
        <v>143</v>
      </c>
      <c r="J584" t="s">
        <v>103</v>
      </c>
      <c r="K584">
        <v>43</v>
      </c>
      <c r="L584">
        <v>1800</v>
      </c>
      <c r="M584">
        <v>77400</v>
      </c>
      <c r="N584" t="s">
        <v>95</v>
      </c>
      <c r="O584" t="s">
        <v>104</v>
      </c>
    </row>
    <row r="585" spans="1:15" x14ac:dyDescent="0.25">
      <c r="A585">
        <v>4166</v>
      </c>
      <c r="B585" s="10">
        <v>45939</v>
      </c>
      <c r="C585">
        <v>9</v>
      </c>
      <c r="D585" t="s">
        <v>136</v>
      </c>
      <c r="E585" t="s">
        <v>110</v>
      </c>
      <c r="F585" t="s">
        <v>144</v>
      </c>
      <c r="G585" t="s">
        <v>91</v>
      </c>
      <c r="H585" t="s">
        <v>37</v>
      </c>
      <c r="I585" t="s">
        <v>143</v>
      </c>
      <c r="J585" t="s">
        <v>103</v>
      </c>
      <c r="K585">
        <v>7</v>
      </c>
      <c r="L585">
        <v>1800</v>
      </c>
      <c r="M585">
        <v>12600</v>
      </c>
      <c r="N585" t="s">
        <v>95</v>
      </c>
      <c r="O585" t="s">
        <v>115</v>
      </c>
    </row>
    <row r="586" spans="1:15" x14ac:dyDescent="0.25">
      <c r="A586">
        <v>4239</v>
      </c>
      <c r="B586" s="10">
        <v>45734</v>
      </c>
      <c r="C586">
        <v>18</v>
      </c>
      <c r="D586" t="s">
        <v>140</v>
      </c>
      <c r="E586" t="s">
        <v>150</v>
      </c>
      <c r="F586" t="s">
        <v>122</v>
      </c>
      <c r="G586" t="s">
        <v>114</v>
      </c>
      <c r="H586" t="s">
        <v>37</v>
      </c>
      <c r="I586" t="s">
        <v>143</v>
      </c>
      <c r="J586" t="s">
        <v>103</v>
      </c>
      <c r="K586">
        <v>15</v>
      </c>
      <c r="L586">
        <v>1800</v>
      </c>
      <c r="M586">
        <v>27000</v>
      </c>
      <c r="N586" t="s">
        <v>95</v>
      </c>
      <c r="O586" t="s">
        <v>96</v>
      </c>
    </row>
    <row r="587" spans="1:15" x14ac:dyDescent="0.25">
      <c r="A587">
        <v>4355</v>
      </c>
      <c r="B587" s="10">
        <v>45945</v>
      </c>
      <c r="C587">
        <v>15</v>
      </c>
      <c r="D587" t="s">
        <v>136</v>
      </c>
      <c r="E587" t="s">
        <v>128</v>
      </c>
      <c r="F587" t="s">
        <v>49</v>
      </c>
      <c r="G587" t="s">
        <v>118</v>
      </c>
      <c r="H587" t="s">
        <v>101</v>
      </c>
      <c r="I587" t="s">
        <v>152</v>
      </c>
      <c r="J587" t="s">
        <v>94</v>
      </c>
      <c r="K587">
        <v>7</v>
      </c>
      <c r="L587">
        <v>1800</v>
      </c>
      <c r="M587">
        <v>12600</v>
      </c>
      <c r="N587" t="s">
        <v>95</v>
      </c>
      <c r="O587" t="s">
        <v>104</v>
      </c>
    </row>
    <row r="588" spans="1:15" x14ac:dyDescent="0.25">
      <c r="A588">
        <v>4515</v>
      </c>
      <c r="B588" s="10">
        <v>45673</v>
      </c>
      <c r="C588">
        <v>16</v>
      </c>
      <c r="D588" t="s">
        <v>130</v>
      </c>
      <c r="E588" t="s">
        <v>112</v>
      </c>
      <c r="F588" t="s">
        <v>144</v>
      </c>
      <c r="G588" t="s">
        <v>91</v>
      </c>
      <c r="H588" t="s">
        <v>101</v>
      </c>
      <c r="I588" t="s">
        <v>152</v>
      </c>
      <c r="J588" t="s">
        <v>94</v>
      </c>
      <c r="K588">
        <v>5</v>
      </c>
      <c r="L588">
        <v>1800</v>
      </c>
      <c r="M588">
        <v>9000</v>
      </c>
      <c r="N588" t="s">
        <v>95</v>
      </c>
      <c r="O588" t="s">
        <v>96</v>
      </c>
    </row>
    <row r="589" spans="1:15" x14ac:dyDescent="0.25">
      <c r="A589">
        <v>4551</v>
      </c>
      <c r="B589" s="10">
        <v>45861</v>
      </c>
      <c r="C589">
        <v>23</v>
      </c>
      <c r="D589" t="s">
        <v>145</v>
      </c>
      <c r="E589" t="s">
        <v>25</v>
      </c>
      <c r="F589" t="s">
        <v>144</v>
      </c>
      <c r="G589" t="s">
        <v>91</v>
      </c>
      <c r="H589" t="s">
        <v>37</v>
      </c>
      <c r="I589" t="s">
        <v>143</v>
      </c>
      <c r="J589" t="s">
        <v>103</v>
      </c>
      <c r="K589">
        <v>19</v>
      </c>
      <c r="L589">
        <v>1800</v>
      </c>
      <c r="M589">
        <v>34200</v>
      </c>
      <c r="N589" t="s">
        <v>95</v>
      </c>
      <c r="O589" t="s">
        <v>104</v>
      </c>
    </row>
    <row r="590" spans="1:15" x14ac:dyDescent="0.25">
      <c r="A590">
        <v>4677</v>
      </c>
      <c r="B590" s="10">
        <v>45793</v>
      </c>
      <c r="C590">
        <v>16</v>
      </c>
      <c r="D590" t="s">
        <v>120</v>
      </c>
      <c r="E590" t="s">
        <v>112</v>
      </c>
      <c r="F590" t="s">
        <v>113</v>
      </c>
      <c r="G590" t="s">
        <v>114</v>
      </c>
      <c r="H590" t="s">
        <v>37</v>
      </c>
      <c r="I590" t="s">
        <v>143</v>
      </c>
      <c r="J590" t="s">
        <v>103</v>
      </c>
      <c r="K590">
        <v>48</v>
      </c>
      <c r="L590">
        <v>1800</v>
      </c>
      <c r="M590">
        <v>86400</v>
      </c>
      <c r="N590" t="s">
        <v>108</v>
      </c>
      <c r="O590" t="s">
        <v>96</v>
      </c>
    </row>
    <row r="591" spans="1:15" x14ac:dyDescent="0.25">
      <c r="A591">
        <v>4746</v>
      </c>
      <c r="B591" s="10">
        <v>45979</v>
      </c>
      <c r="C591">
        <v>18</v>
      </c>
      <c r="D591" t="s">
        <v>90</v>
      </c>
      <c r="E591" t="s">
        <v>31</v>
      </c>
      <c r="F591" t="s">
        <v>49</v>
      </c>
      <c r="G591" t="s">
        <v>118</v>
      </c>
      <c r="H591" t="s">
        <v>101</v>
      </c>
      <c r="I591" t="s">
        <v>152</v>
      </c>
      <c r="J591" t="s">
        <v>94</v>
      </c>
      <c r="K591">
        <v>1</v>
      </c>
      <c r="L591">
        <v>1800</v>
      </c>
      <c r="M591">
        <v>1800</v>
      </c>
      <c r="N591" t="s">
        <v>108</v>
      </c>
      <c r="O591" t="s">
        <v>96</v>
      </c>
    </row>
    <row r="592" spans="1:15" x14ac:dyDescent="0.25">
      <c r="A592">
        <v>4764</v>
      </c>
      <c r="B592" s="10">
        <v>45937</v>
      </c>
      <c r="C592">
        <v>7</v>
      </c>
      <c r="D592" t="s">
        <v>136</v>
      </c>
      <c r="E592" t="s">
        <v>128</v>
      </c>
      <c r="F592" t="s">
        <v>122</v>
      </c>
      <c r="G592" t="s">
        <v>114</v>
      </c>
      <c r="H592" t="s">
        <v>101</v>
      </c>
      <c r="I592" t="s">
        <v>152</v>
      </c>
      <c r="J592" t="s">
        <v>94</v>
      </c>
      <c r="K592">
        <v>4</v>
      </c>
      <c r="L592">
        <v>1800</v>
      </c>
      <c r="M592">
        <v>7200</v>
      </c>
      <c r="N592" t="s">
        <v>95</v>
      </c>
      <c r="O592" t="s">
        <v>96</v>
      </c>
    </row>
    <row r="593" spans="1:15" x14ac:dyDescent="0.25">
      <c r="A593">
        <v>4820</v>
      </c>
      <c r="B593" s="10">
        <v>46017</v>
      </c>
      <c r="C593">
        <v>26</v>
      </c>
      <c r="D593" t="s">
        <v>125</v>
      </c>
      <c r="E593" t="s">
        <v>133</v>
      </c>
      <c r="F593" t="s">
        <v>141</v>
      </c>
      <c r="G593" t="s">
        <v>100</v>
      </c>
      <c r="H593" t="s">
        <v>101</v>
      </c>
      <c r="I593" t="s">
        <v>152</v>
      </c>
      <c r="J593" t="s">
        <v>94</v>
      </c>
      <c r="K593">
        <v>4</v>
      </c>
      <c r="L593">
        <v>1800</v>
      </c>
      <c r="M593">
        <v>7200</v>
      </c>
      <c r="N593" t="s">
        <v>95</v>
      </c>
      <c r="O593" t="s">
        <v>104</v>
      </c>
    </row>
    <row r="594" spans="1:15" x14ac:dyDescent="0.25">
      <c r="A594">
        <v>4884</v>
      </c>
      <c r="B594" s="10">
        <v>45998</v>
      </c>
      <c r="C594">
        <v>7</v>
      </c>
      <c r="D594" t="s">
        <v>125</v>
      </c>
      <c r="E594" t="s">
        <v>137</v>
      </c>
      <c r="F594" t="s">
        <v>28</v>
      </c>
      <c r="G594" t="s">
        <v>126</v>
      </c>
      <c r="H594" t="s">
        <v>101</v>
      </c>
      <c r="I594" t="s">
        <v>152</v>
      </c>
      <c r="J594" t="s">
        <v>94</v>
      </c>
      <c r="K594">
        <v>6</v>
      </c>
      <c r="L594">
        <v>1800</v>
      </c>
      <c r="M594">
        <v>10800</v>
      </c>
      <c r="N594" t="s">
        <v>108</v>
      </c>
      <c r="O594" t="s">
        <v>115</v>
      </c>
    </row>
    <row r="595" spans="1:15" x14ac:dyDescent="0.25">
      <c r="A595">
        <v>4899</v>
      </c>
      <c r="B595" s="10">
        <v>45967</v>
      </c>
      <c r="C595">
        <v>6</v>
      </c>
      <c r="D595" t="s">
        <v>90</v>
      </c>
      <c r="E595" t="s">
        <v>161</v>
      </c>
      <c r="F595" t="s">
        <v>99</v>
      </c>
      <c r="G595" t="s">
        <v>100</v>
      </c>
      <c r="H595" t="s">
        <v>37</v>
      </c>
      <c r="I595" t="s">
        <v>143</v>
      </c>
      <c r="J595" t="s">
        <v>103</v>
      </c>
      <c r="K595">
        <v>34</v>
      </c>
      <c r="L595">
        <v>1800</v>
      </c>
      <c r="M595">
        <v>61200</v>
      </c>
      <c r="N595" t="s">
        <v>95</v>
      </c>
      <c r="O595" t="s">
        <v>104</v>
      </c>
    </row>
    <row r="596" spans="1:15" x14ac:dyDescent="0.25">
      <c r="A596">
        <v>4972</v>
      </c>
      <c r="B596" s="10">
        <v>45968</v>
      </c>
      <c r="C596">
        <v>7</v>
      </c>
      <c r="D596" t="s">
        <v>90</v>
      </c>
      <c r="E596" t="s">
        <v>138</v>
      </c>
      <c r="F596" t="s">
        <v>148</v>
      </c>
      <c r="G596" t="s">
        <v>118</v>
      </c>
      <c r="H596" t="s">
        <v>101</v>
      </c>
      <c r="I596" t="s">
        <v>152</v>
      </c>
      <c r="J596" t="s">
        <v>94</v>
      </c>
      <c r="K596">
        <v>9</v>
      </c>
      <c r="L596">
        <v>1800</v>
      </c>
      <c r="M596">
        <v>16200</v>
      </c>
      <c r="N596" t="s">
        <v>108</v>
      </c>
      <c r="O596" t="s">
        <v>96</v>
      </c>
    </row>
    <row r="597" spans="1:15" x14ac:dyDescent="0.25">
      <c r="A597">
        <v>4977</v>
      </c>
      <c r="B597" s="10">
        <v>45914</v>
      </c>
      <c r="C597">
        <v>14</v>
      </c>
      <c r="D597" t="s">
        <v>147</v>
      </c>
      <c r="E597" t="s">
        <v>137</v>
      </c>
      <c r="F597" t="s">
        <v>113</v>
      </c>
      <c r="G597" t="s">
        <v>114</v>
      </c>
      <c r="H597" t="s">
        <v>37</v>
      </c>
      <c r="I597" t="s">
        <v>143</v>
      </c>
      <c r="J597" t="s">
        <v>103</v>
      </c>
      <c r="K597">
        <v>25</v>
      </c>
      <c r="L597">
        <v>1800</v>
      </c>
      <c r="M597">
        <v>45000</v>
      </c>
      <c r="N597" t="s">
        <v>108</v>
      </c>
      <c r="O597" t="s">
        <v>104</v>
      </c>
    </row>
    <row r="598" spans="1:15" x14ac:dyDescent="0.25">
      <c r="A598">
        <v>19</v>
      </c>
      <c r="B598" s="10">
        <v>45712</v>
      </c>
      <c r="C598">
        <v>24</v>
      </c>
      <c r="D598" t="s">
        <v>97</v>
      </c>
      <c r="E598" t="s">
        <v>121</v>
      </c>
      <c r="F598" t="s">
        <v>122</v>
      </c>
      <c r="G598" t="s">
        <v>114</v>
      </c>
      <c r="H598" t="s">
        <v>37</v>
      </c>
      <c r="I598" t="s">
        <v>143</v>
      </c>
      <c r="J598" t="s">
        <v>94</v>
      </c>
      <c r="K598">
        <v>3</v>
      </c>
      <c r="L598">
        <v>1900</v>
      </c>
      <c r="M598">
        <v>5700</v>
      </c>
      <c r="N598" t="s">
        <v>108</v>
      </c>
      <c r="O598" t="s">
        <v>104</v>
      </c>
    </row>
    <row r="599" spans="1:15" x14ac:dyDescent="0.25">
      <c r="A599">
        <v>48</v>
      </c>
      <c r="B599" s="10">
        <v>45710</v>
      </c>
      <c r="C599">
        <v>22</v>
      </c>
      <c r="D599" t="s">
        <v>97</v>
      </c>
      <c r="E599" t="s">
        <v>150</v>
      </c>
      <c r="F599" t="s">
        <v>117</v>
      </c>
      <c r="G599" t="s">
        <v>118</v>
      </c>
      <c r="H599" t="s">
        <v>101</v>
      </c>
      <c r="I599" t="s">
        <v>152</v>
      </c>
      <c r="J599" t="s">
        <v>94</v>
      </c>
      <c r="K599">
        <v>4</v>
      </c>
      <c r="L599">
        <v>1900</v>
      </c>
      <c r="M599">
        <v>7600</v>
      </c>
      <c r="N599" t="s">
        <v>95</v>
      </c>
      <c r="O599" t="s">
        <v>104</v>
      </c>
    </row>
    <row r="600" spans="1:15" x14ac:dyDescent="0.25">
      <c r="A600">
        <v>119</v>
      </c>
      <c r="B600" s="10">
        <v>45810</v>
      </c>
      <c r="C600">
        <v>2</v>
      </c>
      <c r="D600" t="s">
        <v>153</v>
      </c>
      <c r="E600" t="s">
        <v>121</v>
      </c>
      <c r="F600" t="s">
        <v>148</v>
      </c>
      <c r="G600" t="s">
        <v>118</v>
      </c>
      <c r="H600" t="s">
        <v>101</v>
      </c>
      <c r="I600" t="s">
        <v>152</v>
      </c>
      <c r="J600" t="s">
        <v>94</v>
      </c>
      <c r="K600">
        <v>8</v>
      </c>
      <c r="L600">
        <v>1900</v>
      </c>
      <c r="M600">
        <v>15200</v>
      </c>
      <c r="N600" t="s">
        <v>108</v>
      </c>
      <c r="O600" t="s">
        <v>115</v>
      </c>
    </row>
    <row r="601" spans="1:15" x14ac:dyDescent="0.25">
      <c r="A601">
        <v>189</v>
      </c>
      <c r="B601" s="10">
        <v>45856</v>
      </c>
      <c r="C601">
        <v>18</v>
      </c>
      <c r="D601" t="s">
        <v>145</v>
      </c>
      <c r="E601" t="s">
        <v>142</v>
      </c>
      <c r="F601" t="s">
        <v>117</v>
      </c>
      <c r="G601" t="s">
        <v>118</v>
      </c>
      <c r="H601" t="s">
        <v>37</v>
      </c>
      <c r="I601" t="s">
        <v>143</v>
      </c>
      <c r="J601" t="s">
        <v>94</v>
      </c>
      <c r="K601">
        <v>6</v>
      </c>
      <c r="L601">
        <v>1900</v>
      </c>
      <c r="M601">
        <v>11400</v>
      </c>
      <c r="N601" t="s">
        <v>95</v>
      </c>
      <c r="O601" t="s">
        <v>115</v>
      </c>
    </row>
    <row r="602" spans="1:15" x14ac:dyDescent="0.25">
      <c r="A602">
        <v>221</v>
      </c>
      <c r="B602" s="10">
        <v>45886</v>
      </c>
      <c r="C602">
        <v>17</v>
      </c>
      <c r="D602" t="s">
        <v>109</v>
      </c>
      <c r="E602" t="s">
        <v>25</v>
      </c>
      <c r="F602" t="s">
        <v>99</v>
      </c>
      <c r="G602" t="s">
        <v>100</v>
      </c>
      <c r="H602" t="s">
        <v>37</v>
      </c>
      <c r="I602" t="s">
        <v>143</v>
      </c>
      <c r="J602" t="s">
        <v>103</v>
      </c>
      <c r="K602">
        <v>22</v>
      </c>
      <c r="L602">
        <v>1900</v>
      </c>
      <c r="M602">
        <v>41800</v>
      </c>
      <c r="N602" t="s">
        <v>95</v>
      </c>
      <c r="O602" t="s">
        <v>104</v>
      </c>
    </row>
    <row r="603" spans="1:15" x14ac:dyDescent="0.25">
      <c r="A603">
        <v>285</v>
      </c>
      <c r="B603" s="10">
        <v>45932</v>
      </c>
      <c r="C603">
        <v>2</v>
      </c>
      <c r="D603" t="s">
        <v>136</v>
      </c>
      <c r="E603" t="s">
        <v>138</v>
      </c>
      <c r="F603" t="s">
        <v>36</v>
      </c>
      <c r="G603" t="s">
        <v>100</v>
      </c>
      <c r="H603" t="s">
        <v>37</v>
      </c>
      <c r="I603" t="s">
        <v>143</v>
      </c>
      <c r="J603" t="s">
        <v>103</v>
      </c>
      <c r="K603">
        <v>12</v>
      </c>
      <c r="L603">
        <v>1900</v>
      </c>
      <c r="M603">
        <v>22800</v>
      </c>
      <c r="N603" t="s">
        <v>95</v>
      </c>
      <c r="O603" t="s">
        <v>96</v>
      </c>
    </row>
    <row r="604" spans="1:15" x14ac:dyDescent="0.25">
      <c r="A604">
        <v>453</v>
      </c>
      <c r="B604" s="10">
        <v>45896</v>
      </c>
      <c r="C604">
        <v>27</v>
      </c>
      <c r="D604" t="s">
        <v>109</v>
      </c>
      <c r="E604" t="s">
        <v>116</v>
      </c>
      <c r="F604" t="s">
        <v>49</v>
      </c>
      <c r="G604" t="s">
        <v>118</v>
      </c>
      <c r="H604" t="s">
        <v>37</v>
      </c>
      <c r="I604" t="s">
        <v>143</v>
      </c>
      <c r="J604" t="s">
        <v>94</v>
      </c>
      <c r="K604">
        <v>3</v>
      </c>
      <c r="L604">
        <v>1900</v>
      </c>
      <c r="M604">
        <v>5700</v>
      </c>
      <c r="N604" t="s">
        <v>95</v>
      </c>
      <c r="O604" t="s">
        <v>104</v>
      </c>
    </row>
    <row r="605" spans="1:15" x14ac:dyDescent="0.25">
      <c r="A605">
        <v>760</v>
      </c>
      <c r="B605" s="10">
        <v>45971</v>
      </c>
      <c r="C605">
        <v>10</v>
      </c>
      <c r="D605" t="s">
        <v>90</v>
      </c>
      <c r="E605" t="s">
        <v>128</v>
      </c>
      <c r="F605" t="s">
        <v>113</v>
      </c>
      <c r="G605" t="s">
        <v>114</v>
      </c>
      <c r="H605" t="s">
        <v>101</v>
      </c>
      <c r="I605" t="s">
        <v>152</v>
      </c>
      <c r="J605" t="s">
        <v>94</v>
      </c>
      <c r="K605">
        <v>3</v>
      </c>
      <c r="L605">
        <v>1900</v>
      </c>
      <c r="M605">
        <v>5700</v>
      </c>
      <c r="N605" t="s">
        <v>95</v>
      </c>
      <c r="O605" t="s">
        <v>115</v>
      </c>
    </row>
    <row r="606" spans="1:15" x14ac:dyDescent="0.25">
      <c r="A606">
        <v>775</v>
      </c>
      <c r="B606" s="10">
        <v>45807</v>
      </c>
      <c r="C606">
        <v>30</v>
      </c>
      <c r="D606" t="s">
        <v>120</v>
      </c>
      <c r="E606" t="s">
        <v>142</v>
      </c>
      <c r="F606" t="s">
        <v>148</v>
      </c>
      <c r="G606" t="s">
        <v>118</v>
      </c>
      <c r="H606" t="s">
        <v>101</v>
      </c>
      <c r="I606" t="s">
        <v>152</v>
      </c>
      <c r="J606" t="s">
        <v>94</v>
      </c>
      <c r="K606">
        <v>4</v>
      </c>
      <c r="L606">
        <v>1900</v>
      </c>
      <c r="M606">
        <v>7600</v>
      </c>
      <c r="N606" t="s">
        <v>108</v>
      </c>
      <c r="O606" t="s">
        <v>115</v>
      </c>
    </row>
    <row r="607" spans="1:15" x14ac:dyDescent="0.25">
      <c r="A607">
        <v>942</v>
      </c>
      <c r="B607" s="10">
        <v>45984</v>
      </c>
      <c r="C607">
        <v>23</v>
      </c>
      <c r="D607" t="s">
        <v>90</v>
      </c>
      <c r="E607" t="s">
        <v>137</v>
      </c>
      <c r="F607" t="s">
        <v>117</v>
      </c>
      <c r="G607" t="s">
        <v>118</v>
      </c>
      <c r="H607" t="s">
        <v>101</v>
      </c>
      <c r="I607" t="s">
        <v>152</v>
      </c>
      <c r="J607" t="s">
        <v>94</v>
      </c>
      <c r="K607">
        <v>9</v>
      </c>
      <c r="L607">
        <v>1900</v>
      </c>
      <c r="M607">
        <v>17100</v>
      </c>
      <c r="N607" t="s">
        <v>95</v>
      </c>
      <c r="O607" t="s">
        <v>115</v>
      </c>
    </row>
    <row r="608" spans="1:15" x14ac:dyDescent="0.25">
      <c r="A608">
        <v>1058</v>
      </c>
      <c r="B608" s="10">
        <v>45783</v>
      </c>
      <c r="C608">
        <v>6</v>
      </c>
      <c r="D608" t="s">
        <v>120</v>
      </c>
      <c r="E608" t="s">
        <v>121</v>
      </c>
      <c r="F608" t="s">
        <v>99</v>
      </c>
      <c r="G608" t="s">
        <v>100</v>
      </c>
      <c r="H608" t="s">
        <v>101</v>
      </c>
      <c r="I608" t="s">
        <v>152</v>
      </c>
      <c r="J608" t="s">
        <v>94</v>
      </c>
      <c r="K608">
        <v>9</v>
      </c>
      <c r="L608">
        <v>1900</v>
      </c>
      <c r="M608">
        <v>17100</v>
      </c>
      <c r="N608" t="s">
        <v>108</v>
      </c>
      <c r="O608" t="s">
        <v>115</v>
      </c>
    </row>
    <row r="609" spans="1:15" x14ac:dyDescent="0.25">
      <c r="A609">
        <v>1064</v>
      </c>
      <c r="B609" s="10">
        <v>45780</v>
      </c>
      <c r="C609">
        <v>3</v>
      </c>
      <c r="D609" t="s">
        <v>120</v>
      </c>
      <c r="E609" t="s">
        <v>112</v>
      </c>
      <c r="F609" t="s">
        <v>148</v>
      </c>
      <c r="G609" t="s">
        <v>118</v>
      </c>
      <c r="H609" t="s">
        <v>101</v>
      </c>
      <c r="I609" t="s">
        <v>127</v>
      </c>
      <c r="J609" t="s">
        <v>103</v>
      </c>
      <c r="K609">
        <v>37</v>
      </c>
      <c r="L609">
        <v>1900</v>
      </c>
      <c r="M609">
        <v>70300</v>
      </c>
      <c r="N609" t="s">
        <v>108</v>
      </c>
      <c r="O609" t="s">
        <v>104</v>
      </c>
    </row>
    <row r="610" spans="1:15" x14ac:dyDescent="0.25">
      <c r="A610">
        <v>1136</v>
      </c>
      <c r="B610" s="10">
        <v>45762</v>
      </c>
      <c r="C610">
        <v>15</v>
      </c>
      <c r="D610" t="s">
        <v>105</v>
      </c>
      <c r="E610" t="s">
        <v>142</v>
      </c>
      <c r="F610" t="s">
        <v>28</v>
      </c>
      <c r="G610" t="s">
        <v>126</v>
      </c>
      <c r="H610" t="s">
        <v>101</v>
      </c>
      <c r="I610" t="s">
        <v>152</v>
      </c>
      <c r="J610" t="s">
        <v>94</v>
      </c>
      <c r="K610">
        <v>8</v>
      </c>
      <c r="L610">
        <v>1900</v>
      </c>
      <c r="M610">
        <v>15200</v>
      </c>
      <c r="N610" t="s">
        <v>95</v>
      </c>
      <c r="O610" t="s">
        <v>115</v>
      </c>
    </row>
    <row r="611" spans="1:15" x14ac:dyDescent="0.25">
      <c r="A611">
        <v>1165</v>
      </c>
      <c r="B611" s="10">
        <v>45868</v>
      </c>
      <c r="C611">
        <v>30</v>
      </c>
      <c r="D611" t="s">
        <v>145</v>
      </c>
      <c r="E611" t="s">
        <v>116</v>
      </c>
      <c r="F611" t="s">
        <v>117</v>
      </c>
      <c r="G611" t="s">
        <v>118</v>
      </c>
      <c r="H611" t="s">
        <v>101</v>
      </c>
      <c r="I611" t="s">
        <v>152</v>
      </c>
      <c r="J611" t="s">
        <v>94</v>
      </c>
      <c r="K611">
        <v>9</v>
      </c>
      <c r="L611">
        <v>1900</v>
      </c>
      <c r="M611">
        <v>17100</v>
      </c>
      <c r="N611" t="s">
        <v>95</v>
      </c>
      <c r="O611" t="s">
        <v>115</v>
      </c>
    </row>
    <row r="612" spans="1:15" x14ac:dyDescent="0.25">
      <c r="A612">
        <v>1220</v>
      </c>
      <c r="B612" s="10">
        <v>45915</v>
      </c>
      <c r="C612">
        <v>15</v>
      </c>
      <c r="D612" t="s">
        <v>147</v>
      </c>
      <c r="E612" t="s">
        <v>161</v>
      </c>
      <c r="F612" t="s">
        <v>28</v>
      </c>
      <c r="G612" t="s">
        <v>126</v>
      </c>
      <c r="H612" t="s">
        <v>37</v>
      </c>
      <c r="I612" t="s">
        <v>143</v>
      </c>
      <c r="J612" t="s">
        <v>103</v>
      </c>
      <c r="K612">
        <v>45</v>
      </c>
      <c r="L612">
        <v>1900</v>
      </c>
      <c r="M612">
        <v>85500</v>
      </c>
      <c r="N612" t="s">
        <v>95</v>
      </c>
      <c r="O612" t="s">
        <v>115</v>
      </c>
    </row>
    <row r="613" spans="1:15" x14ac:dyDescent="0.25">
      <c r="A613">
        <v>1236</v>
      </c>
      <c r="B613" s="10">
        <v>45942</v>
      </c>
      <c r="C613">
        <v>12</v>
      </c>
      <c r="D613" t="s">
        <v>136</v>
      </c>
      <c r="E613" t="s">
        <v>121</v>
      </c>
      <c r="F613" t="s">
        <v>107</v>
      </c>
      <c r="G613" t="s">
        <v>100</v>
      </c>
      <c r="H613" t="s">
        <v>101</v>
      </c>
      <c r="I613" t="s">
        <v>152</v>
      </c>
      <c r="J613" t="s">
        <v>94</v>
      </c>
      <c r="K613">
        <v>9</v>
      </c>
      <c r="L613">
        <v>1900</v>
      </c>
      <c r="M613">
        <v>17100</v>
      </c>
      <c r="N613" t="s">
        <v>95</v>
      </c>
      <c r="O613" t="s">
        <v>104</v>
      </c>
    </row>
    <row r="614" spans="1:15" x14ac:dyDescent="0.25">
      <c r="A614">
        <v>1460</v>
      </c>
      <c r="B614" s="10">
        <v>45814</v>
      </c>
      <c r="C614">
        <v>6</v>
      </c>
      <c r="D614" t="s">
        <v>153</v>
      </c>
      <c r="E614" t="s">
        <v>31</v>
      </c>
      <c r="F614" t="s">
        <v>44</v>
      </c>
      <c r="G614" t="s">
        <v>111</v>
      </c>
      <c r="H614" t="s">
        <v>101</v>
      </c>
      <c r="I614" t="s">
        <v>152</v>
      </c>
      <c r="J614" t="s">
        <v>94</v>
      </c>
      <c r="K614">
        <v>7</v>
      </c>
      <c r="L614">
        <v>1900</v>
      </c>
      <c r="M614">
        <v>13300</v>
      </c>
      <c r="N614" t="s">
        <v>108</v>
      </c>
      <c r="O614" t="s">
        <v>104</v>
      </c>
    </row>
    <row r="615" spans="1:15" x14ac:dyDescent="0.25">
      <c r="A615">
        <v>1500</v>
      </c>
      <c r="B615" s="10">
        <v>45971</v>
      </c>
      <c r="C615">
        <v>10</v>
      </c>
      <c r="D615" t="s">
        <v>90</v>
      </c>
      <c r="E615" t="s">
        <v>128</v>
      </c>
      <c r="F615" t="s">
        <v>28</v>
      </c>
      <c r="G615" t="s">
        <v>126</v>
      </c>
      <c r="H615" t="s">
        <v>101</v>
      </c>
      <c r="I615" t="s">
        <v>152</v>
      </c>
      <c r="J615" t="s">
        <v>94</v>
      </c>
      <c r="K615">
        <v>5</v>
      </c>
      <c r="L615">
        <v>1900</v>
      </c>
      <c r="M615">
        <v>9500</v>
      </c>
      <c r="N615" t="s">
        <v>95</v>
      </c>
      <c r="O615" t="s">
        <v>104</v>
      </c>
    </row>
    <row r="616" spans="1:15" x14ac:dyDescent="0.25">
      <c r="A616">
        <v>1606</v>
      </c>
      <c r="B616" s="10">
        <v>45977</v>
      </c>
      <c r="C616">
        <v>16</v>
      </c>
      <c r="D616" t="s">
        <v>90</v>
      </c>
      <c r="E616" t="s">
        <v>112</v>
      </c>
      <c r="F616" t="s">
        <v>134</v>
      </c>
      <c r="G616" t="s">
        <v>100</v>
      </c>
      <c r="H616" t="s">
        <v>37</v>
      </c>
      <c r="I616" t="s">
        <v>143</v>
      </c>
      <c r="J616" t="s">
        <v>94</v>
      </c>
      <c r="K616">
        <v>2</v>
      </c>
      <c r="L616">
        <v>1900</v>
      </c>
      <c r="M616">
        <v>3800</v>
      </c>
      <c r="N616" t="s">
        <v>95</v>
      </c>
      <c r="O616" t="s">
        <v>104</v>
      </c>
    </row>
    <row r="617" spans="1:15" x14ac:dyDescent="0.25">
      <c r="A617">
        <v>1698</v>
      </c>
      <c r="B617" s="10">
        <v>45721</v>
      </c>
      <c r="C617">
        <v>5</v>
      </c>
      <c r="D617" t="s">
        <v>140</v>
      </c>
      <c r="E617" t="s">
        <v>31</v>
      </c>
      <c r="F617" t="s">
        <v>36</v>
      </c>
      <c r="G617" t="s">
        <v>100</v>
      </c>
      <c r="H617" t="s">
        <v>37</v>
      </c>
      <c r="I617" t="s">
        <v>143</v>
      </c>
      <c r="J617" t="s">
        <v>94</v>
      </c>
      <c r="K617">
        <v>3</v>
      </c>
      <c r="L617">
        <v>1900</v>
      </c>
      <c r="M617">
        <v>5700</v>
      </c>
      <c r="N617" t="s">
        <v>108</v>
      </c>
      <c r="O617" t="s">
        <v>115</v>
      </c>
    </row>
    <row r="618" spans="1:15" x14ac:dyDescent="0.25">
      <c r="A618">
        <v>1953</v>
      </c>
      <c r="B618" s="10">
        <v>45699</v>
      </c>
      <c r="C618">
        <v>11</v>
      </c>
      <c r="D618" t="s">
        <v>97</v>
      </c>
      <c r="E618" t="s">
        <v>110</v>
      </c>
      <c r="F618" t="s">
        <v>144</v>
      </c>
      <c r="G618" t="s">
        <v>91</v>
      </c>
      <c r="H618" t="s">
        <v>37</v>
      </c>
      <c r="I618" t="s">
        <v>143</v>
      </c>
      <c r="J618" t="s">
        <v>94</v>
      </c>
      <c r="K618">
        <v>7</v>
      </c>
      <c r="L618">
        <v>1900</v>
      </c>
      <c r="M618">
        <v>13300</v>
      </c>
      <c r="N618" t="s">
        <v>95</v>
      </c>
      <c r="O618" t="s">
        <v>104</v>
      </c>
    </row>
    <row r="619" spans="1:15" x14ac:dyDescent="0.25">
      <c r="A619">
        <v>2084</v>
      </c>
      <c r="B619" s="10">
        <v>45900</v>
      </c>
      <c r="C619">
        <v>31</v>
      </c>
      <c r="D619" t="s">
        <v>109</v>
      </c>
      <c r="E619" t="s">
        <v>25</v>
      </c>
      <c r="F619" t="s">
        <v>113</v>
      </c>
      <c r="G619" t="s">
        <v>114</v>
      </c>
      <c r="H619" t="s">
        <v>37</v>
      </c>
      <c r="I619" t="s">
        <v>38</v>
      </c>
      <c r="J619" t="s">
        <v>103</v>
      </c>
      <c r="K619">
        <v>20</v>
      </c>
      <c r="L619">
        <v>1900</v>
      </c>
      <c r="M619">
        <v>38000</v>
      </c>
      <c r="N619" t="s">
        <v>108</v>
      </c>
      <c r="O619" t="s">
        <v>115</v>
      </c>
    </row>
    <row r="620" spans="1:15" x14ac:dyDescent="0.25">
      <c r="A620">
        <v>2238</v>
      </c>
      <c r="B620" s="10">
        <v>45678</v>
      </c>
      <c r="C620">
        <v>21</v>
      </c>
      <c r="D620" t="s">
        <v>130</v>
      </c>
      <c r="E620" t="s">
        <v>31</v>
      </c>
      <c r="F620" t="s">
        <v>49</v>
      </c>
      <c r="G620" t="s">
        <v>118</v>
      </c>
      <c r="H620" t="s">
        <v>37</v>
      </c>
      <c r="I620" t="s">
        <v>143</v>
      </c>
      <c r="J620" t="s">
        <v>94</v>
      </c>
      <c r="K620">
        <v>9</v>
      </c>
      <c r="L620">
        <v>1900</v>
      </c>
      <c r="M620">
        <v>17100</v>
      </c>
      <c r="N620" t="s">
        <v>108</v>
      </c>
      <c r="O620" t="s">
        <v>104</v>
      </c>
    </row>
    <row r="621" spans="1:15" x14ac:dyDescent="0.25">
      <c r="A621">
        <v>2245</v>
      </c>
      <c r="B621" s="10">
        <v>45932</v>
      </c>
      <c r="C621">
        <v>2</v>
      </c>
      <c r="D621" t="s">
        <v>136</v>
      </c>
      <c r="E621" t="s">
        <v>112</v>
      </c>
      <c r="F621" t="s">
        <v>113</v>
      </c>
      <c r="G621" t="s">
        <v>114</v>
      </c>
      <c r="H621" t="s">
        <v>101</v>
      </c>
      <c r="I621" t="s">
        <v>152</v>
      </c>
      <c r="J621" t="s">
        <v>94</v>
      </c>
      <c r="K621">
        <v>3</v>
      </c>
      <c r="L621">
        <v>1900</v>
      </c>
      <c r="M621">
        <v>5700</v>
      </c>
      <c r="N621" t="s">
        <v>108</v>
      </c>
      <c r="O621" t="s">
        <v>96</v>
      </c>
    </row>
    <row r="622" spans="1:15" x14ac:dyDescent="0.25">
      <c r="A622">
        <v>2253</v>
      </c>
      <c r="B622" s="10">
        <v>45733</v>
      </c>
      <c r="C622">
        <v>17</v>
      </c>
      <c r="D622" t="s">
        <v>140</v>
      </c>
      <c r="E622" t="s">
        <v>142</v>
      </c>
      <c r="F622" t="s">
        <v>148</v>
      </c>
      <c r="G622" t="s">
        <v>118</v>
      </c>
      <c r="H622" t="s">
        <v>37</v>
      </c>
      <c r="I622" t="s">
        <v>143</v>
      </c>
      <c r="J622" t="s">
        <v>94</v>
      </c>
      <c r="K622">
        <v>7</v>
      </c>
      <c r="L622">
        <v>1900</v>
      </c>
      <c r="M622">
        <v>13300</v>
      </c>
      <c r="N622" t="s">
        <v>108</v>
      </c>
      <c r="O622" t="s">
        <v>104</v>
      </c>
    </row>
    <row r="623" spans="1:15" x14ac:dyDescent="0.25">
      <c r="A623">
        <v>2275</v>
      </c>
      <c r="B623" s="10">
        <v>45730</v>
      </c>
      <c r="C623">
        <v>14</v>
      </c>
      <c r="D623" t="s">
        <v>140</v>
      </c>
      <c r="E623" t="s">
        <v>121</v>
      </c>
      <c r="F623" t="s">
        <v>134</v>
      </c>
      <c r="G623" t="s">
        <v>100</v>
      </c>
      <c r="H623" t="s">
        <v>37</v>
      </c>
      <c r="I623" t="s">
        <v>143</v>
      </c>
      <c r="J623" t="s">
        <v>94</v>
      </c>
      <c r="K623">
        <v>2</v>
      </c>
      <c r="L623">
        <v>1900</v>
      </c>
      <c r="M623">
        <v>3800</v>
      </c>
      <c r="N623" t="s">
        <v>108</v>
      </c>
      <c r="O623" t="s">
        <v>115</v>
      </c>
    </row>
    <row r="624" spans="1:15" x14ac:dyDescent="0.25">
      <c r="A624">
        <v>2279</v>
      </c>
      <c r="B624" s="10">
        <v>45979</v>
      </c>
      <c r="C624">
        <v>18</v>
      </c>
      <c r="D624" t="s">
        <v>90</v>
      </c>
      <c r="E624" t="s">
        <v>106</v>
      </c>
      <c r="F624" t="s">
        <v>44</v>
      </c>
      <c r="G624" t="s">
        <v>111</v>
      </c>
      <c r="H624" t="s">
        <v>101</v>
      </c>
      <c r="I624" t="s">
        <v>152</v>
      </c>
      <c r="J624" t="s">
        <v>94</v>
      </c>
      <c r="K624">
        <v>10</v>
      </c>
      <c r="L624">
        <v>1900</v>
      </c>
      <c r="M624">
        <v>19000</v>
      </c>
      <c r="N624" t="s">
        <v>108</v>
      </c>
      <c r="O624" t="s">
        <v>96</v>
      </c>
    </row>
    <row r="625" spans="1:15" x14ac:dyDescent="0.25">
      <c r="A625">
        <v>2378</v>
      </c>
      <c r="B625" s="10">
        <v>45774</v>
      </c>
      <c r="C625">
        <v>27</v>
      </c>
      <c r="D625" t="s">
        <v>105</v>
      </c>
      <c r="E625" t="s">
        <v>138</v>
      </c>
      <c r="F625" t="s">
        <v>36</v>
      </c>
      <c r="G625" t="s">
        <v>100</v>
      </c>
      <c r="H625" t="s">
        <v>37</v>
      </c>
      <c r="I625" t="s">
        <v>143</v>
      </c>
      <c r="J625" t="s">
        <v>94</v>
      </c>
      <c r="K625">
        <v>6</v>
      </c>
      <c r="L625">
        <v>1900</v>
      </c>
      <c r="M625">
        <v>11400</v>
      </c>
      <c r="N625" t="s">
        <v>108</v>
      </c>
      <c r="O625" t="s">
        <v>115</v>
      </c>
    </row>
    <row r="626" spans="1:15" x14ac:dyDescent="0.25">
      <c r="A626">
        <v>2381</v>
      </c>
      <c r="B626" s="10">
        <v>45874</v>
      </c>
      <c r="C626">
        <v>5</v>
      </c>
      <c r="D626" t="s">
        <v>109</v>
      </c>
      <c r="E626" t="s">
        <v>128</v>
      </c>
      <c r="F626" t="s">
        <v>117</v>
      </c>
      <c r="G626" t="s">
        <v>118</v>
      </c>
      <c r="H626" t="s">
        <v>37</v>
      </c>
      <c r="I626" t="s">
        <v>143</v>
      </c>
      <c r="J626" t="s">
        <v>94</v>
      </c>
      <c r="K626">
        <v>6</v>
      </c>
      <c r="L626">
        <v>1900</v>
      </c>
      <c r="M626">
        <v>11400</v>
      </c>
      <c r="N626" t="s">
        <v>108</v>
      </c>
      <c r="O626" t="s">
        <v>96</v>
      </c>
    </row>
    <row r="627" spans="1:15" x14ac:dyDescent="0.25">
      <c r="A627">
        <v>2406</v>
      </c>
      <c r="B627" s="10">
        <v>45949</v>
      </c>
      <c r="C627">
        <v>19</v>
      </c>
      <c r="D627" t="s">
        <v>136</v>
      </c>
      <c r="E627" t="s">
        <v>128</v>
      </c>
      <c r="F627" t="s">
        <v>28</v>
      </c>
      <c r="G627" t="s">
        <v>126</v>
      </c>
      <c r="H627" t="s">
        <v>101</v>
      </c>
      <c r="I627" t="s">
        <v>152</v>
      </c>
      <c r="J627" t="s">
        <v>94</v>
      </c>
      <c r="K627">
        <v>2</v>
      </c>
      <c r="L627">
        <v>1900</v>
      </c>
      <c r="M627">
        <v>3800</v>
      </c>
      <c r="N627" t="s">
        <v>108</v>
      </c>
      <c r="O627" t="s">
        <v>104</v>
      </c>
    </row>
    <row r="628" spans="1:15" x14ac:dyDescent="0.25">
      <c r="A628">
        <v>2545</v>
      </c>
      <c r="B628" s="10">
        <v>45751</v>
      </c>
      <c r="C628">
        <v>4</v>
      </c>
      <c r="D628" t="s">
        <v>105</v>
      </c>
      <c r="E628" t="s">
        <v>128</v>
      </c>
      <c r="F628" t="s">
        <v>144</v>
      </c>
      <c r="G628" t="s">
        <v>91</v>
      </c>
      <c r="H628" t="s">
        <v>37</v>
      </c>
      <c r="I628" t="s">
        <v>143</v>
      </c>
      <c r="J628" t="s">
        <v>103</v>
      </c>
      <c r="K628">
        <v>33</v>
      </c>
      <c r="L628">
        <v>1900</v>
      </c>
      <c r="M628">
        <v>62700</v>
      </c>
      <c r="N628" t="s">
        <v>108</v>
      </c>
      <c r="O628" t="s">
        <v>104</v>
      </c>
    </row>
    <row r="629" spans="1:15" x14ac:dyDescent="0.25">
      <c r="A629">
        <v>2612</v>
      </c>
      <c r="B629" s="10">
        <v>45799</v>
      </c>
      <c r="C629">
        <v>22</v>
      </c>
      <c r="D629" t="s">
        <v>120</v>
      </c>
      <c r="E629" t="s">
        <v>138</v>
      </c>
      <c r="F629" t="s">
        <v>49</v>
      </c>
      <c r="G629" t="s">
        <v>118</v>
      </c>
      <c r="H629" t="s">
        <v>37</v>
      </c>
      <c r="I629" t="s">
        <v>143</v>
      </c>
      <c r="J629" t="s">
        <v>94</v>
      </c>
      <c r="K629">
        <v>5</v>
      </c>
      <c r="L629">
        <v>1900</v>
      </c>
      <c r="M629">
        <v>9500</v>
      </c>
      <c r="N629" t="s">
        <v>95</v>
      </c>
      <c r="O629" t="s">
        <v>115</v>
      </c>
    </row>
    <row r="630" spans="1:15" x14ac:dyDescent="0.25">
      <c r="A630">
        <v>2766</v>
      </c>
      <c r="B630" s="10">
        <v>46014</v>
      </c>
      <c r="C630">
        <v>23</v>
      </c>
      <c r="D630" t="s">
        <v>125</v>
      </c>
      <c r="E630" t="s">
        <v>121</v>
      </c>
      <c r="F630" t="s">
        <v>134</v>
      </c>
      <c r="G630" t="s">
        <v>100</v>
      </c>
      <c r="H630" t="s">
        <v>101</v>
      </c>
      <c r="I630" t="s">
        <v>152</v>
      </c>
      <c r="J630" t="s">
        <v>94</v>
      </c>
      <c r="K630">
        <v>10</v>
      </c>
      <c r="L630">
        <v>1900</v>
      </c>
      <c r="M630">
        <v>19000</v>
      </c>
      <c r="N630" t="s">
        <v>108</v>
      </c>
      <c r="O630" t="s">
        <v>96</v>
      </c>
    </row>
    <row r="631" spans="1:15" x14ac:dyDescent="0.25">
      <c r="A631">
        <v>2968</v>
      </c>
      <c r="B631" s="10">
        <v>45728</v>
      </c>
      <c r="C631">
        <v>12</v>
      </c>
      <c r="D631" t="s">
        <v>140</v>
      </c>
      <c r="E631" t="s">
        <v>116</v>
      </c>
      <c r="F631" t="s">
        <v>107</v>
      </c>
      <c r="G631" t="s">
        <v>100</v>
      </c>
      <c r="H631" t="s">
        <v>37</v>
      </c>
      <c r="I631" t="s">
        <v>143</v>
      </c>
      <c r="J631" t="s">
        <v>94</v>
      </c>
      <c r="K631">
        <v>4</v>
      </c>
      <c r="L631">
        <v>1900</v>
      </c>
      <c r="M631">
        <v>7600</v>
      </c>
      <c r="N631" t="s">
        <v>95</v>
      </c>
      <c r="O631" t="s">
        <v>104</v>
      </c>
    </row>
    <row r="632" spans="1:15" x14ac:dyDescent="0.25">
      <c r="A632">
        <v>2977</v>
      </c>
      <c r="B632" s="10">
        <v>45681</v>
      </c>
      <c r="C632">
        <v>24</v>
      </c>
      <c r="D632" t="s">
        <v>130</v>
      </c>
      <c r="E632" t="s">
        <v>112</v>
      </c>
      <c r="F632" t="s">
        <v>122</v>
      </c>
      <c r="G632" t="s">
        <v>114</v>
      </c>
      <c r="H632" t="s">
        <v>101</v>
      </c>
      <c r="I632" t="s">
        <v>152</v>
      </c>
      <c r="J632" t="s">
        <v>94</v>
      </c>
      <c r="K632">
        <v>4</v>
      </c>
      <c r="L632">
        <v>1900</v>
      </c>
      <c r="M632">
        <v>7600</v>
      </c>
      <c r="N632" t="s">
        <v>108</v>
      </c>
      <c r="O632" t="s">
        <v>104</v>
      </c>
    </row>
    <row r="633" spans="1:15" x14ac:dyDescent="0.25">
      <c r="A633">
        <v>3043</v>
      </c>
      <c r="B633" s="10">
        <v>45828</v>
      </c>
      <c r="C633">
        <v>20</v>
      </c>
      <c r="D633" t="s">
        <v>153</v>
      </c>
      <c r="E633" t="s">
        <v>98</v>
      </c>
      <c r="F633" t="s">
        <v>107</v>
      </c>
      <c r="G633" t="s">
        <v>100</v>
      </c>
      <c r="H633" t="s">
        <v>37</v>
      </c>
      <c r="I633" t="s">
        <v>143</v>
      </c>
      <c r="J633" t="s">
        <v>94</v>
      </c>
      <c r="K633">
        <v>9</v>
      </c>
      <c r="L633">
        <v>1900</v>
      </c>
      <c r="M633">
        <v>17100</v>
      </c>
      <c r="N633" t="s">
        <v>95</v>
      </c>
      <c r="O633" t="s">
        <v>115</v>
      </c>
    </row>
    <row r="634" spans="1:15" x14ac:dyDescent="0.25">
      <c r="A634">
        <v>3102</v>
      </c>
      <c r="B634" s="10">
        <v>45973</v>
      </c>
      <c r="C634">
        <v>12</v>
      </c>
      <c r="D634" t="s">
        <v>90</v>
      </c>
      <c r="E634" t="s">
        <v>150</v>
      </c>
      <c r="F634" t="s">
        <v>141</v>
      </c>
      <c r="G634" t="s">
        <v>100</v>
      </c>
      <c r="H634" t="s">
        <v>101</v>
      </c>
      <c r="I634" t="s">
        <v>152</v>
      </c>
      <c r="J634" t="s">
        <v>94</v>
      </c>
      <c r="K634">
        <v>1</v>
      </c>
      <c r="L634">
        <v>1900</v>
      </c>
      <c r="M634">
        <v>1900</v>
      </c>
      <c r="N634" t="s">
        <v>108</v>
      </c>
      <c r="O634" t="s">
        <v>115</v>
      </c>
    </row>
    <row r="635" spans="1:15" x14ac:dyDescent="0.25">
      <c r="A635">
        <v>3259</v>
      </c>
      <c r="B635" s="10">
        <v>46000</v>
      </c>
      <c r="C635">
        <v>9</v>
      </c>
      <c r="D635" t="s">
        <v>125</v>
      </c>
      <c r="E635" t="s">
        <v>110</v>
      </c>
      <c r="F635" t="s">
        <v>22</v>
      </c>
      <c r="G635" t="s">
        <v>91</v>
      </c>
      <c r="H635" t="s">
        <v>101</v>
      </c>
      <c r="I635" t="s">
        <v>152</v>
      </c>
      <c r="J635" t="s">
        <v>94</v>
      </c>
      <c r="K635">
        <v>10</v>
      </c>
      <c r="L635">
        <v>1900</v>
      </c>
      <c r="M635">
        <v>19000</v>
      </c>
      <c r="N635" t="s">
        <v>108</v>
      </c>
      <c r="O635" t="s">
        <v>96</v>
      </c>
    </row>
    <row r="636" spans="1:15" x14ac:dyDescent="0.25">
      <c r="A636">
        <v>3260</v>
      </c>
      <c r="B636" s="10">
        <v>45906</v>
      </c>
      <c r="C636">
        <v>6</v>
      </c>
      <c r="D636" t="s">
        <v>147</v>
      </c>
      <c r="E636" t="s">
        <v>121</v>
      </c>
      <c r="F636" t="s">
        <v>141</v>
      </c>
      <c r="G636" t="s">
        <v>100</v>
      </c>
      <c r="H636" t="s">
        <v>101</v>
      </c>
      <c r="I636" t="s">
        <v>152</v>
      </c>
      <c r="J636" t="s">
        <v>94</v>
      </c>
      <c r="K636">
        <v>5</v>
      </c>
      <c r="L636">
        <v>1900</v>
      </c>
      <c r="M636">
        <v>9500</v>
      </c>
      <c r="N636" t="s">
        <v>108</v>
      </c>
      <c r="O636" t="s">
        <v>104</v>
      </c>
    </row>
    <row r="637" spans="1:15" x14ac:dyDescent="0.25">
      <c r="A637">
        <v>3497</v>
      </c>
      <c r="B637" s="10">
        <v>45770</v>
      </c>
      <c r="C637">
        <v>23</v>
      </c>
      <c r="D637" t="s">
        <v>105</v>
      </c>
      <c r="E637" t="s">
        <v>98</v>
      </c>
      <c r="F637" t="s">
        <v>36</v>
      </c>
      <c r="G637" t="s">
        <v>100</v>
      </c>
      <c r="H637" t="s">
        <v>101</v>
      </c>
      <c r="I637" t="s">
        <v>152</v>
      </c>
      <c r="J637" t="s">
        <v>94</v>
      </c>
      <c r="K637">
        <v>1</v>
      </c>
      <c r="L637">
        <v>1900</v>
      </c>
      <c r="M637">
        <v>1900</v>
      </c>
      <c r="N637" t="s">
        <v>95</v>
      </c>
      <c r="O637" t="s">
        <v>104</v>
      </c>
    </row>
    <row r="638" spans="1:15" x14ac:dyDescent="0.25">
      <c r="A638">
        <v>3730</v>
      </c>
      <c r="B638" s="10">
        <v>45824</v>
      </c>
      <c r="C638">
        <v>16</v>
      </c>
      <c r="D638" t="s">
        <v>153</v>
      </c>
      <c r="E638" t="s">
        <v>25</v>
      </c>
      <c r="F638" t="s">
        <v>122</v>
      </c>
      <c r="G638" t="s">
        <v>114</v>
      </c>
      <c r="H638" t="s">
        <v>37</v>
      </c>
      <c r="I638" t="s">
        <v>38</v>
      </c>
      <c r="J638" t="s">
        <v>103</v>
      </c>
      <c r="K638">
        <v>6</v>
      </c>
      <c r="L638">
        <v>1900</v>
      </c>
      <c r="M638">
        <v>11400</v>
      </c>
      <c r="N638" t="s">
        <v>95</v>
      </c>
      <c r="O638" t="s">
        <v>115</v>
      </c>
    </row>
    <row r="639" spans="1:15" x14ac:dyDescent="0.25">
      <c r="A639">
        <v>3871</v>
      </c>
      <c r="B639" s="10">
        <v>45667</v>
      </c>
      <c r="C639">
        <v>10</v>
      </c>
      <c r="D639" t="s">
        <v>130</v>
      </c>
      <c r="E639" t="s">
        <v>31</v>
      </c>
      <c r="F639" t="s">
        <v>151</v>
      </c>
      <c r="G639" t="s">
        <v>111</v>
      </c>
      <c r="H639" t="s">
        <v>37</v>
      </c>
      <c r="I639" t="s">
        <v>143</v>
      </c>
      <c r="J639" t="s">
        <v>94</v>
      </c>
      <c r="K639">
        <v>1</v>
      </c>
      <c r="L639">
        <v>1900</v>
      </c>
      <c r="M639">
        <v>1900</v>
      </c>
      <c r="N639" t="s">
        <v>95</v>
      </c>
      <c r="O639" t="s">
        <v>115</v>
      </c>
    </row>
    <row r="640" spans="1:15" x14ac:dyDescent="0.25">
      <c r="A640">
        <v>3910</v>
      </c>
      <c r="B640" s="10">
        <v>45966</v>
      </c>
      <c r="C640">
        <v>5</v>
      </c>
      <c r="D640" t="s">
        <v>90</v>
      </c>
      <c r="E640" t="s">
        <v>106</v>
      </c>
      <c r="F640" t="s">
        <v>49</v>
      </c>
      <c r="G640" t="s">
        <v>118</v>
      </c>
      <c r="H640" t="s">
        <v>37</v>
      </c>
      <c r="I640" t="s">
        <v>143</v>
      </c>
      <c r="J640" t="s">
        <v>94</v>
      </c>
      <c r="K640">
        <v>9</v>
      </c>
      <c r="L640">
        <v>1900</v>
      </c>
      <c r="M640">
        <v>17100</v>
      </c>
      <c r="N640" t="s">
        <v>108</v>
      </c>
      <c r="O640" t="s">
        <v>104</v>
      </c>
    </row>
    <row r="641" spans="1:15" x14ac:dyDescent="0.25">
      <c r="A641">
        <v>4084</v>
      </c>
      <c r="B641" s="10">
        <v>45705</v>
      </c>
      <c r="C641">
        <v>17</v>
      </c>
      <c r="D641" t="s">
        <v>97</v>
      </c>
      <c r="E641" t="s">
        <v>116</v>
      </c>
      <c r="F641" t="s">
        <v>44</v>
      </c>
      <c r="G641" t="s">
        <v>111</v>
      </c>
      <c r="H641" t="s">
        <v>37</v>
      </c>
      <c r="I641" t="s">
        <v>38</v>
      </c>
      <c r="J641" t="s">
        <v>103</v>
      </c>
      <c r="K641">
        <v>26</v>
      </c>
      <c r="L641">
        <v>1900</v>
      </c>
      <c r="M641">
        <v>49400</v>
      </c>
      <c r="N641" t="s">
        <v>108</v>
      </c>
      <c r="O641" t="s">
        <v>115</v>
      </c>
    </row>
    <row r="642" spans="1:15" x14ac:dyDescent="0.25">
      <c r="A642">
        <v>4214</v>
      </c>
      <c r="B642" s="10">
        <v>45722</v>
      </c>
      <c r="C642">
        <v>6</v>
      </c>
      <c r="D642" t="s">
        <v>140</v>
      </c>
      <c r="E642" t="s">
        <v>128</v>
      </c>
      <c r="F642" t="s">
        <v>36</v>
      </c>
      <c r="G642" t="s">
        <v>100</v>
      </c>
      <c r="H642" t="s">
        <v>101</v>
      </c>
      <c r="I642" t="s">
        <v>127</v>
      </c>
      <c r="J642" t="s">
        <v>103</v>
      </c>
      <c r="K642">
        <v>33</v>
      </c>
      <c r="L642">
        <v>1900</v>
      </c>
      <c r="M642">
        <v>62700</v>
      </c>
      <c r="N642" t="s">
        <v>108</v>
      </c>
      <c r="O642" t="s">
        <v>104</v>
      </c>
    </row>
    <row r="643" spans="1:15" x14ac:dyDescent="0.25">
      <c r="A643">
        <v>4257</v>
      </c>
      <c r="B643" s="10">
        <v>46013</v>
      </c>
      <c r="C643">
        <v>22</v>
      </c>
      <c r="D643" t="s">
        <v>125</v>
      </c>
      <c r="E643" t="s">
        <v>106</v>
      </c>
      <c r="F643" t="s">
        <v>122</v>
      </c>
      <c r="G643" t="s">
        <v>114</v>
      </c>
      <c r="H643" t="s">
        <v>37</v>
      </c>
      <c r="I643" t="s">
        <v>143</v>
      </c>
      <c r="J643" t="s">
        <v>94</v>
      </c>
      <c r="K643">
        <v>1</v>
      </c>
      <c r="L643">
        <v>1900</v>
      </c>
      <c r="M643">
        <v>1900</v>
      </c>
      <c r="N643" t="s">
        <v>95</v>
      </c>
      <c r="O643" t="s">
        <v>104</v>
      </c>
    </row>
    <row r="644" spans="1:15" x14ac:dyDescent="0.25">
      <c r="A644">
        <v>4328</v>
      </c>
      <c r="B644" s="10">
        <v>45965</v>
      </c>
      <c r="C644">
        <v>4</v>
      </c>
      <c r="D644" t="s">
        <v>90</v>
      </c>
      <c r="E644" t="s">
        <v>112</v>
      </c>
      <c r="F644" t="s">
        <v>122</v>
      </c>
      <c r="G644" t="s">
        <v>114</v>
      </c>
      <c r="H644" t="s">
        <v>101</v>
      </c>
      <c r="I644" t="s">
        <v>152</v>
      </c>
      <c r="J644" t="s">
        <v>94</v>
      </c>
      <c r="K644">
        <v>8</v>
      </c>
      <c r="L644">
        <v>1900</v>
      </c>
      <c r="M644">
        <v>15200</v>
      </c>
      <c r="N644" t="s">
        <v>108</v>
      </c>
      <c r="O644" t="s">
        <v>96</v>
      </c>
    </row>
    <row r="645" spans="1:15" x14ac:dyDescent="0.25">
      <c r="A645">
        <v>4463</v>
      </c>
      <c r="B645" s="10">
        <v>45674</v>
      </c>
      <c r="C645">
        <v>17</v>
      </c>
      <c r="D645" t="s">
        <v>130</v>
      </c>
      <c r="E645" t="s">
        <v>121</v>
      </c>
      <c r="F645" t="s">
        <v>49</v>
      </c>
      <c r="G645" t="s">
        <v>118</v>
      </c>
      <c r="H645" t="s">
        <v>101</v>
      </c>
      <c r="I645" t="s">
        <v>152</v>
      </c>
      <c r="J645" t="s">
        <v>94</v>
      </c>
      <c r="K645">
        <v>1</v>
      </c>
      <c r="L645">
        <v>1900</v>
      </c>
      <c r="M645">
        <v>1900</v>
      </c>
      <c r="N645" t="s">
        <v>95</v>
      </c>
      <c r="O645" t="s">
        <v>104</v>
      </c>
    </row>
    <row r="646" spans="1:15" x14ac:dyDescent="0.25">
      <c r="A646">
        <v>4497</v>
      </c>
      <c r="B646" s="10">
        <v>45974</v>
      </c>
      <c r="C646">
        <v>13</v>
      </c>
      <c r="D646" t="s">
        <v>90</v>
      </c>
      <c r="E646" t="s">
        <v>98</v>
      </c>
      <c r="F646" t="s">
        <v>107</v>
      </c>
      <c r="G646" t="s">
        <v>100</v>
      </c>
      <c r="H646" t="s">
        <v>37</v>
      </c>
      <c r="I646" t="s">
        <v>143</v>
      </c>
      <c r="J646" t="s">
        <v>94</v>
      </c>
      <c r="K646">
        <v>8</v>
      </c>
      <c r="L646">
        <v>1900</v>
      </c>
      <c r="M646">
        <v>15200</v>
      </c>
      <c r="N646" t="s">
        <v>108</v>
      </c>
      <c r="O646" t="s">
        <v>104</v>
      </c>
    </row>
    <row r="647" spans="1:15" x14ac:dyDescent="0.25">
      <c r="A647">
        <v>4560</v>
      </c>
      <c r="B647" s="10">
        <v>45765</v>
      </c>
      <c r="C647">
        <v>18</v>
      </c>
      <c r="D647" t="s">
        <v>105</v>
      </c>
      <c r="E647" t="s">
        <v>150</v>
      </c>
      <c r="F647" t="s">
        <v>117</v>
      </c>
      <c r="G647" t="s">
        <v>118</v>
      </c>
      <c r="H647" t="s">
        <v>101</v>
      </c>
      <c r="I647" t="s">
        <v>152</v>
      </c>
      <c r="J647" t="s">
        <v>94</v>
      </c>
      <c r="K647">
        <v>4</v>
      </c>
      <c r="L647">
        <v>1900</v>
      </c>
      <c r="M647">
        <v>7600</v>
      </c>
      <c r="N647" t="s">
        <v>108</v>
      </c>
      <c r="O647" t="s">
        <v>104</v>
      </c>
    </row>
    <row r="648" spans="1:15" x14ac:dyDescent="0.25">
      <c r="A648">
        <v>4566</v>
      </c>
      <c r="B648" s="10">
        <v>45738</v>
      </c>
      <c r="C648">
        <v>22</v>
      </c>
      <c r="D648" t="s">
        <v>140</v>
      </c>
      <c r="E648" t="s">
        <v>112</v>
      </c>
      <c r="F648" t="s">
        <v>28</v>
      </c>
      <c r="G648" t="s">
        <v>126</v>
      </c>
      <c r="H648" t="s">
        <v>37</v>
      </c>
      <c r="I648" t="s">
        <v>143</v>
      </c>
      <c r="J648" t="s">
        <v>94</v>
      </c>
      <c r="K648">
        <v>2</v>
      </c>
      <c r="L648">
        <v>1900</v>
      </c>
      <c r="M648">
        <v>3800</v>
      </c>
      <c r="N648" t="s">
        <v>95</v>
      </c>
      <c r="O648" t="s">
        <v>96</v>
      </c>
    </row>
    <row r="649" spans="1:15" x14ac:dyDescent="0.25">
      <c r="A649">
        <v>4573</v>
      </c>
      <c r="B649" s="10">
        <v>45794</v>
      </c>
      <c r="C649">
        <v>17</v>
      </c>
      <c r="D649" t="s">
        <v>120</v>
      </c>
      <c r="E649" t="s">
        <v>128</v>
      </c>
      <c r="F649" t="s">
        <v>113</v>
      </c>
      <c r="G649" t="s">
        <v>114</v>
      </c>
      <c r="H649" t="s">
        <v>101</v>
      </c>
      <c r="I649" t="s">
        <v>152</v>
      </c>
      <c r="J649" t="s">
        <v>94</v>
      </c>
      <c r="K649">
        <v>6</v>
      </c>
      <c r="L649">
        <v>1900</v>
      </c>
      <c r="M649">
        <v>11400</v>
      </c>
      <c r="N649" t="s">
        <v>108</v>
      </c>
      <c r="O649" t="s">
        <v>96</v>
      </c>
    </row>
    <row r="650" spans="1:15" x14ac:dyDescent="0.25">
      <c r="A650">
        <v>4703</v>
      </c>
      <c r="B650" s="10">
        <v>46008</v>
      </c>
      <c r="C650">
        <v>17</v>
      </c>
      <c r="D650" t="s">
        <v>125</v>
      </c>
      <c r="E650" t="s">
        <v>128</v>
      </c>
      <c r="F650" t="s">
        <v>134</v>
      </c>
      <c r="G650" t="s">
        <v>100</v>
      </c>
      <c r="H650" t="s">
        <v>101</v>
      </c>
      <c r="I650" t="s">
        <v>152</v>
      </c>
      <c r="J650" t="s">
        <v>94</v>
      </c>
      <c r="K650">
        <v>7</v>
      </c>
      <c r="L650">
        <v>1900</v>
      </c>
      <c r="M650">
        <v>13300</v>
      </c>
      <c r="N650" t="s">
        <v>95</v>
      </c>
      <c r="O650" t="s">
        <v>115</v>
      </c>
    </row>
    <row r="651" spans="1:15" x14ac:dyDescent="0.25">
      <c r="A651">
        <v>4800</v>
      </c>
      <c r="B651" s="10">
        <v>46002</v>
      </c>
      <c r="C651">
        <v>11</v>
      </c>
      <c r="D651" t="s">
        <v>125</v>
      </c>
      <c r="E651" t="s">
        <v>121</v>
      </c>
      <c r="F651" t="s">
        <v>117</v>
      </c>
      <c r="G651" t="s">
        <v>118</v>
      </c>
      <c r="H651" t="s">
        <v>101</v>
      </c>
      <c r="I651" t="s">
        <v>152</v>
      </c>
      <c r="J651" t="s">
        <v>94</v>
      </c>
      <c r="K651">
        <v>5</v>
      </c>
      <c r="L651">
        <v>1900</v>
      </c>
      <c r="M651">
        <v>9500</v>
      </c>
      <c r="N651" t="s">
        <v>108</v>
      </c>
      <c r="O651" t="s">
        <v>104</v>
      </c>
    </row>
    <row r="652" spans="1:15" x14ac:dyDescent="0.25">
      <c r="A652">
        <v>4807</v>
      </c>
      <c r="B652" s="10">
        <v>45924</v>
      </c>
      <c r="C652">
        <v>24</v>
      </c>
      <c r="D652" t="s">
        <v>147</v>
      </c>
      <c r="E652" t="s">
        <v>110</v>
      </c>
      <c r="F652" t="s">
        <v>148</v>
      </c>
      <c r="G652" t="s">
        <v>118</v>
      </c>
      <c r="H652" t="s">
        <v>37</v>
      </c>
      <c r="I652" t="s">
        <v>143</v>
      </c>
      <c r="J652" t="s">
        <v>94</v>
      </c>
      <c r="K652">
        <v>2</v>
      </c>
      <c r="L652">
        <v>1900</v>
      </c>
      <c r="M652">
        <v>3800</v>
      </c>
      <c r="N652" t="s">
        <v>95</v>
      </c>
      <c r="O652" t="s">
        <v>96</v>
      </c>
    </row>
    <row r="653" spans="1:15" x14ac:dyDescent="0.25">
      <c r="A653">
        <v>4879</v>
      </c>
      <c r="B653" s="10">
        <v>45882</v>
      </c>
      <c r="C653">
        <v>13</v>
      </c>
      <c r="D653" t="s">
        <v>109</v>
      </c>
      <c r="E653" t="s">
        <v>112</v>
      </c>
      <c r="F653" t="s">
        <v>117</v>
      </c>
      <c r="G653" t="s">
        <v>118</v>
      </c>
      <c r="H653" t="s">
        <v>37</v>
      </c>
      <c r="I653" t="s">
        <v>143</v>
      </c>
      <c r="J653" t="s">
        <v>94</v>
      </c>
      <c r="K653">
        <v>7</v>
      </c>
      <c r="L653">
        <v>1900</v>
      </c>
      <c r="M653">
        <v>13300</v>
      </c>
      <c r="N653" t="s">
        <v>95</v>
      </c>
      <c r="O653" t="s">
        <v>96</v>
      </c>
    </row>
    <row r="654" spans="1:15" x14ac:dyDescent="0.25">
      <c r="A654">
        <v>27</v>
      </c>
      <c r="B654" s="10">
        <v>46000</v>
      </c>
      <c r="C654">
        <v>9</v>
      </c>
      <c r="D654" t="s">
        <v>125</v>
      </c>
      <c r="E654" t="s">
        <v>133</v>
      </c>
      <c r="F654" t="s">
        <v>49</v>
      </c>
      <c r="G654" t="s">
        <v>118</v>
      </c>
      <c r="H654" t="s">
        <v>101</v>
      </c>
      <c r="I654" t="s">
        <v>127</v>
      </c>
      <c r="J654" t="s">
        <v>103</v>
      </c>
      <c r="K654">
        <v>20</v>
      </c>
      <c r="L654">
        <v>2000</v>
      </c>
      <c r="M654">
        <v>40000</v>
      </c>
      <c r="N654" t="s">
        <v>108</v>
      </c>
      <c r="O654" t="s">
        <v>115</v>
      </c>
    </row>
    <row r="655" spans="1:15" x14ac:dyDescent="0.25">
      <c r="A655">
        <v>147</v>
      </c>
      <c r="B655" s="10">
        <v>45885</v>
      </c>
      <c r="C655">
        <v>16</v>
      </c>
      <c r="D655" t="s">
        <v>109</v>
      </c>
      <c r="E655" t="s">
        <v>133</v>
      </c>
      <c r="F655" t="s">
        <v>49</v>
      </c>
      <c r="G655" t="s">
        <v>118</v>
      </c>
      <c r="H655" t="s">
        <v>37</v>
      </c>
      <c r="I655" t="s">
        <v>38</v>
      </c>
      <c r="J655" t="s">
        <v>103</v>
      </c>
      <c r="K655">
        <v>39</v>
      </c>
      <c r="L655">
        <v>2000</v>
      </c>
      <c r="M655">
        <v>78000</v>
      </c>
      <c r="N655" t="s">
        <v>108</v>
      </c>
      <c r="O655" t="s">
        <v>104</v>
      </c>
    </row>
    <row r="656" spans="1:15" x14ac:dyDescent="0.25">
      <c r="A656">
        <v>224</v>
      </c>
      <c r="B656" s="10">
        <v>45854</v>
      </c>
      <c r="C656">
        <v>16</v>
      </c>
      <c r="D656" t="s">
        <v>145</v>
      </c>
      <c r="E656" t="s">
        <v>110</v>
      </c>
      <c r="F656" t="s">
        <v>22</v>
      </c>
      <c r="G656" t="s">
        <v>91</v>
      </c>
      <c r="H656" t="s">
        <v>101</v>
      </c>
      <c r="I656" t="s">
        <v>127</v>
      </c>
      <c r="J656" t="s">
        <v>103</v>
      </c>
      <c r="K656">
        <v>28</v>
      </c>
      <c r="L656">
        <v>2000</v>
      </c>
      <c r="M656">
        <v>56000</v>
      </c>
      <c r="N656" t="s">
        <v>108</v>
      </c>
      <c r="O656" t="s">
        <v>115</v>
      </c>
    </row>
    <row r="657" spans="1:15" x14ac:dyDescent="0.25">
      <c r="A657">
        <v>407</v>
      </c>
      <c r="B657" s="10">
        <v>45670</v>
      </c>
      <c r="C657">
        <v>13</v>
      </c>
      <c r="D657" t="s">
        <v>130</v>
      </c>
      <c r="E657" t="s">
        <v>106</v>
      </c>
      <c r="F657" t="s">
        <v>107</v>
      </c>
      <c r="G657" t="s">
        <v>100</v>
      </c>
      <c r="H657" t="s">
        <v>37</v>
      </c>
      <c r="I657" t="s">
        <v>38</v>
      </c>
      <c r="J657" t="s">
        <v>103</v>
      </c>
      <c r="K657">
        <v>5</v>
      </c>
      <c r="L657">
        <v>2000</v>
      </c>
      <c r="M657">
        <v>10000</v>
      </c>
      <c r="N657" t="s">
        <v>108</v>
      </c>
      <c r="O657" t="s">
        <v>96</v>
      </c>
    </row>
    <row r="658" spans="1:15" x14ac:dyDescent="0.25">
      <c r="A658">
        <v>450</v>
      </c>
      <c r="B658" s="10">
        <v>45763</v>
      </c>
      <c r="C658">
        <v>16</v>
      </c>
      <c r="D658" t="s">
        <v>105</v>
      </c>
      <c r="E658" t="s">
        <v>138</v>
      </c>
      <c r="F658" t="s">
        <v>122</v>
      </c>
      <c r="G658" t="s">
        <v>114</v>
      </c>
      <c r="H658" t="s">
        <v>37</v>
      </c>
      <c r="I658" t="s">
        <v>38</v>
      </c>
      <c r="J658" t="s">
        <v>103</v>
      </c>
      <c r="K658">
        <v>12</v>
      </c>
      <c r="L658">
        <v>2000</v>
      </c>
      <c r="M658">
        <v>24000</v>
      </c>
      <c r="N658" t="s">
        <v>108</v>
      </c>
      <c r="O658" t="s">
        <v>115</v>
      </c>
    </row>
    <row r="659" spans="1:15" x14ac:dyDescent="0.25">
      <c r="A659">
        <v>608</v>
      </c>
      <c r="B659" s="10">
        <v>45695</v>
      </c>
      <c r="C659">
        <v>7</v>
      </c>
      <c r="D659" t="s">
        <v>97</v>
      </c>
      <c r="E659" t="s">
        <v>137</v>
      </c>
      <c r="F659" t="s">
        <v>44</v>
      </c>
      <c r="G659" t="s">
        <v>111</v>
      </c>
      <c r="H659" t="s">
        <v>37</v>
      </c>
      <c r="I659" t="s">
        <v>38</v>
      </c>
      <c r="J659" t="s">
        <v>103</v>
      </c>
      <c r="K659">
        <v>39</v>
      </c>
      <c r="L659">
        <v>2000</v>
      </c>
      <c r="M659">
        <v>78000</v>
      </c>
      <c r="N659" t="s">
        <v>108</v>
      </c>
      <c r="O659" t="s">
        <v>96</v>
      </c>
    </row>
    <row r="660" spans="1:15" x14ac:dyDescent="0.25">
      <c r="A660">
        <v>687</v>
      </c>
      <c r="B660" s="10">
        <v>45981</v>
      </c>
      <c r="C660">
        <v>20</v>
      </c>
      <c r="D660" t="s">
        <v>90</v>
      </c>
      <c r="E660" t="s">
        <v>142</v>
      </c>
      <c r="F660" t="s">
        <v>22</v>
      </c>
      <c r="G660" t="s">
        <v>91</v>
      </c>
      <c r="H660" t="s">
        <v>37</v>
      </c>
      <c r="I660" t="s">
        <v>143</v>
      </c>
      <c r="J660" t="s">
        <v>94</v>
      </c>
      <c r="K660">
        <v>6</v>
      </c>
      <c r="L660">
        <v>2000</v>
      </c>
      <c r="M660">
        <v>12000</v>
      </c>
      <c r="N660" t="s">
        <v>95</v>
      </c>
      <c r="O660" t="s">
        <v>115</v>
      </c>
    </row>
    <row r="661" spans="1:15" x14ac:dyDescent="0.25">
      <c r="A661">
        <v>707</v>
      </c>
      <c r="B661" s="10">
        <v>45853</v>
      </c>
      <c r="C661">
        <v>15</v>
      </c>
      <c r="D661" t="s">
        <v>145</v>
      </c>
      <c r="E661" t="s">
        <v>137</v>
      </c>
      <c r="F661" t="s">
        <v>122</v>
      </c>
      <c r="G661" t="s">
        <v>114</v>
      </c>
      <c r="H661" t="s">
        <v>101</v>
      </c>
      <c r="I661" t="s">
        <v>127</v>
      </c>
      <c r="J661" t="s">
        <v>103</v>
      </c>
      <c r="K661">
        <v>20</v>
      </c>
      <c r="L661">
        <v>2000</v>
      </c>
      <c r="M661">
        <v>40000</v>
      </c>
      <c r="N661" t="s">
        <v>95</v>
      </c>
      <c r="O661" t="s">
        <v>115</v>
      </c>
    </row>
    <row r="662" spans="1:15" x14ac:dyDescent="0.25">
      <c r="A662">
        <v>834</v>
      </c>
      <c r="B662" s="10">
        <v>45970</v>
      </c>
      <c r="C662">
        <v>9</v>
      </c>
      <c r="D662" t="s">
        <v>90</v>
      </c>
      <c r="E662" t="s">
        <v>161</v>
      </c>
      <c r="F662" t="s">
        <v>22</v>
      </c>
      <c r="G662" t="s">
        <v>91</v>
      </c>
      <c r="H662" t="s">
        <v>101</v>
      </c>
      <c r="I662" t="s">
        <v>127</v>
      </c>
      <c r="J662" t="s">
        <v>103</v>
      </c>
      <c r="K662">
        <v>44</v>
      </c>
      <c r="L662">
        <v>2000</v>
      </c>
      <c r="M662">
        <v>88000</v>
      </c>
      <c r="N662" t="s">
        <v>95</v>
      </c>
      <c r="O662" t="s">
        <v>96</v>
      </c>
    </row>
    <row r="663" spans="1:15" x14ac:dyDescent="0.25">
      <c r="A663">
        <v>857</v>
      </c>
      <c r="B663" s="10">
        <v>45699</v>
      </c>
      <c r="C663">
        <v>11</v>
      </c>
      <c r="D663" t="s">
        <v>97</v>
      </c>
      <c r="E663" t="s">
        <v>110</v>
      </c>
      <c r="F663" t="s">
        <v>144</v>
      </c>
      <c r="G663" t="s">
        <v>91</v>
      </c>
      <c r="H663" t="s">
        <v>37</v>
      </c>
      <c r="I663" t="s">
        <v>38</v>
      </c>
      <c r="J663" t="s">
        <v>103</v>
      </c>
      <c r="K663">
        <v>8</v>
      </c>
      <c r="L663">
        <v>2000</v>
      </c>
      <c r="M663">
        <v>16000</v>
      </c>
      <c r="N663" t="s">
        <v>95</v>
      </c>
      <c r="O663" t="s">
        <v>115</v>
      </c>
    </row>
    <row r="664" spans="1:15" x14ac:dyDescent="0.25">
      <c r="A664">
        <v>923</v>
      </c>
      <c r="B664" s="10">
        <v>45916</v>
      </c>
      <c r="C664">
        <v>16</v>
      </c>
      <c r="D664" t="s">
        <v>147</v>
      </c>
      <c r="E664" t="s">
        <v>116</v>
      </c>
      <c r="F664" t="s">
        <v>107</v>
      </c>
      <c r="G664" t="s">
        <v>100</v>
      </c>
      <c r="H664" t="s">
        <v>37</v>
      </c>
      <c r="I664" t="s">
        <v>143</v>
      </c>
      <c r="J664" t="s">
        <v>94</v>
      </c>
      <c r="K664">
        <v>1</v>
      </c>
      <c r="L664">
        <v>2000</v>
      </c>
      <c r="M664">
        <v>2000</v>
      </c>
      <c r="N664" t="s">
        <v>108</v>
      </c>
      <c r="O664" t="s">
        <v>104</v>
      </c>
    </row>
    <row r="665" spans="1:15" x14ac:dyDescent="0.25">
      <c r="A665">
        <v>970</v>
      </c>
      <c r="B665" s="10">
        <v>45878</v>
      </c>
      <c r="C665">
        <v>9</v>
      </c>
      <c r="D665" t="s">
        <v>109</v>
      </c>
      <c r="E665" t="s">
        <v>121</v>
      </c>
      <c r="F665" t="s">
        <v>49</v>
      </c>
      <c r="G665" t="s">
        <v>118</v>
      </c>
      <c r="H665" t="s">
        <v>101</v>
      </c>
      <c r="I665" t="s">
        <v>127</v>
      </c>
      <c r="J665" t="s">
        <v>103</v>
      </c>
      <c r="K665">
        <v>48</v>
      </c>
      <c r="L665">
        <v>2000</v>
      </c>
      <c r="M665">
        <v>96000</v>
      </c>
      <c r="N665" t="s">
        <v>95</v>
      </c>
      <c r="O665" t="s">
        <v>115</v>
      </c>
    </row>
    <row r="666" spans="1:15" x14ac:dyDescent="0.25">
      <c r="A666">
        <v>995</v>
      </c>
      <c r="B666" s="10">
        <v>45874</v>
      </c>
      <c r="C666">
        <v>5</v>
      </c>
      <c r="D666" t="s">
        <v>109</v>
      </c>
      <c r="E666" t="s">
        <v>112</v>
      </c>
      <c r="F666" t="s">
        <v>113</v>
      </c>
      <c r="G666" t="s">
        <v>114</v>
      </c>
      <c r="H666" t="s">
        <v>101</v>
      </c>
      <c r="I666" t="s">
        <v>127</v>
      </c>
      <c r="J666" t="s">
        <v>103</v>
      </c>
      <c r="K666">
        <v>45</v>
      </c>
      <c r="L666">
        <v>2000</v>
      </c>
      <c r="M666">
        <v>90000</v>
      </c>
      <c r="N666" t="s">
        <v>108</v>
      </c>
      <c r="O666" t="s">
        <v>104</v>
      </c>
    </row>
    <row r="667" spans="1:15" x14ac:dyDescent="0.25">
      <c r="A667">
        <v>1025</v>
      </c>
      <c r="B667" s="10">
        <v>45807</v>
      </c>
      <c r="C667">
        <v>30</v>
      </c>
      <c r="D667" t="s">
        <v>120</v>
      </c>
      <c r="E667" t="s">
        <v>161</v>
      </c>
      <c r="F667" t="s">
        <v>151</v>
      </c>
      <c r="G667" t="s">
        <v>111</v>
      </c>
      <c r="H667" t="s">
        <v>101</v>
      </c>
      <c r="I667" t="s">
        <v>152</v>
      </c>
      <c r="J667" t="s">
        <v>94</v>
      </c>
      <c r="K667">
        <v>3</v>
      </c>
      <c r="L667">
        <v>2000</v>
      </c>
      <c r="M667">
        <v>6000</v>
      </c>
      <c r="N667" t="s">
        <v>108</v>
      </c>
      <c r="O667" t="s">
        <v>115</v>
      </c>
    </row>
    <row r="668" spans="1:15" x14ac:dyDescent="0.25">
      <c r="A668">
        <v>1054</v>
      </c>
      <c r="B668" s="10">
        <v>45777</v>
      </c>
      <c r="C668">
        <v>30</v>
      </c>
      <c r="D668" t="s">
        <v>105</v>
      </c>
      <c r="E668" t="s">
        <v>128</v>
      </c>
      <c r="F668" t="s">
        <v>134</v>
      </c>
      <c r="G668" t="s">
        <v>100</v>
      </c>
      <c r="H668" t="s">
        <v>37</v>
      </c>
      <c r="I668" t="s">
        <v>143</v>
      </c>
      <c r="J668" t="s">
        <v>94</v>
      </c>
      <c r="K668">
        <v>8</v>
      </c>
      <c r="L668">
        <v>2000</v>
      </c>
      <c r="M668">
        <v>16000</v>
      </c>
      <c r="N668" t="s">
        <v>108</v>
      </c>
      <c r="O668" t="s">
        <v>96</v>
      </c>
    </row>
    <row r="669" spans="1:15" x14ac:dyDescent="0.25">
      <c r="A669">
        <v>1092</v>
      </c>
      <c r="B669" s="10">
        <v>45832</v>
      </c>
      <c r="C669">
        <v>24</v>
      </c>
      <c r="D669" t="s">
        <v>153</v>
      </c>
      <c r="E669" t="s">
        <v>121</v>
      </c>
      <c r="F669" t="s">
        <v>22</v>
      </c>
      <c r="G669" t="s">
        <v>91</v>
      </c>
      <c r="H669" t="s">
        <v>37</v>
      </c>
      <c r="I669" t="s">
        <v>143</v>
      </c>
      <c r="J669" t="s">
        <v>94</v>
      </c>
      <c r="K669">
        <v>2</v>
      </c>
      <c r="L669">
        <v>2000</v>
      </c>
      <c r="M669">
        <v>4000</v>
      </c>
      <c r="N669" t="s">
        <v>108</v>
      </c>
      <c r="O669" t="s">
        <v>104</v>
      </c>
    </row>
    <row r="670" spans="1:15" x14ac:dyDescent="0.25">
      <c r="A670">
        <v>1163</v>
      </c>
      <c r="B670" s="10">
        <v>45665</v>
      </c>
      <c r="C670">
        <v>8</v>
      </c>
      <c r="D670" t="s">
        <v>130</v>
      </c>
      <c r="E670" t="s">
        <v>142</v>
      </c>
      <c r="F670" t="s">
        <v>122</v>
      </c>
      <c r="G670" t="s">
        <v>114</v>
      </c>
      <c r="H670" t="s">
        <v>37</v>
      </c>
      <c r="I670" t="s">
        <v>38</v>
      </c>
      <c r="J670" t="s">
        <v>103</v>
      </c>
      <c r="K670">
        <v>18</v>
      </c>
      <c r="L670">
        <v>2000</v>
      </c>
      <c r="M670">
        <v>36000</v>
      </c>
      <c r="N670" t="s">
        <v>108</v>
      </c>
      <c r="O670" t="s">
        <v>104</v>
      </c>
    </row>
    <row r="671" spans="1:15" x14ac:dyDescent="0.25">
      <c r="A671">
        <v>1215</v>
      </c>
      <c r="B671" s="10">
        <v>45702</v>
      </c>
      <c r="C671">
        <v>14</v>
      </c>
      <c r="D671" t="s">
        <v>97</v>
      </c>
      <c r="E671" t="s">
        <v>31</v>
      </c>
      <c r="F671" t="s">
        <v>28</v>
      </c>
      <c r="G671" t="s">
        <v>126</v>
      </c>
      <c r="H671" t="s">
        <v>37</v>
      </c>
      <c r="I671" t="s">
        <v>143</v>
      </c>
      <c r="J671" t="s">
        <v>94</v>
      </c>
      <c r="K671">
        <v>2</v>
      </c>
      <c r="L671">
        <v>2000</v>
      </c>
      <c r="M671">
        <v>4000</v>
      </c>
      <c r="N671" t="s">
        <v>108</v>
      </c>
      <c r="O671" t="s">
        <v>104</v>
      </c>
    </row>
    <row r="672" spans="1:15" x14ac:dyDescent="0.25">
      <c r="A672">
        <v>1241</v>
      </c>
      <c r="B672" s="10">
        <v>45818</v>
      </c>
      <c r="C672">
        <v>10</v>
      </c>
      <c r="D672" t="s">
        <v>153</v>
      </c>
      <c r="E672" t="s">
        <v>137</v>
      </c>
      <c r="F672" t="s">
        <v>144</v>
      </c>
      <c r="G672" t="s">
        <v>91</v>
      </c>
      <c r="H672" t="s">
        <v>37</v>
      </c>
      <c r="I672" t="s">
        <v>143</v>
      </c>
      <c r="J672" t="s">
        <v>94</v>
      </c>
      <c r="K672">
        <v>2</v>
      </c>
      <c r="L672">
        <v>2000</v>
      </c>
      <c r="M672">
        <v>4000</v>
      </c>
      <c r="N672" t="s">
        <v>95</v>
      </c>
      <c r="O672" t="s">
        <v>104</v>
      </c>
    </row>
    <row r="673" spans="1:15" x14ac:dyDescent="0.25">
      <c r="A673">
        <v>1423</v>
      </c>
      <c r="B673" s="10">
        <v>45809</v>
      </c>
      <c r="C673">
        <v>1</v>
      </c>
      <c r="D673" t="s">
        <v>153</v>
      </c>
      <c r="E673" t="s">
        <v>161</v>
      </c>
      <c r="F673" t="s">
        <v>28</v>
      </c>
      <c r="G673" t="s">
        <v>126</v>
      </c>
      <c r="H673" t="s">
        <v>37</v>
      </c>
      <c r="I673" t="s">
        <v>143</v>
      </c>
      <c r="J673" t="s">
        <v>94</v>
      </c>
      <c r="K673">
        <v>4</v>
      </c>
      <c r="L673">
        <v>2000</v>
      </c>
      <c r="M673">
        <v>8000</v>
      </c>
      <c r="N673" t="s">
        <v>95</v>
      </c>
      <c r="O673" t="s">
        <v>104</v>
      </c>
    </row>
    <row r="674" spans="1:15" x14ac:dyDescent="0.25">
      <c r="A674">
        <v>1467</v>
      </c>
      <c r="B674" s="10">
        <v>45762</v>
      </c>
      <c r="C674">
        <v>15</v>
      </c>
      <c r="D674" t="s">
        <v>105</v>
      </c>
      <c r="E674" t="s">
        <v>137</v>
      </c>
      <c r="F674" t="s">
        <v>36</v>
      </c>
      <c r="G674" t="s">
        <v>100</v>
      </c>
      <c r="H674" t="s">
        <v>101</v>
      </c>
      <c r="I674" t="s">
        <v>152</v>
      </c>
      <c r="J674" t="s">
        <v>94</v>
      </c>
      <c r="K674">
        <v>4</v>
      </c>
      <c r="L674">
        <v>2000</v>
      </c>
      <c r="M674">
        <v>8000</v>
      </c>
      <c r="N674" t="s">
        <v>95</v>
      </c>
      <c r="O674" t="s">
        <v>115</v>
      </c>
    </row>
    <row r="675" spans="1:15" x14ac:dyDescent="0.25">
      <c r="A675">
        <v>1607</v>
      </c>
      <c r="B675" s="10">
        <v>45768</v>
      </c>
      <c r="C675">
        <v>21</v>
      </c>
      <c r="D675" t="s">
        <v>105</v>
      </c>
      <c r="E675" t="s">
        <v>116</v>
      </c>
      <c r="F675" t="s">
        <v>36</v>
      </c>
      <c r="G675" t="s">
        <v>100</v>
      </c>
      <c r="H675" t="s">
        <v>37</v>
      </c>
      <c r="I675" t="s">
        <v>143</v>
      </c>
      <c r="J675" t="s">
        <v>94</v>
      </c>
      <c r="K675">
        <v>3</v>
      </c>
      <c r="L675">
        <v>2000</v>
      </c>
      <c r="M675">
        <v>6000</v>
      </c>
      <c r="N675" t="s">
        <v>108</v>
      </c>
      <c r="O675" t="s">
        <v>115</v>
      </c>
    </row>
    <row r="676" spans="1:15" x14ac:dyDescent="0.25">
      <c r="A676">
        <v>1659</v>
      </c>
      <c r="B676" s="10">
        <v>45685</v>
      </c>
      <c r="C676">
        <v>28</v>
      </c>
      <c r="D676" t="s">
        <v>130</v>
      </c>
      <c r="E676" t="s">
        <v>116</v>
      </c>
      <c r="F676" t="s">
        <v>134</v>
      </c>
      <c r="G676" t="s">
        <v>100</v>
      </c>
      <c r="H676" t="s">
        <v>37</v>
      </c>
      <c r="I676" t="s">
        <v>38</v>
      </c>
      <c r="J676" t="s">
        <v>103</v>
      </c>
      <c r="K676">
        <v>37</v>
      </c>
      <c r="L676">
        <v>2000</v>
      </c>
      <c r="M676">
        <v>74000</v>
      </c>
      <c r="N676" t="s">
        <v>108</v>
      </c>
      <c r="O676" t="s">
        <v>115</v>
      </c>
    </row>
    <row r="677" spans="1:15" x14ac:dyDescent="0.25">
      <c r="A677">
        <v>1685</v>
      </c>
      <c r="B677" s="10">
        <v>45964</v>
      </c>
      <c r="C677">
        <v>3</v>
      </c>
      <c r="D677" t="s">
        <v>90</v>
      </c>
      <c r="E677" t="s">
        <v>116</v>
      </c>
      <c r="F677" t="s">
        <v>113</v>
      </c>
      <c r="G677" t="s">
        <v>114</v>
      </c>
      <c r="H677" t="s">
        <v>37</v>
      </c>
      <c r="I677" t="s">
        <v>38</v>
      </c>
      <c r="J677" t="s">
        <v>103</v>
      </c>
      <c r="K677">
        <v>37</v>
      </c>
      <c r="L677">
        <v>2000</v>
      </c>
      <c r="M677">
        <v>74000</v>
      </c>
      <c r="N677" t="s">
        <v>108</v>
      </c>
      <c r="O677" t="s">
        <v>104</v>
      </c>
    </row>
    <row r="678" spans="1:15" x14ac:dyDescent="0.25">
      <c r="A678">
        <v>1812</v>
      </c>
      <c r="B678" s="10">
        <v>46016</v>
      </c>
      <c r="C678">
        <v>25</v>
      </c>
      <c r="D678" t="s">
        <v>125</v>
      </c>
      <c r="E678" t="s">
        <v>98</v>
      </c>
      <c r="F678" t="s">
        <v>107</v>
      </c>
      <c r="G678" t="s">
        <v>100</v>
      </c>
      <c r="H678" t="s">
        <v>37</v>
      </c>
      <c r="I678" t="s">
        <v>143</v>
      </c>
      <c r="J678" t="s">
        <v>94</v>
      </c>
      <c r="K678">
        <v>7</v>
      </c>
      <c r="L678">
        <v>2000</v>
      </c>
      <c r="M678">
        <v>14000</v>
      </c>
      <c r="N678" t="s">
        <v>95</v>
      </c>
      <c r="O678" t="s">
        <v>104</v>
      </c>
    </row>
    <row r="679" spans="1:15" x14ac:dyDescent="0.25">
      <c r="A679">
        <v>1974</v>
      </c>
      <c r="B679" s="10">
        <v>45741</v>
      </c>
      <c r="C679">
        <v>25</v>
      </c>
      <c r="D679" t="s">
        <v>140</v>
      </c>
      <c r="E679" t="s">
        <v>150</v>
      </c>
      <c r="F679" t="s">
        <v>122</v>
      </c>
      <c r="G679" t="s">
        <v>114</v>
      </c>
      <c r="H679" t="s">
        <v>37</v>
      </c>
      <c r="I679" t="s">
        <v>143</v>
      </c>
      <c r="J679" t="s">
        <v>94</v>
      </c>
      <c r="K679">
        <v>6</v>
      </c>
      <c r="L679">
        <v>2000</v>
      </c>
      <c r="M679">
        <v>12000</v>
      </c>
      <c r="N679" t="s">
        <v>108</v>
      </c>
      <c r="O679" t="s">
        <v>115</v>
      </c>
    </row>
    <row r="680" spans="1:15" x14ac:dyDescent="0.25">
      <c r="A680">
        <v>2114</v>
      </c>
      <c r="B680" s="10">
        <v>45997</v>
      </c>
      <c r="C680">
        <v>6</v>
      </c>
      <c r="D680" t="s">
        <v>125</v>
      </c>
      <c r="E680" t="s">
        <v>25</v>
      </c>
      <c r="F680" t="s">
        <v>151</v>
      </c>
      <c r="G680" t="s">
        <v>111</v>
      </c>
      <c r="H680" t="s">
        <v>101</v>
      </c>
      <c r="I680" t="s">
        <v>127</v>
      </c>
      <c r="J680" t="s">
        <v>103</v>
      </c>
      <c r="K680">
        <v>12</v>
      </c>
      <c r="L680">
        <v>2000</v>
      </c>
      <c r="M680">
        <v>24000</v>
      </c>
      <c r="N680" t="s">
        <v>95</v>
      </c>
      <c r="O680" t="s">
        <v>115</v>
      </c>
    </row>
    <row r="681" spans="1:15" x14ac:dyDescent="0.25">
      <c r="A681">
        <v>2195</v>
      </c>
      <c r="B681" s="10">
        <v>45697</v>
      </c>
      <c r="C681">
        <v>9</v>
      </c>
      <c r="D681" t="s">
        <v>97</v>
      </c>
      <c r="E681" t="s">
        <v>138</v>
      </c>
      <c r="F681" t="s">
        <v>36</v>
      </c>
      <c r="G681" t="s">
        <v>100</v>
      </c>
      <c r="H681" t="s">
        <v>37</v>
      </c>
      <c r="I681" t="s">
        <v>143</v>
      </c>
      <c r="J681" t="s">
        <v>94</v>
      </c>
      <c r="K681">
        <v>6</v>
      </c>
      <c r="L681">
        <v>2000</v>
      </c>
      <c r="M681">
        <v>12000</v>
      </c>
      <c r="N681" t="s">
        <v>108</v>
      </c>
      <c r="O681" t="s">
        <v>115</v>
      </c>
    </row>
    <row r="682" spans="1:15" x14ac:dyDescent="0.25">
      <c r="A682">
        <v>2198</v>
      </c>
      <c r="B682" s="10">
        <v>45843</v>
      </c>
      <c r="C682">
        <v>5</v>
      </c>
      <c r="D682" t="s">
        <v>145</v>
      </c>
      <c r="E682" t="s">
        <v>161</v>
      </c>
      <c r="F682" t="s">
        <v>107</v>
      </c>
      <c r="G682" t="s">
        <v>100</v>
      </c>
      <c r="H682" t="s">
        <v>37</v>
      </c>
      <c r="I682" t="s">
        <v>143</v>
      </c>
      <c r="J682" t="s">
        <v>94</v>
      </c>
      <c r="K682">
        <v>7</v>
      </c>
      <c r="L682">
        <v>2000</v>
      </c>
      <c r="M682">
        <v>14000</v>
      </c>
      <c r="N682" t="s">
        <v>108</v>
      </c>
      <c r="O682" t="s">
        <v>96</v>
      </c>
    </row>
    <row r="683" spans="1:15" x14ac:dyDescent="0.25">
      <c r="A683">
        <v>2300</v>
      </c>
      <c r="B683" s="10">
        <v>45978</v>
      </c>
      <c r="C683">
        <v>17</v>
      </c>
      <c r="D683" t="s">
        <v>90</v>
      </c>
      <c r="E683" t="s">
        <v>112</v>
      </c>
      <c r="F683" t="s">
        <v>49</v>
      </c>
      <c r="G683" t="s">
        <v>118</v>
      </c>
      <c r="H683" t="s">
        <v>37</v>
      </c>
      <c r="I683" t="s">
        <v>38</v>
      </c>
      <c r="J683" t="s">
        <v>103</v>
      </c>
      <c r="K683">
        <v>6</v>
      </c>
      <c r="L683">
        <v>2000</v>
      </c>
      <c r="M683">
        <v>12000</v>
      </c>
      <c r="N683" t="s">
        <v>108</v>
      </c>
      <c r="O683" t="s">
        <v>115</v>
      </c>
    </row>
    <row r="684" spans="1:15" x14ac:dyDescent="0.25">
      <c r="A684">
        <v>2311</v>
      </c>
      <c r="B684" s="10">
        <v>45772</v>
      </c>
      <c r="C684">
        <v>25</v>
      </c>
      <c r="D684" t="s">
        <v>105</v>
      </c>
      <c r="E684" t="s">
        <v>25</v>
      </c>
      <c r="F684" t="s">
        <v>49</v>
      </c>
      <c r="G684" t="s">
        <v>118</v>
      </c>
      <c r="H684" t="s">
        <v>37</v>
      </c>
      <c r="I684" t="s">
        <v>143</v>
      </c>
      <c r="J684" t="s">
        <v>94</v>
      </c>
      <c r="K684">
        <v>9</v>
      </c>
      <c r="L684">
        <v>2000</v>
      </c>
      <c r="M684">
        <v>18000</v>
      </c>
      <c r="N684" t="s">
        <v>95</v>
      </c>
      <c r="O684" t="s">
        <v>104</v>
      </c>
    </row>
    <row r="685" spans="1:15" x14ac:dyDescent="0.25">
      <c r="A685">
        <v>2369</v>
      </c>
      <c r="B685" s="10">
        <v>45926</v>
      </c>
      <c r="C685">
        <v>26</v>
      </c>
      <c r="D685" t="s">
        <v>147</v>
      </c>
      <c r="E685" t="s">
        <v>138</v>
      </c>
      <c r="F685" t="s">
        <v>144</v>
      </c>
      <c r="G685" t="s">
        <v>91</v>
      </c>
      <c r="H685" t="s">
        <v>37</v>
      </c>
      <c r="I685" t="s">
        <v>38</v>
      </c>
      <c r="J685" t="s">
        <v>103</v>
      </c>
      <c r="K685">
        <v>13</v>
      </c>
      <c r="L685">
        <v>2000</v>
      </c>
      <c r="M685">
        <v>26000</v>
      </c>
      <c r="N685" t="s">
        <v>95</v>
      </c>
      <c r="O685" t="s">
        <v>96</v>
      </c>
    </row>
    <row r="686" spans="1:15" x14ac:dyDescent="0.25">
      <c r="A686">
        <v>2737</v>
      </c>
      <c r="B686" s="10">
        <v>45697</v>
      </c>
      <c r="C686">
        <v>9</v>
      </c>
      <c r="D686" t="s">
        <v>97</v>
      </c>
      <c r="E686" t="s">
        <v>150</v>
      </c>
      <c r="F686" t="s">
        <v>99</v>
      </c>
      <c r="G686" t="s">
        <v>100</v>
      </c>
      <c r="H686" t="s">
        <v>37</v>
      </c>
      <c r="I686" t="s">
        <v>143</v>
      </c>
      <c r="J686" t="s">
        <v>94</v>
      </c>
      <c r="K686">
        <v>6</v>
      </c>
      <c r="L686">
        <v>2000</v>
      </c>
      <c r="M686">
        <v>12000</v>
      </c>
      <c r="N686" t="s">
        <v>95</v>
      </c>
      <c r="O686" t="s">
        <v>115</v>
      </c>
    </row>
    <row r="687" spans="1:15" x14ac:dyDescent="0.25">
      <c r="A687">
        <v>2759</v>
      </c>
      <c r="B687" s="10">
        <v>46002</v>
      </c>
      <c r="C687">
        <v>11</v>
      </c>
      <c r="D687" t="s">
        <v>125</v>
      </c>
      <c r="E687" t="s">
        <v>137</v>
      </c>
      <c r="F687" t="s">
        <v>141</v>
      </c>
      <c r="G687" t="s">
        <v>100</v>
      </c>
      <c r="H687" t="s">
        <v>101</v>
      </c>
      <c r="I687" t="s">
        <v>127</v>
      </c>
      <c r="J687" t="s">
        <v>103</v>
      </c>
      <c r="K687">
        <v>16</v>
      </c>
      <c r="L687">
        <v>2000</v>
      </c>
      <c r="M687">
        <v>32000</v>
      </c>
      <c r="N687" t="s">
        <v>108</v>
      </c>
      <c r="O687" t="s">
        <v>96</v>
      </c>
    </row>
    <row r="688" spans="1:15" x14ac:dyDescent="0.25">
      <c r="A688">
        <v>2779</v>
      </c>
      <c r="B688" s="10">
        <v>45931</v>
      </c>
      <c r="C688">
        <v>1</v>
      </c>
      <c r="D688" t="s">
        <v>136</v>
      </c>
      <c r="E688" t="s">
        <v>121</v>
      </c>
      <c r="F688" t="s">
        <v>44</v>
      </c>
      <c r="G688" t="s">
        <v>111</v>
      </c>
      <c r="H688" t="s">
        <v>37</v>
      </c>
      <c r="I688" t="s">
        <v>143</v>
      </c>
      <c r="J688" t="s">
        <v>94</v>
      </c>
      <c r="K688">
        <v>4</v>
      </c>
      <c r="L688">
        <v>2000</v>
      </c>
      <c r="M688">
        <v>8000</v>
      </c>
      <c r="N688" t="s">
        <v>95</v>
      </c>
      <c r="O688" t="s">
        <v>96</v>
      </c>
    </row>
    <row r="689" spans="1:15" x14ac:dyDescent="0.25">
      <c r="A689">
        <v>2785</v>
      </c>
      <c r="B689" s="10">
        <v>45807</v>
      </c>
      <c r="C689">
        <v>30</v>
      </c>
      <c r="D689" t="s">
        <v>120</v>
      </c>
      <c r="E689" t="s">
        <v>31</v>
      </c>
      <c r="F689" t="s">
        <v>107</v>
      </c>
      <c r="G689" t="s">
        <v>100</v>
      </c>
      <c r="H689" t="s">
        <v>37</v>
      </c>
      <c r="I689" t="s">
        <v>143</v>
      </c>
      <c r="J689" t="s">
        <v>94</v>
      </c>
      <c r="K689">
        <v>8</v>
      </c>
      <c r="L689">
        <v>2000</v>
      </c>
      <c r="M689">
        <v>16000</v>
      </c>
      <c r="N689" t="s">
        <v>108</v>
      </c>
      <c r="O689" t="s">
        <v>115</v>
      </c>
    </row>
    <row r="690" spans="1:15" x14ac:dyDescent="0.25">
      <c r="A690">
        <v>2815</v>
      </c>
      <c r="B690" s="10">
        <v>45851</v>
      </c>
      <c r="C690">
        <v>13</v>
      </c>
      <c r="D690" t="s">
        <v>145</v>
      </c>
      <c r="E690" t="s">
        <v>128</v>
      </c>
      <c r="F690" t="s">
        <v>36</v>
      </c>
      <c r="G690" t="s">
        <v>100</v>
      </c>
      <c r="H690" t="s">
        <v>101</v>
      </c>
      <c r="I690" t="s">
        <v>152</v>
      </c>
      <c r="J690" t="s">
        <v>94</v>
      </c>
      <c r="K690">
        <v>5</v>
      </c>
      <c r="L690">
        <v>2000</v>
      </c>
      <c r="M690">
        <v>10000</v>
      </c>
      <c r="N690" t="s">
        <v>95</v>
      </c>
      <c r="O690" t="s">
        <v>104</v>
      </c>
    </row>
    <row r="691" spans="1:15" x14ac:dyDescent="0.25">
      <c r="A691">
        <v>2830</v>
      </c>
      <c r="B691" s="10">
        <v>45698</v>
      </c>
      <c r="C691">
        <v>10</v>
      </c>
      <c r="D691" t="s">
        <v>97</v>
      </c>
      <c r="E691" t="s">
        <v>116</v>
      </c>
      <c r="F691" t="s">
        <v>144</v>
      </c>
      <c r="G691" t="s">
        <v>91</v>
      </c>
      <c r="H691" t="s">
        <v>37</v>
      </c>
      <c r="I691" t="s">
        <v>143</v>
      </c>
      <c r="J691" t="s">
        <v>94</v>
      </c>
      <c r="K691">
        <v>1</v>
      </c>
      <c r="L691">
        <v>2000</v>
      </c>
      <c r="M691">
        <v>2000</v>
      </c>
      <c r="N691" t="s">
        <v>95</v>
      </c>
      <c r="O691" t="s">
        <v>104</v>
      </c>
    </row>
    <row r="692" spans="1:15" x14ac:dyDescent="0.25">
      <c r="A692">
        <v>2832</v>
      </c>
      <c r="B692" s="10">
        <v>45957</v>
      </c>
      <c r="C692">
        <v>27</v>
      </c>
      <c r="D692" t="s">
        <v>136</v>
      </c>
      <c r="E692" t="s">
        <v>106</v>
      </c>
      <c r="F692" t="s">
        <v>49</v>
      </c>
      <c r="G692" t="s">
        <v>118</v>
      </c>
      <c r="H692" t="s">
        <v>37</v>
      </c>
      <c r="I692" t="s">
        <v>38</v>
      </c>
      <c r="J692" t="s">
        <v>103</v>
      </c>
      <c r="K692">
        <v>37</v>
      </c>
      <c r="L692">
        <v>2000</v>
      </c>
      <c r="M692">
        <v>74000</v>
      </c>
      <c r="N692" t="s">
        <v>95</v>
      </c>
      <c r="O692" t="s">
        <v>96</v>
      </c>
    </row>
    <row r="693" spans="1:15" x14ac:dyDescent="0.25">
      <c r="A693">
        <v>2839</v>
      </c>
      <c r="B693" s="10">
        <v>46014</v>
      </c>
      <c r="C693">
        <v>23</v>
      </c>
      <c r="D693" t="s">
        <v>125</v>
      </c>
      <c r="E693" t="s">
        <v>112</v>
      </c>
      <c r="F693" t="s">
        <v>117</v>
      </c>
      <c r="G693" t="s">
        <v>118</v>
      </c>
      <c r="H693" t="s">
        <v>101</v>
      </c>
      <c r="I693" t="s">
        <v>152</v>
      </c>
      <c r="J693" t="s">
        <v>94</v>
      </c>
      <c r="K693">
        <v>7</v>
      </c>
      <c r="L693">
        <v>2000</v>
      </c>
      <c r="M693">
        <v>14000</v>
      </c>
      <c r="N693" t="s">
        <v>108</v>
      </c>
      <c r="O693" t="s">
        <v>104</v>
      </c>
    </row>
    <row r="694" spans="1:15" x14ac:dyDescent="0.25">
      <c r="A694">
        <v>2953</v>
      </c>
      <c r="B694" s="10">
        <v>45882</v>
      </c>
      <c r="C694">
        <v>13</v>
      </c>
      <c r="D694" t="s">
        <v>109</v>
      </c>
      <c r="E694" t="s">
        <v>150</v>
      </c>
      <c r="F694" t="s">
        <v>49</v>
      </c>
      <c r="G694" t="s">
        <v>118</v>
      </c>
      <c r="H694" t="s">
        <v>37</v>
      </c>
      <c r="I694" t="s">
        <v>143</v>
      </c>
      <c r="J694" t="s">
        <v>94</v>
      </c>
      <c r="K694">
        <v>2</v>
      </c>
      <c r="L694">
        <v>2000</v>
      </c>
      <c r="M694">
        <v>4000</v>
      </c>
      <c r="N694" t="s">
        <v>95</v>
      </c>
      <c r="O694" t="s">
        <v>115</v>
      </c>
    </row>
    <row r="695" spans="1:15" x14ac:dyDescent="0.25">
      <c r="A695">
        <v>3106</v>
      </c>
      <c r="B695" s="10">
        <v>45771</v>
      </c>
      <c r="C695">
        <v>24</v>
      </c>
      <c r="D695" t="s">
        <v>105</v>
      </c>
      <c r="E695" t="s">
        <v>98</v>
      </c>
      <c r="F695" t="s">
        <v>28</v>
      </c>
      <c r="G695" t="s">
        <v>126</v>
      </c>
      <c r="H695" t="s">
        <v>37</v>
      </c>
      <c r="I695" t="s">
        <v>143</v>
      </c>
      <c r="J695" t="s">
        <v>94</v>
      </c>
      <c r="K695">
        <v>2</v>
      </c>
      <c r="L695">
        <v>2000</v>
      </c>
      <c r="M695">
        <v>4000</v>
      </c>
      <c r="N695" t="s">
        <v>108</v>
      </c>
      <c r="O695" t="s">
        <v>96</v>
      </c>
    </row>
    <row r="696" spans="1:15" x14ac:dyDescent="0.25">
      <c r="A696">
        <v>3111</v>
      </c>
      <c r="B696" s="10">
        <v>45742</v>
      </c>
      <c r="C696">
        <v>26</v>
      </c>
      <c r="D696" t="s">
        <v>140</v>
      </c>
      <c r="E696" t="s">
        <v>110</v>
      </c>
      <c r="F696" t="s">
        <v>134</v>
      </c>
      <c r="G696" t="s">
        <v>100</v>
      </c>
      <c r="H696" t="s">
        <v>101</v>
      </c>
      <c r="I696" t="s">
        <v>127</v>
      </c>
      <c r="J696" t="s">
        <v>103</v>
      </c>
      <c r="K696">
        <v>24</v>
      </c>
      <c r="L696">
        <v>2000</v>
      </c>
      <c r="M696">
        <v>48000</v>
      </c>
      <c r="N696" t="s">
        <v>108</v>
      </c>
      <c r="O696" t="s">
        <v>104</v>
      </c>
    </row>
    <row r="697" spans="1:15" x14ac:dyDescent="0.25">
      <c r="A697">
        <v>3124</v>
      </c>
      <c r="B697" s="10">
        <v>46015</v>
      </c>
      <c r="C697">
        <v>24</v>
      </c>
      <c r="D697" t="s">
        <v>125</v>
      </c>
      <c r="E697" t="s">
        <v>112</v>
      </c>
      <c r="F697" t="s">
        <v>134</v>
      </c>
      <c r="G697" t="s">
        <v>100</v>
      </c>
      <c r="H697" t="s">
        <v>37</v>
      </c>
      <c r="I697" t="s">
        <v>143</v>
      </c>
      <c r="J697" t="s">
        <v>94</v>
      </c>
      <c r="K697">
        <v>9</v>
      </c>
      <c r="L697">
        <v>2000</v>
      </c>
      <c r="M697">
        <v>18000</v>
      </c>
      <c r="N697" t="s">
        <v>108</v>
      </c>
      <c r="O697" t="s">
        <v>115</v>
      </c>
    </row>
    <row r="698" spans="1:15" x14ac:dyDescent="0.25">
      <c r="A698">
        <v>3219</v>
      </c>
      <c r="B698" s="10">
        <v>45905</v>
      </c>
      <c r="C698">
        <v>5</v>
      </c>
      <c r="D698" t="s">
        <v>147</v>
      </c>
      <c r="E698" t="s">
        <v>150</v>
      </c>
      <c r="F698" t="s">
        <v>141</v>
      </c>
      <c r="G698" t="s">
        <v>100</v>
      </c>
      <c r="H698" t="s">
        <v>37</v>
      </c>
      <c r="I698" t="s">
        <v>38</v>
      </c>
      <c r="J698" t="s">
        <v>103</v>
      </c>
      <c r="K698">
        <v>22</v>
      </c>
      <c r="L698">
        <v>2000</v>
      </c>
      <c r="M698">
        <v>44000</v>
      </c>
      <c r="N698" t="s">
        <v>108</v>
      </c>
      <c r="O698" t="s">
        <v>104</v>
      </c>
    </row>
    <row r="699" spans="1:15" x14ac:dyDescent="0.25">
      <c r="A699">
        <v>3372</v>
      </c>
      <c r="B699" s="10">
        <v>45709</v>
      </c>
      <c r="C699">
        <v>21</v>
      </c>
      <c r="D699" t="s">
        <v>97</v>
      </c>
      <c r="E699" t="s">
        <v>142</v>
      </c>
      <c r="F699" t="s">
        <v>99</v>
      </c>
      <c r="G699" t="s">
        <v>100</v>
      </c>
      <c r="H699" t="s">
        <v>101</v>
      </c>
      <c r="I699" t="s">
        <v>127</v>
      </c>
      <c r="J699" t="s">
        <v>103</v>
      </c>
      <c r="K699">
        <v>41</v>
      </c>
      <c r="L699">
        <v>2000</v>
      </c>
      <c r="M699">
        <v>82000</v>
      </c>
      <c r="N699" t="s">
        <v>108</v>
      </c>
      <c r="O699" t="s">
        <v>96</v>
      </c>
    </row>
    <row r="700" spans="1:15" x14ac:dyDescent="0.25">
      <c r="A700">
        <v>3499</v>
      </c>
      <c r="B700" s="10">
        <v>45795</v>
      </c>
      <c r="C700">
        <v>18</v>
      </c>
      <c r="D700" t="s">
        <v>120</v>
      </c>
      <c r="E700" t="s">
        <v>138</v>
      </c>
      <c r="F700" t="s">
        <v>134</v>
      </c>
      <c r="G700" t="s">
        <v>100</v>
      </c>
      <c r="H700" t="s">
        <v>37</v>
      </c>
      <c r="I700" t="s">
        <v>143</v>
      </c>
      <c r="J700" t="s">
        <v>94</v>
      </c>
      <c r="K700">
        <v>4</v>
      </c>
      <c r="L700">
        <v>2000</v>
      </c>
      <c r="M700">
        <v>8000</v>
      </c>
      <c r="N700" t="s">
        <v>95</v>
      </c>
      <c r="O700" t="s">
        <v>115</v>
      </c>
    </row>
    <row r="701" spans="1:15" x14ac:dyDescent="0.25">
      <c r="A701">
        <v>3556</v>
      </c>
      <c r="B701" s="10">
        <v>45716</v>
      </c>
      <c r="C701">
        <v>28</v>
      </c>
      <c r="D701" t="s">
        <v>97</v>
      </c>
      <c r="E701" t="s">
        <v>161</v>
      </c>
      <c r="F701" t="s">
        <v>22</v>
      </c>
      <c r="G701" t="s">
        <v>91</v>
      </c>
      <c r="H701" t="s">
        <v>37</v>
      </c>
      <c r="I701" t="s">
        <v>143</v>
      </c>
      <c r="J701" t="s">
        <v>94</v>
      </c>
      <c r="K701">
        <v>3</v>
      </c>
      <c r="L701">
        <v>2000</v>
      </c>
      <c r="M701">
        <v>6000</v>
      </c>
      <c r="N701" t="s">
        <v>95</v>
      </c>
      <c r="O701" t="s">
        <v>115</v>
      </c>
    </row>
    <row r="702" spans="1:15" x14ac:dyDescent="0.25">
      <c r="A702">
        <v>3762</v>
      </c>
      <c r="B702" s="10">
        <v>45938</v>
      </c>
      <c r="C702">
        <v>8</v>
      </c>
      <c r="D702" t="s">
        <v>136</v>
      </c>
      <c r="E702" t="s">
        <v>31</v>
      </c>
      <c r="F702" t="s">
        <v>122</v>
      </c>
      <c r="G702" t="s">
        <v>114</v>
      </c>
      <c r="H702" t="s">
        <v>37</v>
      </c>
      <c r="I702" t="s">
        <v>143</v>
      </c>
      <c r="J702" t="s">
        <v>94</v>
      </c>
      <c r="K702">
        <v>8</v>
      </c>
      <c r="L702">
        <v>2000</v>
      </c>
      <c r="M702">
        <v>16000</v>
      </c>
      <c r="N702" t="s">
        <v>108</v>
      </c>
      <c r="O702" t="s">
        <v>115</v>
      </c>
    </row>
    <row r="703" spans="1:15" x14ac:dyDescent="0.25">
      <c r="A703">
        <v>3784</v>
      </c>
      <c r="B703" s="10">
        <v>45790</v>
      </c>
      <c r="C703">
        <v>13</v>
      </c>
      <c r="D703" t="s">
        <v>120</v>
      </c>
      <c r="E703" t="s">
        <v>138</v>
      </c>
      <c r="F703" t="s">
        <v>99</v>
      </c>
      <c r="G703" t="s">
        <v>100</v>
      </c>
      <c r="H703" t="s">
        <v>101</v>
      </c>
      <c r="I703" t="s">
        <v>127</v>
      </c>
      <c r="J703" t="s">
        <v>103</v>
      </c>
      <c r="K703">
        <v>15</v>
      </c>
      <c r="L703">
        <v>2000</v>
      </c>
      <c r="M703">
        <v>30000</v>
      </c>
      <c r="N703" t="s">
        <v>95</v>
      </c>
      <c r="O703" t="s">
        <v>96</v>
      </c>
    </row>
    <row r="704" spans="1:15" x14ac:dyDescent="0.25">
      <c r="A704">
        <v>3834</v>
      </c>
      <c r="B704" s="10">
        <v>45926</v>
      </c>
      <c r="C704">
        <v>26</v>
      </c>
      <c r="D704" t="s">
        <v>147</v>
      </c>
      <c r="E704" t="s">
        <v>116</v>
      </c>
      <c r="F704" t="s">
        <v>117</v>
      </c>
      <c r="G704" t="s">
        <v>118</v>
      </c>
      <c r="H704" t="s">
        <v>101</v>
      </c>
      <c r="I704" t="s">
        <v>127</v>
      </c>
      <c r="J704" t="s">
        <v>103</v>
      </c>
      <c r="K704">
        <v>47</v>
      </c>
      <c r="L704">
        <v>2000</v>
      </c>
      <c r="M704">
        <v>94000</v>
      </c>
      <c r="N704" t="s">
        <v>95</v>
      </c>
      <c r="O704" t="s">
        <v>115</v>
      </c>
    </row>
    <row r="705" spans="1:15" x14ac:dyDescent="0.25">
      <c r="A705">
        <v>3882</v>
      </c>
      <c r="B705" s="10">
        <v>45979</v>
      </c>
      <c r="C705">
        <v>18</v>
      </c>
      <c r="D705" t="s">
        <v>90</v>
      </c>
      <c r="E705" t="s">
        <v>142</v>
      </c>
      <c r="F705" t="s">
        <v>141</v>
      </c>
      <c r="G705" t="s">
        <v>100</v>
      </c>
      <c r="H705" t="s">
        <v>37</v>
      </c>
      <c r="I705" t="s">
        <v>143</v>
      </c>
      <c r="J705" t="s">
        <v>94</v>
      </c>
      <c r="K705">
        <v>7</v>
      </c>
      <c r="L705">
        <v>2000</v>
      </c>
      <c r="M705">
        <v>14000</v>
      </c>
      <c r="N705" t="s">
        <v>95</v>
      </c>
      <c r="O705" t="s">
        <v>96</v>
      </c>
    </row>
    <row r="706" spans="1:15" x14ac:dyDescent="0.25">
      <c r="A706">
        <v>3952</v>
      </c>
      <c r="B706" s="10">
        <v>45764</v>
      </c>
      <c r="C706">
        <v>17</v>
      </c>
      <c r="D706" t="s">
        <v>105</v>
      </c>
      <c r="E706" t="s">
        <v>110</v>
      </c>
      <c r="F706" t="s">
        <v>117</v>
      </c>
      <c r="G706" t="s">
        <v>118</v>
      </c>
      <c r="H706" t="s">
        <v>101</v>
      </c>
      <c r="I706" t="s">
        <v>127</v>
      </c>
      <c r="J706" t="s">
        <v>103</v>
      </c>
      <c r="K706">
        <v>41</v>
      </c>
      <c r="L706">
        <v>2000</v>
      </c>
      <c r="M706">
        <v>82000</v>
      </c>
      <c r="N706" t="s">
        <v>108</v>
      </c>
      <c r="O706" t="s">
        <v>104</v>
      </c>
    </row>
    <row r="707" spans="1:15" x14ac:dyDescent="0.25">
      <c r="A707">
        <v>4005</v>
      </c>
      <c r="B707" s="10">
        <v>45775</v>
      </c>
      <c r="C707">
        <v>28</v>
      </c>
      <c r="D707" t="s">
        <v>105</v>
      </c>
      <c r="E707" t="s">
        <v>150</v>
      </c>
      <c r="F707" t="s">
        <v>22</v>
      </c>
      <c r="G707" t="s">
        <v>91</v>
      </c>
      <c r="H707" t="s">
        <v>37</v>
      </c>
      <c r="I707" t="s">
        <v>38</v>
      </c>
      <c r="J707" t="s">
        <v>103</v>
      </c>
      <c r="K707">
        <v>8</v>
      </c>
      <c r="L707">
        <v>2000</v>
      </c>
      <c r="M707">
        <v>16000</v>
      </c>
      <c r="N707" t="s">
        <v>95</v>
      </c>
      <c r="O707" t="s">
        <v>104</v>
      </c>
    </row>
    <row r="708" spans="1:15" x14ac:dyDescent="0.25">
      <c r="A708">
        <v>4056</v>
      </c>
      <c r="B708" s="10">
        <v>45732</v>
      </c>
      <c r="C708">
        <v>16</v>
      </c>
      <c r="D708" t="s">
        <v>140</v>
      </c>
      <c r="E708" t="s">
        <v>138</v>
      </c>
      <c r="F708" t="s">
        <v>117</v>
      </c>
      <c r="G708" t="s">
        <v>118</v>
      </c>
      <c r="H708" t="s">
        <v>37</v>
      </c>
      <c r="I708" t="s">
        <v>143</v>
      </c>
      <c r="J708" t="s">
        <v>94</v>
      </c>
      <c r="K708">
        <v>5</v>
      </c>
      <c r="L708">
        <v>2000</v>
      </c>
      <c r="M708">
        <v>10000</v>
      </c>
      <c r="N708" t="s">
        <v>108</v>
      </c>
      <c r="O708" t="s">
        <v>104</v>
      </c>
    </row>
    <row r="709" spans="1:15" x14ac:dyDescent="0.25">
      <c r="A709">
        <v>4198</v>
      </c>
      <c r="B709" s="10">
        <v>45665</v>
      </c>
      <c r="C709">
        <v>8</v>
      </c>
      <c r="D709" t="s">
        <v>130</v>
      </c>
      <c r="E709" t="s">
        <v>121</v>
      </c>
      <c r="F709" t="s">
        <v>134</v>
      </c>
      <c r="G709" t="s">
        <v>100</v>
      </c>
      <c r="H709" t="s">
        <v>37</v>
      </c>
      <c r="I709" t="s">
        <v>38</v>
      </c>
      <c r="J709" t="s">
        <v>103</v>
      </c>
      <c r="K709">
        <v>30</v>
      </c>
      <c r="L709">
        <v>2000</v>
      </c>
      <c r="M709">
        <v>60000</v>
      </c>
      <c r="N709" t="s">
        <v>95</v>
      </c>
      <c r="O709" t="s">
        <v>104</v>
      </c>
    </row>
    <row r="710" spans="1:15" x14ac:dyDescent="0.25">
      <c r="A710">
        <v>4527</v>
      </c>
      <c r="B710" s="10">
        <v>45851</v>
      </c>
      <c r="C710">
        <v>13</v>
      </c>
      <c r="D710" t="s">
        <v>145</v>
      </c>
      <c r="E710" t="s">
        <v>161</v>
      </c>
      <c r="F710" t="s">
        <v>22</v>
      </c>
      <c r="G710" t="s">
        <v>91</v>
      </c>
      <c r="H710" t="s">
        <v>101</v>
      </c>
      <c r="I710" t="s">
        <v>127</v>
      </c>
      <c r="J710" t="s">
        <v>103</v>
      </c>
      <c r="K710">
        <v>24</v>
      </c>
      <c r="L710">
        <v>2000</v>
      </c>
      <c r="M710">
        <v>48000</v>
      </c>
      <c r="N710" t="s">
        <v>108</v>
      </c>
      <c r="O710" t="s">
        <v>96</v>
      </c>
    </row>
    <row r="711" spans="1:15" x14ac:dyDescent="0.25">
      <c r="A711">
        <v>4557</v>
      </c>
      <c r="B711" s="10">
        <v>45790</v>
      </c>
      <c r="C711">
        <v>13</v>
      </c>
      <c r="D711" t="s">
        <v>120</v>
      </c>
      <c r="E711" t="s">
        <v>138</v>
      </c>
      <c r="F711" t="s">
        <v>28</v>
      </c>
      <c r="G711" t="s">
        <v>126</v>
      </c>
      <c r="H711" t="s">
        <v>101</v>
      </c>
      <c r="I711" t="s">
        <v>127</v>
      </c>
      <c r="J711" t="s">
        <v>103</v>
      </c>
      <c r="K711">
        <v>41</v>
      </c>
      <c r="L711">
        <v>2000</v>
      </c>
      <c r="M711">
        <v>82000</v>
      </c>
      <c r="N711" t="s">
        <v>95</v>
      </c>
      <c r="O711" t="s">
        <v>104</v>
      </c>
    </row>
    <row r="712" spans="1:15" x14ac:dyDescent="0.25">
      <c r="A712">
        <v>4669</v>
      </c>
      <c r="B712" s="10">
        <v>45789</v>
      </c>
      <c r="C712">
        <v>12</v>
      </c>
      <c r="D712" t="s">
        <v>120</v>
      </c>
      <c r="E712" t="s">
        <v>142</v>
      </c>
      <c r="F712" t="s">
        <v>141</v>
      </c>
      <c r="G712" t="s">
        <v>100</v>
      </c>
      <c r="H712" t="s">
        <v>101</v>
      </c>
      <c r="I712" t="s">
        <v>127</v>
      </c>
      <c r="J712" t="s">
        <v>103</v>
      </c>
      <c r="K712">
        <v>20</v>
      </c>
      <c r="L712">
        <v>2000</v>
      </c>
      <c r="M712">
        <v>40000</v>
      </c>
      <c r="N712" t="s">
        <v>95</v>
      </c>
      <c r="O712" t="s">
        <v>115</v>
      </c>
    </row>
    <row r="713" spans="1:15" x14ac:dyDescent="0.25">
      <c r="A713">
        <v>4730</v>
      </c>
      <c r="B713" s="10">
        <v>45990</v>
      </c>
      <c r="C713">
        <v>29</v>
      </c>
      <c r="D713" t="s">
        <v>90</v>
      </c>
      <c r="E713" t="s">
        <v>31</v>
      </c>
      <c r="F713" t="s">
        <v>148</v>
      </c>
      <c r="G713" t="s">
        <v>118</v>
      </c>
      <c r="H713" t="s">
        <v>37</v>
      </c>
      <c r="I713" t="s">
        <v>143</v>
      </c>
      <c r="J713" t="s">
        <v>94</v>
      </c>
      <c r="K713">
        <v>9</v>
      </c>
      <c r="L713">
        <v>2000</v>
      </c>
      <c r="M713">
        <v>18000</v>
      </c>
      <c r="N713" t="s">
        <v>95</v>
      </c>
      <c r="O713" t="s">
        <v>96</v>
      </c>
    </row>
    <row r="714" spans="1:15" x14ac:dyDescent="0.25">
      <c r="A714">
        <v>4891</v>
      </c>
      <c r="B714" s="10">
        <v>45720</v>
      </c>
      <c r="C714">
        <v>4</v>
      </c>
      <c r="D714" t="s">
        <v>140</v>
      </c>
      <c r="E714" t="s">
        <v>25</v>
      </c>
      <c r="F714" t="s">
        <v>144</v>
      </c>
      <c r="G714" t="s">
        <v>91</v>
      </c>
      <c r="H714" t="s">
        <v>37</v>
      </c>
      <c r="I714" t="s">
        <v>38</v>
      </c>
      <c r="J714" t="s">
        <v>103</v>
      </c>
      <c r="K714">
        <v>15</v>
      </c>
      <c r="L714">
        <v>2000</v>
      </c>
      <c r="M714">
        <v>30000</v>
      </c>
      <c r="N714" t="s">
        <v>108</v>
      </c>
      <c r="O714" t="s">
        <v>115</v>
      </c>
    </row>
    <row r="715" spans="1:15" x14ac:dyDescent="0.25">
      <c r="A715">
        <v>4959</v>
      </c>
      <c r="B715" s="10">
        <v>45872</v>
      </c>
      <c r="C715">
        <v>3</v>
      </c>
      <c r="D715" t="s">
        <v>109</v>
      </c>
      <c r="E715" t="s">
        <v>106</v>
      </c>
      <c r="F715" t="s">
        <v>99</v>
      </c>
      <c r="G715" t="s">
        <v>100</v>
      </c>
      <c r="H715" t="s">
        <v>37</v>
      </c>
      <c r="I715" t="s">
        <v>143</v>
      </c>
      <c r="J715" t="s">
        <v>94</v>
      </c>
      <c r="K715">
        <v>2</v>
      </c>
      <c r="L715">
        <v>2000</v>
      </c>
      <c r="M715">
        <v>4000</v>
      </c>
      <c r="N715" t="s">
        <v>95</v>
      </c>
      <c r="O715" t="s">
        <v>104</v>
      </c>
    </row>
    <row r="716" spans="1:15" x14ac:dyDescent="0.25">
      <c r="A716">
        <v>47</v>
      </c>
      <c r="B716" s="10">
        <v>45723</v>
      </c>
      <c r="C716">
        <v>7</v>
      </c>
      <c r="D716" t="s">
        <v>140</v>
      </c>
      <c r="E716" t="s">
        <v>25</v>
      </c>
      <c r="F716" t="s">
        <v>44</v>
      </c>
      <c r="G716" t="s">
        <v>111</v>
      </c>
      <c r="H716" t="s">
        <v>37</v>
      </c>
      <c r="I716" t="s">
        <v>38</v>
      </c>
      <c r="J716" t="s">
        <v>103</v>
      </c>
      <c r="K716">
        <v>18</v>
      </c>
      <c r="L716">
        <v>2100</v>
      </c>
      <c r="M716">
        <v>37800</v>
      </c>
      <c r="N716" t="s">
        <v>95</v>
      </c>
      <c r="O716" t="s">
        <v>96</v>
      </c>
    </row>
    <row r="717" spans="1:15" x14ac:dyDescent="0.25">
      <c r="A717">
        <v>252</v>
      </c>
      <c r="B717" s="10">
        <v>45888</v>
      </c>
      <c r="C717">
        <v>19</v>
      </c>
      <c r="D717" t="s">
        <v>109</v>
      </c>
      <c r="E717" t="s">
        <v>112</v>
      </c>
      <c r="F717" t="s">
        <v>107</v>
      </c>
      <c r="G717" t="s">
        <v>100</v>
      </c>
      <c r="H717" t="s">
        <v>37</v>
      </c>
      <c r="I717" t="s">
        <v>143</v>
      </c>
      <c r="J717" t="s">
        <v>94</v>
      </c>
      <c r="K717">
        <v>3</v>
      </c>
      <c r="L717">
        <v>2100</v>
      </c>
      <c r="M717">
        <v>6300</v>
      </c>
      <c r="N717" t="s">
        <v>95</v>
      </c>
      <c r="O717" t="s">
        <v>115</v>
      </c>
    </row>
    <row r="718" spans="1:15" x14ac:dyDescent="0.25">
      <c r="A718">
        <v>399</v>
      </c>
      <c r="B718" s="10">
        <v>45842</v>
      </c>
      <c r="C718">
        <v>4</v>
      </c>
      <c r="D718" t="s">
        <v>145</v>
      </c>
      <c r="E718" t="s">
        <v>25</v>
      </c>
      <c r="F718" t="s">
        <v>151</v>
      </c>
      <c r="G718" t="s">
        <v>111</v>
      </c>
      <c r="H718" t="s">
        <v>101</v>
      </c>
      <c r="I718" t="s">
        <v>127</v>
      </c>
      <c r="J718" t="s">
        <v>103</v>
      </c>
      <c r="K718">
        <v>15</v>
      </c>
      <c r="L718">
        <v>2100</v>
      </c>
      <c r="M718">
        <v>31500</v>
      </c>
      <c r="N718" t="s">
        <v>108</v>
      </c>
      <c r="O718" t="s">
        <v>104</v>
      </c>
    </row>
    <row r="719" spans="1:15" x14ac:dyDescent="0.25">
      <c r="A719">
        <v>408</v>
      </c>
      <c r="B719" s="10">
        <v>45815</v>
      </c>
      <c r="C719">
        <v>7</v>
      </c>
      <c r="D719" t="s">
        <v>153</v>
      </c>
      <c r="E719" t="s">
        <v>31</v>
      </c>
      <c r="F719" t="s">
        <v>49</v>
      </c>
      <c r="G719" t="s">
        <v>118</v>
      </c>
      <c r="H719" t="s">
        <v>101</v>
      </c>
      <c r="I719" t="s">
        <v>127</v>
      </c>
      <c r="J719" t="s">
        <v>103</v>
      </c>
      <c r="K719">
        <v>36</v>
      </c>
      <c r="L719">
        <v>2100</v>
      </c>
      <c r="M719">
        <v>75600</v>
      </c>
      <c r="N719" t="s">
        <v>95</v>
      </c>
      <c r="O719" t="s">
        <v>104</v>
      </c>
    </row>
    <row r="720" spans="1:15" x14ac:dyDescent="0.25">
      <c r="A720">
        <v>680</v>
      </c>
      <c r="B720" s="10">
        <v>45658</v>
      </c>
      <c r="C720">
        <v>1</v>
      </c>
      <c r="D720" t="s">
        <v>130</v>
      </c>
      <c r="E720" t="s">
        <v>161</v>
      </c>
      <c r="F720" t="s">
        <v>22</v>
      </c>
      <c r="G720" t="s">
        <v>91</v>
      </c>
      <c r="H720" t="s">
        <v>37</v>
      </c>
      <c r="I720" t="s">
        <v>143</v>
      </c>
      <c r="J720" t="s">
        <v>94</v>
      </c>
      <c r="K720">
        <v>9</v>
      </c>
      <c r="L720">
        <v>2100</v>
      </c>
      <c r="M720">
        <v>18900</v>
      </c>
      <c r="N720" t="s">
        <v>95</v>
      </c>
      <c r="O720" t="s">
        <v>115</v>
      </c>
    </row>
    <row r="721" spans="1:15" x14ac:dyDescent="0.25">
      <c r="A721">
        <v>694</v>
      </c>
      <c r="B721" s="10">
        <v>45836</v>
      </c>
      <c r="C721">
        <v>28</v>
      </c>
      <c r="D721" t="s">
        <v>153</v>
      </c>
      <c r="E721" t="s">
        <v>106</v>
      </c>
      <c r="F721" t="s">
        <v>113</v>
      </c>
      <c r="G721" t="s">
        <v>114</v>
      </c>
      <c r="H721" t="s">
        <v>37</v>
      </c>
      <c r="I721" t="s">
        <v>143</v>
      </c>
      <c r="J721" t="s">
        <v>94</v>
      </c>
      <c r="K721">
        <v>5</v>
      </c>
      <c r="L721">
        <v>2100</v>
      </c>
      <c r="M721">
        <v>10500</v>
      </c>
      <c r="N721" t="s">
        <v>95</v>
      </c>
      <c r="O721" t="s">
        <v>115</v>
      </c>
    </row>
    <row r="722" spans="1:15" x14ac:dyDescent="0.25">
      <c r="A722">
        <v>799</v>
      </c>
      <c r="B722" s="10">
        <v>45812</v>
      </c>
      <c r="C722">
        <v>4</v>
      </c>
      <c r="D722" t="s">
        <v>153</v>
      </c>
      <c r="E722" t="s">
        <v>133</v>
      </c>
      <c r="F722" t="s">
        <v>99</v>
      </c>
      <c r="G722" t="s">
        <v>100</v>
      </c>
      <c r="H722" t="s">
        <v>101</v>
      </c>
      <c r="I722" t="s">
        <v>127</v>
      </c>
      <c r="J722" t="s">
        <v>103</v>
      </c>
      <c r="K722">
        <v>48</v>
      </c>
      <c r="L722">
        <v>2100</v>
      </c>
      <c r="M722">
        <v>100800</v>
      </c>
      <c r="N722" t="s">
        <v>108</v>
      </c>
      <c r="O722" t="s">
        <v>115</v>
      </c>
    </row>
    <row r="723" spans="1:15" x14ac:dyDescent="0.25">
      <c r="A723">
        <v>807</v>
      </c>
      <c r="B723" s="10">
        <v>45719</v>
      </c>
      <c r="C723">
        <v>3</v>
      </c>
      <c r="D723" t="s">
        <v>140</v>
      </c>
      <c r="E723" t="s">
        <v>31</v>
      </c>
      <c r="F723" t="s">
        <v>141</v>
      </c>
      <c r="G723" t="s">
        <v>100</v>
      </c>
      <c r="H723" t="s">
        <v>101</v>
      </c>
      <c r="I723" t="s">
        <v>127</v>
      </c>
      <c r="J723" t="s">
        <v>103</v>
      </c>
      <c r="K723">
        <v>47</v>
      </c>
      <c r="L723">
        <v>2100</v>
      </c>
      <c r="M723">
        <v>98700</v>
      </c>
      <c r="N723" t="s">
        <v>95</v>
      </c>
      <c r="O723" t="s">
        <v>104</v>
      </c>
    </row>
    <row r="724" spans="1:15" x14ac:dyDescent="0.25">
      <c r="A724">
        <v>828</v>
      </c>
      <c r="B724" s="10">
        <v>45719</v>
      </c>
      <c r="C724">
        <v>3</v>
      </c>
      <c r="D724" t="s">
        <v>140</v>
      </c>
      <c r="E724" t="s">
        <v>98</v>
      </c>
      <c r="F724" t="s">
        <v>148</v>
      </c>
      <c r="G724" t="s">
        <v>118</v>
      </c>
      <c r="H724" t="s">
        <v>101</v>
      </c>
      <c r="I724" t="s">
        <v>127</v>
      </c>
      <c r="J724" t="s">
        <v>103</v>
      </c>
      <c r="K724">
        <v>18</v>
      </c>
      <c r="L724">
        <v>2100</v>
      </c>
      <c r="M724">
        <v>37800</v>
      </c>
      <c r="N724" t="s">
        <v>95</v>
      </c>
      <c r="O724" t="s">
        <v>96</v>
      </c>
    </row>
    <row r="725" spans="1:15" x14ac:dyDescent="0.25">
      <c r="A725">
        <v>879</v>
      </c>
      <c r="B725" s="10">
        <v>45986</v>
      </c>
      <c r="C725">
        <v>25</v>
      </c>
      <c r="D725" t="s">
        <v>90</v>
      </c>
      <c r="E725" t="s">
        <v>106</v>
      </c>
      <c r="F725" t="s">
        <v>148</v>
      </c>
      <c r="G725" t="s">
        <v>118</v>
      </c>
      <c r="H725" t="s">
        <v>101</v>
      </c>
      <c r="I725" t="s">
        <v>127</v>
      </c>
      <c r="J725" t="s">
        <v>103</v>
      </c>
      <c r="K725">
        <v>17</v>
      </c>
      <c r="L725">
        <v>2100</v>
      </c>
      <c r="M725">
        <v>35700</v>
      </c>
      <c r="N725" t="s">
        <v>95</v>
      </c>
      <c r="O725" t="s">
        <v>104</v>
      </c>
    </row>
    <row r="726" spans="1:15" x14ac:dyDescent="0.25">
      <c r="A726">
        <v>993</v>
      </c>
      <c r="B726" s="10">
        <v>45816</v>
      </c>
      <c r="C726">
        <v>8</v>
      </c>
      <c r="D726" t="s">
        <v>153</v>
      </c>
      <c r="E726" t="s">
        <v>128</v>
      </c>
      <c r="F726" t="s">
        <v>122</v>
      </c>
      <c r="G726" t="s">
        <v>114</v>
      </c>
      <c r="H726" t="s">
        <v>101</v>
      </c>
      <c r="I726" t="s">
        <v>127</v>
      </c>
      <c r="J726" t="s">
        <v>103</v>
      </c>
      <c r="K726">
        <v>47</v>
      </c>
      <c r="L726">
        <v>2100</v>
      </c>
      <c r="M726">
        <v>98700</v>
      </c>
      <c r="N726" t="s">
        <v>95</v>
      </c>
      <c r="O726" t="s">
        <v>115</v>
      </c>
    </row>
    <row r="727" spans="1:15" x14ac:dyDescent="0.25">
      <c r="A727">
        <v>1022</v>
      </c>
      <c r="B727" s="10">
        <v>45790</v>
      </c>
      <c r="C727">
        <v>13</v>
      </c>
      <c r="D727" t="s">
        <v>120</v>
      </c>
      <c r="E727" t="s">
        <v>150</v>
      </c>
      <c r="F727" t="s">
        <v>117</v>
      </c>
      <c r="G727" t="s">
        <v>118</v>
      </c>
      <c r="H727" t="s">
        <v>37</v>
      </c>
      <c r="I727" t="s">
        <v>38</v>
      </c>
      <c r="J727" t="s">
        <v>103</v>
      </c>
      <c r="K727">
        <v>14</v>
      </c>
      <c r="L727">
        <v>2100</v>
      </c>
      <c r="M727">
        <v>29400</v>
      </c>
      <c r="N727" t="s">
        <v>95</v>
      </c>
      <c r="O727" t="s">
        <v>96</v>
      </c>
    </row>
    <row r="728" spans="1:15" x14ac:dyDescent="0.25">
      <c r="A728">
        <v>1087</v>
      </c>
      <c r="B728" s="10">
        <v>45923</v>
      </c>
      <c r="C728">
        <v>23</v>
      </c>
      <c r="D728" t="s">
        <v>147</v>
      </c>
      <c r="E728" t="s">
        <v>133</v>
      </c>
      <c r="F728" t="s">
        <v>151</v>
      </c>
      <c r="G728" t="s">
        <v>111</v>
      </c>
      <c r="H728" t="s">
        <v>37</v>
      </c>
      <c r="I728" t="s">
        <v>143</v>
      </c>
      <c r="J728" t="s">
        <v>94</v>
      </c>
      <c r="K728">
        <v>4</v>
      </c>
      <c r="L728">
        <v>2100</v>
      </c>
      <c r="M728">
        <v>8400</v>
      </c>
      <c r="N728" t="s">
        <v>95</v>
      </c>
      <c r="O728" t="s">
        <v>115</v>
      </c>
    </row>
    <row r="729" spans="1:15" x14ac:dyDescent="0.25">
      <c r="A729">
        <v>1153</v>
      </c>
      <c r="B729" s="10">
        <v>45894</v>
      </c>
      <c r="C729">
        <v>25</v>
      </c>
      <c r="D729" t="s">
        <v>109</v>
      </c>
      <c r="E729" t="s">
        <v>31</v>
      </c>
      <c r="F729" t="s">
        <v>28</v>
      </c>
      <c r="G729" t="s">
        <v>126</v>
      </c>
      <c r="H729" t="s">
        <v>101</v>
      </c>
      <c r="I729" t="s">
        <v>127</v>
      </c>
      <c r="J729" t="s">
        <v>103</v>
      </c>
      <c r="K729">
        <v>13</v>
      </c>
      <c r="L729">
        <v>2100</v>
      </c>
      <c r="M729">
        <v>27300</v>
      </c>
      <c r="N729" t="s">
        <v>108</v>
      </c>
      <c r="O729" t="s">
        <v>115</v>
      </c>
    </row>
    <row r="730" spans="1:15" x14ac:dyDescent="0.25">
      <c r="A730">
        <v>1319</v>
      </c>
      <c r="B730" s="10">
        <v>45877</v>
      </c>
      <c r="C730">
        <v>8</v>
      </c>
      <c r="D730" t="s">
        <v>109</v>
      </c>
      <c r="E730" t="s">
        <v>137</v>
      </c>
      <c r="F730" t="s">
        <v>113</v>
      </c>
      <c r="G730" t="s">
        <v>114</v>
      </c>
      <c r="H730" t="s">
        <v>101</v>
      </c>
      <c r="I730" t="s">
        <v>127</v>
      </c>
      <c r="J730" t="s">
        <v>103</v>
      </c>
      <c r="K730">
        <v>14</v>
      </c>
      <c r="L730">
        <v>2100</v>
      </c>
      <c r="M730">
        <v>29400</v>
      </c>
      <c r="N730" t="s">
        <v>108</v>
      </c>
      <c r="O730" t="s">
        <v>96</v>
      </c>
    </row>
    <row r="731" spans="1:15" x14ac:dyDescent="0.25">
      <c r="A731">
        <v>1369</v>
      </c>
      <c r="B731" s="10">
        <v>45733</v>
      </c>
      <c r="C731">
        <v>17</v>
      </c>
      <c r="D731" t="s">
        <v>140</v>
      </c>
      <c r="E731" t="s">
        <v>133</v>
      </c>
      <c r="F731" t="s">
        <v>141</v>
      </c>
      <c r="G731" t="s">
        <v>100</v>
      </c>
      <c r="H731" t="s">
        <v>37</v>
      </c>
      <c r="I731" t="s">
        <v>38</v>
      </c>
      <c r="J731" t="s">
        <v>103</v>
      </c>
      <c r="K731">
        <v>21</v>
      </c>
      <c r="L731">
        <v>2100</v>
      </c>
      <c r="M731">
        <v>44100</v>
      </c>
      <c r="N731" t="s">
        <v>95</v>
      </c>
      <c r="O731" t="s">
        <v>115</v>
      </c>
    </row>
    <row r="732" spans="1:15" x14ac:dyDescent="0.25">
      <c r="A732">
        <v>1371</v>
      </c>
      <c r="B732" s="10">
        <v>45754</v>
      </c>
      <c r="C732">
        <v>7</v>
      </c>
      <c r="D732" t="s">
        <v>105</v>
      </c>
      <c r="E732" t="s">
        <v>142</v>
      </c>
      <c r="F732" t="s">
        <v>99</v>
      </c>
      <c r="G732" t="s">
        <v>100</v>
      </c>
      <c r="H732" t="s">
        <v>101</v>
      </c>
      <c r="I732" t="s">
        <v>127</v>
      </c>
      <c r="J732" t="s">
        <v>103</v>
      </c>
      <c r="K732">
        <v>18</v>
      </c>
      <c r="L732">
        <v>2100</v>
      </c>
      <c r="M732">
        <v>37800</v>
      </c>
      <c r="N732" t="s">
        <v>108</v>
      </c>
      <c r="O732" t="s">
        <v>104</v>
      </c>
    </row>
    <row r="733" spans="1:15" x14ac:dyDescent="0.25">
      <c r="A733">
        <v>1473</v>
      </c>
      <c r="B733" s="10">
        <v>45919</v>
      </c>
      <c r="C733">
        <v>19</v>
      </c>
      <c r="D733" t="s">
        <v>147</v>
      </c>
      <c r="E733" t="s">
        <v>161</v>
      </c>
      <c r="F733" t="s">
        <v>99</v>
      </c>
      <c r="G733" t="s">
        <v>100</v>
      </c>
      <c r="H733" t="s">
        <v>101</v>
      </c>
      <c r="I733" t="s">
        <v>127</v>
      </c>
      <c r="J733" t="s">
        <v>103</v>
      </c>
      <c r="K733">
        <v>35</v>
      </c>
      <c r="L733">
        <v>2100</v>
      </c>
      <c r="M733">
        <v>73500</v>
      </c>
      <c r="N733" t="s">
        <v>108</v>
      </c>
      <c r="O733" t="s">
        <v>115</v>
      </c>
    </row>
    <row r="734" spans="1:15" x14ac:dyDescent="0.25">
      <c r="A734">
        <v>1578</v>
      </c>
      <c r="B734" s="10">
        <v>46018</v>
      </c>
      <c r="C734">
        <v>27</v>
      </c>
      <c r="D734" t="s">
        <v>125</v>
      </c>
      <c r="E734" t="s">
        <v>150</v>
      </c>
      <c r="F734" t="s">
        <v>144</v>
      </c>
      <c r="G734" t="s">
        <v>91</v>
      </c>
      <c r="H734" t="s">
        <v>37</v>
      </c>
      <c r="I734" t="s">
        <v>143</v>
      </c>
      <c r="J734" t="s">
        <v>94</v>
      </c>
      <c r="K734">
        <v>1</v>
      </c>
      <c r="L734">
        <v>2100</v>
      </c>
      <c r="M734">
        <v>2100</v>
      </c>
      <c r="N734" t="s">
        <v>95</v>
      </c>
      <c r="O734" t="s">
        <v>115</v>
      </c>
    </row>
    <row r="735" spans="1:15" x14ac:dyDescent="0.25">
      <c r="A735">
        <v>1592</v>
      </c>
      <c r="B735" s="10">
        <v>45900</v>
      </c>
      <c r="C735">
        <v>31</v>
      </c>
      <c r="D735" t="s">
        <v>109</v>
      </c>
      <c r="E735" t="s">
        <v>137</v>
      </c>
      <c r="F735" t="s">
        <v>99</v>
      </c>
      <c r="G735" t="s">
        <v>100</v>
      </c>
      <c r="H735" t="s">
        <v>101</v>
      </c>
      <c r="I735" t="s">
        <v>127</v>
      </c>
      <c r="J735" t="s">
        <v>94</v>
      </c>
      <c r="K735">
        <v>8</v>
      </c>
      <c r="L735">
        <v>2100</v>
      </c>
      <c r="M735">
        <v>16800</v>
      </c>
      <c r="N735" t="s">
        <v>108</v>
      </c>
      <c r="O735" t="s">
        <v>115</v>
      </c>
    </row>
    <row r="736" spans="1:15" x14ac:dyDescent="0.25">
      <c r="A736">
        <v>1664</v>
      </c>
      <c r="B736" s="10">
        <v>45875</v>
      </c>
      <c r="C736">
        <v>6</v>
      </c>
      <c r="D736" t="s">
        <v>109</v>
      </c>
      <c r="E736" t="s">
        <v>150</v>
      </c>
      <c r="F736" t="s">
        <v>122</v>
      </c>
      <c r="G736" t="s">
        <v>114</v>
      </c>
      <c r="H736" t="s">
        <v>37</v>
      </c>
      <c r="I736" t="s">
        <v>38</v>
      </c>
      <c r="J736" t="s">
        <v>103</v>
      </c>
      <c r="K736">
        <v>16</v>
      </c>
      <c r="L736">
        <v>2100</v>
      </c>
      <c r="M736">
        <v>33600</v>
      </c>
      <c r="N736" t="s">
        <v>108</v>
      </c>
      <c r="O736" t="s">
        <v>115</v>
      </c>
    </row>
    <row r="737" spans="1:15" x14ac:dyDescent="0.25">
      <c r="A737">
        <v>1732</v>
      </c>
      <c r="B737" s="10">
        <v>45789</v>
      </c>
      <c r="C737">
        <v>12</v>
      </c>
      <c r="D737" t="s">
        <v>120</v>
      </c>
      <c r="E737" t="s">
        <v>116</v>
      </c>
      <c r="F737" t="s">
        <v>141</v>
      </c>
      <c r="G737" t="s">
        <v>100</v>
      </c>
      <c r="H737" t="s">
        <v>37</v>
      </c>
      <c r="I737" t="s">
        <v>38</v>
      </c>
      <c r="J737" t="s">
        <v>103</v>
      </c>
      <c r="K737">
        <v>32</v>
      </c>
      <c r="L737">
        <v>2100</v>
      </c>
      <c r="M737">
        <v>67200</v>
      </c>
      <c r="N737" t="s">
        <v>108</v>
      </c>
      <c r="O737" t="s">
        <v>115</v>
      </c>
    </row>
    <row r="738" spans="1:15" x14ac:dyDescent="0.25">
      <c r="A738">
        <v>1784</v>
      </c>
      <c r="B738" s="10">
        <v>45759</v>
      </c>
      <c r="C738">
        <v>12</v>
      </c>
      <c r="D738" t="s">
        <v>105</v>
      </c>
      <c r="E738" t="s">
        <v>161</v>
      </c>
      <c r="F738" t="s">
        <v>99</v>
      </c>
      <c r="G738" t="s">
        <v>100</v>
      </c>
      <c r="H738" t="s">
        <v>37</v>
      </c>
      <c r="I738" t="s">
        <v>143</v>
      </c>
      <c r="J738" t="s">
        <v>94</v>
      </c>
      <c r="K738">
        <v>10</v>
      </c>
      <c r="L738">
        <v>2100</v>
      </c>
      <c r="M738">
        <v>21000</v>
      </c>
      <c r="N738" t="s">
        <v>95</v>
      </c>
      <c r="O738" t="s">
        <v>96</v>
      </c>
    </row>
    <row r="739" spans="1:15" x14ac:dyDescent="0.25">
      <c r="A739">
        <v>1795</v>
      </c>
      <c r="B739" s="10">
        <v>45853</v>
      </c>
      <c r="C739">
        <v>15</v>
      </c>
      <c r="D739" t="s">
        <v>145</v>
      </c>
      <c r="E739" t="s">
        <v>121</v>
      </c>
      <c r="F739" t="s">
        <v>144</v>
      </c>
      <c r="G739" t="s">
        <v>91</v>
      </c>
      <c r="H739" t="s">
        <v>37</v>
      </c>
      <c r="I739" t="s">
        <v>38</v>
      </c>
      <c r="J739" t="s">
        <v>103</v>
      </c>
      <c r="K739">
        <v>32</v>
      </c>
      <c r="L739">
        <v>2100</v>
      </c>
      <c r="M739">
        <v>67200</v>
      </c>
      <c r="N739" t="s">
        <v>95</v>
      </c>
      <c r="O739" t="s">
        <v>96</v>
      </c>
    </row>
    <row r="740" spans="1:15" x14ac:dyDescent="0.25">
      <c r="A740">
        <v>1828</v>
      </c>
      <c r="B740" s="10">
        <v>45970</v>
      </c>
      <c r="C740">
        <v>9</v>
      </c>
      <c r="D740" t="s">
        <v>90</v>
      </c>
      <c r="E740" t="s">
        <v>25</v>
      </c>
      <c r="F740" t="s">
        <v>99</v>
      </c>
      <c r="G740" t="s">
        <v>100</v>
      </c>
      <c r="H740" t="s">
        <v>37</v>
      </c>
      <c r="I740" t="s">
        <v>143</v>
      </c>
      <c r="J740" t="s">
        <v>94</v>
      </c>
      <c r="K740">
        <v>2</v>
      </c>
      <c r="L740">
        <v>2100</v>
      </c>
      <c r="M740">
        <v>4200</v>
      </c>
      <c r="N740" t="s">
        <v>95</v>
      </c>
      <c r="O740" t="s">
        <v>96</v>
      </c>
    </row>
    <row r="741" spans="1:15" x14ac:dyDescent="0.25">
      <c r="A741">
        <v>1838</v>
      </c>
      <c r="B741" s="10">
        <v>45737</v>
      </c>
      <c r="C741">
        <v>21</v>
      </c>
      <c r="D741" t="s">
        <v>140</v>
      </c>
      <c r="E741" t="s">
        <v>110</v>
      </c>
      <c r="F741" t="s">
        <v>113</v>
      </c>
      <c r="G741" t="s">
        <v>114</v>
      </c>
      <c r="H741" t="s">
        <v>101</v>
      </c>
      <c r="I741" t="s">
        <v>127</v>
      </c>
      <c r="J741" t="s">
        <v>103</v>
      </c>
      <c r="K741">
        <v>50</v>
      </c>
      <c r="L741">
        <v>2100</v>
      </c>
      <c r="M741">
        <v>105000</v>
      </c>
      <c r="N741" t="s">
        <v>95</v>
      </c>
      <c r="O741" t="s">
        <v>96</v>
      </c>
    </row>
    <row r="742" spans="1:15" x14ac:dyDescent="0.25">
      <c r="A742">
        <v>1878</v>
      </c>
      <c r="B742" s="10">
        <v>45769</v>
      </c>
      <c r="C742">
        <v>22</v>
      </c>
      <c r="D742" t="s">
        <v>105</v>
      </c>
      <c r="E742" t="s">
        <v>161</v>
      </c>
      <c r="F742" t="s">
        <v>49</v>
      </c>
      <c r="G742" t="s">
        <v>118</v>
      </c>
      <c r="H742" t="s">
        <v>101</v>
      </c>
      <c r="I742" t="s">
        <v>127</v>
      </c>
      <c r="J742" t="s">
        <v>103</v>
      </c>
      <c r="K742">
        <v>34</v>
      </c>
      <c r="L742">
        <v>2100</v>
      </c>
      <c r="M742">
        <v>71400</v>
      </c>
      <c r="N742" t="s">
        <v>108</v>
      </c>
      <c r="O742" t="s">
        <v>115</v>
      </c>
    </row>
    <row r="743" spans="1:15" x14ac:dyDescent="0.25">
      <c r="A743">
        <v>1892</v>
      </c>
      <c r="B743" s="10">
        <v>45948</v>
      </c>
      <c r="C743">
        <v>18</v>
      </c>
      <c r="D743" t="s">
        <v>136</v>
      </c>
      <c r="E743" t="s">
        <v>150</v>
      </c>
      <c r="F743" t="s">
        <v>144</v>
      </c>
      <c r="G743" t="s">
        <v>91</v>
      </c>
      <c r="H743" t="s">
        <v>37</v>
      </c>
      <c r="I743" t="s">
        <v>38</v>
      </c>
      <c r="J743" t="s">
        <v>103</v>
      </c>
      <c r="K743">
        <v>9</v>
      </c>
      <c r="L743">
        <v>2100</v>
      </c>
      <c r="M743">
        <v>18900</v>
      </c>
      <c r="N743" t="s">
        <v>95</v>
      </c>
      <c r="O743" t="s">
        <v>104</v>
      </c>
    </row>
    <row r="744" spans="1:15" x14ac:dyDescent="0.25">
      <c r="A744">
        <v>1961</v>
      </c>
      <c r="B744" s="10">
        <v>45825</v>
      </c>
      <c r="C744">
        <v>17</v>
      </c>
      <c r="D744" t="s">
        <v>153</v>
      </c>
      <c r="E744" t="s">
        <v>133</v>
      </c>
      <c r="F744" t="s">
        <v>134</v>
      </c>
      <c r="G744" t="s">
        <v>100</v>
      </c>
      <c r="H744" t="s">
        <v>101</v>
      </c>
      <c r="I744" t="s">
        <v>127</v>
      </c>
      <c r="J744" t="s">
        <v>103</v>
      </c>
      <c r="K744">
        <v>35</v>
      </c>
      <c r="L744">
        <v>2100</v>
      </c>
      <c r="M744">
        <v>73500</v>
      </c>
      <c r="N744" t="s">
        <v>108</v>
      </c>
      <c r="O744" t="s">
        <v>96</v>
      </c>
    </row>
    <row r="745" spans="1:15" x14ac:dyDescent="0.25">
      <c r="A745">
        <v>2068</v>
      </c>
      <c r="B745" s="10">
        <v>45769</v>
      </c>
      <c r="C745">
        <v>22</v>
      </c>
      <c r="D745" t="s">
        <v>105</v>
      </c>
      <c r="E745" t="s">
        <v>98</v>
      </c>
      <c r="F745" t="s">
        <v>107</v>
      </c>
      <c r="G745" t="s">
        <v>100</v>
      </c>
      <c r="H745" t="s">
        <v>37</v>
      </c>
      <c r="I745" t="s">
        <v>38</v>
      </c>
      <c r="J745" t="s">
        <v>103</v>
      </c>
      <c r="K745">
        <v>30</v>
      </c>
      <c r="L745">
        <v>2100</v>
      </c>
      <c r="M745">
        <v>63000</v>
      </c>
      <c r="N745" t="s">
        <v>108</v>
      </c>
      <c r="O745" t="s">
        <v>96</v>
      </c>
    </row>
    <row r="746" spans="1:15" x14ac:dyDescent="0.25">
      <c r="A746">
        <v>2073</v>
      </c>
      <c r="B746" s="10">
        <v>45726</v>
      </c>
      <c r="C746">
        <v>10</v>
      </c>
      <c r="D746" t="s">
        <v>140</v>
      </c>
      <c r="E746" t="s">
        <v>106</v>
      </c>
      <c r="F746" t="s">
        <v>134</v>
      </c>
      <c r="G746" t="s">
        <v>100</v>
      </c>
      <c r="H746" t="s">
        <v>101</v>
      </c>
      <c r="I746" t="s">
        <v>127</v>
      </c>
      <c r="J746" t="s">
        <v>103</v>
      </c>
      <c r="K746">
        <v>14</v>
      </c>
      <c r="L746">
        <v>2100</v>
      </c>
      <c r="M746">
        <v>29400</v>
      </c>
      <c r="N746" t="s">
        <v>108</v>
      </c>
      <c r="O746" t="s">
        <v>96</v>
      </c>
    </row>
    <row r="747" spans="1:15" x14ac:dyDescent="0.25">
      <c r="A747">
        <v>2132</v>
      </c>
      <c r="B747" s="10">
        <v>45868</v>
      </c>
      <c r="C747">
        <v>30</v>
      </c>
      <c r="D747" t="s">
        <v>145</v>
      </c>
      <c r="E747" t="s">
        <v>31</v>
      </c>
      <c r="F747" t="s">
        <v>107</v>
      </c>
      <c r="G747" t="s">
        <v>100</v>
      </c>
      <c r="H747" t="s">
        <v>37</v>
      </c>
      <c r="I747" t="s">
        <v>38</v>
      </c>
      <c r="J747" t="s">
        <v>103</v>
      </c>
      <c r="K747">
        <v>24</v>
      </c>
      <c r="L747">
        <v>2100</v>
      </c>
      <c r="M747">
        <v>50400</v>
      </c>
      <c r="N747" t="s">
        <v>108</v>
      </c>
      <c r="O747" t="s">
        <v>115</v>
      </c>
    </row>
    <row r="748" spans="1:15" x14ac:dyDescent="0.25">
      <c r="A748">
        <v>2172</v>
      </c>
      <c r="B748" s="10">
        <v>45709</v>
      </c>
      <c r="C748">
        <v>21</v>
      </c>
      <c r="D748" t="s">
        <v>97</v>
      </c>
      <c r="E748" t="s">
        <v>31</v>
      </c>
      <c r="F748" t="s">
        <v>107</v>
      </c>
      <c r="G748" t="s">
        <v>100</v>
      </c>
      <c r="H748" t="s">
        <v>101</v>
      </c>
      <c r="I748" t="s">
        <v>127</v>
      </c>
      <c r="J748" t="s">
        <v>103</v>
      </c>
      <c r="K748">
        <v>5</v>
      </c>
      <c r="L748">
        <v>2100</v>
      </c>
      <c r="M748">
        <v>10500</v>
      </c>
      <c r="N748" t="s">
        <v>108</v>
      </c>
      <c r="O748" t="s">
        <v>96</v>
      </c>
    </row>
    <row r="749" spans="1:15" x14ac:dyDescent="0.25">
      <c r="A749">
        <v>2225</v>
      </c>
      <c r="B749" s="10">
        <v>45870</v>
      </c>
      <c r="C749">
        <v>1</v>
      </c>
      <c r="D749" t="s">
        <v>109</v>
      </c>
      <c r="E749" t="s">
        <v>128</v>
      </c>
      <c r="F749" t="s">
        <v>22</v>
      </c>
      <c r="G749" t="s">
        <v>91</v>
      </c>
      <c r="H749" t="s">
        <v>101</v>
      </c>
      <c r="I749" t="s">
        <v>127</v>
      </c>
      <c r="J749" t="s">
        <v>103</v>
      </c>
      <c r="K749">
        <v>28</v>
      </c>
      <c r="L749">
        <v>2100</v>
      </c>
      <c r="M749">
        <v>58800</v>
      </c>
      <c r="N749" t="s">
        <v>108</v>
      </c>
      <c r="O749" t="s">
        <v>104</v>
      </c>
    </row>
    <row r="750" spans="1:15" x14ac:dyDescent="0.25">
      <c r="A750">
        <v>2315</v>
      </c>
      <c r="B750" s="10">
        <v>45768</v>
      </c>
      <c r="C750">
        <v>21</v>
      </c>
      <c r="D750" t="s">
        <v>105</v>
      </c>
      <c r="E750" t="s">
        <v>161</v>
      </c>
      <c r="F750" t="s">
        <v>36</v>
      </c>
      <c r="G750" t="s">
        <v>100</v>
      </c>
      <c r="H750" t="s">
        <v>37</v>
      </c>
      <c r="I750" t="s">
        <v>143</v>
      </c>
      <c r="J750" t="s">
        <v>94</v>
      </c>
      <c r="K750">
        <v>7</v>
      </c>
      <c r="L750">
        <v>2100</v>
      </c>
      <c r="M750">
        <v>14700</v>
      </c>
      <c r="N750" t="s">
        <v>108</v>
      </c>
      <c r="O750" t="s">
        <v>96</v>
      </c>
    </row>
    <row r="751" spans="1:15" x14ac:dyDescent="0.25">
      <c r="A751">
        <v>2404</v>
      </c>
      <c r="B751" s="10">
        <v>45734</v>
      </c>
      <c r="C751">
        <v>18</v>
      </c>
      <c r="D751" t="s">
        <v>140</v>
      </c>
      <c r="E751" t="s">
        <v>106</v>
      </c>
      <c r="F751" t="s">
        <v>151</v>
      </c>
      <c r="G751" t="s">
        <v>111</v>
      </c>
      <c r="H751" t="s">
        <v>37</v>
      </c>
      <c r="I751" t="s">
        <v>38</v>
      </c>
      <c r="J751" t="s">
        <v>103</v>
      </c>
      <c r="K751">
        <v>35</v>
      </c>
      <c r="L751">
        <v>2100</v>
      </c>
      <c r="M751">
        <v>73500</v>
      </c>
      <c r="N751" t="s">
        <v>108</v>
      </c>
      <c r="O751" t="s">
        <v>104</v>
      </c>
    </row>
    <row r="752" spans="1:15" x14ac:dyDescent="0.25">
      <c r="A752">
        <v>2524</v>
      </c>
      <c r="B752" s="10">
        <v>45665</v>
      </c>
      <c r="C752">
        <v>8</v>
      </c>
      <c r="D752" t="s">
        <v>130</v>
      </c>
      <c r="E752" t="s">
        <v>25</v>
      </c>
      <c r="F752" t="s">
        <v>151</v>
      </c>
      <c r="G752" t="s">
        <v>111</v>
      </c>
      <c r="H752" t="s">
        <v>37</v>
      </c>
      <c r="I752" t="s">
        <v>38</v>
      </c>
      <c r="J752" t="s">
        <v>103</v>
      </c>
      <c r="K752">
        <v>40</v>
      </c>
      <c r="L752">
        <v>2100</v>
      </c>
      <c r="M752">
        <v>84000</v>
      </c>
      <c r="N752" t="s">
        <v>108</v>
      </c>
      <c r="O752" t="s">
        <v>96</v>
      </c>
    </row>
    <row r="753" spans="1:15" x14ac:dyDescent="0.25">
      <c r="A753">
        <v>2535</v>
      </c>
      <c r="B753" s="10">
        <v>45886</v>
      </c>
      <c r="C753">
        <v>17</v>
      </c>
      <c r="D753" t="s">
        <v>109</v>
      </c>
      <c r="E753" t="s">
        <v>121</v>
      </c>
      <c r="F753" t="s">
        <v>151</v>
      </c>
      <c r="G753" t="s">
        <v>111</v>
      </c>
      <c r="H753" t="s">
        <v>37</v>
      </c>
      <c r="I753" t="s">
        <v>38</v>
      </c>
      <c r="J753" t="s">
        <v>103</v>
      </c>
      <c r="K753">
        <v>28</v>
      </c>
      <c r="L753">
        <v>2100</v>
      </c>
      <c r="M753">
        <v>58800</v>
      </c>
      <c r="N753" t="s">
        <v>108</v>
      </c>
      <c r="O753" t="s">
        <v>96</v>
      </c>
    </row>
    <row r="754" spans="1:15" x14ac:dyDescent="0.25">
      <c r="A754">
        <v>2613</v>
      </c>
      <c r="B754" s="10">
        <v>45720</v>
      </c>
      <c r="C754">
        <v>4</v>
      </c>
      <c r="D754" t="s">
        <v>140</v>
      </c>
      <c r="E754" t="s">
        <v>128</v>
      </c>
      <c r="F754" t="s">
        <v>141</v>
      </c>
      <c r="G754" t="s">
        <v>100</v>
      </c>
      <c r="H754" t="s">
        <v>37</v>
      </c>
      <c r="I754" t="s">
        <v>38</v>
      </c>
      <c r="J754" t="s">
        <v>103</v>
      </c>
      <c r="K754">
        <v>46</v>
      </c>
      <c r="L754">
        <v>2100</v>
      </c>
      <c r="M754">
        <v>96600</v>
      </c>
      <c r="N754" t="s">
        <v>95</v>
      </c>
      <c r="O754" t="s">
        <v>104</v>
      </c>
    </row>
    <row r="755" spans="1:15" x14ac:dyDescent="0.25">
      <c r="A755">
        <v>2941</v>
      </c>
      <c r="B755" s="10">
        <v>46004</v>
      </c>
      <c r="C755">
        <v>13</v>
      </c>
      <c r="D755" t="s">
        <v>125</v>
      </c>
      <c r="E755" t="s">
        <v>110</v>
      </c>
      <c r="F755" t="s">
        <v>117</v>
      </c>
      <c r="G755" t="s">
        <v>118</v>
      </c>
      <c r="H755" t="s">
        <v>37</v>
      </c>
      <c r="I755" t="s">
        <v>143</v>
      </c>
      <c r="J755" t="s">
        <v>94</v>
      </c>
      <c r="K755">
        <v>2</v>
      </c>
      <c r="L755">
        <v>2100</v>
      </c>
      <c r="M755">
        <v>4200</v>
      </c>
      <c r="N755" t="s">
        <v>108</v>
      </c>
      <c r="O755" t="s">
        <v>96</v>
      </c>
    </row>
    <row r="756" spans="1:15" x14ac:dyDescent="0.25">
      <c r="A756">
        <v>3037</v>
      </c>
      <c r="B756" s="10">
        <v>45729</v>
      </c>
      <c r="C756">
        <v>13</v>
      </c>
      <c r="D756" t="s">
        <v>140</v>
      </c>
      <c r="E756" t="s">
        <v>116</v>
      </c>
      <c r="F756" t="s">
        <v>151</v>
      </c>
      <c r="G756" t="s">
        <v>111</v>
      </c>
      <c r="H756" t="s">
        <v>101</v>
      </c>
      <c r="I756" t="s">
        <v>127</v>
      </c>
      <c r="J756" t="s">
        <v>103</v>
      </c>
      <c r="K756">
        <v>49</v>
      </c>
      <c r="L756">
        <v>2100</v>
      </c>
      <c r="M756">
        <v>102900</v>
      </c>
      <c r="N756" t="s">
        <v>108</v>
      </c>
      <c r="O756" t="s">
        <v>104</v>
      </c>
    </row>
    <row r="757" spans="1:15" x14ac:dyDescent="0.25">
      <c r="A757">
        <v>3038</v>
      </c>
      <c r="B757" s="10">
        <v>45736</v>
      </c>
      <c r="C757">
        <v>20</v>
      </c>
      <c r="D757" t="s">
        <v>140</v>
      </c>
      <c r="E757" t="s">
        <v>31</v>
      </c>
      <c r="F757" t="s">
        <v>107</v>
      </c>
      <c r="G757" t="s">
        <v>100</v>
      </c>
      <c r="H757" t="s">
        <v>101</v>
      </c>
      <c r="I757" t="s">
        <v>127</v>
      </c>
      <c r="J757" t="s">
        <v>103</v>
      </c>
      <c r="K757">
        <v>45</v>
      </c>
      <c r="L757">
        <v>2100</v>
      </c>
      <c r="M757">
        <v>94500</v>
      </c>
      <c r="N757" t="s">
        <v>108</v>
      </c>
      <c r="O757" t="s">
        <v>96</v>
      </c>
    </row>
    <row r="758" spans="1:15" x14ac:dyDescent="0.25">
      <c r="A758">
        <v>3169</v>
      </c>
      <c r="B758" s="10">
        <v>45738</v>
      </c>
      <c r="C758">
        <v>22</v>
      </c>
      <c r="D758" t="s">
        <v>140</v>
      </c>
      <c r="E758" t="s">
        <v>110</v>
      </c>
      <c r="F758" t="s">
        <v>99</v>
      </c>
      <c r="G758" t="s">
        <v>100</v>
      </c>
      <c r="H758" t="s">
        <v>37</v>
      </c>
      <c r="I758" t="s">
        <v>38</v>
      </c>
      <c r="J758" t="s">
        <v>103</v>
      </c>
      <c r="K758">
        <v>23</v>
      </c>
      <c r="L758">
        <v>2100</v>
      </c>
      <c r="M758">
        <v>48300</v>
      </c>
      <c r="N758" t="s">
        <v>108</v>
      </c>
      <c r="O758" t="s">
        <v>96</v>
      </c>
    </row>
    <row r="759" spans="1:15" x14ac:dyDescent="0.25">
      <c r="A759">
        <v>3264</v>
      </c>
      <c r="B759" s="10">
        <v>45786</v>
      </c>
      <c r="C759">
        <v>9</v>
      </c>
      <c r="D759" t="s">
        <v>120</v>
      </c>
      <c r="E759" t="s">
        <v>98</v>
      </c>
      <c r="F759" t="s">
        <v>22</v>
      </c>
      <c r="G759" t="s">
        <v>91</v>
      </c>
      <c r="H759" t="s">
        <v>37</v>
      </c>
      <c r="I759" t="s">
        <v>143</v>
      </c>
      <c r="J759" t="s">
        <v>94</v>
      </c>
      <c r="K759">
        <v>3</v>
      </c>
      <c r="L759">
        <v>2100</v>
      </c>
      <c r="M759">
        <v>6300</v>
      </c>
      <c r="N759" t="s">
        <v>108</v>
      </c>
      <c r="O759" t="s">
        <v>104</v>
      </c>
    </row>
    <row r="760" spans="1:15" x14ac:dyDescent="0.25">
      <c r="A760">
        <v>3269</v>
      </c>
      <c r="B760" s="10">
        <v>45845</v>
      </c>
      <c r="C760">
        <v>7</v>
      </c>
      <c r="D760" t="s">
        <v>145</v>
      </c>
      <c r="E760" t="s">
        <v>31</v>
      </c>
      <c r="F760" t="s">
        <v>122</v>
      </c>
      <c r="G760" t="s">
        <v>114</v>
      </c>
      <c r="H760" t="s">
        <v>37</v>
      </c>
      <c r="I760" t="s">
        <v>38</v>
      </c>
      <c r="J760" t="s">
        <v>103</v>
      </c>
      <c r="K760">
        <v>22</v>
      </c>
      <c r="L760">
        <v>2100</v>
      </c>
      <c r="M760">
        <v>46200</v>
      </c>
      <c r="N760" t="s">
        <v>95</v>
      </c>
      <c r="O760" t="s">
        <v>104</v>
      </c>
    </row>
    <row r="761" spans="1:15" x14ac:dyDescent="0.25">
      <c r="A761">
        <v>3325</v>
      </c>
      <c r="B761" s="10">
        <v>46006</v>
      </c>
      <c r="C761">
        <v>15</v>
      </c>
      <c r="D761" t="s">
        <v>125</v>
      </c>
      <c r="E761" t="s">
        <v>161</v>
      </c>
      <c r="F761" t="s">
        <v>49</v>
      </c>
      <c r="G761" t="s">
        <v>118</v>
      </c>
      <c r="H761" t="s">
        <v>37</v>
      </c>
      <c r="I761" t="s">
        <v>143</v>
      </c>
      <c r="J761" t="s">
        <v>94</v>
      </c>
      <c r="K761">
        <v>2</v>
      </c>
      <c r="L761">
        <v>2100</v>
      </c>
      <c r="M761">
        <v>4200</v>
      </c>
      <c r="N761" t="s">
        <v>95</v>
      </c>
      <c r="O761" t="s">
        <v>96</v>
      </c>
    </row>
    <row r="762" spans="1:15" x14ac:dyDescent="0.25">
      <c r="A762">
        <v>3341</v>
      </c>
      <c r="B762" s="10">
        <v>46015</v>
      </c>
      <c r="C762">
        <v>24</v>
      </c>
      <c r="D762" t="s">
        <v>125</v>
      </c>
      <c r="E762" t="s">
        <v>137</v>
      </c>
      <c r="F762" t="s">
        <v>117</v>
      </c>
      <c r="G762" t="s">
        <v>118</v>
      </c>
      <c r="H762" t="s">
        <v>37</v>
      </c>
      <c r="I762" t="s">
        <v>143</v>
      </c>
      <c r="J762" t="s">
        <v>94</v>
      </c>
      <c r="K762">
        <v>1</v>
      </c>
      <c r="L762">
        <v>2100</v>
      </c>
      <c r="M762">
        <v>2100</v>
      </c>
      <c r="N762" t="s">
        <v>95</v>
      </c>
      <c r="O762" t="s">
        <v>96</v>
      </c>
    </row>
    <row r="763" spans="1:15" x14ac:dyDescent="0.25">
      <c r="A763">
        <v>3467</v>
      </c>
      <c r="B763" s="10">
        <v>45873</v>
      </c>
      <c r="C763">
        <v>4</v>
      </c>
      <c r="D763" t="s">
        <v>109</v>
      </c>
      <c r="E763" t="s">
        <v>161</v>
      </c>
      <c r="F763" t="s">
        <v>134</v>
      </c>
      <c r="G763" t="s">
        <v>100</v>
      </c>
      <c r="H763" t="s">
        <v>37</v>
      </c>
      <c r="I763" t="s">
        <v>38</v>
      </c>
      <c r="J763" t="s">
        <v>103</v>
      </c>
      <c r="K763">
        <v>16</v>
      </c>
      <c r="L763">
        <v>2100</v>
      </c>
      <c r="M763">
        <v>33600</v>
      </c>
      <c r="N763" t="s">
        <v>108</v>
      </c>
      <c r="O763" t="s">
        <v>96</v>
      </c>
    </row>
    <row r="764" spans="1:15" x14ac:dyDescent="0.25">
      <c r="A764">
        <v>3557</v>
      </c>
      <c r="B764" s="10">
        <v>46015</v>
      </c>
      <c r="C764">
        <v>24</v>
      </c>
      <c r="D764" t="s">
        <v>125</v>
      </c>
      <c r="E764" t="s">
        <v>116</v>
      </c>
      <c r="F764" t="s">
        <v>28</v>
      </c>
      <c r="G764" t="s">
        <v>126</v>
      </c>
      <c r="H764" t="s">
        <v>37</v>
      </c>
      <c r="I764" t="s">
        <v>143</v>
      </c>
      <c r="J764" t="s">
        <v>94</v>
      </c>
      <c r="K764">
        <v>10</v>
      </c>
      <c r="L764">
        <v>2100</v>
      </c>
      <c r="M764">
        <v>21000</v>
      </c>
      <c r="N764" t="s">
        <v>95</v>
      </c>
      <c r="O764" t="s">
        <v>96</v>
      </c>
    </row>
    <row r="765" spans="1:15" x14ac:dyDescent="0.25">
      <c r="A765">
        <v>3572</v>
      </c>
      <c r="B765" s="10">
        <v>45956</v>
      </c>
      <c r="C765">
        <v>26</v>
      </c>
      <c r="D765" t="s">
        <v>136</v>
      </c>
      <c r="E765" t="s">
        <v>106</v>
      </c>
      <c r="F765" t="s">
        <v>117</v>
      </c>
      <c r="G765" t="s">
        <v>118</v>
      </c>
      <c r="H765" t="s">
        <v>37</v>
      </c>
      <c r="I765" t="s">
        <v>143</v>
      </c>
      <c r="J765" t="s">
        <v>94</v>
      </c>
      <c r="K765">
        <v>3</v>
      </c>
      <c r="L765">
        <v>2100</v>
      </c>
      <c r="M765">
        <v>6300</v>
      </c>
      <c r="N765" t="s">
        <v>108</v>
      </c>
      <c r="O765" t="s">
        <v>115</v>
      </c>
    </row>
    <row r="766" spans="1:15" x14ac:dyDescent="0.25">
      <c r="A766">
        <v>3591</v>
      </c>
      <c r="B766" s="10">
        <v>45795</v>
      </c>
      <c r="C766">
        <v>18</v>
      </c>
      <c r="D766" t="s">
        <v>120</v>
      </c>
      <c r="E766" t="s">
        <v>137</v>
      </c>
      <c r="F766" t="s">
        <v>49</v>
      </c>
      <c r="G766" t="s">
        <v>118</v>
      </c>
      <c r="H766" t="s">
        <v>37</v>
      </c>
      <c r="I766" t="s">
        <v>143</v>
      </c>
      <c r="J766" t="s">
        <v>94</v>
      </c>
      <c r="K766">
        <v>6</v>
      </c>
      <c r="L766">
        <v>2100</v>
      </c>
      <c r="M766">
        <v>12600</v>
      </c>
      <c r="N766" t="s">
        <v>108</v>
      </c>
      <c r="O766" t="s">
        <v>96</v>
      </c>
    </row>
    <row r="767" spans="1:15" x14ac:dyDescent="0.25">
      <c r="A767">
        <v>3618</v>
      </c>
      <c r="B767" s="10">
        <v>45910</v>
      </c>
      <c r="C767">
        <v>10</v>
      </c>
      <c r="D767" t="s">
        <v>147</v>
      </c>
      <c r="E767" t="s">
        <v>25</v>
      </c>
      <c r="F767" t="s">
        <v>44</v>
      </c>
      <c r="G767" t="s">
        <v>111</v>
      </c>
      <c r="H767" t="s">
        <v>37</v>
      </c>
      <c r="I767" t="s">
        <v>38</v>
      </c>
      <c r="J767" t="s">
        <v>103</v>
      </c>
      <c r="K767">
        <v>44</v>
      </c>
      <c r="L767">
        <v>2100</v>
      </c>
      <c r="M767">
        <v>92400</v>
      </c>
      <c r="N767" t="s">
        <v>95</v>
      </c>
      <c r="O767" t="s">
        <v>104</v>
      </c>
    </row>
    <row r="768" spans="1:15" x14ac:dyDescent="0.25">
      <c r="A768">
        <v>3719</v>
      </c>
      <c r="B768" s="10">
        <v>45945</v>
      </c>
      <c r="C768">
        <v>15</v>
      </c>
      <c r="D768" t="s">
        <v>136</v>
      </c>
      <c r="E768" t="s">
        <v>138</v>
      </c>
      <c r="F768" t="s">
        <v>134</v>
      </c>
      <c r="G768" t="s">
        <v>100</v>
      </c>
      <c r="H768" t="s">
        <v>101</v>
      </c>
      <c r="I768" t="s">
        <v>127</v>
      </c>
      <c r="J768" t="s">
        <v>103</v>
      </c>
      <c r="K768">
        <v>26</v>
      </c>
      <c r="L768">
        <v>2100</v>
      </c>
      <c r="M768">
        <v>54600</v>
      </c>
      <c r="N768" t="s">
        <v>95</v>
      </c>
      <c r="O768" t="s">
        <v>115</v>
      </c>
    </row>
    <row r="769" spans="1:15" x14ac:dyDescent="0.25">
      <c r="A769">
        <v>3731</v>
      </c>
      <c r="B769" s="10">
        <v>45909</v>
      </c>
      <c r="C769">
        <v>9</v>
      </c>
      <c r="D769" t="s">
        <v>147</v>
      </c>
      <c r="E769" t="s">
        <v>98</v>
      </c>
      <c r="F769" t="s">
        <v>44</v>
      </c>
      <c r="G769" t="s">
        <v>111</v>
      </c>
      <c r="H769" t="s">
        <v>37</v>
      </c>
      <c r="I769" t="s">
        <v>143</v>
      </c>
      <c r="J769" t="s">
        <v>94</v>
      </c>
      <c r="K769">
        <v>4</v>
      </c>
      <c r="L769">
        <v>2100</v>
      </c>
      <c r="M769">
        <v>8400</v>
      </c>
      <c r="N769" t="s">
        <v>108</v>
      </c>
      <c r="O769" t="s">
        <v>96</v>
      </c>
    </row>
    <row r="770" spans="1:15" x14ac:dyDescent="0.25">
      <c r="A770">
        <v>3789</v>
      </c>
      <c r="B770" s="10">
        <v>45688</v>
      </c>
      <c r="C770">
        <v>31</v>
      </c>
      <c r="D770" t="s">
        <v>130</v>
      </c>
      <c r="E770" t="s">
        <v>112</v>
      </c>
      <c r="F770" t="s">
        <v>44</v>
      </c>
      <c r="G770" t="s">
        <v>111</v>
      </c>
      <c r="H770" t="s">
        <v>37</v>
      </c>
      <c r="I770" t="s">
        <v>38</v>
      </c>
      <c r="J770" t="s">
        <v>103</v>
      </c>
      <c r="K770">
        <v>33</v>
      </c>
      <c r="L770">
        <v>2100</v>
      </c>
      <c r="M770">
        <v>69300</v>
      </c>
      <c r="N770" t="s">
        <v>95</v>
      </c>
      <c r="O770" t="s">
        <v>96</v>
      </c>
    </row>
    <row r="771" spans="1:15" x14ac:dyDescent="0.25">
      <c r="A771">
        <v>3856</v>
      </c>
      <c r="B771" s="10">
        <v>45865</v>
      </c>
      <c r="C771">
        <v>27</v>
      </c>
      <c r="D771" t="s">
        <v>145</v>
      </c>
      <c r="E771" t="s">
        <v>161</v>
      </c>
      <c r="F771" t="s">
        <v>49</v>
      </c>
      <c r="G771" t="s">
        <v>118</v>
      </c>
      <c r="H771" t="s">
        <v>37</v>
      </c>
      <c r="I771" t="s">
        <v>38</v>
      </c>
      <c r="J771" t="s">
        <v>103</v>
      </c>
      <c r="K771">
        <v>18</v>
      </c>
      <c r="L771">
        <v>2100</v>
      </c>
      <c r="M771">
        <v>37800</v>
      </c>
      <c r="N771" t="s">
        <v>108</v>
      </c>
      <c r="O771" t="s">
        <v>96</v>
      </c>
    </row>
    <row r="772" spans="1:15" x14ac:dyDescent="0.25">
      <c r="A772">
        <v>3912</v>
      </c>
      <c r="B772" s="10">
        <v>45780</v>
      </c>
      <c r="C772">
        <v>3</v>
      </c>
      <c r="D772" t="s">
        <v>120</v>
      </c>
      <c r="E772" t="s">
        <v>128</v>
      </c>
      <c r="F772" t="s">
        <v>117</v>
      </c>
      <c r="G772" t="s">
        <v>118</v>
      </c>
      <c r="H772" t="s">
        <v>37</v>
      </c>
      <c r="I772" t="s">
        <v>38</v>
      </c>
      <c r="J772" t="s">
        <v>103</v>
      </c>
      <c r="K772">
        <v>24</v>
      </c>
      <c r="L772">
        <v>2100</v>
      </c>
      <c r="M772">
        <v>50400</v>
      </c>
      <c r="N772" t="s">
        <v>108</v>
      </c>
      <c r="O772" t="s">
        <v>115</v>
      </c>
    </row>
    <row r="773" spans="1:15" x14ac:dyDescent="0.25">
      <c r="A773">
        <v>4067</v>
      </c>
      <c r="B773" s="10">
        <v>45658</v>
      </c>
      <c r="C773">
        <v>1</v>
      </c>
      <c r="D773" t="s">
        <v>130</v>
      </c>
      <c r="E773" t="s">
        <v>110</v>
      </c>
      <c r="F773" t="s">
        <v>99</v>
      </c>
      <c r="G773" t="s">
        <v>100</v>
      </c>
      <c r="H773" t="s">
        <v>37</v>
      </c>
      <c r="I773" t="s">
        <v>38</v>
      </c>
      <c r="J773" t="s">
        <v>103</v>
      </c>
      <c r="K773">
        <v>34</v>
      </c>
      <c r="L773">
        <v>2100</v>
      </c>
      <c r="M773">
        <v>71400</v>
      </c>
      <c r="N773" t="s">
        <v>95</v>
      </c>
      <c r="O773" t="s">
        <v>115</v>
      </c>
    </row>
    <row r="774" spans="1:15" x14ac:dyDescent="0.25">
      <c r="A774">
        <v>4199</v>
      </c>
      <c r="B774" s="10">
        <v>45744</v>
      </c>
      <c r="C774">
        <v>28</v>
      </c>
      <c r="D774" t="s">
        <v>140</v>
      </c>
      <c r="E774" t="s">
        <v>121</v>
      </c>
      <c r="F774" t="s">
        <v>36</v>
      </c>
      <c r="G774" t="s">
        <v>100</v>
      </c>
      <c r="H774" t="s">
        <v>101</v>
      </c>
      <c r="I774" t="s">
        <v>127</v>
      </c>
      <c r="J774" t="s">
        <v>94</v>
      </c>
      <c r="K774">
        <v>6</v>
      </c>
      <c r="L774">
        <v>2100</v>
      </c>
      <c r="M774">
        <v>12600</v>
      </c>
      <c r="N774" t="s">
        <v>108</v>
      </c>
      <c r="O774" t="s">
        <v>115</v>
      </c>
    </row>
    <row r="775" spans="1:15" x14ac:dyDescent="0.25">
      <c r="A775">
        <v>4319</v>
      </c>
      <c r="B775" s="10">
        <v>45920</v>
      </c>
      <c r="C775">
        <v>20</v>
      </c>
      <c r="D775" t="s">
        <v>147</v>
      </c>
      <c r="E775" t="s">
        <v>161</v>
      </c>
      <c r="F775" t="s">
        <v>117</v>
      </c>
      <c r="G775" t="s">
        <v>118</v>
      </c>
      <c r="H775" t="s">
        <v>101</v>
      </c>
      <c r="I775" t="s">
        <v>127</v>
      </c>
      <c r="J775" t="s">
        <v>103</v>
      </c>
      <c r="K775">
        <v>8</v>
      </c>
      <c r="L775">
        <v>2100</v>
      </c>
      <c r="M775">
        <v>16800</v>
      </c>
      <c r="N775" t="s">
        <v>95</v>
      </c>
      <c r="O775" t="s">
        <v>96</v>
      </c>
    </row>
    <row r="776" spans="1:15" x14ac:dyDescent="0.25">
      <c r="A776">
        <v>4437</v>
      </c>
      <c r="B776" s="10">
        <v>45730</v>
      </c>
      <c r="C776">
        <v>14</v>
      </c>
      <c r="D776" t="s">
        <v>140</v>
      </c>
      <c r="E776" t="s">
        <v>137</v>
      </c>
      <c r="F776" t="s">
        <v>148</v>
      </c>
      <c r="G776" t="s">
        <v>118</v>
      </c>
      <c r="H776" t="s">
        <v>37</v>
      </c>
      <c r="I776" t="s">
        <v>143</v>
      </c>
      <c r="J776" t="s">
        <v>94</v>
      </c>
      <c r="K776">
        <v>1</v>
      </c>
      <c r="L776">
        <v>2100</v>
      </c>
      <c r="M776">
        <v>2100</v>
      </c>
      <c r="N776" t="s">
        <v>95</v>
      </c>
      <c r="O776" t="s">
        <v>96</v>
      </c>
    </row>
    <row r="777" spans="1:15" x14ac:dyDescent="0.25">
      <c r="A777">
        <v>4531</v>
      </c>
      <c r="B777" s="10">
        <v>45993</v>
      </c>
      <c r="C777">
        <v>2</v>
      </c>
      <c r="D777" t="s">
        <v>125</v>
      </c>
      <c r="E777" t="s">
        <v>25</v>
      </c>
      <c r="F777" t="s">
        <v>151</v>
      </c>
      <c r="G777" t="s">
        <v>111</v>
      </c>
      <c r="H777" t="s">
        <v>37</v>
      </c>
      <c r="I777" t="s">
        <v>38</v>
      </c>
      <c r="J777" t="s">
        <v>103</v>
      </c>
      <c r="K777">
        <v>21</v>
      </c>
      <c r="L777">
        <v>2100</v>
      </c>
      <c r="M777">
        <v>44100</v>
      </c>
      <c r="N777" t="s">
        <v>95</v>
      </c>
      <c r="O777" t="s">
        <v>104</v>
      </c>
    </row>
    <row r="778" spans="1:15" x14ac:dyDescent="0.25">
      <c r="A778">
        <v>4555</v>
      </c>
      <c r="B778" s="10">
        <v>46020</v>
      </c>
      <c r="C778">
        <v>29</v>
      </c>
      <c r="D778" t="s">
        <v>125</v>
      </c>
      <c r="E778" t="s">
        <v>25</v>
      </c>
      <c r="F778" t="s">
        <v>44</v>
      </c>
      <c r="G778" t="s">
        <v>111</v>
      </c>
      <c r="H778" t="s">
        <v>101</v>
      </c>
      <c r="I778" t="s">
        <v>127</v>
      </c>
      <c r="J778" t="s">
        <v>103</v>
      </c>
      <c r="K778">
        <v>21</v>
      </c>
      <c r="L778">
        <v>2100</v>
      </c>
      <c r="M778">
        <v>44100</v>
      </c>
      <c r="N778" t="s">
        <v>95</v>
      </c>
      <c r="O778" t="s">
        <v>104</v>
      </c>
    </row>
    <row r="779" spans="1:15" x14ac:dyDescent="0.25">
      <c r="A779">
        <v>4601</v>
      </c>
      <c r="B779" s="10">
        <v>46019</v>
      </c>
      <c r="C779">
        <v>28</v>
      </c>
      <c r="D779" t="s">
        <v>125</v>
      </c>
      <c r="E779" t="s">
        <v>133</v>
      </c>
      <c r="F779" t="s">
        <v>107</v>
      </c>
      <c r="G779" t="s">
        <v>100</v>
      </c>
      <c r="H779" t="s">
        <v>101</v>
      </c>
      <c r="I779" t="s">
        <v>127</v>
      </c>
      <c r="J779" t="s">
        <v>103</v>
      </c>
      <c r="K779">
        <v>6</v>
      </c>
      <c r="L779">
        <v>2100</v>
      </c>
      <c r="M779">
        <v>12600</v>
      </c>
      <c r="N779" t="s">
        <v>108</v>
      </c>
      <c r="O779" t="s">
        <v>96</v>
      </c>
    </row>
    <row r="780" spans="1:15" x14ac:dyDescent="0.25">
      <c r="A780">
        <v>4634</v>
      </c>
      <c r="B780" s="10">
        <v>45808</v>
      </c>
      <c r="C780">
        <v>31</v>
      </c>
      <c r="D780" t="s">
        <v>120</v>
      </c>
      <c r="E780" t="s">
        <v>137</v>
      </c>
      <c r="F780" t="s">
        <v>107</v>
      </c>
      <c r="G780" t="s">
        <v>100</v>
      </c>
      <c r="H780" t="s">
        <v>37</v>
      </c>
      <c r="I780" t="s">
        <v>143</v>
      </c>
      <c r="J780" t="s">
        <v>94</v>
      </c>
      <c r="K780">
        <v>6</v>
      </c>
      <c r="L780">
        <v>2100</v>
      </c>
      <c r="M780">
        <v>12600</v>
      </c>
      <c r="N780" t="s">
        <v>95</v>
      </c>
      <c r="O780" t="s">
        <v>96</v>
      </c>
    </row>
    <row r="781" spans="1:15" x14ac:dyDescent="0.25">
      <c r="A781">
        <v>4738</v>
      </c>
      <c r="B781" s="10">
        <v>45680</v>
      </c>
      <c r="C781">
        <v>23</v>
      </c>
      <c r="D781" t="s">
        <v>130</v>
      </c>
      <c r="E781" t="s">
        <v>25</v>
      </c>
      <c r="F781" t="s">
        <v>151</v>
      </c>
      <c r="G781" t="s">
        <v>111</v>
      </c>
      <c r="H781" t="s">
        <v>37</v>
      </c>
      <c r="I781" t="s">
        <v>38</v>
      </c>
      <c r="J781" t="s">
        <v>103</v>
      </c>
      <c r="K781">
        <v>34</v>
      </c>
      <c r="L781">
        <v>2100</v>
      </c>
      <c r="M781">
        <v>71400</v>
      </c>
      <c r="N781" t="s">
        <v>108</v>
      </c>
      <c r="O781" t="s">
        <v>96</v>
      </c>
    </row>
    <row r="782" spans="1:15" x14ac:dyDescent="0.25">
      <c r="A782">
        <v>4750</v>
      </c>
      <c r="B782" s="10">
        <v>45960</v>
      </c>
      <c r="C782">
        <v>30</v>
      </c>
      <c r="D782" t="s">
        <v>136</v>
      </c>
      <c r="E782" t="s">
        <v>121</v>
      </c>
      <c r="F782" t="s">
        <v>122</v>
      </c>
      <c r="G782" t="s">
        <v>114</v>
      </c>
      <c r="H782" t="s">
        <v>101</v>
      </c>
      <c r="I782" t="s">
        <v>127</v>
      </c>
      <c r="J782" t="s">
        <v>103</v>
      </c>
      <c r="K782">
        <v>28</v>
      </c>
      <c r="L782">
        <v>2100</v>
      </c>
      <c r="M782">
        <v>58800</v>
      </c>
      <c r="N782" t="s">
        <v>95</v>
      </c>
      <c r="O782" t="s">
        <v>115</v>
      </c>
    </row>
    <row r="783" spans="1:15" x14ac:dyDescent="0.25">
      <c r="A783">
        <v>4778</v>
      </c>
      <c r="B783" s="10">
        <v>45664</v>
      </c>
      <c r="C783">
        <v>7</v>
      </c>
      <c r="D783" t="s">
        <v>130</v>
      </c>
      <c r="E783" t="s">
        <v>138</v>
      </c>
      <c r="F783" t="s">
        <v>107</v>
      </c>
      <c r="G783" t="s">
        <v>100</v>
      </c>
      <c r="H783" t="s">
        <v>37</v>
      </c>
      <c r="I783" t="s">
        <v>143</v>
      </c>
      <c r="J783" t="s">
        <v>94</v>
      </c>
      <c r="K783">
        <v>6</v>
      </c>
      <c r="L783">
        <v>2100</v>
      </c>
      <c r="M783">
        <v>12600</v>
      </c>
      <c r="N783" t="s">
        <v>108</v>
      </c>
      <c r="O783" t="s">
        <v>96</v>
      </c>
    </row>
    <row r="784" spans="1:15" x14ac:dyDescent="0.25">
      <c r="A784">
        <v>4810</v>
      </c>
      <c r="B784" s="10">
        <v>45659</v>
      </c>
      <c r="C784">
        <v>2</v>
      </c>
      <c r="D784" t="s">
        <v>130</v>
      </c>
      <c r="E784" t="s">
        <v>133</v>
      </c>
      <c r="F784" t="s">
        <v>151</v>
      </c>
      <c r="G784" t="s">
        <v>111</v>
      </c>
      <c r="H784" t="s">
        <v>37</v>
      </c>
      <c r="I784" t="s">
        <v>38</v>
      </c>
      <c r="J784" t="s">
        <v>103</v>
      </c>
      <c r="K784">
        <v>41</v>
      </c>
      <c r="L784">
        <v>2100</v>
      </c>
      <c r="M784">
        <v>86100</v>
      </c>
      <c r="N784" t="s">
        <v>108</v>
      </c>
      <c r="O784" t="s">
        <v>96</v>
      </c>
    </row>
    <row r="785" spans="1:15" x14ac:dyDescent="0.25">
      <c r="A785">
        <v>4822</v>
      </c>
      <c r="B785" s="10">
        <v>45976</v>
      </c>
      <c r="C785">
        <v>15</v>
      </c>
      <c r="D785" t="s">
        <v>90</v>
      </c>
      <c r="E785" t="s">
        <v>98</v>
      </c>
      <c r="F785" t="s">
        <v>99</v>
      </c>
      <c r="G785" t="s">
        <v>100</v>
      </c>
      <c r="H785" t="s">
        <v>101</v>
      </c>
      <c r="I785" t="s">
        <v>127</v>
      </c>
      <c r="J785" t="s">
        <v>103</v>
      </c>
      <c r="K785">
        <v>24</v>
      </c>
      <c r="L785">
        <v>2100</v>
      </c>
      <c r="M785">
        <v>50400</v>
      </c>
      <c r="N785" t="s">
        <v>108</v>
      </c>
      <c r="O785" t="s">
        <v>96</v>
      </c>
    </row>
    <row r="786" spans="1:15" x14ac:dyDescent="0.25">
      <c r="A786">
        <v>4917</v>
      </c>
      <c r="B786" s="10">
        <v>46011</v>
      </c>
      <c r="C786">
        <v>20</v>
      </c>
      <c r="D786" t="s">
        <v>125</v>
      </c>
      <c r="E786" t="s">
        <v>133</v>
      </c>
      <c r="F786" t="s">
        <v>122</v>
      </c>
      <c r="G786" t="s">
        <v>114</v>
      </c>
      <c r="H786" t="s">
        <v>37</v>
      </c>
      <c r="I786" t="s">
        <v>143</v>
      </c>
      <c r="J786" t="s">
        <v>94</v>
      </c>
      <c r="K786">
        <v>9</v>
      </c>
      <c r="L786">
        <v>2100</v>
      </c>
      <c r="M786">
        <v>18900</v>
      </c>
      <c r="N786" t="s">
        <v>95</v>
      </c>
      <c r="O786" t="s">
        <v>115</v>
      </c>
    </row>
    <row r="787" spans="1:15" x14ac:dyDescent="0.25">
      <c r="A787">
        <v>4957</v>
      </c>
      <c r="B787" s="10">
        <v>45934</v>
      </c>
      <c r="C787">
        <v>4</v>
      </c>
      <c r="D787" t="s">
        <v>136</v>
      </c>
      <c r="E787" t="s">
        <v>161</v>
      </c>
      <c r="F787" t="s">
        <v>151</v>
      </c>
      <c r="G787" t="s">
        <v>111</v>
      </c>
      <c r="H787" t="s">
        <v>37</v>
      </c>
      <c r="I787" t="s">
        <v>38</v>
      </c>
      <c r="J787" t="s">
        <v>103</v>
      </c>
      <c r="K787">
        <v>15</v>
      </c>
      <c r="L787">
        <v>2100</v>
      </c>
      <c r="M787">
        <v>31500</v>
      </c>
      <c r="N787" t="s">
        <v>108</v>
      </c>
      <c r="O787" t="s">
        <v>96</v>
      </c>
    </row>
    <row r="788" spans="1:15" x14ac:dyDescent="0.25">
      <c r="A788">
        <v>211</v>
      </c>
      <c r="B788" s="10">
        <v>45983</v>
      </c>
      <c r="C788">
        <v>22</v>
      </c>
      <c r="D788" t="s">
        <v>90</v>
      </c>
      <c r="E788" t="s">
        <v>142</v>
      </c>
      <c r="F788" t="s">
        <v>113</v>
      </c>
      <c r="G788" t="s">
        <v>114</v>
      </c>
      <c r="H788" t="s">
        <v>37</v>
      </c>
      <c r="I788" t="s">
        <v>38</v>
      </c>
      <c r="J788" t="s">
        <v>103</v>
      </c>
      <c r="K788">
        <v>9</v>
      </c>
      <c r="L788">
        <v>2200</v>
      </c>
      <c r="M788">
        <v>19800</v>
      </c>
      <c r="N788" t="s">
        <v>108</v>
      </c>
      <c r="O788" t="s">
        <v>104</v>
      </c>
    </row>
    <row r="789" spans="1:15" x14ac:dyDescent="0.25">
      <c r="A789">
        <v>303</v>
      </c>
      <c r="B789" s="10">
        <v>45782</v>
      </c>
      <c r="C789">
        <v>5</v>
      </c>
      <c r="D789" t="s">
        <v>120</v>
      </c>
      <c r="E789" t="s">
        <v>116</v>
      </c>
      <c r="F789" t="s">
        <v>49</v>
      </c>
      <c r="G789" t="s">
        <v>118</v>
      </c>
      <c r="H789" t="s">
        <v>37</v>
      </c>
      <c r="I789" t="s">
        <v>38</v>
      </c>
      <c r="J789" t="s">
        <v>103</v>
      </c>
      <c r="K789">
        <v>28</v>
      </c>
      <c r="L789">
        <v>2200</v>
      </c>
      <c r="M789">
        <v>61600</v>
      </c>
      <c r="N789" t="s">
        <v>95</v>
      </c>
      <c r="O789" t="s">
        <v>96</v>
      </c>
    </row>
    <row r="790" spans="1:15" x14ac:dyDescent="0.25">
      <c r="A790">
        <v>365</v>
      </c>
      <c r="B790" s="10">
        <v>45674</v>
      </c>
      <c r="C790">
        <v>17</v>
      </c>
      <c r="D790" t="s">
        <v>130</v>
      </c>
      <c r="E790" t="s">
        <v>133</v>
      </c>
      <c r="F790" t="s">
        <v>44</v>
      </c>
      <c r="G790" t="s">
        <v>111</v>
      </c>
      <c r="H790" t="s">
        <v>37</v>
      </c>
      <c r="I790" t="s">
        <v>38</v>
      </c>
      <c r="J790" t="s">
        <v>103</v>
      </c>
      <c r="K790">
        <v>12</v>
      </c>
      <c r="L790">
        <v>2200</v>
      </c>
      <c r="M790">
        <v>26400</v>
      </c>
      <c r="N790" t="s">
        <v>95</v>
      </c>
      <c r="O790" t="s">
        <v>104</v>
      </c>
    </row>
    <row r="791" spans="1:15" x14ac:dyDescent="0.25">
      <c r="A791">
        <v>392</v>
      </c>
      <c r="B791" s="10">
        <v>45985</v>
      </c>
      <c r="C791">
        <v>24</v>
      </c>
      <c r="D791" t="s">
        <v>90</v>
      </c>
      <c r="E791" t="s">
        <v>137</v>
      </c>
      <c r="F791" t="s">
        <v>107</v>
      </c>
      <c r="G791" t="s">
        <v>100</v>
      </c>
      <c r="H791" t="s">
        <v>101</v>
      </c>
      <c r="I791" t="s">
        <v>127</v>
      </c>
      <c r="J791" t="s">
        <v>103</v>
      </c>
      <c r="K791">
        <v>10</v>
      </c>
      <c r="L791">
        <v>2200</v>
      </c>
      <c r="M791">
        <v>22000</v>
      </c>
      <c r="N791" t="s">
        <v>108</v>
      </c>
      <c r="O791" t="s">
        <v>104</v>
      </c>
    </row>
    <row r="792" spans="1:15" x14ac:dyDescent="0.25">
      <c r="A792">
        <v>410</v>
      </c>
      <c r="B792" s="10">
        <v>45701</v>
      </c>
      <c r="C792">
        <v>13</v>
      </c>
      <c r="D792" t="s">
        <v>97</v>
      </c>
      <c r="E792" t="s">
        <v>110</v>
      </c>
      <c r="F792" t="s">
        <v>28</v>
      </c>
      <c r="G792" t="s">
        <v>126</v>
      </c>
      <c r="H792" t="s">
        <v>101</v>
      </c>
      <c r="I792" t="s">
        <v>127</v>
      </c>
      <c r="J792" t="s">
        <v>103</v>
      </c>
      <c r="K792">
        <v>9</v>
      </c>
      <c r="L792">
        <v>2200</v>
      </c>
      <c r="M792">
        <v>19800</v>
      </c>
      <c r="N792" t="s">
        <v>95</v>
      </c>
      <c r="O792" t="s">
        <v>115</v>
      </c>
    </row>
    <row r="793" spans="1:15" x14ac:dyDescent="0.25">
      <c r="A793">
        <v>573</v>
      </c>
      <c r="B793" s="10">
        <v>45739</v>
      </c>
      <c r="C793">
        <v>23</v>
      </c>
      <c r="D793" t="s">
        <v>140</v>
      </c>
      <c r="E793" t="s">
        <v>138</v>
      </c>
      <c r="F793" t="s">
        <v>148</v>
      </c>
      <c r="G793" t="s">
        <v>118</v>
      </c>
      <c r="H793" t="s">
        <v>101</v>
      </c>
      <c r="I793" t="s">
        <v>127</v>
      </c>
      <c r="J793" t="s">
        <v>103</v>
      </c>
      <c r="K793">
        <v>27</v>
      </c>
      <c r="L793">
        <v>2200</v>
      </c>
      <c r="M793">
        <v>59400</v>
      </c>
      <c r="N793" t="s">
        <v>95</v>
      </c>
      <c r="O793" t="s">
        <v>104</v>
      </c>
    </row>
    <row r="794" spans="1:15" x14ac:dyDescent="0.25">
      <c r="A794">
        <v>697</v>
      </c>
      <c r="B794" s="10">
        <v>45733</v>
      </c>
      <c r="C794">
        <v>17</v>
      </c>
      <c r="D794" t="s">
        <v>140</v>
      </c>
      <c r="E794" t="s">
        <v>121</v>
      </c>
      <c r="F794" t="s">
        <v>141</v>
      </c>
      <c r="G794" t="s">
        <v>100</v>
      </c>
      <c r="H794" t="s">
        <v>37</v>
      </c>
      <c r="I794" t="s">
        <v>38</v>
      </c>
      <c r="J794" t="s">
        <v>103</v>
      </c>
      <c r="K794">
        <v>49</v>
      </c>
      <c r="L794">
        <v>2200</v>
      </c>
      <c r="M794">
        <v>107800</v>
      </c>
      <c r="N794" t="s">
        <v>95</v>
      </c>
      <c r="O794" t="s">
        <v>115</v>
      </c>
    </row>
    <row r="795" spans="1:15" x14ac:dyDescent="0.25">
      <c r="A795">
        <v>885</v>
      </c>
      <c r="B795" s="10">
        <v>45901</v>
      </c>
      <c r="C795">
        <v>1</v>
      </c>
      <c r="D795" t="s">
        <v>147</v>
      </c>
      <c r="E795" t="s">
        <v>121</v>
      </c>
      <c r="F795" t="s">
        <v>107</v>
      </c>
      <c r="G795" t="s">
        <v>100</v>
      </c>
      <c r="H795" t="s">
        <v>37</v>
      </c>
      <c r="I795" t="s">
        <v>38</v>
      </c>
      <c r="J795" t="s">
        <v>103</v>
      </c>
      <c r="K795">
        <v>10</v>
      </c>
      <c r="L795">
        <v>2200</v>
      </c>
      <c r="M795">
        <v>22000</v>
      </c>
      <c r="N795" t="s">
        <v>95</v>
      </c>
      <c r="O795" t="s">
        <v>115</v>
      </c>
    </row>
    <row r="796" spans="1:15" x14ac:dyDescent="0.25">
      <c r="A796">
        <v>1013</v>
      </c>
      <c r="B796" s="10">
        <v>45667</v>
      </c>
      <c r="C796">
        <v>10</v>
      </c>
      <c r="D796" t="s">
        <v>130</v>
      </c>
      <c r="E796" t="s">
        <v>142</v>
      </c>
      <c r="F796" t="s">
        <v>148</v>
      </c>
      <c r="G796" t="s">
        <v>118</v>
      </c>
      <c r="H796" t="s">
        <v>37</v>
      </c>
      <c r="I796" t="s">
        <v>143</v>
      </c>
      <c r="J796" t="s">
        <v>94</v>
      </c>
      <c r="K796">
        <v>5</v>
      </c>
      <c r="L796">
        <v>2200</v>
      </c>
      <c r="M796">
        <v>11000</v>
      </c>
      <c r="N796" t="s">
        <v>108</v>
      </c>
      <c r="O796" t="s">
        <v>115</v>
      </c>
    </row>
    <row r="797" spans="1:15" x14ac:dyDescent="0.25">
      <c r="A797">
        <v>1033</v>
      </c>
      <c r="B797" s="10">
        <v>45801</v>
      </c>
      <c r="C797">
        <v>24</v>
      </c>
      <c r="D797" t="s">
        <v>120</v>
      </c>
      <c r="E797" t="s">
        <v>128</v>
      </c>
      <c r="F797" t="s">
        <v>107</v>
      </c>
      <c r="G797" t="s">
        <v>100</v>
      </c>
      <c r="H797" t="s">
        <v>101</v>
      </c>
      <c r="I797" t="s">
        <v>127</v>
      </c>
      <c r="J797" t="s">
        <v>103</v>
      </c>
      <c r="K797">
        <v>33</v>
      </c>
      <c r="L797">
        <v>2200</v>
      </c>
      <c r="M797">
        <v>72600</v>
      </c>
      <c r="N797" t="s">
        <v>95</v>
      </c>
      <c r="O797" t="s">
        <v>96</v>
      </c>
    </row>
    <row r="798" spans="1:15" x14ac:dyDescent="0.25">
      <c r="A798">
        <v>1088</v>
      </c>
      <c r="B798" s="10">
        <v>45873</v>
      </c>
      <c r="C798">
        <v>4</v>
      </c>
      <c r="D798" t="s">
        <v>109</v>
      </c>
      <c r="E798" t="s">
        <v>137</v>
      </c>
      <c r="F798" t="s">
        <v>151</v>
      </c>
      <c r="G798" t="s">
        <v>111</v>
      </c>
      <c r="H798" t="s">
        <v>37</v>
      </c>
      <c r="I798" t="s">
        <v>38</v>
      </c>
      <c r="J798" t="s">
        <v>103</v>
      </c>
      <c r="K798">
        <v>17</v>
      </c>
      <c r="L798">
        <v>2200</v>
      </c>
      <c r="M798">
        <v>37400</v>
      </c>
      <c r="N798" t="s">
        <v>108</v>
      </c>
      <c r="O798" t="s">
        <v>104</v>
      </c>
    </row>
    <row r="799" spans="1:15" x14ac:dyDescent="0.25">
      <c r="A799">
        <v>1152</v>
      </c>
      <c r="B799" s="10">
        <v>45861</v>
      </c>
      <c r="C799">
        <v>23</v>
      </c>
      <c r="D799" t="s">
        <v>145</v>
      </c>
      <c r="E799" t="s">
        <v>25</v>
      </c>
      <c r="F799" t="s">
        <v>22</v>
      </c>
      <c r="G799" t="s">
        <v>91</v>
      </c>
      <c r="H799" t="s">
        <v>37</v>
      </c>
      <c r="I799" t="s">
        <v>38</v>
      </c>
      <c r="J799" t="s">
        <v>94</v>
      </c>
      <c r="K799">
        <v>6</v>
      </c>
      <c r="L799">
        <v>2200</v>
      </c>
      <c r="M799">
        <v>13200</v>
      </c>
      <c r="N799" t="s">
        <v>108</v>
      </c>
      <c r="O799" t="s">
        <v>115</v>
      </c>
    </row>
    <row r="800" spans="1:15" x14ac:dyDescent="0.25">
      <c r="A800">
        <v>1271</v>
      </c>
      <c r="B800" s="10">
        <v>45751</v>
      </c>
      <c r="C800">
        <v>4</v>
      </c>
      <c r="D800" t="s">
        <v>105</v>
      </c>
      <c r="E800" t="s">
        <v>137</v>
      </c>
      <c r="F800" t="s">
        <v>117</v>
      </c>
      <c r="G800" t="s">
        <v>118</v>
      </c>
      <c r="H800" t="s">
        <v>37</v>
      </c>
      <c r="I800" t="s">
        <v>38</v>
      </c>
      <c r="J800" t="s">
        <v>103</v>
      </c>
      <c r="K800">
        <v>47</v>
      </c>
      <c r="L800">
        <v>2200</v>
      </c>
      <c r="M800">
        <v>103400</v>
      </c>
      <c r="N800" t="s">
        <v>108</v>
      </c>
      <c r="O800" t="s">
        <v>104</v>
      </c>
    </row>
    <row r="801" spans="1:15" x14ac:dyDescent="0.25">
      <c r="A801">
        <v>1408</v>
      </c>
      <c r="B801" s="10">
        <v>45945</v>
      </c>
      <c r="C801">
        <v>15</v>
      </c>
      <c r="D801" t="s">
        <v>136</v>
      </c>
      <c r="E801" t="s">
        <v>31</v>
      </c>
      <c r="F801" t="s">
        <v>134</v>
      </c>
      <c r="G801" t="s">
        <v>100</v>
      </c>
      <c r="H801" t="s">
        <v>37</v>
      </c>
      <c r="I801" t="s">
        <v>143</v>
      </c>
      <c r="J801" t="s">
        <v>94</v>
      </c>
      <c r="K801">
        <v>9</v>
      </c>
      <c r="L801">
        <v>2200</v>
      </c>
      <c r="M801">
        <v>19800</v>
      </c>
      <c r="N801" t="s">
        <v>95</v>
      </c>
      <c r="O801" t="s">
        <v>104</v>
      </c>
    </row>
    <row r="802" spans="1:15" x14ac:dyDescent="0.25">
      <c r="A802">
        <v>1478</v>
      </c>
      <c r="B802" s="10">
        <v>45914</v>
      </c>
      <c r="C802">
        <v>14</v>
      </c>
      <c r="D802" t="s">
        <v>147</v>
      </c>
      <c r="E802" t="s">
        <v>121</v>
      </c>
      <c r="F802" t="s">
        <v>141</v>
      </c>
      <c r="G802" t="s">
        <v>100</v>
      </c>
      <c r="H802" t="s">
        <v>101</v>
      </c>
      <c r="I802" t="s">
        <v>127</v>
      </c>
      <c r="J802" t="s">
        <v>103</v>
      </c>
      <c r="K802">
        <v>50</v>
      </c>
      <c r="L802">
        <v>2200</v>
      </c>
      <c r="M802">
        <v>110000</v>
      </c>
      <c r="N802" t="s">
        <v>108</v>
      </c>
      <c r="O802" t="s">
        <v>96</v>
      </c>
    </row>
    <row r="803" spans="1:15" x14ac:dyDescent="0.25">
      <c r="A803">
        <v>1623</v>
      </c>
      <c r="B803" s="10">
        <v>45984</v>
      </c>
      <c r="C803">
        <v>23</v>
      </c>
      <c r="D803" t="s">
        <v>90</v>
      </c>
      <c r="E803" t="s">
        <v>161</v>
      </c>
      <c r="F803" t="s">
        <v>22</v>
      </c>
      <c r="G803" t="s">
        <v>91</v>
      </c>
      <c r="H803" t="s">
        <v>37</v>
      </c>
      <c r="I803" t="s">
        <v>38</v>
      </c>
      <c r="J803" t="s">
        <v>103</v>
      </c>
      <c r="K803">
        <v>17</v>
      </c>
      <c r="L803">
        <v>2200</v>
      </c>
      <c r="M803">
        <v>37400</v>
      </c>
      <c r="N803" t="s">
        <v>95</v>
      </c>
      <c r="O803" t="s">
        <v>115</v>
      </c>
    </row>
    <row r="804" spans="1:15" x14ac:dyDescent="0.25">
      <c r="A804">
        <v>1648</v>
      </c>
      <c r="B804" s="10">
        <v>46008</v>
      </c>
      <c r="C804">
        <v>17</v>
      </c>
      <c r="D804" t="s">
        <v>125</v>
      </c>
      <c r="E804" t="s">
        <v>137</v>
      </c>
      <c r="F804" t="s">
        <v>141</v>
      </c>
      <c r="G804" t="s">
        <v>100</v>
      </c>
      <c r="H804" t="s">
        <v>37</v>
      </c>
      <c r="I804" t="s">
        <v>38</v>
      </c>
      <c r="J804" t="s">
        <v>103</v>
      </c>
      <c r="K804">
        <v>15</v>
      </c>
      <c r="L804">
        <v>2200</v>
      </c>
      <c r="M804">
        <v>33000</v>
      </c>
      <c r="N804" t="s">
        <v>108</v>
      </c>
      <c r="O804" t="s">
        <v>104</v>
      </c>
    </row>
    <row r="805" spans="1:15" x14ac:dyDescent="0.25">
      <c r="A805">
        <v>1808</v>
      </c>
      <c r="B805" s="10">
        <v>45828</v>
      </c>
      <c r="C805">
        <v>20</v>
      </c>
      <c r="D805" t="s">
        <v>153</v>
      </c>
      <c r="E805" t="s">
        <v>150</v>
      </c>
      <c r="F805" t="s">
        <v>148</v>
      </c>
      <c r="G805" t="s">
        <v>118</v>
      </c>
      <c r="H805" t="s">
        <v>101</v>
      </c>
      <c r="I805" t="s">
        <v>127</v>
      </c>
      <c r="J805" t="s">
        <v>103</v>
      </c>
      <c r="K805">
        <v>24</v>
      </c>
      <c r="L805">
        <v>2200</v>
      </c>
      <c r="M805">
        <v>52800</v>
      </c>
      <c r="N805" t="s">
        <v>95</v>
      </c>
      <c r="O805" t="s">
        <v>96</v>
      </c>
    </row>
    <row r="806" spans="1:15" x14ac:dyDescent="0.25">
      <c r="A806">
        <v>1850</v>
      </c>
      <c r="B806" s="10">
        <v>45880</v>
      </c>
      <c r="C806">
        <v>11</v>
      </c>
      <c r="D806" t="s">
        <v>109</v>
      </c>
      <c r="E806" t="s">
        <v>161</v>
      </c>
      <c r="F806" t="s">
        <v>107</v>
      </c>
      <c r="G806" t="s">
        <v>100</v>
      </c>
      <c r="H806" t="s">
        <v>101</v>
      </c>
      <c r="I806" t="s">
        <v>127</v>
      </c>
      <c r="J806" t="s">
        <v>103</v>
      </c>
      <c r="K806">
        <v>48</v>
      </c>
      <c r="L806">
        <v>2200</v>
      </c>
      <c r="M806">
        <v>105600</v>
      </c>
      <c r="N806" t="s">
        <v>95</v>
      </c>
      <c r="O806" t="s">
        <v>104</v>
      </c>
    </row>
    <row r="807" spans="1:15" x14ac:dyDescent="0.25">
      <c r="A807">
        <v>1874</v>
      </c>
      <c r="B807" s="10">
        <v>45789</v>
      </c>
      <c r="C807">
        <v>12</v>
      </c>
      <c r="D807" t="s">
        <v>120</v>
      </c>
      <c r="E807" t="s">
        <v>128</v>
      </c>
      <c r="F807" t="s">
        <v>36</v>
      </c>
      <c r="G807" t="s">
        <v>100</v>
      </c>
      <c r="H807" t="s">
        <v>37</v>
      </c>
      <c r="I807" t="s">
        <v>38</v>
      </c>
      <c r="J807" t="s">
        <v>103</v>
      </c>
      <c r="K807">
        <v>24</v>
      </c>
      <c r="L807">
        <v>2200</v>
      </c>
      <c r="M807">
        <v>52800</v>
      </c>
      <c r="N807" t="s">
        <v>95</v>
      </c>
      <c r="O807" t="s">
        <v>104</v>
      </c>
    </row>
    <row r="808" spans="1:15" x14ac:dyDescent="0.25">
      <c r="A808">
        <v>1882</v>
      </c>
      <c r="B808" s="10">
        <v>45948</v>
      </c>
      <c r="C808">
        <v>18</v>
      </c>
      <c r="D808" t="s">
        <v>136</v>
      </c>
      <c r="E808" t="s">
        <v>98</v>
      </c>
      <c r="F808" t="s">
        <v>36</v>
      </c>
      <c r="G808" t="s">
        <v>100</v>
      </c>
      <c r="H808" t="s">
        <v>37</v>
      </c>
      <c r="I808" t="s">
        <v>143</v>
      </c>
      <c r="J808" t="s">
        <v>94</v>
      </c>
      <c r="K808">
        <v>7</v>
      </c>
      <c r="L808">
        <v>2200</v>
      </c>
      <c r="M808">
        <v>15400</v>
      </c>
      <c r="N808" t="s">
        <v>95</v>
      </c>
      <c r="O808" t="s">
        <v>104</v>
      </c>
    </row>
    <row r="809" spans="1:15" x14ac:dyDescent="0.25">
      <c r="A809">
        <v>1930</v>
      </c>
      <c r="B809" s="10">
        <v>45757</v>
      </c>
      <c r="C809">
        <v>10</v>
      </c>
      <c r="D809" t="s">
        <v>105</v>
      </c>
      <c r="E809" t="s">
        <v>128</v>
      </c>
      <c r="F809" t="s">
        <v>36</v>
      </c>
      <c r="G809" t="s">
        <v>100</v>
      </c>
      <c r="H809" t="s">
        <v>37</v>
      </c>
      <c r="I809" t="s">
        <v>143</v>
      </c>
      <c r="J809" t="s">
        <v>94</v>
      </c>
      <c r="K809">
        <v>10</v>
      </c>
      <c r="L809">
        <v>2200</v>
      </c>
      <c r="M809">
        <v>22000</v>
      </c>
      <c r="N809" t="s">
        <v>95</v>
      </c>
      <c r="O809" t="s">
        <v>104</v>
      </c>
    </row>
    <row r="810" spans="1:15" x14ac:dyDescent="0.25">
      <c r="A810">
        <v>1939</v>
      </c>
      <c r="B810" s="10">
        <v>45886</v>
      </c>
      <c r="C810">
        <v>17</v>
      </c>
      <c r="D810" t="s">
        <v>109</v>
      </c>
      <c r="E810" t="s">
        <v>98</v>
      </c>
      <c r="F810" t="s">
        <v>134</v>
      </c>
      <c r="G810" t="s">
        <v>100</v>
      </c>
      <c r="H810" t="s">
        <v>101</v>
      </c>
      <c r="I810" t="s">
        <v>127</v>
      </c>
      <c r="J810" t="s">
        <v>103</v>
      </c>
      <c r="K810">
        <v>25</v>
      </c>
      <c r="L810">
        <v>2200</v>
      </c>
      <c r="M810">
        <v>55000</v>
      </c>
      <c r="N810" t="s">
        <v>95</v>
      </c>
      <c r="O810" t="s">
        <v>115</v>
      </c>
    </row>
    <row r="811" spans="1:15" x14ac:dyDescent="0.25">
      <c r="A811">
        <v>1971</v>
      </c>
      <c r="B811" s="10">
        <v>45903</v>
      </c>
      <c r="C811">
        <v>3</v>
      </c>
      <c r="D811" t="s">
        <v>147</v>
      </c>
      <c r="E811" t="s">
        <v>106</v>
      </c>
      <c r="F811" t="s">
        <v>117</v>
      </c>
      <c r="G811" t="s">
        <v>118</v>
      </c>
      <c r="H811" t="s">
        <v>37</v>
      </c>
      <c r="I811" t="s">
        <v>38</v>
      </c>
      <c r="J811" t="s">
        <v>103</v>
      </c>
      <c r="K811">
        <v>17</v>
      </c>
      <c r="L811">
        <v>2200</v>
      </c>
      <c r="M811">
        <v>37400</v>
      </c>
      <c r="N811" t="s">
        <v>95</v>
      </c>
      <c r="O811" t="s">
        <v>96</v>
      </c>
    </row>
    <row r="812" spans="1:15" x14ac:dyDescent="0.25">
      <c r="A812">
        <v>2059</v>
      </c>
      <c r="B812" s="10">
        <v>45695</v>
      </c>
      <c r="C812">
        <v>7</v>
      </c>
      <c r="D812" t="s">
        <v>97</v>
      </c>
      <c r="E812" t="s">
        <v>110</v>
      </c>
      <c r="F812" t="s">
        <v>113</v>
      </c>
      <c r="G812" t="s">
        <v>114</v>
      </c>
      <c r="H812" t="s">
        <v>37</v>
      </c>
      <c r="I812" t="s">
        <v>38</v>
      </c>
      <c r="J812" t="s">
        <v>103</v>
      </c>
      <c r="K812">
        <v>29</v>
      </c>
      <c r="L812">
        <v>2200</v>
      </c>
      <c r="M812">
        <v>63800</v>
      </c>
      <c r="N812" t="s">
        <v>108</v>
      </c>
      <c r="O812" t="s">
        <v>115</v>
      </c>
    </row>
    <row r="813" spans="1:15" x14ac:dyDescent="0.25">
      <c r="A813">
        <v>2061</v>
      </c>
      <c r="B813" s="10">
        <v>45733</v>
      </c>
      <c r="C813">
        <v>17</v>
      </c>
      <c r="D813" t="s">
        <v>140</v>
      </c>
      <c r="E813" t="s">
        <v>133</v>
      </c>
      <c r="F813" t="s">
        <v>141</v>
      </c>
      <c r="G813" t="s">
        <v>100</v>
      </c>
      <c r="H813" t="s">
        <v>101</v>
      </c>
      <c r="I813" t="s">
        <v>127</v>
      </c>
      <c r="J813" t="s">
        <v>103</v>
      </c>
      <c r="K813">
        <v>30</v>
      </c>
      <c r="L813">
        <v>2200</v>
      </c>
      <c r="M813">
        <v>66000</v>
      </c>
      <c r="N813" t="s">
        <v>95</v>
      </c>
      <c r="O813" t="s">
        <v>104</v>
      </c>
    </row>
    <row r="814" spans="1:15" x14ac:dyDescent="0.25">
      <c r="A814">
        <v>2108</v>
      </c>
      <c r="B814" s="10">
        <v>45960</v>
      </c>
      <c r="C814">
        <v>30</v>
      </c>
      <c r="D814" t="s">
        <v>136</v>
      </c>
      <c r="E814" t="s">
        <v>110</v>
      </c>
      <c r="F814" t="s">
        <v>144</v>
      </c>
      <c r="G814" t="s">
        <v>91</v>
      </c>
      <c r="H814" t="s">
        <v>101</v>
      </c>
      <c r="I814" t="s">
        <v>127</v>
      </c>
      <c r="J814" t="s">
        <v>103</v>
      </c>
      <c r="K814">
        <v>7</v>
      </c>
      <c r="L814">
        <v>2200</v>
      </c>
      <c r="M814">
        <v>15400</v>
      </c>
      <c r="N814" t="s">
        <v>108</v>
      </c>
      <c r="O814" t="s">
        <v>96</v>
      </c>
    </row>
    <row r="815" spans="1:15" x14ac:dyDescent="0.25">
      <c r="A815">
        <v>2162</v>
      </c>
      <c r="B815" s="10">
        <v>46014</v>
      </c>
      <c r="C815">
        <v>23</v>
      </c>
      <c r="D815" t="s">
        <v>125</v>
      </c>
      <c r="E815" t="s">
        <v>112</v>
      </c>
      <c r="F815" t="s">
        <v>44</v>
      </c>
      <c r="G815" t="s">
        <v>111</v>
      </c>
      <c r="H815" t="s">
        <v>101</v>
      </c>
      <c r="I815" t="s">
        <v>127</v>
      </c>
      <c r="J815" t="s">
        <v>103</v>
      </c>
      <c r="K815">
        <v>47</v>
      </c>
      <c r="L815">
        <v>2200</v>
      </c>
      <c r="M815">
        <v>103400</v>
      </c>
      <c r="N815" t="s">
        <v>108</v>
      </c>
      <c r="O815" t="s">
        <v>104</v>
      </c>
    </row>
    <row r="816" spans="1:15" x14ac:dyDescent="0.25">
      <c r="A816">
        <v>2186</v>
      </c>
      <c r="B816" s="10">
        <v>45933</v>
      </c>
      <c r="C816">
        <v>3</v>
      </c>
      <c r="D816" t="s">
        <v>136</v>
      </c>
      <c r="E816" t="s">
        <v>137</v>
      </c>
      <c r="F816" t="s">
        <v>28</v>
      </c>
      <c r="G816" t="s">
        <v>126</v>
      </c>
      <c r="H816" t="s">
        <v>37</v>
      </c>
      <c r="I816" t="s">
        <v>143</v>
      </c>
      <c r="J816" t="s">
        <v>94</v>
      </c>
      <c r="K816">
        <v>5</v>
      </c>
      <c r="L816">
        <v>2200</v>
      </c>
      <c r="M816">
        <v>11000</v>
      </c>
      <c r="N816" t="s">
        <v>108</v>
      </c>
      <c r="O816" t="s">
        <v>115</v>
      </c>
    </row>
    <row r="817" spans="1:15" x14ac:dyDescent="0.25">
      <c r="A817">
        <v>2208</v>
      </c>
      <c r="B817" s="10">
        <v>45711</v>
      </c>
      <c r="C817">
        <v>23</v>
      </c>
      <c r="D817" t="s">
        <v>97</v>
      </c>
      <c r="E817" t="s">
        <v>116</v>
      </c>
      <c r="F817" t="s">
        <v>117</v>
      </c>
      <c r="G817" t="s">
        <v>118</v>
      </c>
      <c r="H817" t="s">
        <v>37</v>
      </c>
      <c r="I817" t="s">
        <v>38</v>
      </c>
      <c r="J817" t="s">
        <v>103</v>
      </c>
      <c r="K817">
        <v>7</v>
      </c>
      <c r="L817">
        <v>2200</v>
      </c>
      <c r="M817">
        <v>15400</v>
      </c>
      <c r="N817" t="s">
        <v>108</v>
      </c>
      <c r="O817" t="s">
        <v>115</v>
      </c>
    </row>
    <row r="818" spans="1:15" x14ac:dyDescent="0.25">
      <c r="A818">
        <v>2309</v>
      </c>
      <c r="B818" s="10">
        <v>46021</v>
      </c>
      <c r="C818">
        <v>30</v>
      </c>
      <c r="D818" t="s">
        <v>125</v>
      </c>
      <c r="E818" t="s">
        <v>142</v>
      </c>
      <c r="F818" t="s">
        <v>113</v>
      </c>
      <c r="G818" t="s">
        <v>114</v>
      </c>
      <c r="H818" t="s">
        <v>37</v>
      </c>
      <c r="I818" t="s">
        <v>38</v>
      </c>
      <c r="J818" t="s">
        <v>103</v>
      </c>
      <c r="K818">
        <v>38</v>
      </c>
      <c r="L818">
        <v>2200</v>
      </c>
      <c r="M818">
        <v>83600</v>
      </c>
      <c r="N818" t="s">
        <v>108</v>
      </c>
      <c r="O818" t="s">
        <v>115</v>
      </c>
    </row>
    <row r="819" spans="1:15" x14ac:dyDescent="0.25">
      <c r="A819">
        <v>2426</v>
      </c>
      <c r="B819" s="10">
        <v>45739</v>
      </c>
      <c r="C819">
        <v>23</v>
      </c>
      <c r="D819" t="s">
        <v>140</v>
      </c>
      <c r="E819" t="s">
        <v>128</v>
      </c>
      <c r="F819" t="s">
        <v>113</v>
      </c>
      <c r="G819" t="s">
        <v>114</v>
      </c>
      <c r="H819" t="s">
        <v>101</v>
      </c>
      <c r="I819" t="s">
        <v>127</v>
      </c>
      <c r="J819" t="s">
        <v>103</v>
      </c>
      <c r="K819">
        <v>22</v>
      </c>
      <c r="L819">
        <v>2200</v>
      </c>
      <c r="M819">
        <v>48400</v>
      </c>
      <c r="N819" t="s">
        <v>95</v>
      </c>
      <c r="O819" t="s">
        <v>104</v>
      </c>
    </row>
    <row r="820" spans="1:15" x14ac:dyDescent="0.25">
      <c r="A820">
        <v>2465</v>
      </c>
      <c r="B820" s="10">
        <v>45723</v>
      </c>
      <c r="C820">
        <v>7</v>
      </c>
      <c r="D820" t="s">
        <v>140</v>
      </c>
      <c r="E820" t="s">
        <v>31</v>
      </c>
      <c r="F820" t="s">
        <v>122</v>
      </c>
      <c r="G820" t="s">
        <v>114</v>
      </c>
      <c r="H820" t="s">
        <v>101</v>
      </c>
      <c r="I820" t="s">
        <v>127</v>
      </c>
      <c r="J820" t="s">
        <v>103</v>
      </c>
      <c r="K820">
        <v>21</v>
      </c>
      <c r="L820">
        <v>2200</v>
      </c>
      <c r="M820">
        <v>46200</v>
      </c>
      <c r="N820" t="s">
        <v>108</v>
      </c>
      <c r="O820" t="s">
        <v>115</v>
      </c>
    </row>
    <row r="821" spans="1:15" x14ac:dyDescent="0.25">
      <c r="A821">
        <v>2501</v>
      </c>
      <c r="B821" s="10">
        <v>45893</v>
      </c>
      <c r="C821">
        <v>24</v>
      </c>
      <c r="D821" t="s">
        <v>109</v>
      </c>
      <c r="E821" t="s">
        <v>112</v>
      </c>
      <c r="F821" t="s">
        <v>22</v>
      </c>
      <c r="G821" t="s">
        <v>91</v>
      </c>
      <c r="H821" t="s">
        <v>101</v>
      </c>
      <c r="I821" t="s">
        <v>127</v>
      </c>
      <c r="J821" t="s">
        <v>103</v>
      </c>
      <c r="K821">
        <v>40</v>
      </c>
      <c r="L821">
        <v>2200</v>
      </c>
      <c r="M821">
        <v>88000</v>
      </c>
      <c r="N821" t="s">
        <v>95</v>
      </c>
      <c r="O821" t="s">
        <v>115</v>
      </c>
    </row>
    <row r="822" spans="1:15" x14ac:dyDescent="0.25">
      <c r="A822">
        <v>2518</v>
      </c>
      <c r="B822" s="10">
        <v>45924</v>
      </c>
      <c r="C822">
        <v>24</v>
      </c>
      <c r="D822" t="s">
        <v>147</v>
      </c>
      <c r="E822" t="s">
        <v>98</v>
      </c>
      <c r="F822" t="s">
        <v>144</v>
      </c>
      <c r="G822" t="s">
        <v>91</v>
      </c>
      <c r="H822" t="s">
        <v>101</v>
      </c>
      <c r="I822" t="s">
        <v>127</v>
      </c>
      <c r="J822" t="s">
        <v>94</v>
      </c>
      <c r="K822">
        <v>5</v>
      </c>
      <c r="L822">
        <v>2200</v>
      </c>
      <c r="M822">
        <v>11000</v>
      </c>
      <c r="N822" t="s">
        <v>108</v>
      </c>
      <c r="O822" t="s">
        <v>104</v>
      </c>
    </row>
    <row r="823" spans="1:15" x14ac:dyDescent="0.25">
      <c r="A823">
        <v>2579</v>
      </c>
      <c r="B823" s="10">
        <v>45658</v>
      </c>
      <c r="C823">
        <v>1</v>
      </c>
      <c r="D823" t="s">
        <v>130</v>
      </c>
      <c r="E823" t="s">
        <v>25</v>
      </c>
      <c r="F823" t="s">
        <v>36</v>
      </c>
      <c r="G823" t="s">
        <v>100</v>
      </c>
      <c r="H823" t="s">
        <v>101</v>
      </c>
      <c r="I823" t="s">
        <v>127</v>
      </c>
      <c r="J823" t="s">
        <v>103</v>
      </c>
      <c r="K823">
        <v>39</v>
      </c>
      <c r="L823">
        <v>2200</v>
      </c>
      <c r="M823">
        <v>85800</v>
      </c>
      <c r="N823" t="s">
        <v>95</v>
      </c>
      <c r="O823" t="s">
        <v>96</v>
      </c>
    </row>
    <row r="824" spans="1:15" x14ac:dyDescent="0.25">
      <c r="A824">
        <v>2706</v>
      </c>
      <c r="B824" s="10">
        <v>45996</v>
      </c>
      <c r="C824">
        <v>5</v>
      </c>
      <c r="D824" t="s">
        <v>125</v>
      </c>
      <c r="E824" t="s">
        <v>112</v>
      </c>
      <c r="F824" t="s">
        <v>36</v>
      </c>
      <c r="G824" t="s">
        <v>100</v>
      </c>
      <c r="H824" t="s">
        <v>37</v>
      </c>
      <c r="I824" t="s">
        <v>38</v>
      </c>
      <c r="J824" t="s">
        <v>103</v>
      </c>
      <c r="K824">
        <v>8</v>
      </c>
      <c r="L824">
        <v>2200</v>
      </c>
      <c r="M824">
        <v>17600</v>
      </c>
      <c r="N824" t="s">
        <v>108</v>
      </c>
      <c r="O824" t="s">
        <v>96</v>
      </c>
    </row>
    <row r="825" spans="1:15" x14ac:dyDescent="0.25">
      <c r="A825">
        <v>2739</v>
      </c>
      <c r="B825" s="10">
        <v>45714</v>
      </c>
      <c r="C825">
        <v>26</v>
      </c>
      <c r="D825" t="s">
        <v>97</v>
      </c>
      <c r="E825" t="s">
        <v>137</v>
      </c>
      <c r="F825" t="s">
        <v>113</v>
      </c>
      <c r="G825" t="s">
        <v>114</v>
      </c>
      <c r="H825" t="s">
        <v>37</v>
      </c>
      <c r="I825" t="s">
        <v>143</v>
      </c>
      <c r="J825" t="s">
        <v>94</v>
      </c>
      <c r="K825">
        <v>7</v>
      </c>
      <c r="L825">
        <v>2200</v>
      </c>
      <c r="M825">
        <v>15400</v>
      </c>
      <c r="N825" t="s">
        <v>108</v>
      </c>
      <c r="O825" t="s">
        <v>115</v>
      </c>
    </row>
    <row r="826" spans="1:15" x14ac:dyDescent="0.25">
      <c r="A826">
        <v>2752</v>
      </c>
      <c r="B826" s="10">
        <v>46021</v>
      </c>
      <c r="C826">
        <v>30</v>
      </c>
      <c r="D826" t="s">
        <v>125</v>
      </c>
      <c r="E826" t="s">
        <v>25</v>
      </c>
      <c r="F826" t="s">
        <v>144</v>
      </c>
      <c r="G826" t="s">
        <v>91</v>
      </c>
      <c r="H826" t="s">
        <v>37</v>
      </c>
      <c r="I826" t="s">
        <v>143</v>
      </c>
      <c r="J826" t="s">
        <v>94</v>
      </c>
      <c r="K826">
        <v>7</v>
      </c>
      <c r="L826">
        <v>2200</v>
      </c>
      <c r="M826">
        <v>15400</v>
      </c>
      <c r="N826" t="s">
        <v>95</v>
      </c>
      <c r="O826" t="s">
        <v>96</v>
      </c>
    </row>
    <row r="827" spans="1:15" x14ac:dyDescent="0.25">
      <c r="A827">
        <v>2970</v>
      </c>
      <c r="B827" s="10">
        <v>45681</v>
      </c>
      <c r="C827">
        <v>24</v>
      </c>
      <c r="D827" t="s">
        <v>130</v>
      </c>
      <c r="E827" t="s">
        <v>138</v>
      </c>
      <c r="F827" t="s">
        <v>28</v>
      </c>
      <c r="G827" t="s">
        <v>126</v>
      </c>
      <c r="H827" t="s">
        <v>37</v>
      </c>
      <c r="I827" t="s">
        <v>38</v>
      </c>
      <c r="J827" t="s">
        <v>103</v>
      </c>
      <c r="K827">
        <v>35</v>
      </c>
      <c r="L827">
        <v>2200</v>
      </c>
      <c r="M827">
        <v>77000</v>
      </c>
      <c r="N827" t="s">
        <v>108</v>
      </c>
      <c r="O827" t="s">
        <v>96</v>
      </c>
    </row>
    <row r="828" spans="1:15" x14ac:dyDescent="0.25">
      <c r="A828">
        <v>2979</v>
      </c>
      <c r="B828" s="10">
        <v>45897</v>
      </c>
      <c r="C828">
        <v>28</v>
      </c>
      <c r="D828" t="s">
        <v>109</v>
      </c>
      <c r="E828" t="s">
        <v>138</v>
      </c>
      <c r="F828" t="s">
        <v>22</v>
      </c>
      <c r="G828" t="s">
        <v>91</v>
      </c>
      <c r="H828" t="s">
        <v>37</v>
      </c>
      <c r="I828" t="s">
        <v>38</v>
      </c>
      <c r="J828" t="s">
        <v>103</v>
      </c>
      <c r="K828">
        <v>11</v>
      </c>
      <c r="L828">
        <v>2200</v>
      </c>
      <c r="M828">
        <v>24200</v>
      </c>
      <c r="N828" t="s">
        <v>95</v>
      </c>
      <c r="O828" t="s">
        <v>115</v>
      </c>
    </row>
    <row r="829" spans="1:15" x14ac:dyDescent="0.25">
      <c r="A829">
        <v>3033</v>
      </c>
      <c r="B829" s="10">
        <v>45671</v>
      </c>
      <c r="C829">
        <v>14</v>
      </c>
      <c r="D829" t="s">
        <v>130</v>
      </c>
      <c r="E829" t="s">
        <v>25</v>
      </c>
      <c r="F829" t="s">
        <v>148</v>
      </c>
      <c r="G829" t="s">
        <v>118</v>
      </c>
      <c r="H829" t="s">
        <v>101</v>
      </c>
      <c r="I829" t="s">
        <v>127</v>
      </c>
      <c r="J829" t="s">
        <v>103</v>
      </c>
      <c r="K829">
        <v>25</v>
      </c>
      <c r="L829">
        <v>2200</v>
      </c>
      <c r="M829">
        <v>55000</v>
      </c>
      <c r="N829" t="s">
        <v>95</v>
      </c>
      <c r="O829" t="s">
        <v>115</v>
      </c>
    </row>
    <row r="830" spans="1:15" x14ac:dyDescent="0.25">
      <c r="A830">
        <v>3092</v>
      </c>
      <c r="B830" s="10">
        <v>45819</v>
      </c>
      <c r="C830">
        <v>11</v>
      </c>
      <c r="D830" t="s">
        <v>153</v>
      </c>
      <c r="E830" t="s">
        <v>112</v>
      </c>
      <c r="F830" t="s">
        <v>122</v>
      </c>
      <c r="G830" t="s">
        <v>114</v>
      </c>
      <c r="H830" t="s">
        <v>37</v>
      </c>
      <c r="I830" t="s">
        <v>38</v>
      </c>
      <c r="J830" t="s">
        <v>103</v>
      </c>
      <c r="K830">
        <v>41</v>
      </c>
      <c r="L830">
        <v>2200</v>
      </c>
      <c r="M830">
        <v>90200</v>
      </c>
      <c r="N830" t="s">
        <v>95</v>
      </c>
      <c r="O830" t="s">
        <v>104</v>
      </c>
    </row>
    <row r="831" spans="1:15" x14ac:dyDescent="0.25">
      <c r="A831">
        <v>3401</v>
      </c>
      <c r="B831" s="10">
        <v>45696</v>
      </c>
      <c r="C831">
        <v>8</v>
      </c>
      <c r="D831" t="s">
        <v>97</v>
      </c>
      <c r="E831" t="s">
        <v>112</v>
      </c>
      <c r="F831" t="s">
        <v>144</v>
      </c>
      <c r="G831" t="s">
        <v>91</v>
      </c>
      <c r="H831" t="s">
        <v>101</v>
      </c>
      <c r="I831" t="s">
        <v>127</v>
      </c>
      <c r="J831" t="s">
        <v>103</v>
      </c>
      <c r="K831">
        <v>35</v>
      </c>
      <c r="L831">
        <v>2200</v>
      </c>
      <c r="M831">
        <v>77000</v>
      </c>
      <c r="N831" t="s">
        <v>108</v>
      </c>
      <c r="O831" t="s">
        <v>115</v>
      </c>
    </row>
    <row r="832" spans="1:15" x14ac:dyDescent="0.25">
      <c r="A832">
        <v>3417</v>
      </c>
      <c r="B832" s="10">
        <v>45964</v>
      </c>
      <c r="C832">
        <v>3</v>
      </c>
      <c r="D832" t="s">
        <v>90</v>
      </c>
      <c r="E832" t="s">
        <v>25</v>
      </c>
      <c r="F832" t="s">
        <v>122</v>
      </c>
      <c r="G832" t="s">
        <v>114</v>
      </c>
      <c r="H832" t="s">
        <v>37</v>
      </c>
      <c r="I832" t="s">
        <v>38</v>
      </c>
      <c r="J832" t="s">
        <v>103</v>
      </c>
      <c r="K832">
        <v>13</v>
      </c>
      <c r="L832">
        <v>2200</v>
      </c>
      <c r="M832">
        <v>28600</v>
      </c>
      <c r="N832" t="s">
        <v>95</v>
      </c>
      <c r="O832" t="s">
        <v>104</v>
      </c>
    </row>
    <row r="833" spans="1:15" x14ac:dyDescent="0.25">
      <c r="A833">
        <v>3488</v>
      </c>
      <c r="B833" s="10">
        <v>46022</v>
      </c>
      <c r="C833">
        <v>31</v>
      </c>
      <c r="D833" t="s">
        <v>125</v>
      </c>
      <c r="E833" t="s">
        <v>133</v>
      </c>
      <c r="F833" t="s">
        <v>36</v>
      </c>
      <c r="G833" t="s">
        <v>100</v>
      </c>
      <c r="H833" t="s">
        <v>101</v>
      </c>
      <c r="I833" t="s">
        <v>127</v>
      </c>
      <c r="J833" t="s">
        <v>103</v>
      </c>
      <c r="K833">
        <v>49</v>
      </c>
      <c r="L833">
        <v>2200</v>
      </c>
      <c r="M833">
        <v>107800</v>
      </c>
      <c r="N833" t="s">
        <v>95</v>
      </c>
      <c r="O833" t="s">
        <v>96</v>
      </c>
    </row>
    <row r="834" spans="1:15" x14ac:dyDescent="0.25">
      <c r="A834">
        <v>3649</v>
      </c>
      <c r="B834" s="10">
        <v>45781</v>
      </c>
      <c r="C834">
        <v>4</v>
      </c>
      <c r="D834" t="s">
        <v>120</v>
      </c>
      <c r="E834" t="s">
        <v>116</v>
      </c>
      <c r="F834" t="s">
        <v>107</v>
      </c>
      <c r="G834" t="s">
        <v>100</v>
      </c>
      <c r="H834" t="s">
        <v>37</v>
      </c>
      <c r="I834" t="s">
        <v>38</v>
      </c>
      <c r="J834" t="s">
        <v>103</v>
      </c>
      <c r="K834">
        <v>11</v>
      </c>
      <c r="L834">
        <v>2200</v>
      </c>
      <c r="M834">
        <v>24200</v>
      </c>
      <c r="N834" t="s">
        <v>95</v>
      </c>
      <c r="O834" t="s">
        <v>104</v>
      </c>
    </row>
    <row r="835" spans="1:15" x14ac:dyDescent="0.25">
      <c r="A835">
        <v>3668</v>
      </c>
      <c r="B835" s="10">
        <v>45690</v>
      </c>
      <c r="C835">
        <v>2</v>
      </c>
      <c r="D835" t="s">
        <v>97</v>
      </c>
      <c r="E835" t="s">
        <v>25</v>
      </c>
      <c r="F835" t="s">
        <v>144</v>
      </c>
      <c r="G835" t="s">
        <v>91</v>
      </c>
      <c r="H835" t="s">
        <v>37</v>
      </c>
      <c r="I835" t="s">
        <v>38</v>
      </c>
      <c r="J835" t="s">
        <v>103</v>
      </c>
      <c r="K835">
        <v>48</v>
      </c>
      <c r="L835">
        <v>2200</v>
      </c>
      <c r="M835">
        <v>105600</v>
      </c>
      <c r="N835" t="s">
        <v>95</v>
      </c>
      <c r="O835" t="s">
        <v>96</v>
      </c>
    </row>
    <row r="836" spans="1:15" x14ac:dyDescent="0.25">
      <c r="A836">
        <v>3688</v>
      </c>
      <c r="B836" s="10">
        <v>45797</v>
      </c>
      <c r="C836">
        <v>20</v>
      </c>
      <c r="D836" t="s">
        <v>120</v>
      </c>
      <c r="E836" t="s">
        <v>31</v>
      </c>
      <c r="F836" t="s">
        <v>141</v>
      </c>
      <c r="G836" t="s">
        <v>100</v>
      </c>
      <c r="H836" t="s">
        <v>101</v>
      </c>
      <c r="I836" t="s">
        <v>127</v>
      </c>
      <c r="J836" t="s">
        <v>103</v>
      </c>
      <c r="K836">
        <v>40</v>
      </c>
      <c r="L836">
        <v>2200</v>
      </c>
      <c r="M836">
        <v>88000</v>
      </c>
      <c r="N836" t="s">
        <v>95</v>
      </c>
      <c r="O836" t="s">
        <v>96</v>
      </c>
    </row>
    <row r="837" spans="1:15" x14ac:dyDescent="0.25">
      <c r="A837">
        <v>3706</v>
      </c>
      <c r="B837" s="10">
        <v>45971</v>
      </c>
      <c r="C837">
        <v>10</v>
      </c>
      <c r="D837" t="s">
        <v>90</v>
      </c>
      <c r="E837" t="s">
        <v>112</v>
      </c>
      <c r="F837" t="s">
        <v>148</v>
      </c>
      <c r="G837" t="s">
        <v>118</v>
      </c>
      <c r="H837" t="s">
        <v>37</v>
      </c>
      <c r="I837" t="s">
        <v>38</v>
      </c>
      <c r="J837" t="s">
        <v>103</v>
      </c>
      <c r="K837">
        <v>36</v>
      </c>
      <c r="L837">
        <v>2200</v>
      </c>
      <c r="M837">
        <v>79200</v>
      </c>
      <c r="N837" t="s">
        <v>108</v>
      </c>
      <c r="O837" t="s">
        <v>104</v>
      </c>
    </row>
    <row r="838" spans="1:15" x14ac:dyDescent="0.25">
      <c r="A838">
        <v>3903</v>
      </c>
      <c r="B838" s="10">
        <v>46007</v>
      </c>
      <c r="C838">
        <v>16</v>
      </c>
      <c r="D838" t="s">
        <v>125</v>
      </c>
      <c r="E838" t="s">
        <v>25</v>
      </c>
      <c r="F838" t="s">
        <v>134</v>
      </c>
      <c r="G838" t="s">
        <v>100</v>
      </c>
      <c r="H838" t="s">
        <v>37</v>
      </c>
      <c r="I838" t="s">
        <v>143</v>
      </c>
      <c r="J838" t="s">
        <v>94</v>
      </c>
      <c r="K838">
        <v>10</v>
      </c>
      <c r="L838">
        <v>2200</v>
      </c>
      <c r="M838">
        <v>22000</v>
      </c>
      <c r="N838" t="s">
        <v>108</v>
      </c>
      <c r="O838" t="s">
        <v>96</v>
      </c>
    </row>
    <row r="839" spans="1:15" x14ac:dyDescent="0.25">
      <c r="A839">
        <v>4146</v>
      </c>
      <c r="B839" s="10">
        <v>45899</v>
      </c>
      <c r="C839">
        <v>30</v>
      </c>
      <c r="D839" t="s">
        <v>109</v>
      </c>
      <c r="E839" t="s">
        <v>161</v>
      </c>
      <c r="F839" t="s">
        <v>122</v>
      </c>
      <c r="G839" t="s">
        <v>114</v>
      </c>
      <c r="H839" t="s">
        <v>37</v>
      </c>
      <c r="I839" t="s">
        <v>38</v>
      </c>
      <c r="J839" t="s">
        <v>94</v>
      </c>
      <c r="K839">
        <v>4</v>
      </c>
      <c r="L839">
        <v>2200</v>
      </c>
      <c r="M839">
        <v>8800</v>
      </c>
      <c r="N839" t="s">
        <v>95</v>
      </c>
      <c r="O839" t="s">
        <v>115</v>
      </c>
    </row>
    <row r="840" spans="1:15" x14ac:dyDescent="0.25">
      <c r="A840">
        <v>4195</v>
      </c>
      <c r="B840" s="10">
        <v>45868</v>
      </c>
      <c r="C840">
        <v>30</v>
      </c>
      <c r="D840" t="s">
        <v>145</v>
      </c>
      <c r="E840" t="s">
        <v>31</v>
      </c>
      <c r="F840" t="s">
        <v>151</v>
      </c>
      <c r="G840" t="s">
        <v>111</v>
      </c>
      <c r="H840" t="s">
        <v>37</v>
      </c>
      <c r="I840" t="s">
        <v>38</v>
      </c>
      <c r="J840" t="s">
        <v>94</v>
      </c>
      <c r="K840">
        <v>7</v>
      </c>
      <c r="L840">
        <v>2200</v>
      </c>
      <c r="M840">
        <v>15400</v>
      </c>
      <c r="N840" t="s">
        <v>108</v>
      </c>
      <c r="O840" t="s">
        <v>115</v>
      </c>
    </row>
    <row r="841" spans="1:15" x14ac:dyDescent="0.25">
      <c r="A841">
        <v>4244</v>
      </c>
      <c r="B841" s="10">
        <v>45802</v>
      </c>
      <c r="C841">
        <v>25</v>
      </c>
      <c r="D841" t="s">
        <v>120</v>
      </c>
      <c r="E841" t="s">
        <v>31</v>
      </c>
      <c r="F841" t="s">
        <v>134</v>
      </c>
      <c r="G841" t="s">
        <v>100</v>
      </c>
      <c r="H841" t="s">
        <v>37</v>
      </c>
      <c r="I841" t="s">
        <v>38</v>
      </c>
      <c r="J841" t="s">
        <v>103</v>
      </c>
      <c r="K841">
        <v>18</v>
      </c>
      <c r="L841">
        <v>2200</v>
      </c>
      <c r="M841">
        <v>39600</v>
      </c>
      <c r="N841" t="s">
        <v>108</v>
      </c>
      <c r="O841" t="s">
        <v>115</v>
      </c>
    </row>
    <row r="842" spans="1:15" x14ac:dyDescent="0.25">
      <c r="A842">
        <v>4432</v>
      </c>
      <c r="B842" s="10">
        <v>45766</v>
      </c>
      <c r="C842">
        <v>19</v>
      </c>
      <c r="D842" t="s">
        <v>105</v>
      </c>
      <c r="E842" t="s">
        <v>31</v>
      </c>
      <c r="F842" t="s">
        <v>99</v>
      </c>
      <c r="G842" t="s">
        <v>100</v>
      </c>
      <c r="H842" t="s">
        <v>37</v>
      </c>
      <c r="I842" t="s">
        <v>38</v>
      </c>
      <c r="J842" t="s">
        <v>94</v>
      </c>
      <c r="K842">
        <v>3</v>
      </c>
      <c r="L842">
        <v>2200</v>
      </c>
      <c r="M842">
        <v>6600</v>
      </c>
      <c r="N842" t="s">
        <v>95</v>
      </c>
      <c r="O842" t="s">
        <v>96</v>
      </c>
    </row>
    <row r="843" spans="1:15" x14ac:dyDescent="0.25">
      <c r="A843">
        <v>4645</v>
      </c>
      <c r="B843" s="10">
        <v>45736</v>
      </c>
      <c r="C843">
        <v>20</v>
      </c>
      <c r="D843" t="s">
        <v>140</v>
      </c>
      <c r="E843" t="s">
        <v>150</v>
      </c>
      <c r="F843" t="s">
        <v>113</v>
      </c>
      <c r="G843" t="s">
        <v>114</v>
      </c>
      <c r="H843" t="s">
        <v>101</v>
      </c>
      <c r="I843" t="s">
        <v>127</v>
      </c>
      <c r="J843" t="s">
        <v>103</v>
      </c>
      <c r="K843">
        <v>6</v>
      </c>
      <c r="L843">
        <v>2200</v>
      </c>
      <c r="M843">
        <v>13200</v>
      </c>
      <c r="N843" t="s">
        <v>95</v>
      </c>
      <c r="O843" t="s">
        <v>115</v>
      </c>
    </row>
    <row r="844" spans="1:15" x14ac:dyDescent="0.25">
      <c r="A844">
        <v>4675</v>
      </c>
      <c r="B844" s="10">
        <v>46019</v>
      </c>
      <c r="C844">
        <v>28</v>
      </c>
      <c r="D844" t="s">
        <v>125</v>
      </c>
      <c r="E844" t="s">
        <v>137</v>
      </c>
      <c r="F844" t="s">
        <v>117</v>
      </c>
      <c r="G844" t="s">
        <v>118</v>
      </c>
      <c r="H844" t="s">
        <v>37</v>
      </c>
      <c r="I844" t="s">
        <v>38</v>
      </c>
      <c r="J844" t="s">
        <v>103</v>
      </c>
      <c r="K844">
        <v>48</v>
      </c>
      <c r="L844">
        <v>2200</v>
      </c>
      <c r="M844">
        <v>105600</v>
      </c>
      <c r="N844" t="s">
        <v>95</v>
      </c>
      <c r="O844" t="s">
        <v>104</v>
      </c>
    </row>
    <row r="845" spans="1:15" x14ac:dyDescent="0.25">
      <c r="A845">
        <v>4770</v>
      </c>
      <c r="B845" s="10">
        <v>45997</v>
      </c>
      <c r="C845">
        <v>6</v>
      </c>
      <c r="D845" t="s">
        <v>125</v>
      </c>
      <c r="E845" t="s">
        <v>106</v>
      </c>
      <c r="F845" t="s">
        <v>148</v>
      </c>
      <c r="G845" t="s">
        <v>118</v>
      </c>
      <c r="H845" t="s">
        <v>37</v>
      </c>
      <c r="I845" t="s">
        <v>38</v>
      </c>
      <c r="J845" t="s">
        <v>103</v>
      </c>
      <c r="K845">
        <v>10</v>
      </c>
      <c r="L845">
        <v>2200</v>
      </c>
      <c r="M845">
        <v>22000</v>
      </c>
      <c r="N845" t="s">
        <v>108</v>
      </c>
      <c r="O845" t="s">
        <v>104</v>
      </c>
    </row>
    <row r="846" spans="1:15" x14ac:dyDescent="0.25">
      <c r="A846">
        <v>4797</v>
      </c>
      <c r="B846" s="10">
        <v>45860</v>
      </c>
      <c r="C846">
        <v>22</v>
      </c>
      <c r="D846" t="s">
        <v>145</v>
      </c>
      <c r="E846" t="s">
        <v>128</v>
      </c>
      <c r="F846" t="s">
        <v>151</v>
      </c>
      <c r="G846" t="s">
        <v>111</v>
      </c>
      <c r="H846" t="s">
        <v>37</v>
      </c>
      <c r="I846" t="s">
        <v>38</v>
      </c>
      <c r="J846" t="s">
        <v>103</v>
      </c>
      <c r="K846">
        <v>36</v>
      </c>
      <c r="L846">
        <v>2200</v>
      </c>
      <c r="M846">
        <v>79200</v>
      </c>
      <c r="N846" t="s">
        <v>95</v>
      </c>
      <c r="O846" t="s">
        <v>104</v>
      </c>
    </row>
    <row r="847" spans="1:15" x14ac:dyDescent="0.25">
      <c r="A847">
        <v>4909</v>
      </c>
      <c r="B847" s="10">
        <v>45726</v>
      </c>
      <c r="C847">
        <v>10</v>
      </c>
      <c r="D847" t="s">
        <v>140</v>
      </c>
      <c r="E847" t="s">
        <v>161</v>
      </c>
      <c r="F847" t="s">
        <v>151</v>
      </c>
      <c r="G847" t="s">
        <v>111</v>
      </c>
      <c r="H847" t="s">
        <v>101</v>
      </c>
      <c r="I847" t="s">
        <v>127</v>
      </c>
      <c r="J847" t="s">
        <v>103</v>
      </c>
      <c r="K847">
        <v>42</v>
      </c>
      <c r="L847">
        <v>2200</v>
      </c>
      <c r="M847">
        <v>92400</v>
      </c>
      <c r="N847" t="s">
        <v>95</v>
      </c>
      <c r="O847" t="s">
        <v>104</v>
      </c>
    </row>
    <row r="848" spans="1:15" x14ac:dyDescent="0.25">
      <c r="A848">
        <v>4936</v>
      </c>
      <c r="B848" s="10">
        <v>45986</v>
      </c>
      <c r="C848">
        <v>25</v>
      </c>
      <c r="D848" t="s">
        <v>90</v>
      </c>
      <c r="E848" t="s">
        <v>138</v>
      </c>
      <c r="F848" t="s">
        <v>134</v>
      </c>
      <c r="G848" t="s">
        <v>100</v>
      </c>
      <c r="H848" t="s">
        <v>37</v>
      </c>
      <c r="I848" t="s">
        <v>38</v>
      </c>
      <c r="J848" t="s">
        <v>103</v>
      </c>
      <c r="K848">
        <v>44</v>
      </c>
      <c r="L848">
        <v>2200</v>
      </c>
      <c r="M848">
        <v>96800</v>
      </c>
      <c r="N848" t="s">
        <v>95</v>
      </c>
      <c r="O848" t="s">
        <v>96</v>
      </c>
    </row>
    <row r="849" spans="1:15" x14ac:dyDescent="0.25">
      <c r="A849">
        <v>4939</v>
      </c>
      <c r="B849" s="10">
        <v>46004</v>
      </c>
      <c r="C849">
        <v>13</v>
      </c>
      <c r="D849" t="s">
        <v>125</v>
      </c>
      <c r="E849" t="s">
        <v>98</v>
      </c>
      <c r="F849" t="s">
        <v>148</v>
      </c>
      <c r="G849" t="s">
        <v>118</v>
      </c>
      <c r="H849" t="s">
        <v>101</v>
      </c>
      <c r="I849" t="s">
        <v>127</v>
      </c>
      <c r="J849" t="s">
        <v>103</v>
      </c>
      <c r="K849">
        <v>20</v>
      </c>
      <c r="L849">
        <v>2200</v>
      </c>
      <c r="M849">
        <v>44000</v>
      </c>
      <c r="N849" t="s">
        <v>108</v>
      </c>
      <c r="O849" t="s">
        <v>96</v>
      </c>
    </row>
    <row r="850" spans="1:15" x14ac:dyDescent="0.25">
      <c r="A850">
        <v>111</v>
      </c>
      <c r="B850" s="10">
        <v>45997</v>
      </c>
      <c r="C850">
        <v>6</v>
      </c>
      <c r="D850" t="s">
        <v>125</v>
      </c>
      <c r="E850" t="s">
        <v>142</v>
      </c>
      <c r="F850" t="s">
        <v>141</v>
      </c>
      <c r="G850" t="s">
        <v>100</v>
      </c>
      <c r="H850" t="s">
        <v>101</v>
      </c>
      <c r="I850" t="s">
        <v>102</v>
      </c>
      <c r="J850" t="s">
        <v>103</v>
      </c>
      <c r="K850">
        <v>10</v>
      </c>
      <c r="L850">
        <v>2300</v>
      </c>
      <c r="M850">
        <v>23000</v>
      </c>
      <c r="N850" t="s">
        <v>108</v>
      </c>
      <c r="O850" t="s">
        <v>115</v>
      </c>
    </row>
    <row r="851" spans="1:15" x14ac:dyDescent="0.25">
      <c r="A851">
        <v>284</v>
      </c>
      <c r="B851" s="10">
        <v>45886</v>
      </c>
      <c r="C851">
        <v>17</v>
      </c>
      <c r="D851" t="s">
        <v>109</v>
      </c>
      <c r="E851" t="s">
        <v>137</v>
      </c>
      <c r="F851" t="s">
        <v>99</v>
      </c>
      <c r="G851" t="s">
        <v>100</v>
      </c>
      <c r="H851" t="s">
        <v>37</v>
      </c>
      <c r="I851" t="s">
        <v>38</v>
      </c>
      <c r="J851" t="s">
        <v>94</v>
      </c>
      <c r="K851">
        <v>1</v>
      </c>
      <c r="L851">
        <v>2300</v>
      </c>
      <c r="M851">
        <v>2300</v>
      </c>
      <c r="N851" t="s">
        <v>95</v>
      </c>
      <c r="O851" t="s">
        <v>96</v>
      </c>
    </row>
    <row r="852" spans="1:15" x14ac:dyDescent="0.25">
      <c r="A852">
        <v>397</v>
      </c>
      <c r="B852" s="10">
        <v>45848</v>
      </c>
      <c r="C852">
        <v>10</v>
      </c>
      <c r="D852" t="s">
        <v>145</v>
      </c>
      <c r="E852" t="s">
        <v>138</v>
      </c>
      <c r="F852" t="s">
        <v>99</v>
      </c>
      <c r="G852" t="s">
        <v>100</v>
      </c>
      <c r="H852" t="s">
        <v>37</v>
      </c>
      <c r="I852" t="s">
        <v>38</v>
      </c>
      <c r="J852" t="s">
        <v>94</v>
      </c>
      <c r="K852">
        <v>6</v>
      </c>
      <c r="L852">
        <v>2300</v>
      </c>
      <c r="M852">
        <v>13800</v>
      </c>
      <c r="N852" t="s">
        <v>108</v>
      </c>
      <c r="O852" t="s">
        <v>115</v>
      </c>
    </row>
    <row r="853" spans="1:15" x14ac:dyDescent="0.25">
      <c r="A853">
        <v>439</v>
      </c>
      <c r="B853" s="10">
        <v>45966</v>
      </c>
      <c r="C853">
        <v>5</v>
      </c>
      <c r="D853" t="s">
        <v>90</v>
      </c>
      <c r="E853" t="s">
        <v>150</v>
      </c>
      <c r="F853" t="s">
        <v>144</v>
      </c>
      <c r="G853" t="s">
        <v>91</v>
      </c>
      <c r="H853" t="s">
        <v>101</v>
      </c>
      <c r="I853" t="s">
        <v>127</v>
      </c>
      <c r="J853" t="s">
        <v>94</v>
      </c>
      <c r="K853">
        <v>8</v>
      </c>
      <c r="L853">
        <v>2300</v>
      </c>
      <c r="M853">
        <v>18400</v>
      </c>
      <c r="N853" t="s">
        <v>95</v>
      </c>
      <c r="O853" t="s">
        <v>115</v>
      </c>
    </row>
    <row r="854" spans="1:15" x14ac:dyDescent="0.25">
      <c r="A854">
        <v>610</v>
      </c>
      <c r="B854" s="10">
        <v>45672</v>
      </c>
      <c r="C854">
        <v>15</v>
      </c>
      <c r="D854" t="s">
        <v>130</v>
      </c>
      <c r="E854" t="s">
        <v>133</v>
      </c>
      <c r="F854" t="s">
        <v>28</v>
      </c>
      <c r="G854" t="s">
        <v>126</v>
      </c>
      <c r="H854" t="s">
        <v>37</v>
      </c>
      <c r="I854" t="s">
        <v>38</v>
      </c>
      <c r="J854" t="s">
        <v>103</v>
      </c>
      <c r="K854">
        <v>45</v>
      </c>
      <c r="L854">
        <v>2300</v>
      </c>
      <c r="M854">
        <v>103500</v>
      </c>
      <c r="N854" t="s">
        <v>95</v>
      </c>
      <c r="O854" t="s">
        <v>96</v>
      </c>
    </row>
    <row r="855" spans="1:15" x14ac:dyDescent="0.25">
      <c r="A855">
        <v>710</v>
      </c>
      <c r="B855" s="10">
        <v>45732</v>
      </c>
      <c r="C855">
        <v>16</v>
      </c>
      <c r="D855" t="s">
        <v>140</v>
      </c>
      <c r="E855" t="s">
        <v>98</v>
      </c>
      <c r="F855" t="s">
        <v>144</v>
      </c>
      <c r="G855" t="s">
        <v>91</v>
      </c>
      <c r="H855" t="s">
        <v>101</v>
      </c>
      <c r="I855" t="s">
        <v>127</v>
      </c>
      <c r="J855" t="s">
        <v>103</v>
      </c>
      <c r="K855">
        <v>9</v>
      </c>
      <c r="L855">
        <v>2300</v>
      </c>
      <c r="M855">
        <v>20700</v>
      </c>
      <c r="N855" t="s">
        <v>95</v>
      </c>
      <c r="O855" t="s">
        <v>104</v>
      </c>
    </row>
    <row r="856" spans="1:15" x14ac:dyDescent="0.25">
      <c r="A856">
        <v>822</v>
      </c>
      <c r="B856" s="10">
        <v>45676</v>
      </c>
      <c r="C856">
        <v>19</v>
      </c>
      <c r="D856" t="s">
        <v>130</v>
      </c>
      <c r="E856" t="s">
        <v>150</v>
      </c>
      <c r="F856" t="s">
        <v>22</v>
      </c>
      <c r="G856" t="s">
        <v>91</v>
      </c>
      <c r="H856" t="s">
        <v>37</v>
      </c>
      <c r="I856" t="s">
        <v>38</v>
      </c>
      <c r="J856" t="s">
        <v>103</v>
      </c>
      <c r="K856">
        <v>12</v>
      </c>
      <c r="L856">
        <v>2300</v>
      </c>
      <c r="M856">
        <v>27600</v>
      </c>
      <c r="N856" t="s">
        <v>95</v>
      </c>
      <c r="O856" t="s">
        <v>96</v>
      </c>
    </row>
    <row r="857" spans="1:15" x14ac:dyDescent="0.25">
      <c r="A857">
        <v>1048</v>
      </c>
      <c r="B857" s="10">
        <v>45719</v>
      </c>
      <c r="C857">
        <v>3</v>
      </c>
      <c r="D857" t="s">
        <v>140</v>
      </c>
      <c r="E857" t="s">
        <v>150</v>
      </c>
      <c r="F857" t="s">
        <v>148</v>
      </c>
      <c r="G857" t="s">
        <v>118</v>
      </c>
      <c r="H857" t="s">
        <v>37</v>
      </c>
      <c r="I857" t="s">
        <v>38</v>
      </c>
      <c r="J857" t="s">
        <v>94</v>
      </c>
      <c r="K857">
        <v>2</v>
      </c>
      <c r="L857">
        <v>2300</v>
      </c>
      <c r="M857">
        <v>4600</v>
      </c>
      <c r="N857" t="s">
        <v>108</v>
      </c>
      <c r="O857" t="s">
        <v>115</v>
      </c>
    </row>
    <row r="858" spans="1:15" x14ac:dyDescent="0.25">
      <c r="A858">
        <v>1084</v>
      </c>
      <c r="B858" s="10">
        <v>45691</v>
      </c>
      <c r="C858">
        <v>3</v>
      </c>
      <c r="D858" t="s">
        <v>97</v>
      </c>
      <c r="E858" t="s">
        <v>138</v>
      </c>
      <c r="F858" t="s">
        <v>44</v>
      </c>
      <c r="G858" t="s">
        <v>111</v>
      </c>
      <c r="H858" t="s">
        <v>101</v>
      </c>
      <c r="I858" t="s">
        <v>127</v>
      </c>
      <c r="J858" t="s">
        <v>103</v>
      </c>
      <c r="K858">
        <v>17</v>
      </c>
      <c r="L858">
        <v>2300</v>
      </c>
      <c r="M858">
        <v>39100</v>
      </c>
      <c r="N858" t="s">
        <v>95</v>
      </c>
      <c r="O858" t="s">
        <v>96</v>
      </c>
    </row>
    <row r="859" spans="1:15" x14ac:dyDescent="0.25">
      <c r="A859">
        <v>1133</v>
      </c>
      <c r="B859" s="10">
        <v>45673</v>
      </c>
      <c r="C859">
        <v>16</v>
      </c>
      <c r="D859" t="s">
        <v>130</v>
      </c>
      <c r="E859" t="s">
        <v>150</v>
      </c>
      <c r="F859" t="s">
        <v>36</v>
      </c>
      <c r="G859" t="s">
        <v>100</v>
      </c>
      <c r="H859" t="s">
        <v>101</v>
      </c>
      <c r="I859" t="s">
        <v>127</v>
      </c>
      <c r="J859" t="s">
        <v>103</v>
      </c>
      <c r="K859">
        <v>5</v>
      </c>
      <c r="L859">
        <v>2300</v>
      </c>
      <c r="M859">
        <v>11500</v>
      </c>
      <c r="N859" t="s">
        <v>108</v>
      </c>
      <c r="O859" t="s">
        <v>96</v>
      </c>
    </row>
    <row r="860" spans="1:15" x14ac:dyDescent="0.25">
      <c r="A860">
        <v>1195</v>
      </c>
      <c r="B860" s="10">
        <v>45915</v>
      </c>
      <c r="C860">
        <v>15</v>
      </c>
      <c r="D860" t="s">
        <v>147</v>
      </c>
      <c r="E860" t="s">
        <v>31</v>
      </c>
      <c r="F860" t="s">
        <v>151</v>
      </c>
      <c r="G860" t="s">
        <v>111</v>
      </c>
      <c r="H860" t="s">
        <v>101</v>
      </c>
      <c r="I860" t="s">
        <v>127</v>
      </c>
      <c r="J860" t="s">
        <v>94</v>
      </c>
      <c r="K860">
        <v>4</v>
      </c>
      <c r="L860">
        <v>2300</v>
      </c>
      <c r="M860">
        <v>9200</v>
      </c>
      <c r="N860" t="s">
        <v>95</v>
      </c>
      <c r="O860" t="s">
        <v>96</v>
      </c>
    </row>
    <row r="861" spans="1:15" x14ac:dyDescent="0.25">
      <c r="A861">
        <v>1232</v>
      </c>
      <c r="B861" s="10">
        <v>45981</v>
      </c>
      <c r="C861">
        <v>20</v>
      </c>
      <c r="D861" t="s">
        <v>90</v>
      </c>
      <c r="E861" t="s">
        <v>98</v>
      </c>
      <c r="F861" t="s">
        <v>151</v>
      </c>
      <c r="G861" t="s">
        <v>111</v>
      </c>
      <c r="H861" t="s">
        <v>37</v>
      </c>
      <c r="I861" t="s">
        <v>38</v>
      </c>
      <c r="J861" t="s">
        <v>94</v>
      </c>
      <c r="K861">
        <v>2</v>
      </c>
      <c r="L861">
        <v>2300</v>
      </c>
      <c r="M861">
        <v>4600</v>
      </c>
      <c r="N861" t="s">
        <v>95</v>
      </c>
      <c r="O861" t="s">
        <v>104</v>
      </c>
    </row>
    <row r="862" spans="1:15" x14ac:dyDescent="0.25">
      <c r="A862">
        <v>1375</v>
      </c>
      <c r="B862" s="10">
        <v>45849</v>
      </c>
      <c r="C862">
        <v>11</v>
      </c>
      <c r="D862" t="s">
        <v>145</v>
      </c>
      <c r="E862" t="s">
        <v>138</v>
      </c>
      <c r="F862" t="s">
        <v>107</v>
      </c>
      <c r="G862" t="s">
        <v>100</v>
      </c>
      <c r="H862" t="s">
        <v>101</v>
      </c>
      <c r="I862" t="s">
        <v>127</v>
      </c>
      <c r="J862" t="s">
        <v>103</v>
      </c>
      <c r="K862">
        <v>29</v>
      </c>
      <c r="L862">
        <v>2300</v>
      </c>
      <c r="M862">
        <v>66700</v>
      </c>
      <c r="N862" t="s">
        <v>108</v>
      </c>
      <c r="O862" t="s">
        <v>96</v>
      </c>
    </row>
    <row r="863" spans="1:15" x14ac:dyDescent="0.25">
      <c r="A863">
        <v>1487</v>
      </c>
      <c r="B863" s="10">
        <v>45726</v>
      </c>
      <c r="C863">
        <v>10</v>
      </c>
      <c r="D863" t="s">
        <v>140</v>
      </c>
      <c r="E863" t="s">
        <v>98</v>
      </c>
      <c r="F863" t="s">
        <v>148</v>
      </c>
      <c r="G863" t="s">
        <v>118</v>
      </c>
      <c r="H863" t="s">
        <v>101</v>
      </c>
      <c r="I863" t="s">
        <v>127</v>
      </c>
      <c r="J863" t="s">
        <v>94</v>
      </c>
      <c r="K863">
        <v>5</v>
      </c>
      <c r="L863">
        <v>2300</v>
      </c>
      <c r="M863">
        <v>11500</v>
      </c>
      <c r="N863" t="s">
        <v>108</v>
      </c>
      <c r="O863" t="s">
        <v>115</v>
      </c>
    </row>
    <row r="864" spans="1:15" x14ac:dyDescent="0.25">
      <c r="A864">
        <v>1764</v>
      </c>
      <c r="B864" s="10">
        <v>45872</v>
      </c>
      <c r="C864">
        <v>3</v>
      </c>
      <c r="D864" t="s">
        <v>109</v>
      </c>
      <c r="E864" t="s">
        <v>138</v>
      </c>
      <c r="F864" t="s">
        <v>36</v>
      </c>
      <c r="G864" t="s">
        <v>100</v>
      </c>
      <c r="H864" t="s">
        <v>101</v>
      </c>
      <c r="I864" t="s">
        <v>127</v>
      </c>
      <c r="J864" t="s">
        <v>94</v>
      </c>
      <c r="K864">
        <v>6</v>
      </c>
      <c r="L864">
        <v>2300</v>
      </c>
      <c r="M864">
        <v>13800</v>
      </c>
      <c r="N864" t="s">
        <v>95</v>
      </c>
      <c r="O864" t="s">
        <v>104</v>
      </c>
    </row>
    <row r="865" spans="1:15" x14ac:dyDescent="0.25">
      <c r="A865">
        <v>1875</v>
      </c>
      <c r="B865" s="10">
        <v>45893</v>
      </c>
      <c r="C865">
        <v>24</v>
      </c>
      <c r="D865" t="s">
        <v>109</v>
      </c>
      <c r="E865" t="s">
        <v>142</v>
      </c>
      <c r="F865" t="s">
        <v>99</v>
      </c>
      <c r="G865" t="s">
        <v>100</v>
      </c>
      <c r="H865" t="s">
        <v>101</v>
      </c>
      <c r="I865" t="s">
        <v>127</v>
      </c>
      <c r="J865" t="s">
        <v>103</v>
      </c>
      <c r="K865">
        <v>13</v>
      </c>
      <c r="L865">
        <v>2300</v>
      </c>
      <c r="M865">
        <v>29900</v>
      </c>
      <c r="N865" t="s">
        <v>108</v>
      </c>
      <c r="O865" t="s">
        <v>104</v>
      </c>
    </row>
    <row r="866" spans="1:15" x14ac:dyDescent="0.25">
      <c r="A866">
        <v>1915</v>
      </c>
      <c r="B866" s="10">
        <v>45843</v>
      </c>
      <c r="C866">
        <v>5</v>
      </c>
      <c r="D866" t="s">
        <v>145</v>
      </c>
      <c r="E866" t="s">
        <v>161</v>
      </c>
      <c r="F866" t="s">
        <v>122</v>
      </c>
      <c r="G866" t="s">
        <v>114</v>
      </c>
      <c r="H866" t="s">
        <v>101</v>
      </c>
      <c r="I866" t="s">
        <v>102</v>
      </c>
      <c r="J866" t="s">
        <v>103</v>
      </c>
      <c r="K866">
        <v>25</v>
      </c>
      <c r="L866">
        <v>2300</v>
      </c>
      <c r="M866">
        <v>57500</v>
      </c>
      <c r="N866" t="s">
        <v>108</v>
      </c>
      <c r="O866" t="s">
        <v>115</v>
      </c>
    </row>
    <row r="867" spans="1:15" x14ac:dyDescent="0.25">
      <c r="A867">
        <v>2147</v>
      </c>
      <c r="B867" s="10">
        <v>45860</v>
      </c>
      <c r="C867">
        <v>22</v>
      </c>
      <c r="D867" t="s">
        <v>145</v>
      </c>
      <c r="E867" t="s">
        <v>138</v>
      </c>
      <c r="F867" t="s">
        <v>49</v>
      </c>
      <c r="G867" t="s">
        <v>118</v>
      </c>
      <c r="H867" t="s">
        <v>37</v>
      </c>
      <c r="I867" t="s">
        <v>38</v>
      </c>
      <c r="J867" t="s">
        <v>94</v>
      </c>
      <c r="K867">
        <v>4</v>
      </c>
      <c r="L867">
        <v>2300</v>
      </c>
      <c r="M867">
        <v>9200</v>
      </c>
      <c r="N867" t="s">
        <v>95</v>
      </c>
      <c r="O867" t="s">
        <v>96</v>
      </c>
    </row>
    <row r="868" spans="1:15" x14ac:dyDescent="0.25">
      <c r="A868">
        <v>2366</v>
      </c>
      <c r="B868" s="10">
        <v>45767</v>
      </c>
      <c r="C868">
        <v>20</v>
      </c>
      <c r="D868" t="s">
        <v>105</v>
      </c>
      <c r="E868" t="s">
        <v>25</v>
      </c>
      <c r="F868" t="s">
        <v>44</v>
      </c>
      <c r="G868" t="s">
        <v>111</v>
      </c>
      <c r="H868" t="s">
        <v>101</v>
      </c>
      <c r="I868" t="s">
        <v>127</v>
      </c>
      <c r="J868" t="s">
        <v>103</v>
      </c>
      <c r="K868">
        <v>29</v>
      </c>
      <c r="L868">
        <v>2300</v>
      </c>
      <c r="M868">
        <v>66700</v>
      </c>
      <c r="N868" t="s">
        <v>108</v>
      </c>
      <c r="O868" t="s">
        <v>104</v>
      </c>
    </row>
    <row r="869" spans="1:15" x14ac:dyDescent="0.25">
      <c r="A869">
        <v>2420</v>
      </c>
      <c r="B869" s="10">
        <v>45680</v>
      </c>
      <c r="C869">
        <v>23</v>
      </c>
      <c r="D869" t="s">
        <v>130</v>
      </c>
      <c r="E869" t="s">
        <v>133</v>
      </c>
      <c r="F869" t="s">
        <v>144</v>
      </c>
      <c r="G869" t="s">
        <v>91</v>
      </c>
      <c r="H869" t="s">
        <v>101</v>
      </c>
      <c r="I869" t="s">
        <v>127</v>
      </c>
      <c r="J869" t="s">
        <v>94</v>
      </c>
      <c r="K869">
        <v>8</v>
      </c>
      <c r="L869">
        <v>2300</v>
      </c>
      <c r="M869">
        <v>18400</v>
      </c>
      <c r="N869" t="s">
        <v>108</v>
      </c>
      <c r="O869" t="s">
        <v>96</v>
      </c>
    </row>
    <row r="870" spans="1:15" x14ac:dyDescent="0.25">
      <c r="A870">
        <v>2478</v>
      </c>
      <c r="B870" s="10">
        <v>45765</v>
      </c>
      <c r="C870">
        <v>18</v>
      </c>
      <c r="D870" t="s">
        <v>105</v>
      </c>
      <c r="E870" t="s">
        <v>121</v>
      </c>
      <c r="F870" t="s">
        <v>107</v>
      </c>
      <c r="G870" t="s">
        <v>100</v>
      </c>
      <c r="H870" t="s">
        <v>37</v>
      </c>
      <c r="I870" t="s">
        <v>38</v>
      </c>
      <c r="J870" t="s">
        <v>103</v>
      </c>
      <c r="K870">
        <v>43</v>
      </c>
      <c r="L870">
        <v>2300</v>
      </c>
      <c r="M870">
        <v>98900</v>
      </c>
      <c r="N870" t="s">
        <v>95</v>
      </c>
      <c r="O870" t="s">
        <v>115</v>
      </c>
    </row>
    <row r="871" spans="1:15" x14ac:dyDescent="0.25">
      <c r="A871">
        <v>2936</v>
      </c>
      <c r="B871" s="10">
        <v>45797</v>
      </c>
      <c r="C871">
        <v>20</v>
      </c>
      <c r="D871" t="s">
        <v>120</v>
      </c>
      <c r="E871" t="s">
        <v>112</v>
      </c>
      <c r="F871" t="s">
        <v>49</v>
      </c>
      <c r="G871" t="s">
        <v>118</v>
      </c>
      <c r="H871" t="s">
        <v>37</v>
      </c>
      <c r="I871" t="s">
        <v>38</v>
      </c>
      <c r="J871" t="s">
        <v>103</v>
      </c>
      <c r="K871">
        <v>31</v>
      </c>
      <c r="L871">
        <v>2300</v>
      </c>
      <c r="M871">
        <v>71300</v>
      </c>
      <c r="N871" t="s">
        <v>108</v>
      </c>
      <c r="O871" t="s">
        <v>96</v>
      </c>
    </row>
    <row r="872" spans="1:15" x14ac:dyDescent="0.25">
      <c r="A872">
        <v>3107</v>
      </c>
      <c r="B872" s="10">
        <v>45787</v>
      </c>
      <c r="C872">
        <v>10</v>
      </c>
      <c r="D872" t="s">
        <v>120</v>
      </c>
      <c r="E872" t="s">
        <v>128</v>
      </c>
      <c r="F872" t="s">
        <v>117</v>
      </c>
      <c r="G872" t="s">
        <v>118</v>
      </c>
      <c r="H872" t="s">
        <v>101</v>
      </c>
      <c r="I872" t="s">
        <v>127</v>
      </c>
      <c r="J872" t="s">
        <v>94</v>
      </c>
      <c r="K872">
        <v>6</v>
      </c>
      <c r="L872">
        <v>2300</v>
      </c>
      <c r="M872">
        <v>13800</v>
      </c>
      <c r="N872" t="s">
        <v>95</v>
      </c>
      <c r="O872" t="s">
        <v>104</v>
      </c>
    </row>
    <row r="873" spans="1:15" x14ac:dyDescent="0.25">
      <c r="A873">
        <v>3266</v>
      </c>
      <c r="B873" s="10">
        <v>45839</v>
      </c>
      <c r="C873">
        <v>1</v>
      </c>
      <c r="D873" t="s">
        <v>145</v>
      </c>
      <c r="E873" t="s">
        <v>128</v>
      </c>
      <c r="F873" t="s">
        <v>107</v>
      </c>
      <c r="G873" t="s">
        <v>100</v>
      </c>
      <c r="H873" t="s">
        <v>101</v>
      </c>
      <c r="I873" t="s">
        <v>127</v>
      </c>
      <c r="J873" t="s">
        <v>103</v>
      </c>
      <c r="K873">
        <v>38</v>
      </c>
      <c r="L873">
        <v>2300</v>
      </c>
      <c r="M873">
        <v>87400</v>
      </c>
      <c r="N873" t="s">
        <v>108</v>
      </c>
      <c r="O873" t="s">
        <v>96</v>
      </c>
    </row>
    <row r="874" spans="1:15" x14ac:dyDescent="0.25">
      <c r="A874">
        <v>3295</v>
      </c>
      <c r="B874" s="10">
        <v>45972</v>
      </c>
      <c r="C874">
        <v>11</v>
      </c>
      <c r="D874" t="s">
        <v>90</v>
      </c>
      <c r="E874" t="s">
        <v>142</v>
      </c>
      <c r="F874" t="s">
        <v>141</v>
      </c>
      <c r="G874" t="s">
        <v>100</v>
      </c>
      <c r="H874" t="s">
        <v>101</v>
      </c>
      <c r="I874" t="s">
        <v>127</v>
      </c>
      <c r="J874" t="s">
        <v>94</v>
      </c>
      <c r="K874">
        <v>6</v>
      </c>
      <c r="L874">
        <v>2300</v>
      </c>
      <c r="M874">
        <v>13800</v>
      </c>
      <c r="N874" t="s">
        <v>108</v>
      </c>
      <c r="O874" t="s">
        <v>96</v>
      </c>
    </row>
    <row r="875" spans="1:15" x14ac:dyDescent="0.25">
      <c r="A875">
        <v>3444</v>
      </c>
      <c r="B875" s="10">
        <v>45660</v>
      </c>
      <c r="C875">
        <v>3</v>
      </c>
      <c r="D875" t="s">
        <v>130</v>
      </c>
      <c r="E875" t="s">
        <v>112</v>
      </c>
      <c r="F875" t="s">
        <v>22</v>
      </c>
      <c r="G875" t="s">
        <v>91</v>
      </c>
      <c r="H875" t="s">
        <v>37</v>
      </c>
      <c r="I875" t="s">
        <v>38</v>
      </c>
      <c r="J875" t="s">
        <v>103</v>
      </c>
      <c r="K875">
        <v>50</v>
      </c>
      <c r="L875">
        <v>2300</v>
      </c>
      <c r="M875">
        <v>115000</v>
      </c>
      <c r="N875" t="s">
        <v>95</v>
      </c>
      <c r="O875" t="s">
        <v>115</v>
      </c>
    </row>
    <row r="876" spans="1:15" x14ac:dyDescent="0.25">
      <c r="A876">
        <v>3452</v>
      </c>
      <c r="B876" s="10">
        <v>45906</v>
      </c>
      <c r="C876">
        <v>6</v>
      </c>
      <c r="D876" t="s">
        <v>147</v>
      </c>
      <c r="E876" t="s">
        <v>116</v>
      </c>
      <c r="F876" t="s">
        <v>36</v>
      </c>
      <c r="G876" t="s">
        <v>100</v>
      </c>
      <c r="H876" t="s">
        <v>101</v>
      </c>
      <c r="I876" t="s">
        <v>127</v>
      </c>
      <c r="J876" t="s">
        <v>94</v>
      </c>
      <c r="K876">
        <v>1</v>
      </c>
      <c r="L876">
        <v>2300</v>
      </c>
      <c r="M876">
        <v>2300</v>
      </c>
      <c r="N876" t="s">
        <v>108</v>
      </c>
      <c r="O876" t="s">
        <v>104</v>
      </c>
    </row>
    <row r="877" spans="1:15" x14ac:dyDescent="0.25">
      <c r="A877">
        <v>3480</v>
      </c>
      <c r="B877" s="10">
        <v>45706</v>
      </c>
      <c r="C877">
        <v>18</v>
      </c>
      <c r="D877" t="s">
        <v>97</v>
      </c>
      <c r="E877" t="s">
        <v>31</v>
      </c>
      <c r="F877" t="s">
        <v>117</v>
      </c>
      <c r="G877" t="s">
        <v>118</v>
      </c>
      <c r="H877" t="s">
        <v>37</v>
      </c>
      <c r="I877" t="s">
        <v>38</v>
      </c>
      <c r="J877" t="s">
        <v>103</v>
      </c>
      <c r="K877">
        <v>27</v>
      </c>
      <c r="L877">
        <v>2300</v>
      </c>
      <c r="M877">
        <v>62100</v>
      </c>
      <c r="N877" t="s">
        <v>95</v>
      </c>
      <c r="O877" t="s">
        <v>96</v>
      </c>
    </row>
    <row r="878" spans="1:15" x14ac:dyDescent="0.25">
      <c r="A878">
        <v>3666</v>
      </c>
      <c r="B878" s="10">
        <v>45698</v>
      </c>
      <c r="C878">
        <v>10</v>
      </c>
      <c r="D878" t="s">
        <v>97</v>
      </c>
      <c r="E878" t="s">
        <v>112</v>
      </c>
      <c r="F878" t="s">
        <v>113</v>
      </c>
      <c r="G878" t="s">
        <v>114</v>
      </c>
      <c r="H878" t="s">
        <v>101</v>
      </c>
      <c r="I878" t="s">
        <v>127</v>
      </c>
      <c r="J878" t="s">
        <v>94</v>
      </c>
      <c r="K878">
        <v>10</v>
      </c>
      <c r="L878">
        <v>2300</v>
      </c>
      <c r="M878">
        <v>23000</v>
      </c>
      <c r="N878" t="s">
        <v>95</v>
      </c>
      <c r="O878" t="s">
        <v>96</v>
      </c>
    </row>
    <row r="879" spans="1:15" x14ac:dyDescent="0.25">
      <c r="A879">
        <v>3749</v>
      </c>
      <c r="B879" s="10">
        <v>45858</v>
      </c>
      <c r="C879">
        <v>20</v>
      </c>
      <c r="D879" t="s">
        <v>145</v>
      </c>
      <c r="E879" t="s">
        <v>133</v>
      </c>
      <c r="F879" t="s">
        <v>107</v>
      </c>
      <c r="G879" t="s">
        <v>100</v>
      </c>
      <c r="H879" t="s">
        <v>37</v>
      </c>
      <c r="I879" t="s">
        <v>38</v>
      </c>
      <c r="J879" t="s">
        <v>103</v>
      </c>
      <c r="K879">
        <v>36</v>
      </c>
      <c r="L879">
        <v>2300</v>
      </c>
      <c r="M879">
        <v>82800</v>
      </c>
      <c r="N879" t="s">
        <v>108</v>
      </c>
      <c r="O879" t="s">
        <v>115</v>
      </c>
    </row>
    <row r="880" spans="1:15" x14ac:dyDescent="0.25">
      <c r="A880">
        <v>4354</v>
      </c>
      <c r="B880" s="10">
        <v>45767</v>
      </c>
      <c r="C880">
        <v>20</v>
      </c>
      <c r="D880" t="s">
        <v>105</v>
      </c>
      <c r="E880" t="s">
        <v>128</v>
      </c>
      <c r="F880" t="s">
        <v>44</v>
      </c>
      <c r="G880" t="s">
        <v>111</v>
      </c>
      <c r="H880" t="s">
        <v>101</v>
      </c>
      <c r="I880" t="s">
        <v>127</v>
      </c>
      <c r="J880" t="s">
        <v>94</v>
      </c>
      <c r="K880">
        <v>7</v>
      </c>
      <c r="L880">
        <v>2300</v>
      </c>
      <c r="M880">
        <v>16100</v>
      </c>
      <c r="N880" t="s">
        <v>108</v>
      </c>
      <c r="O880" t="s">
        <v>96</v>
      </c>
    </row>
    <row r="881" spans="1:15" x14ac:dyDescent="0.25">
      <c r="A881">
        <v>4479</v>
      </c>
      <c r="B881" s="10">
        <v>45874</v>
      </c>
      <c r="C881">
        <v>5</v>
      </c>
      <c r="D881" t="s">
        <v>109</v>
      </c>
      <c r="E881" t="s">
        <v>31</v>
      </c>
      <c r="F881" t="s">
        <v>36</v>
      </c>
      <c r="G881" t="s">
        <v>100</v>
      </c>
      <c r="H881" t="s">
        <v>101</v>
      </c>
      <c r="I881" t="s">
        <v>127</v>
      </c>
      <c r="J881" t="s">
        <v>94</v>
      </c>
      <c r="K881">
        <v>3</v>
      </c>
      <c r="L881">
        <v>2300</v>
      </c>
      <c r="M881">
        <v>6900</v>
      </c>
      <c r="N881" t="s">
        <v>95</v>
      </c>
      <c r="O881" t="s">
        <v>104</v>
      </c>
    </row>
    <row r="882" spans="1:15" x14ac:dyDescent="0.25">
      <c r="A882">
        <v>4847</v>
      </c>
      <c r="B882" s="10">
        <v>45827</v>
      </c>
      <c r="C882">
        <v>19</v>
      </c>
      <c r="D882" t="s">
        <v>153</v>
      </c>
      <c r="E882" t="s">
        <v>110</v>
      </c>
      <c r="F882" t="s">
        <v>49</v>
      </c>
      <c r="G882" t="s">
        <v>118</v>
      </c>
      <c r="H882" t="s">
        <v>101</v>
      </c>
      <c r="I882" t="s">
        <v>102</v>
      </c>
      <c r="J882" t="s">
        <v>103</v>
      </c>
      <c r="K882">
        <v>20</v>
      </c>
      <c r="L882">
        <v>2300</v>
      </c>
      <c r="M882">
        <v>46000</v>
      </c>
      <c r="N882" t="s">
        <v>108</v>
      </c>
      <c r="O882" t="s">
        <v>96</v>
      </c>
    </row>
    <row r="883" spans="1:15" x14ac:dyDescent="0.25">
      <c r="A883">
        <v>4924</v>
      </c>
      <c r="B883" s="10">
        <v>45659</v>
      </c>
      <c r="C883">
        <v>2</v>
      </c>
      <c r="D883" t="s">
        <v>130</v>
      </c>
      <c r="E883" t="s">
        <v>128</v>
      </c>
      <c r="F883" t="s">
        <v>148</v>
      </c>
      <c r="G883" t="s">
        <v>118</v>
      </c>
      <c r="H883" t="s">
        <v>37</v>
      </c>
      <c r="I883" t="s">
        <v>38</v>
      </c>
      <c r="J883" t="s">
        <v>103</v>
      </c>
      <c r="K883">
        <v>26</v>
      </c>
      <c r="L883">
        <v>2300</v>
      </c>
      <c r="M883">
        <v>59800</v>
      </c>
      <c r="N883" t="s">
        <v>95</v>
      </c>
      <c r="O883" t="s">
        <v>104</v>
      </c>
    </row>
    <row r="884" spans="1:15" x14ac:dyDescent="0.25">
      <c r="A884">
        <v>20</v>
      </c>
      <c r="B884" s="10">
        <v>45934</v>
      </c>
      <c r="C884">
        <v>4</v>
      </c>
      <c r="D884" t="s">
        <v>136</v>
      </c>
      <c r="E884" t="s">
        <v>112</v>
      </c>
      <c r="F884" t="s">
        <v>144</v>
      </c>
      <c r="G884" t="s">
        <v>91</v>
      </c>
      <c r="H884" t="s">
        <v>101</v>
      </c>
      <c r="I884" t="s">
        <v>102</v>
      </c>
      <c r="J884" t="s">
        <v>103</v>
      </c>
      <c r="K884">
        <v>36</v>
      </c>
      <c r="L884">
        <v>2400</v>
      </c>
      <c r="M884">
        <v>86400</v>
      </c>
      <c r="N884" t="s">
        <v>95</v>
      </c>
      <c r="O884" t="s">
        <v>104</v>
      </c>
    </row>
    <row r="885" spans="1:15" x14ac:dyDescent="0.25">
      <c r="A885">
        <v>25</v>
      </c>
      <c r="B885" s="10">
        <v>45831</v>
      </c>
      <c r="C885">
        <v>23</v>
      </c>
      <c r="D885" t="s">
        <v>153</v>
      </c>
      <c r="E885" t="s">
        <v>25</v>
      </c>
      <c r="F885" t="s">
        <v>148</v>
      </c>
      <c r="G885" t="s">
        <v>118</v>
      </c>
      <c r="H885" t="s">
        <v>101</v>
      </c>
      <c r="I885" t="s">
        <v>127</v>
      </c>
      <c r="J885" t="s">
        <v>94</v>
      </c>
      <c r="K885">
        <v>1</v>
      </c>
      <c r="L885">
        <v>2400</v>
      </c>
      <c r="M885">
        <v>2400</v>
      </c>
      <c r="N885" t="s">
        <v>95</v>
      </c>
      <c r="O885" t="s">
        <v>96</v>
      </c>
    </row>
    <row r="886" spans="1:15" x14ac:dyDescent="0.25">
      <c r="A886">
        <v>235</v>
      </c>
      <c r="B886" s="10">
        <v>45686</v>
      </c>
      <c r="C886">
        <v>29</v>
      </c>
      <c r="D886" t="s">
        <v>130</v>
      </c>
      <c r="E886" t="s">
        <v>121</v>
      </c>
      <c r="F886" t="s">
        <v>28</v>
      </c>
      <c r="G886" t="s">
        <v>126</v>
      </c>
      <c r="H886" t="s">
        <v>101</v>
      </c>
      <c r="I886" t="s">
        <v>127</v>
      </c>
      <c r="J886" t="s">
        <v>103</v>
      </c>
      <c r="K886">
        <v>15</v>
      </c>
      <c r="L886">
        <v>2400</v>
      </c>
      <c r="M886">
        <v>36000</v>
      </c>
      <c r="N886" t="s">
        <v>95</v>
      </c>
      <c r="O886" t="s">
        <v>115</v>
      </c>
    </row>
    <row r="887" spans="1:15" x14ac:dyDescent="0.25">
      <c r="A887">
        <v>340</v>
      </c>
      <c r="B887" s="10">
        <v>45859</v>
      </c>
      <c r="C887">
        <v>21</v>
      </c>
      <c r="D887" t="s">
        <v>145</v>
      </c>
      <c r="E887" t="s">
        <v>150</v>
      </c>
      <c r="F887" t="s">
        <v>28</v>
      </c>
      <c r="G887" t="s">
        <v>126</v>
      </c>
      <c r="H887" t="s">
        <v>101</v>
      </c>
      <c r="I887" t="s">
        <v>127</v>
      </c>
      <c r="J887" t="s">
        <v>94</v>
      </c>
      <c r="K887">
        <v>9</v>
      </c>
      <c r="L887">
        <v>2400</v>
      </c>
      <c r="M887">
        <v>21600</v>
      </c>
      <c r="N887" t="s">
        <v>95</v>
      </c>
      <c r="O887" t="s">
        <v>96</v>
      </c>
    </row>
    <row r="888" spans="1:15" x14ac:dyDescent="0.25">
      <c r="A888">
        <v>379</v>
      </c>
      <c r="B888" s="10">
        <v>45902</v>
      </c>
      <c r="C888">
        <v>2</v>
      </c>
      <c r="D888" t="s">
        <v>147</v>
      </c>
      <c r="E888" t="s">
        <v>31</v>
      </c>
      <c r="F888" t="s">
        <v>36</v>
      </c>
      <c r="G888" t="s">
        <v>100</v>
      </c>
      <c r="H888" t="s">
        <v>101</v>
      </c>
      <c r="I888" t="s">
        <v>127</v>
      </c>
      <c r="J888" t="s">
        <v>103</v>
      </c>
      <c r="K888">
        <v>5</v>
      </c>
      <c r="L888">
        <v>2400</v>
      </c>
      <c r="M888">
        <v>12000</v>
      </c>
      <c r="N888" t="s">
        <v>95</v>
      </c>
      <c r="O888" t="s">
        <v>96</v>
      </c>
    </row>
    <row r="889" spans="1:15" x14ac:dyDescent="0.25">
      <c r="A889">
        <v>431</v>
      </c>
      <c r="B889" s="10">
        <v>46016</v>
      </c>
      <c r="C889">
        <v>25</v>
      </c>
      <c r="D889" t="s">
        <v>125</v>
      </c>
      <c r="E889" t="s">
        <v>150</v>
      </c>
      <c r="F889" t="s">
        <v>148</v>
      </c>
      <c r="G889" t="s">
        <v>118</v>
      </c>
      <c r="H889" t="s">
        <v>101</v>
      </c>
      <c r="I889" t="s">
        <v>127</v>
      </c>
      <c r="J889" t="s">
        <v>94</v>
      </c>
      <c r="K889">
        <v>8</v>
      </c>
      <c r="L889">
        <v>2400</v>
      </c>
      <c r="M889">
        <v>19200</v>
      </c>
      <c r="N889" t="s">
        <v>108</v>
      </c>
      <c r="O889" t="s">
        <v>104</v>
      </c>
    </row>
    <row r="890" spans="1:15" x14ac:dyDescent="0.25">
      <c r="A890">
        <v>568</v>
      </c>
      <c r="B890" s="10">
        <v>45713</v>
      </c>
      <c r="C890">
        <v>25</v>
      </c>
      <c r="D890" t="s">
        <v>97</v>
      </c>
      <c r="E890" t="s">
        <v>138</v>
      </c>
      <c r="F890" t="s">
        <v>122</v>
      </c>
      <c r="G890" t="s">
        <v>114</v>
      </c>
      <c r="H890" t="s">
        <v>101</v>
      </c>
      <c r="I890" t="s">
        <v>102</v>
      </c>
      <c r="J890" t="s">
        <v>103</v>
      </c>
      <c r="K890">
        <v>13</v>
      </c>
      <c r="L890">
        <v>2400</v>
      </c>
      <c r="M890">
        <v>31200</v>
      </c>
      <c r="N890" t="s">
        <v>95</v>
      </c>
      <c r="O890" t="s">
        <v>115</v>
      </c>
    </row>
    <row r="891" spans="1:15" x14ac:dyDescent="0.25">
      <c r="A891">
        <v>769</v>
      </c>
      <c r="B891" s="10">
        <v>45960</v>
      </c>
      <c r="C891">
        <v>30</v>
      </c>
      <c r="D891" t="s">
        <v>136</v>
      </c>
      <c r="E891" t="s">
        <v>142</v>
      </c>
      <c r="F891" t="s">
        <v>49</v>
      </c>
      <c r="G891" t="s">
        <v>118</v>
      </c>
      <c r="H891" t="s">
        <v>101</v>
      </c>
      <c r="I891" t="s">
        <v>127</v>
      </c>
      <c r="J891" t="s">
        <v>94</v>
      </c>
      <c r="K891">
        <v>8</v>
      </c>
      <c r="L891">
        <v>2400</v>
      </c>
      <c r="M891">
        <v>19200</v>
      </c>
      <c r="N891" t="s">
        <v>108</v>
      </c>
      <c r="O891" t="s">
        <v>104</v>
      </c>
    </row>
    <row r="892" spans="1:15" x14ac:dyDescent="0.25">
      <c r="A892">
        <v>933</v>
      </c>
      <c r="B892" s="10">
        <v>45668</v>
      </c>
      <c r="C892">
        <v>11</v>
      </c>
      <c r="D892" t="s">
        <v>130</v>
      </c>
      <c r="E892" t="s">
        <v>161</v>
      </c>
      <c r="F892" t="s">
        <v>151</v>
      </c>
      <c r="G892" t="s">
        <v>111</v>
      </c>
      <c r="H892" t="s">
        <v>101</v>
      </c>
      <c r="I892" t="s">
        <v>102</v>
      </c>
      <c r="J892" t="s">
        <v>103</v>
      </c>
      <c r="K892">
        <v>29</v>
      </c>
      <c r="L892">
        <v>2400</v>
      </c>
      <c r="M892">
        <v>69600</v>
      </c>
      <c r="N892" t="s">
        <v>108</v>
      </c>
      <c r="O892" t="s">
        <v>115</v>
      </c>
    </row>
    <row r="893" spans="1:15" x14ac:dyDescent="0.25">
      <c r="A893">
        <v>953</v>
      </c>
      <c r="B893" s="10">
        <v>45883</v>
      </c>
      <c r="C893">
        <v>14</v>
      </c>
      <c r="D893" t="s">
        <v>109</v>
      </c>
      <c r="E893" t="s">
        <v>142</v>
      </c>
      <c r="F893" t="s">
        <v>44</v>
      </c>
      <c r="G893" t="s">
        <v>111</v>
      </c>
      <c r="H893" t="s">
        <v>101</v>
      </c>
      <c r="I893" t="s">
        <v>102</v>
      </c>
      <c r="J893" t="s">
        <v>103</v>
      </c>
      <c r="K893">
        <v>39</v>
      </c>
      <c r="L893">
        <v>2400</v>
      </c>
      <c r="M893">
        <v>93600</v>
      </c>
      <c r="N893" t="s">
        <v>108</v>
      </c>
      <c r="O893" t="s">
        <v>96</v>
      </c>
    </row>
    <row r="894" spans="1:15" x14ac:dyDescent="0.25">
      <c r="A894">
        <v>1202</v>
      </c>
      <c r="B894" s="10">
        <v>45970</v>
      </c>
      <c r="C894">
        <v>9</v>
      </c>
      <c r="D894" t="s">
        <v>90</v>
      </c>
      <c r="E894" t="s">
        <v>25</v>
      </c>
      <c r="F894" t="s">
        <v>113</v>
      </c>
      <c r="G894" t="s">
        <v>114</v>
      </c>
      <c r="H894" t="s">
        <v>37</v>
      </c>
      <c r="I894" t="s">
        <v>38</v>
      </c>
      <c r="J894" t="s">
        <v>94</v>
      </c>
      <c r="K894">
        <v>8</v>
      </c>
      <c r="L894">
        <v>2400</v>
      </c>
      <c r="M894">
        <v>19200</v>
      </c>
      <c r="N894" t="s">
        <v>108</v>
      </c>
      <c r="O894" t="s">
        <v>96</v>
      </c>
    </row>
    <row r="895" spans="1:15" x14ac:dyDescent="0.25">
      <c r="A895">
        <v>1234</v>
      </c>
      <c r="B895" s="10">
        <v>46013</v>
      </c>
      <c r="C895">
        <v>22</v>
      </c>
      <c r="D895" t="s">
        <v>125</v>
      </c>
      <c r="E895" t="s">
        <v>161</v>
      </c>
      <c r="F895" t="s">
        <v>28</v>
      </c>
      <c r="G895" t="s">
        <v>126</v>
      </c>
      <c r="H895" t="s">
        <v>101</v>
      </c>
      <c r="I895" t="s">
        <v>127</v>
      </c>
      <c r="J895" t="s">
        <v>103</v>
      </c>
      <c r="K895">
        <v>35</v>
      </c>
      <c r="L895">
        <v>2400</v>
      </c>
      <c r="M895">
        <v>84000</v>
      </c>
      <c r="N895" t="s">
        <v>108</v>
      </c>
      <c r="O895" t="s">
        <v>115</v>
      </c>
    </row>
    <row r="896" spans="1:15" x14ac:dyDescent="0.25">
      <c r="A896">
        <v>1235</v>
      </c>
      <c r="B896" s="10">
        <v>45950</v>
      </c>
      <c r="C896">
        <v>20</v>
      </c>
      <c r="D896" t="s">
        <v>136</v>
      </c>
      <c r="E896" t="s">
        <v>138</v>
      </c>
      <c r="F896" t="s">
        <v>28</v>
      </c>
      <c r="G896" t="s">
        <v>126</v>
      </c>
      <c r="H896" t="s">
        <v>37</v>
      </c>
      <c r="I896" t="s">
        <v>38</v>
      </c>
      <c r="J896" t="s">
        <v>94</v>
      </c>
      <c r="K896">
        <v>7</v>
      </c>
      <c r="L896">
        <v>2400</v>
      </c>
      <c r="M896">
        <v>16800</v>
      </c>
      <c r="N896" t="s">
        <v>95</v>
      </c>
      <c r="O896" t="s">
        <v>115</v>
      </c>
    </row>
    <row r="897" spans="1:15" x14ac:dyDescent="0.25">
      <c r="A897">
        <v>1238</v>
      </c>
      <c r="B897" s="10">
        <v>45720</v>
      </c>
      <c r="C897">
        <v>4</v>
      </c>
      <c r="D897" t="s">
        <v>140</v>
      </c>
      <c r="E897" t="s">
        <v>25</v>
      </c>
      <c r="F897" t="s">
        <v>36</v>
      </c>
      <c r="G897" t="s">
        <v>100</v>
      </c>
      <c r="H897" t="s">
        <v>101</v>
      </c>
      <c r="I897" t="s">
        <v>127</v>
      </c>
      <c r="J897" t="s">
        <v>94</v>
      </c>
      <c r="K897">
        <v>2</v>
      </c>
      <c r="L897">
        <v>2400</v>
      </c>
      <c r="M897">
        <v>4800</v>
      </c>
      <c r="N897" t="s">
        <v>108</v>
      </c>
      <c r="O897" t="s">
        <v>104</v>
      </c>
    </row>
    <row r="898" spans="1:15" x14ac:dyDescent="0.25">
      <c r="A898">
        <v>1245</v>
      </c>
      <c r="B898" s="10">
        <v>45875</v>
      </c>
      <c r="C898">
        <v>6</v>
      </c>
      <c r="D898" t="s">
        <v>109</v>
      </c>
      <c r="E898" t="s">
        <v>161</v>
      </c>
      <c r="F898" t="s">
        <v>36</v>
      </c>
      <c r="G898" t="s">
        <v>100</v>
      </c>
      <c r="H898" t="s">
        <v>101</v>
      </c>
      <c r="I898" t="s">
        <v>127</v>
      </c>
      <c r="J898" t="s">
        <v>94</v>
      </c>
      <c r="K898">
        <v>5</v>
      </c>
      <c r="L898">
        <v>2400</v>
      </c>
      <c r="M898">
        <v>12000</v>
      </c>
      <c r="N898" t="s">
        <v>95</v>
      </c>
      <c r="O898" t="s">
        <v>96</v>
      </c>
    </row>
    <row r="899" spans="1:15" x14ac:dyDescent="0.25">
      <c r="A899">
        <v>1286</v>
      </c>
      <c r="B899" s="10">
        <v>45804</v>
      </c>
      <c r="C899">
        <v>27</v>
      </c>
      <c r="D899" t="s">
        <v>120</v>
      </c>
      <c r="E899" t="s">
        <v>133</v>
      </c>
      <c r="F899" t="s">
        <v>44</v>
      </c>
      <c r="G899" t="s">
        <v>111</v>
      </c>
      <c r="H899" t="s">
        <v>101</v>
      </c>
      <c r="I899" t="s">
        <v>102</v>
      </c>
      <c r="J899" t="s">
        <v>103</v>
      </c>
      <c r="K899">
        <v>16</v>
      </c>
      <c r="L899">
        <v>2400</v>
      </c>
      <c r="M899">
        <v>38400</v>
      </c>
      <c r="N899" t="s">
        <v>108</v>
      </c>
      <c r="O899" t="s">
        <v>115</v>
      </c>
    </row>
    <row r="900" spans="1:15" x14ac:dyDescent="0.25">
      <c r="A900">
        <v>1570</v>
      </c>
      <c r="B900" s="10">
        <v>45840</v>
      </c>
      <c r="C900">
        <v>2</v>
      </c>
      <c r="D900" t="s">
        <v>145</v>
      </c>
      <c r="E900" t="s">
        <v>137</v>
      </c>
      <c r="F900" t="s">
        <v>151</v>
      </c>
      <c r="G900" t="s">
        <v>111</v>
      </c>
      <c r="H900" t="s">
        <v>37</v>
      </c>
      <c r="I900" t="s">
        <v>38</v>
      </c>
      <c r="J900" t="s">
        <v>94</v>
      </c>
      <c r="K900">
        <v>2</v>
      </c>
      <c r="L900">
        <v>2400</v>
      </c>
      <c r="M900">
        <v>4800</v>
      </c>
      <c r="N900" t="s">
        <v>108</v>
      </c>
      <c r="O900" t="s">
        <v>115</v>
      </c>
    </row>
    <row r="901" spans="1:15" x14ac:dyDescent="0.25">
      <c r="A901">
        <v>1580</v>
      </c>
      <c r="B901" s="10">
        <v>45827</v>
      </c>
      <c r="C901">
        <v>19</v>
      </c>
      <c r="D901" t="s">
        <v>153</v>
      </c>
      <c r="E901" t="s">
        <v>142</v>
      </c>
      <c r="F901" t="s">
        <v>49</v>
      </c>
      <c r="G901" t="s">
        <v>118</v>
      </c>
      <c r="H901" t="s">
        <v>101</v>
      </c>
      <c r="I901" t="s">
        <v>127</v>
      </c>
      <c r="J901" t="s">
        <v>94</v>
      </c>
      <c r="K901">
        <v>1</v>
      </c>
      <c r="L901">
        <v>2400</v>
      </c>
      <c r="M901">
        <v>2400</v>
      </c>
      <c r="N901" t="s">
        <v>95</v>
      </c>
      <c r="O901" t="s">
        <v>96</v>
      </c>
    </row>
    <row r="902" spans="1:15" x14ac:dyDescent="0.25">
      <c r="A902">
        <v>1589</v>
      </c>
      <c r="B902" s="10">
        <v>45713</v>
      </c>
      <c r="C902">
        <v>25</v>
      </c>
      <c r="D902" t="s">
        <v>97</v>
      </c>
      <c r="E902" t="s">
        <v>133</v>
      </c>
      <c r="F902" t="s">
        <v>49</v>
      </c>
      <c r="G902" t="s">
        <v>118</v>
      </c>
      <c r="H902" t="s">
        <v>101</v>
      </c>
      <c r="I902" t="s">
        <v>102</v>
      </c>
      <c r="J902" t="s">
        <v>103</v>
      </c>
      <c r="K902">
        <v>19</v>
      </c>
      <c r="L902">
        <v>2400</v>
      </c>
      <c r="M902">
        <v>45600</v>
      </c>
      <c r="N902" t="s">
        <v>108</v>
      </c>
      <c r="O902" t="s">
        <v>115</v>
      </c>
    </row>
    <row r="903" spans="1:15" x14ac:dyDescent="0.25">
      <c r="A903">
        <v>1645</v>
      </c>
      <c r="B903" s="10">
        <v>45729</v>
      </c>
      <c r="C903">
        <v>13</v>
      </c>
      <c r="D903" t="s">
        <v>140</v>
      </c>
      <c r="E903" t="s">
        <v>138</v>
      </c>
      <c r="F903" t="s">
        <v>122</v>
      </c>
      <c r="G903" t="s">
        <v>114</v>
      </c>
      <c r="H903" t="s">
        <v>37</v>
      </c>
      <c r="I903" t="s">
        <v>38</v>
      </c>
      <c r="J903" t="s">
        <v>94</v>
      </c>
      <c r="K903">
        <v>5</v>
      </c>
      <c r="L903">
        <v>2400</v>
      </c>
      <c r="M903">
        <v>12000</v>
      </c>
      <c r="N903" t="s">
        <v>95</v>
      </c>
      <c r="O903" t="s">
        <v>115</v>
      </c>
    </row>
    <row r="904" spans="1:15" x14ac:dyDescent="0.25">
      <c r="A904">
        <v>1738</v>
      </c>
      <c r="B904" s="10">
        <v>45811</v>
      </c>
      <c r="C904">
        <v>3</v>
      </c>
      <c r="D904" t="s">
        <v>153</v>
      </c>
      <c r="E904" t="s">
        <v>110</v>
      </c>
      <c r="F904" t="s">
        <v>49</v>
      </c>
      <c r="G904" t="s">
        <v>118</v>
      </c>
      <c r="H904" t="s">
        <v>101</v>
      </c>
      <c r="I904" t="s">
        <v>102</v>
      </c>
      <c r="J904" t="s">
        <v>103</v>
      </c>
      <c r="K904">
        <v>20</v>
      </c>
      <c r="L904">
        <v>2400</v>
      </c>
      <c r="M904">
        <v>48000</v>
      </c>
      <c r="N904" t="s">
        <v>108</v>
      </c>
      <c r="O904" t="s">
        <v>96</v>
      </c>
    </row>
    <row r="905" spans="1:15" x14ac:dyDescent="0.25">
      <c r="A905">
        <v>2042</v>
      </c>
      <c r="B905" s="10">
        <v>45898</v>
      </c>
      <c r="C905">
        <v>29</v>
      </c>
      <c r="D905" t="s">
        <v>109</v>
      </c>
      <c r="E905" t="s">
        <v>25</v>
      </c>
      <c r="F905" t="s">
        <v>122</v>
      </c>
      <c r="G905" t="s">
        <v>114</v>
      </c>
      <c r="H905" t="s">
        <v>101</v>
      </c>
      <c r="I905" t="s">
        <v>127</v>
      </c>
      <c r="J905" t="s">
        <v>94</v>
      </c>
      <c r="K905">
        <v>8</v>
      </c>
      <c r="L905">
        <v>2400</v>
      </c>
      <c r="M905">
        <v>19200</v>
      </c>
      <c r="N905" t="s">
        <v>95</v>
      </c>
      <c r="O905" t="s">
        <v>115</v>
      </c>
    </row>
    <row r="906" spans="1:15" x14ac:dyDescent="0.25">
      <c r="A906">
        <v>2080</v>
      </c>
      <c r="B906" s="10">
        <v>45960</v>
      </c>
      <c r="C906">
        <v>30</v>
      </c>
      <c r="D906" t="s">
        <v>136</v>
      </c>
      <c r="E906" t="s">
        <v>116</v>
      </c>
      <c r="F906" t="s">
        <v>117</v>
      </c>
      <c r="G906" t="s">
        <v>118</v>
      </c>
      <c r="H906" t="s">
        <v>37</v>
      </c>
      <c r="I906" t="s">
        <v>38</v>
      </c>
      <c r="J906" t="s">
        <v>94</v>
      </c>
      <c r="K906">
        <v>9</v>
      </c>
      <c r="L906">
        <v>2400</v>
      </c>
      <c r="M906">
        <v>21600</v>
      </c>
      <c r="N906" t="s">
        <v>95</v>
      </c>
      <c r="O906" t="s">
        <v>104</v>
      </c>
    </row>
    <row r="907" spans="1:15" x14ac:dyDescent="0.25">
      <c r="A907">
        <v>2103</v>
      </c>
      <c r="B907" s="10">
        <v>45819</v>
      </c>
      <c r="C907">
        <v>11</v>
      </c>
      <c r="D907" t="s">
        <v>153</v>
      </c>
      <c r="E907" t="s">
        <v>128</v>
      </c>
      <c r="F907" t="s">
        <v>117</v>
      </c>
      <c r="G907" t="s">
        <v>118</v>
      </c>
      <c r="H907" t="s">
        <v>101</v>
      </c>
      <c r="I907" t="s">
        <v>127</v>
      </c>
      <c r="J907" t="s">
        <v>94</v>
      </c>
      <c r="K907">
        <v>3</v>
      </c>
      <c r="L907">
        <v>2400</v>
      </c>
      <c r="M907">
        <v>7200</v>
      </c>
      <c r="N907" t="s">
        <v>108</v>
      </c>
      <c r="O907" t="s">
        <v>115</v>
      </c>
    </row>
    <row r="908" spans="1:15" x14ac:dyDescent="0.25">
      <c r="A908">
        <v>2248</v>
      </c>
      <c r="B908" s="10">
        <v>45944</v>
      </c>
      <c r="C908">
        <v>14</v>
      </c>
      <c r="D908" t="s">
        <v>136</v>
      </c>
      <c r="E908" t="s">
        <v>25</v>
      </c>
      <c r="F908" t="s">
        <v>134</v>
      </c>
      <c r="G908" t="s">
        <v>100</v>
      </c>
      <c r="H908" t="s">
        <v>101</v>
      </c>
      <c r="I908" t="s">
        <v>102</v>
      </c>
      <c r="J908" t="s">
        <v>103</v>
      </c>
      <c r="K908">
        <v>14</v>
      </c>
      <c r="L908">
        <v>2400</v>
      </c>
      <c r="M908">
        <v>33600</v>
      </c>
      <c r="N908" t="s">
        <v>108</v>
      </c>
      <c r="O908" t="s">
        <v>96</v>
      </c>
    </row>
    <row r="909" spans="1:15" x14ac:dyDescent="0.25">
      <c r="A909">
        <v>2393</v>
      </c>
      <c r="B909" s="10">
        <v>45673</v>
      </c>
      <c r="C909">
        <v>16</v>
      </c>
      <c r="D909" t="s">
        <v>130</v>
      </c>
      <c r="E909" t="s">
        <v>106</v>
      </c>
      <c r="F909" t="s">
        <v>28</v>
      </c>
      <c r="G909" t="s">
        <v>126</v>
      </c>
      <c r="H909" t="s">
        <v>101</v>
      </c>
      <c r="I909" t="s">
        <v>102</v>
      </c>
      <c r="J909" t="s">
        <v>103</v>
      </c>
      <c r="K909">
        <v>17</v>
      </c>
      <c r="L909">
        <v>2400</v>
      </c>
      <c r="M909">
        <v>40800</v>
      </c>
      <c r="N909" t="s">
        <v>95</v>
      </c>
      <c r="O909" t="s">
        <v>96</v>
      </c>
    </row>
    <row r="910" spans="1:15" x14ac:dyDescent="0.25">
      <c r="A910">
        <v>2398</v>
      </c>
      <c r="B910" s="10">
        <v>45897</v>
      </c>
      <c r="C910">
        <v>28</v>
      </c>
      <c r="D910" t="s">
        <v>109</v>
      </c>
      <c r="E910" t="s">
        <v>31</v>
      </c>
      <c r="F910" t="s">
        <v>144</v>
      </c>
      <c r="G910" t="s">
        <v>91</v>
      </c>
      <c r="H910" t="s">
        <v>37</v>
      </c>
      <c r="I910" t="s">
        <v>38</v>
      </c>
      <c r="J910" t="s">
        <v>94</v>
      </c>
      <c r="K910">
        <v>5</v>
      </c>
      <c r="L910">
        <v>2400</v>
      </c>
      <c r="M910">
        <v>12000</v>
      </c>
      <c r="N910" t="s">
        <v>95</v>
      </c>
      <c r="O910" t="s">
        <v>96</v>
      </c>
    </row>
    <row r="911" spans="1:15" x14ac:dyDescent="0.25">
      <c r="A911">
        <v>2565</v>
      </c>
      <c r="B911" s="10">
        <v>45770</v>
      </c>
      <c r="C911">
        <v>23</v>
      </c>
      <c r="D911" t="s">
        <v>105</v>
      </c>
      <c r="E911" t="s">
        <v>112</v>
      </c>
      <c r="F911" t="s">
        <v>36</v>
      </c>
      <c r="G911" t="s">
        <v>100</v>
      </c>
      <c r="H911" t="s">
        <v>101</v>
      </c>
      <c r="I911" t="s">
        <v>102</v>
      </c>
      <c r="J911" t="s">
        <v>103</v>
      </c>
      <c r="K911">
        <v>48</v>
      </c>
      <c r="L911">
        <v>2400</v>
      </c>
      <c r="M911">
        <v>115200</v>
      </c>
      <c r="N911" t="s">
        <v>108</v>
      </c>
      <c r="O911" t="s">
        <v>115</v>
      </c>
    </row>
    <row r="912" spans="1:15" x14ac:dyDescent="0.25">
      <c r="A912">
        <v>2572</v>
      </c>
      <c r="B912" s="10">
        <v>45838</v>
      </c>
      <c r="C912">
        <v>30</v>
      </c>
      <c r="D912" t="s">
        <v>153</v>
      </c>
      <c r="E912" t="s">
        <v>128</v>
      </c>
      <c r="F912" t="s">
        <v>144</v>
      </c>
      <c r="G912" t="s">
        <v>91</v>
      </c>
      <c r="H912" t="s">
        <v>101</v>
      </c>
      <c r="I912" t="s">
        <v>102</v>
      </c>
      <c r="J912" t="s">
        <v>103</v>
      </c>
      <c r="K912">
        <v>5</v>
      </c>
      <c r="L912">
        <v>2400</v>
      </c>
      <c r="M912">
        <v>12000</v>
      </c>
      <c r="N912" t="s">
        <v>108</v>
      </c>
      <c r="O912" t="s">
        <v>96</v>
      </c>
    </row>
    <row r="913" spans="1:15" x14ac:dyDescent="0.25">
      <c r="A913">
        <v>2603</v>
      </c>
      <c r="B913" s="10">
        <v>45999</v>
      </c>
      <c r="C913">
        <v>8</v>
      </c>
      <c r="D913" t="s">
        <v>125</v>
      </c>
      <c r="E913" t="s">
        <v>25</v>
      </c>
      <c r="F913" t="s">
        <v>113</v>
      </c>
      <c r="G913" t="s">
        <v>114</v>
      </c>
      <c r="H913" t="s">
        <v>101</v>
      </c>
      <c r="I913" t="s">
        <v>127</v>
      </c>
      <c r="J913" t="s">
        <v>94</v>
      </c>
      <c r="K913">
        <v>4</v>
      </c>
      <c r="L913">
        <v>2400</v>
      </c>
      <c r="M913">
        <v>9600</v>
      </c>
      <c r="N913" t="s">
        <v>108</v>
      </c>
      <c r="O913" t="s">
        <v>104</v>
      </c>
    </row>
    <row r="914" spans="1:15" x14ac:dyDescent="0.25">
      <c r="A914">
        <v>2657</v>
      </c>
      <c r="B914" s="10">
        <v>45905</v>
      </c>
      <c r="C914">
        <v>5</v>
      </c>
      <c r="D914" t="s">
        <v>147</v>
      </c>
      <c r="E914" t="s">
        <v>106</v>
      </c>
      <c r="F914" t="s">
        <v>28</v>
      </c>
      <c r="G914" t="s">
        <v>126</v>
      </c>
      <c r="H914" t="s">
        <v>101</v>
      </c>
      <c r="I914" t="s">
        <v>127</v>
      </c>
      <c r="J914" t="s">
        <v>94</v>
      </c>
      <c r="K914">
        <v>8</v>
      </c>
      <c r="L914">
        <v>2400</v>
      </c>
      <c r="M914">
        <v>19200</v>
      </c>
      <c r="N914" t="s">
        <v>108</v>
      </c>
      <c r="O914" t="s">
        <v>96</v>
      </c>
    </row>
    <row r="915" spans="1:15" x14ac:dyDescent="0.25">
      <c r="A915">
        <v>2662</v>
      </c>
      <c r="B915" s="10">
        <v>45681</v>
      </c>
      <c r="C915">
        <v>24</v>
      </c>
      <c r="D915" t="s">
        <v>130</v>
      </c>
      <c r="E915" t="s">
        <v>138</v>
      </c>
      <c r="F915" t="s">
        <v>28</v>
      </c>
      <c r="G915" t="s">
        <v>126</v>
      </c>
      <c r="H915" t="s">
        <v>101</v>
      </c>
      <c r="I915" t="s">
        <v>102</v>
      </c>
      <c r="J915" t="s">
        <v>103</v>
      </c>
      <c r="K915">
        <v>6</v>
      </c>
      <c r="L915">
        <v>2400</v>
      </c>
      <c r="M915">
        <v>14400</v>
      </c>
      <c r="N915" t="s">
        <v>108</v>
      </c>
      <c r="O915" t="s">
        <v>115</v>
      </c>
    </row>
    <row r="916" spans="1:15" x14ac:dyDescent="0.25">
      <c r="A916">
        <v>2729</v>
      </c>
      <c r="B916" s="10">
        <v>45700</v>
      </c>
      <c r="C916">
        <v>12</v>
      </c>
      <c r="D916" t="s">
        <v>97</v>
      </c>
      <c r="E916" t="s">
        <v>138</v>
      </c>
      <c r="F916" t="s">
        <v>117</v>
      </c>
      <c r="G916" t="s">
        <v>118</v>
      </c>
      <c r="H916" t="s">
        <v>101</v>
      </c>
      <c r="I916" t="s">
        <v>127</v>
      </c>
      <c r="J916" t="s">
        <v>94</v>
      </c>
      <c r="K916">
        <v>6</v>
      </c>
      <c r="L916">
        <v>2400</v>
      </c>
      <c r="M916">
        <v>14400</v>
      </c>
      <c r="N916" t="s">
        <v>95</v>
      </c>
      <c r="O916" t="s">
        <v>104</v>
      </c>
    </row>
    <row r="917" spans="1:15" x14ac:dyDescent="0.25">
      <c r="A917">
        <v>2853</v>
      </c>
      <c r="B917" s="10">
        <v>45669</v>
      </c>
      <c r="C917">
        <v>12</v>
      </c>
      <c r="D917" t="s">
        <v>130</v>
      </c>
      <c r="E917" t="s">
        <v>110</v>
      </c>
      <c r="F917" t="s">
        <v>134</v>
      </c>
      <c r="G917" t="s">
        <v>100</v>
      </c>
      <c r="H917" t="s">
        <v>101</v>
      </c>
      <c r="I917" t="s">
        <v>102</v>
      </c>
      <c r="J917" t="s">
        <v>103</v>
      </c>
      <c r="K917">
        <v>36</v>
      </c>
      <c r="L917">
        <v>2400</v>
      </c>
      <c r="M917">
        <v>86400</v>
      </c>
      <c r="N917" t="s">
        <v>108</v>
      </c>
      <c r="O917" t="s">
        <v>115</v>
      </c>
    </row>
    <row r="918" spans="1:15" x14ac:dyDescent="0.25">
      <c r="A918">
        <v>2861</v>
      </c>
      <c r="B918" s="10">
        <v>45901</v>
      </c>
      <c r="C918">
        <v>1</v>
      </c>
      <c r="D918" t="s">
        <v>147</v>
      </c>
      <c r="E918" t="s">
        <v>133</v>
      </c>
      <c r="F918" t="s">
        <v>22</v>
      </c>
      <c r="G918" t="s">
        <v>91</v>
      </c>
      <c r="H918" t="s">
        <v>37</v>
      </c>
      <c r="I918" t="s">
        <v>38</v>
      </c>
      <c r="J918" t="s">
        <v>94</v>
      </c>
      <c r="K918">
        <v>1</v>
      </c>
      <c r="L918">
        <v>2400</v>
      </c>
      <c r="M918">
        <v>2400</v>
      </c>
      <c r="N918" t="s">
        <v>95</v>
      </c>
      <c r="O918" t="s">
        <v>96</v>
      </c>
    </row>
    <row r="919" spans="1:15" x14ac:dyDescent="0.25">
      <c r="A919">
        <v>2921</v>
      </c>
      <c r="B919" s="10">
        <v>45674</v>
      </c>
      <c r="C919">
        <v>17</v>
      </c>
      <c r="D919" t="s">
        <v>130</v>
      </c>
      <c r="E919" t="s">
        <v>25</v>
      </c>
      <c r="F919" t="s">
        <v>151</v>
      </c>
      <c r="G919" t="s">
        <v>111</v>
      </c>
      <c r="H919" t="s">
        <v>101</v>
      </c>
      <c r="I919" t="s">
        <v>127</v>
      </c>
      <c r="J919" t="s">
        <v>94</v>
      </c>
      <c r="K919">
        <v>1</v>
      </c>
      <c r="L919">
        <v>2400</v>
      </c>
      <c r="M919">
        <v>2400</v>
      </c>
      <c r="N919" t="s">
        <v>108</v>
      </c>
      <c r="O919" t="s">
        <v>115</v>
      </c>
    </row>
    <row r="920" spans="1:15" x14ac:dyDescent="0.25">
      <c r="A920">
        <v>3019</v>
      </c>
      <c r="B920" s="10">
        <v>45951</v>
      </c>
      <c r="C920">
        <v>21</v>
      </c>
      <c r="D920" t="s">
        <v>136</v>
      </c>
      <c r="E920" t="s">
        <v>128</v>
      </c>
      <c r="F920" t="s">
        <v>22</v>
      </c>
      <c r="G920" t="s">
        <v>91</v>
      </c>
      <c r="H920" t="s">
        <v>101</v>
      </c>
      <c r="I920" t="s">
        <v>127</v>
      </c>
      <c r="J920" t="s">
        <v>94</v>
      </c>
      <c r="K920">
        <v>3</v>
      </c>
      <c r="L920">
        <v>2400</v>
      </c>
      <c r="M920">
        <v>7200</v>
      </c>
      <c r="N920" t="s">
        <v>108</v>
      </c>
      <c r="O920" t="s">
        <v>104</v>
      </c>
    </row>
    <row r="921" spans="1:15" x14ac:dyDescent="0.25">
      <c r="A921">
        <v>3022</v>
      </c>
      <c r="B921" s="10">
        <v>45773</v>
      </c>
      <c r="C921">
        <v>26</v>
      </c>
      <c r="D921" t="s">
        <v>105</v>
      </c>
      <c r="E921" t="s">
        <v>150</v>
      </c>
      <c r="F921" t="s">
        <v>44</v>
      </c>
      <c r="G921" t="s">
        <v>111</v>
      </c>
      <c r="H921" t="s">
        <v>37</v>
      </c>
      <c r="I921" t="s">
        <v>38</v>
      </c>
      <c r="J921" t="s">
        <v>94</v>
      </c>
      <c r="K921">
        <v>7</v>
      </c>
      <c r="L921">
        <v>2400</v>
      </c>
      <c r="M921">
        <v>16800</v>
      </c>
      <c r="N921" t="s">
        <v>108</v>
      </c>
      <c r="O921" t="s">
        <v>96</v>
      </c>
    </row>
    <row r="922" spans="1:15" x14ac:dyDescent="0.25">
      <c r="A922">
        <v>3039</v>
      </c>
      <c r="B922" s="10">
        <v>45934</v>
      </c>
      <c r="C922">
        <v>4</v>
      </c>
      <c r="D922" t="s">
        <v>136</v>
      </c>
      <c r="E922" t="s">
        <v>112</v>
      </c>
      <c r="F922" t="s">
        <v>28</v>
      </c>
      <c r="G922" t="s">
        <v>126</v>
      </c>
      <c r="H922" t="s">
        <v>101</v>
      </c>
      <c r="I922" t="s">
        <v>127</v>
      </c>
      <c r="J922" t="s">
        <v>94</v>
      </c>
      <c r="K922">
        <v>5</v>
      </c>
      <c r="L922">
        <v>2400</v>
      </c>
      <c r="M922">
        <v>12000</v>
      </c>
      <c r="N922" t="s">
        <v>108</v>
      </c>
      <c r="O922" t="s">
        <v>115</v>
      </c>
    </row>
    <row r="923" spans="1:15" x14ac:dyDescent="0.25">
      <c r="A923">
        <v>3155</v>
      </c>
      <c r="B923" s="10">
        <v>45887</v>
      </c>
      <c r="C923">
        <v>18</v>
      </c>
      <c r="D923" t="s">
        <v>109</v>
      </c>
      <c r="E923" t="s">
        <v>116</v>
      </c>
      <c r="F923" t="s">
        <v>107</v>
      </c>
      <c r="G923" t="s">
        <v>100</v>
      </c>
      <c r="H923" t="s">
        <v>101</v>
      </c>
      <c r="I923" t="s">
        <v>102</v>
      </c>
      <c r="J923" t="s">
        <v>103</v>
      </c>
      <c r="K923">
        <v>36</v>
      </c>
      <c r="L923">
        <v>2400</v>
      </c>
      <c r="M923">
        <v>86400</v>
      </c>
      <c r="N923" t="s">
        <v>108</v>
      </c>
      <c r="O923" t="s">
        <v>104</v>
      </c>
    </row>
    <row r="924" spans="1:15" x14ac:dyDescent="0.25">
      <c r="A924">
        <v>3328</v>
      </c>
      <c r="B924" s="10">
        <v>45864</v>
      </c>
      <c r="C924">
        <v>26</v>
      </c>
      <c r="D924" t="s">
        <v>145</v>
      </c>
      <c r="E924" t="s">
        <v>31</v>
      </c>
      <c r="F924" t="s">
        <v>44</v>
      </c>
      <c r="G924" t="s">
        <v>111</v>
      </c>
      <c r="H924" t="s">
        <v>37</v>
      </c>
      <c r="I924" t="s">
        <v>38</v>
      </c>
      <c r="J924" t="s">
        <v>94</v>
      </c>
      <c r="K924">
        <v>4</v>
      </c>
      <c r="L924">
        <v>2400</v>
      </c>
      <c r="M924">
        <v>9600</v>
      </c>
      <c r="N924" t="s">
        <v>95</v>
      </c>
      <c r="O924" t="s">
        <v>115</v>
      </c>
    </row>
    <row r="925" spans="1:15" x14ac:dyDescent="0.25">
      <c r="A925">
        <v>3450</v>
      </c>
      <c r="B925" s="10">
        <v>45856</v>
      </c>
      <c r="C925">
        <v>18</v>
      </c>
      <c r="D925" t="s">
        <v>145</v>
      </c>
      <c r="E925" t="s">
        <v>106</v>
      </c>
      <c r="F925" t="s">
        <v>22</v>
      </c>
      <c r="G925" t="s">
        <v>91</v>
      </c>
      <c r="H925" t="s">
        <v>37</v>
      </c>
      <c r="I925" t="s">
        <v>38</v>
      </c>
      <c r="J925" t="s">
        <v>94</v>
      </c>
      <c r="K925">
        <v>10</v>
      </c>
      <c r="L925">
        <v>2400</v>
      </c>
      <c r="M925">
        <v>24000</v>
      </c>
      <c r="N925" t="s">
        <v>108</v>
      </c>
      <c r="O925" t="s">
        <v>115</v>
      </c>
    </row>
    <row r="926" spans="1:15" x14ac:dyDescent="0.25">
      <c r="A926">
        <v>3502</v>
      </c>
      <c r="B926" s="10">
        <v>45804</v>
      </c>
      <c r="C926">
        <v>27</v>
      </c>
      <c r="D926" t="s">
        <v>120</v>
      </c>
      <c r="E926" t="s">
        <v>128</v>
      </c>
      <c r="F926" t="s">
        <v>134</v>
      </c>
      <c r="G926" t="s">
        <v>100</v>
      </c>
      <c r="H926" t="s">
        <v>101</v>
      </c>
      <c r="I926" t="s">
        <v>127</v>
      </c>
      <c r="J926" t="s">
        <v>94</v>
      </c>
      <c r="K926">
        <v>9</v>
      </c>
      <c r="L926">
        <v>2400</v>
      </c>
      <c r="M926">
        <v>21600</v>
      </c>
      <c r="N926" t="s">
        <v>108</v>
      </c>
      <c r="O926" t="s">
        <v>115</v>
      </c>
    </row>
    <row r="927" spans="1:15" x14ac:dyDescent="0.25">
      <c r="A927">
        <v>3629</v>
      </c>
      <c r="B927" s="10">
        <v>45767</v>
      </c>
      <c r="C927">
        <v>20</v>
      </c>
      <c r="D927" t="s">
        <v>105</v>
      </c>
      <c r="E927" t="s">
        <v>121</v>
      </c>
      <c r="F927" t="s">
        <v>36</v>
      </c>
      <c r="G927" t="s">
        <v>100</v>
      </c>
      <c r="H927" t="s">
        <v>101</v>
      </c>
      <c r="I927" t="s">
        <v>102</v>
      </c>
      <c r="J927" t="s">
        <v>103</v>
      </c>
      <c r="K927">
        <v>14</v>
      </c>
      <c r="L927">
        <v>2400</v>
      </c>
      <c r="M927">
        <v>33600</v>
      </c>
      <c r="N927" t="s">
        <v>95</v>
      </c>
      <c r="O927" t="s">
        <v>96</v>
      </c>
    </row>
    <row r="928" spans="1:15" x14ac:dyDescent="0.25">
      <c r="A928">
        <v>3641</v>
      </c>
      <c r="B928" s="10">
        <v>45746</v>
      </c>
      <c r="C928">
        <v>30</v>
      </c>
      <c r="D928" t="s">
        <v>140</v>
      </c>
      <c r="E928" t="s">
        <v>31</v>
      </c>
      <c r="F928" t="s">
        <v>22</v>
      </c>
      <c r="G928" t="s">
        <v>91</v>
      </c>
      <c r="H928" t="s">
        <v>37</v>
      </c>
      <c r="I928" t="s">
        <v>38</v>
      </c>
      <c r="J928" t="s">
        <v>94</v>
      </c>
      <c r="K928">
        <v>4</v>
      </c>
      <c r="L928">
        <v>2400</v>
      </c>
      <c r="M928">
        <v>9600</v>
      </c>
      <c r="N928" t="s">
        <v>108</v>
      </c>
      <c r="O928" t="s">
        <v>115</v>
      </c>
    </row>
    <row r="929" spans="1:15" x14ac:dyDescent="0.25">
      <c r="A929">
        <v>3645</v>
      </c>
      <c r="B929" s="10">
        <v>45662</v>
      </c>
      <c r="C929">
        <v>5</v>
      </c>
      <c r="D929" t="s">
        <v>130</v>
      </c>
      <c r="E929" t="s">
        <v>106</v>
      </c>
      <c r="F929" t="s">
        <v>107</v>
      </c>
      <c r="G929" t="s">
        <v>100</v>
      </c>
      <c r="H929" t="s">
        <v>101</v>
      </c>
      <c r="I929" t="s">
        <v>102</v>
      </c>
      <c r="J929" t="s">
        <v>103</v>
      </c>
      <c r="K929">
        <v>20</v>
      </c>
      <c r="L929">
        <v>2400</v>
      </c>
      <c r="M929">
        <v>48000</v>
      </c>
      <c r="N929" t="s">
        <v>108</v>
      </c>
      <c r="O929" t="s">
        <v>96</v>
      </c>
    </row>
    <row r="930" spans="1:15" x14ac:dyDescent="0.25">
      <c r="A930">
        <v>3650</v>
      </c>
      <c r="B930" s="10">
        <v>45892</v>
      </c>
      <c r="C930">
        <v>23</v>
      </c>
      <c r="D930" t="s">
        <v>109</v>
      </c>
      <c r="E930" t="s">
        <v>25</v>
      </c>
      <c r="F930" t="s">
        <v>107</v>
      </c>
      <c r="G930" t="s">
        <v>100</v>
      </c>
      <c r="H930" t="s">
        <v>37</v>
      </c>
      <c r="I930" t="s">
        <v>38</v>
      </c>
      <c r="J930" t="s">
        <v>94</v>
      </c>
      <c r="K930">
        <v>10</v>
      </c>
      <c r="L930">
        <v>2400</v>
      </c>
      <c r="M930">
        <v>24000</v>
      </c>
      <c r="N930" t="s">
        <v>95</v>
      </c>
      <c r="O930" t="s">
        <v>96</v>
      </c>
    </row>
    <row r="931" spans="1:15" x14ac:dyDescent="0.25">
      <c r="A931">
        <v>3741</v>
      </c>
      <c r="B931" s="10">
        <v>45953</v>
      </c>
      <c r="C931">
        <v>23</v>
      </c>
      <c r="D931" t="s">
        <v>136</v>
      </c>
      <c r="E931" t="s">
        <v>142</v>
      </c>
      <c r="F931" t="s">
        <v>148</v>
      </c>
      <c r="G931" t="s">
        <v>118</v>
      </c>
      <c r="H931" t="s">
        <v>37</v>
      </c>
      <c r="I931" t="s">
        <v>38</v>
      </c>
      <c r="J931" t="s">
        <v>94</v>
      </c>
      <c r="K931">
        <v>1</v>
      </c>
      <c r="L931">
        <v>2400</v>
      </c>
      <c r="M931">
        <v>2400</v>
      </c>
      <c r="N931" t="s">
        <v>108</v>
      </c>
      <c r="O931" t="s">
        <v>96</v>
      </c>
    </row>
    <row r="932" spans="1:15" x14ac:dyDescent="0.25">
      <c r="A932">
        <v>3754</v>
      </c>
      <c r="B932" s="10">
        <v>45885</v>
      </c>
      <c r="C932">
        <v>16</v>
      </c>
      <c r="D932" t="s">
        <v>109</v>
      </c>
      <c r="E932" t="s">
        <v>150</v>
      </c>
      <c r="F932" t="s">
        <v>49</v>
      </c>
      <c r="G932" t="s">
        <v>118</v>
      </c>
      <c r="H932" t="s">
        <v>37</v>
      </c>
      <c r="I932" t="s">
        <v>38</v>
      </c>
      <c r="J932" t="s">
        <v>94</v>
      </c>
      <c r="K932">
        <v>6</v>
      </c>
      <c r="L932">
        <v>2400</v>
      </c>
      <c r="M932">
        <v>14400</v>
      </c>
      <c r="N932" t="s">
        <v>108</v>
      </c>
      <c r="O932" t="s">
        <v>104</v>
      </c>
    </row>
    <row r="933" spans="1:15" x14ac:dyDescent="0.25">
      <c r="A933">
        <v>3799</v>
      </c>
      <c r="B933" s="10">
        <v>45659</v>
      </c>
      <c r="C933">
        <v>2</v>
      </c>
      <c r="D933" t="s">
        <v>130</v>
      </c>
      <c r="E933" t="s">
        <v>25</v>
      </c>
      <c r="F933" t="s">
        <v>113</v>
      </c>
      <c r="G933" t="s">
        <v>114</v>
      </c>
      <c r="H933" t="s">
        <v>101</v>
      </c>
      <c r="I933" t="s">
        <v>127</v>
      </c>
      <c r="J933" t="s">
        <v>94</v>
      </c>
      <c r="K933">
        <v>6</v>
      </c>
      <c r="L933">
        <v>2400</v>
      </c>
      <c r="M933">
        <v>14400</v>
      </c>
      <c r="N933" t="s">
        <v>108</v>
      </c>
      <c r="O933" t="s">
        <v>104</v>
      </c>
    </row>
    <row r="934" spans="1:15" x14ac:dyDescent="0.25">
      <c r="A934">
        <v>3827</v>
      </c>
      <c r="B934" s="10">
        <v>45933</v>
      </c>
      <c r="C934">
        <v>3</v>
      </c>
      <c r="D934" t="s">
        <v>136</v>
      </c>
      <c r="E934" t="s">
        <v>161</v>
      </c>
      <c r="F934" t="s">
        <v>151</v>
      </c>
      <c r="G934" t="s">
        <v>111</v>
      </c>
      <c r="H934" t="s">
        <v>37</v>
      </c>
      <c r="I934" t="s">
        <v>38</v>
      </c>
      <c r="J934" t="s">
        <v>94</v>
      </c>
      <c r="K934">
        <v>5</v>
      </c>
      <c r="L934">
        <v>2400</v>
      </c>
      <c r="M934">
        <v>12000</v>
      </c>
      <c r="N934" t="s">
        <v>108</v>
      </c>
      <c r="O934" t="s">
        <v>96</v>
      </c>
    </row>
    <row r="935" spans="1:15" x14ac:dyDescent="0.25">
      <c r="A935">
        <v>4051</v>
      </c>
      <c r="B935" s="10">
        <v>45946</v>
      </c>
      <c r="C935">
        <v>16</v>
      </c>
      <c r="D935" t="s">
        <v>136</v>
      </c>
      <c r="E935" t="s">
        <v>161</v>
      </c>
      <c r="F935" t="s">
        <v>22</v>
      </c>
      <c r="G935" t="s">
        <v>91</v>
      </c>
      <c r="H935" t="s">
        <v>37</v>
      </c>
      <c r="I935" t="s">
        <v>38</v>
      </c>
      <c r="J935" t="s">
        <v>94</v>
      </c>
      <c r="K935">
        <v>9</v>
      </c>
      <c r="L935">
        <v>2400</v>
      </c>
      <c r="M935">
        <v>21600</v>
      </c>
      <c r="N935" t="s">
        <v>95</v>
      </c>
      <c r="O935" t="s">
        <v>115</v>
      </c>
    </row>
    <row r="936" spans="1:15" x14ac:dyDescent="0.25">
      <c r="A936">
        <v>4120</v>
      </c>
      <c r="B936" s="10">
        <v>45820</v>
      </c>
      <c r="C936">
        <v>12</v>
      </c>
      <c r="D936" t="s">
        <v>153</v>
      </c>
      <c r="E936" t="s">
        <v>161</v>
      </c>
      <c r="F936" t="s">
        <v>113</v>
      </c>
      <c r="G936" t="s">
        <v>114</v>
      </c>
      <c r="H936" t="s">
        <v>101</v>
      </c>
      <c r="I936" t="s">
        <v>102</v>
      </c>
      <c r="J936" t="s">
        <v>103</v>
      </c>
      <c r="K936">
        <v>49</v>
      </c>
      <c r="L936">
        <v>2400</v>
      </c>
      <c r="M936">
        <v>117600</v>
      </c>
      <c r="N936" t="s">
        <v>95</v>
      </c>
      <c r="O936" t="s">
        <v>115</v>
      </c>
    </row>
    <row r="937" spans="1:15" x14ac:dyDescent="0.25">
      <c r="A937">
        <v>4188</v>
      </c>
      <c r="B937" s="10">
        <v>46022</v>
      </c>
      <c r="C937">
        <v>31</v>
      </c>
      <c r="D937" t="s">
        <v>125</v>
      </c>
      <c r="E937" t="s">
        <v>137</v>
      </c>
      <c r="F937" t="s">
        <v>113</v>
      </c>
      <c r="G937" t="s">
        <v>114</v>
      </c>
      <c r="H937" t="s">
        <v>37</v>
      </c>
      <c r="I937" t="s">
        <v>38</v>
      </c>
      <c r="J937" t="s">
        <v>94</v>
      </c>
      <c r="K937">
        <v>4</v>
      </c>
      <c r="L937">
        <v>2400</v>
      </c>
      <c r="M937">
        <v>9600</v>
      </c>
      <c r="N937" t="s">
        <v>108</v>
      </c>
      <c r="O937" t="s">
        <v>96</v>
      </c>
    </row>
    <row r="938" spans="1:15" x14ac:dyDescent="0.25">
      <c r="A938">
        <v>4204</v>
      </c>
      <c r="B938" s="10">
        <v>45756</v>
      </c>
      <c r="C938">
        <v>9</v>
      </c>
      <c r="D938" t="s">
        <v>105</v>
      </c>
      <c r="E938" t="s">
        <v>110</v>
      </c>
      <c r="F938" t="s">
        <v>99</v>
      </c>
      <c r="G938" t="s">
        <v>100</v>
      </c>
      <c r="H938" t="s">
        <v>101</v>
      </c>
      <c r="I938" t="s">
        <v>102</v>
      </c>
      <c r="J938" t="s">
        <v>103</v>
      </c>
      <c r="K938">
        <v>48</v>
      </c>
      <c r="L938">
        <v>2400</v>
      </c>
      <c r="M938">
        <v>115200</v>
      </c>
      <c r="N938" t="s">
        <v>108</v>
      </c>
      <c r="O938" t="s">
        <v>104</v>
      </c>
    </row>
    <row r="939" spans="1:15" x14ac:dyDescent="0.25">
      <c r="A939">
        <v>4492</v>
      </c>
      <c r="B939" s="10">
        <v>45720</v>
      </c>
      <c r="C939">
        <v>4</v>
      </c>
      <c r="D939" t="s">
        <v>140</v>
      </c>
      <c r="E939" t="s">
        <v>142</v>
      </c>
      <c r="F939" t="s">
        <v>117</v>
      </c>
      <c r="G939" t="s">
        <v>118</v>
      </c>
      <c r="H939" t="s">
        <v>37</v>
      </c>
      <c r="I939" t="s">
        <v>38</v>
      </c>
      <c r="J939" t="s">
        <v>94</v>
      </c>
      <c r="K939">
        <v>5</v>
      </c>
      <c r="L939">
        <v>2400</v>
      </c>
      <c r="M939">
        <v>12000</v>
      </c>
      <c r="N939" t="s">
        <v>108</v>
      </c>
      <c r="O939" t="s">
        <v>96</v>
      </c>
    </row>
    <row r="940" spans="1:15" x14ac:dyDescent="0.25">
      <c r="A940">
        <v>4500</v>
      </c>
      <c r="B940" s="10">
        <v>45865</v>
      </c>
      <c r="C940">
        <v>27</v>
      </c>
      <c r="D940" t="s">
        <v>145</v>
      </c>
      <c r="E940" t="s">
        <v>112</v>
      </c>
      <c r="F940" t="s">
        <v>134</v>
      </c>
      <c r="G940" t="s">
        <v>100</v>
      </c>
      <c r="H940" t="s">
        <v>101</v>
      </c>
      <c r="I940" t="s">
        <v>102</v>
      </c>
      <c r="J940" t="s">
        <v>103</v>
      </c>
      <c r="K940">
        <v>17</v>
      </c>
      <c r="L940">
        <v>2400</v>
      </c>
      <c r="M940">
        <v>40800</v>
      </c>
      <c r="N940" t="s">
        <v>95</v>
      </c>
      <c r="O940" t="s">
        <v>104</v>
      </c>
    </row>
    <row r="941" spans="1:15" x14ac:dyDescent="0.25">
      <c r="A941">
        <v>4517</v>
      </c>
      <c r="B941" s="10">
        <v>45716</v>
      </c>
      <c r="C941">
        <v>28</v>
      </c>
      <c r="D941" t="s">
        <v>97</v>
      </c>
      <c r="E941" t="s">
        <v>142</v>
      </c>
      <c r="F941" t="s">
        <v>144</v>
      </c>
      <c r="G941" t="s">
        <v>91</v>
      </c>
      <c r="H941" t="s">
        <v>101</v>
      </c>
      <c r="I941" t="s">
        <v>127</v>
      </c>
      <c r="J941" t="s">
        <v>94</v>
      </c>
      <c r="K941">
        <v>2</v>
      </c>
      <c r="L941">
        <v>2400</v>
      </c>
      <c r="M941">
        <v>4800</v>
      </c>
      <c r="N941" t="s">
        <v>95</v>
      </c>
      <c r="O941" t="s">
        <v>115</v>
      </c>
    </row>
    <row r="942" spans="1:15" x14ac:dyDescent="0.25">
      <c r="A942">
        <v>4623</v>
      </c>
      <c r="B942" s="10">
        <v>45705</v>
      </c>
      <c r="C942">
        <v>17</v>
      </c>
      <c r="D942" t="s">
        <v>97</v>
      </c>
      <c r="E942" t="s">
        <v>137</v>
      </c>
      <c r="F942" t="s">
        <v>144</v>
      </c>
      <c r="G942" t="s">
        <v>91</v>
      </c>
      <c r="H942" t="s">
        <v>37</v>
      </c>
      <c r="I942" t="s">
        <v>38</v>
      </c>
      <c r="J942" t="s">
        <v>94</v>
      </c>
      <c r="K942">
        <v>5</v>
      </c>
      <c r="L942">
        <v>2400</v>
      </c>
      <c r="M942">
        <v>12000</v>
      </c>
      <c r="N942" t="s">
        <v>95</v>
      </c>
      <c r="O942" t="s">
        <v>104</v>
      </c>
    </row>
    <row r="943" spans="1:15" x14ac:dyDescent="0.25">
      <c r="A943">
        <v>4684</v>
      </c>
      <c r="B943" s="10">
        <v>45728</v>
      </c>
      <c r="C943">
        <v>12</v>
      </c>
      <c r="D943" t="s">
        <v>140</v>
      </c>
      <c r="E943" t="s">
        <v>25</v>
      </c>
      <c r="F943" t="s">
        <v>49</v>
      </c>
      <c r="G943" t="s">
        <v>118</v>
      </c>
      <c r="H943" t="s">
        <v>37</v>
      </c>
      <c r="I943" t="s">
        <v>38</v>
      </c>
      <c r="J943" t="s">
        <v>94</v>
      </c>
      <c r="K943">
        <v>10</v>
      </c>
      <c r="L943">
        <v>2400</v>
      </c>
      <c r="M943">
        <v>24000</v>
      </c>
      <c r="N943" t="s">
        <v>108</v>
      </c>
      <c r="O943" t="s">
        <v>96</v>
      </c>
    </row>
    <row r="944" spans="1:15" x14ac:dyDescent="0.25">
      <c r="A944">
        <v>4804</v>
      </c>
      <c r="B944" s="10">
        <v>45942</v>
      </c>
      <c r="C944">
        <v>12</v>
      </c>
      <c r="D944" t="s">
        <v>136</v>
      </c>
      <c r="E944" t="s">
        <v>98</v>
      </c>
      <c r="F944" t="s">
        <v>28</v>
      </c>
      <c r="G944" t="s">
        <v>126</v>
      </c>
      <c r="H944" t="s">
        <v>101</v>
      </c>
      <c r="I944" t="s">
        <v>127</v>
      </c>
      <c r="J944" t="s">
        <v>94</v>
      </c>
      <c r="K944">
        <v>7</v>
      </c>
      <c r="L944">
        <v>2400</v>
      </c>
      <c r="M944">
        <v>16800</v>
      </c>
      <c r="N944" t="s">
        <v>95</v>
      </c>
      <c r="O944" t="s">
        <v>96</v>
      </c>
    </row>
    <row r="945" spans="1:15" x14ac:dyDescent="0.25">
      <c r="A945">
        <v>4995</v>
      </c>
      <c r="B945" s="10">
        <v>46002</v>
      </c>
      <c r="C945">
        <v>11</v>
      </c>
      <c r="D945" t="s">
        <v>125</v>
      </c>
      <c r="E945" t="s">
        <v>137</v>
      </c>
      <c r="F945" t="s">
        <v>28</v>
      </c>
      <c r="G945" t="s">
        <v>126</v>
      </c>
      <c r="H945" t="s">
        <v>37</v>
      </c>
      <c r="I945" t="s">
        <v>38</v>
      </c>
      <c r="J945" t="s">
        <v>94</v>
      </c>
      <c r="K945">
        <v>1</v>
      </c>
      <c r="L945">
        <v>2400</v>
      </c>
      <c r="M945">
        <v>2400</v>
      </c>
      <c r="N945" t="s">
        <v>108</v>
      </c>
      <c r="O945" t="s">
        <v>115</v>
      </c>
    </row>
    <row r="946" spans="1:15" x14ac:dyDescent="0.25">
      <c r="A946">
        <v>2</v>
      </c>
      <c r="B946" s="10">
        <v>45710</v>
      </c>
      <c r="C946">
        <v>22</v>
      </c>
      <c r="D946" t="s">
        <v>97</v>
      </c>
      <c r="E946" t="s">
        <v>98</v>
      </c>
      <c r="F946" t="s">
        <v>99</v>
      </c>
      <c r="G946" t="s">
        <v>100</v>
      </c>
      <c r="H946" t="s">
        <v>101</v>
      </c>
      <c r="I946" t="s">
        <v>102</v>
      </c>
      <c r="J946" t="s">
        <v>103</v>
      </c>
      <c r="K946">
        <v>7</v>
      </c>
      <c r="L946">
        <v>2500</v>
      </c>
      <c r="M946">
        <v>17500</v>
      </c>
      <c r="N946" t="s">
        <v>95</v>
      </c>
      <c r="O946" t="s">
        <v>104</v>
      </c>
    </row>
    <row r="947" spans="1:15" x14ac:dyDescent="0.25">
      <c r="A947">
        <v>22</v>
      </c>
      <c r="B947" s="10">
        <v>45906</v>
      </c>
      <c r="C947">
        <v>6</v>
      </c>
      <c r="D947" t="s">
        <v>147</v>
      </c>
      <c r="E947" t="s">
        <v>121</v>
      </c>
      <c r="F947" t="s">
        <v>28</v>
      </c>
      <c r="G947" t="s">
        <v>126</v>
      </c>
      <c r="H947" t="s">
        <v>101</v>
      </c>
      <c r="I947" t="s">
        <v>127</v>
      </c>
      <c r="J947" t="s">
        <v>94</v>
      </c>
      <c r="K947">
        <v>8</v>
      </c>
      <c r="L947">
        <v>2500</v>
      </c>
      <c r="M947">
        <v>20000</v>
      </c>
      <c r="N947" t="s">
        <v>95</v>
      </c>
      <c r="O947" t="s">
        <v>115</v>
      </c>
    </row>
    <row r="948" spans="1:15" x14ac:dyDescent="0.25">
      <c r="A948">
        <v>40</v>
      </c>
      <c r="B948" s="10">
        <v>45793</v>
      </c>
      <c r="C948">
        <v>16</v>
      </c>
      <c r="D948" t="s">
        <v>120</v>
      </c>
      <c r="E948" t="s">
        <v>138</v>
      </c>
      <c r="F948" t="s">
        <v>144</v>
      </c>
      <c r="G948" t="s">
        <v>91</v>
      </c>
      <c r="H948" t="s">
        <v>37</v>
      </c>
      <c r="I948" t="s">
        <v>38</v>
      </c>
      <c r="J948" t="s">
        <v>94</v>
      </c>
      <c r="K948">
        <v>6</v>
      </c>
      <c r="L948">
        <v>2500</v>
      </c>
      <c r="M948">
        <v>15000</v>
      </c>
      <c r="N948" t="s">
        <v>108</v>
      </c>
      <c r="O948" t="s">
        <v>104</v>
      </c>
    </row>
    <row r="949" spans="1:15" x14ac:dyDescent="0.25">
      <c r="A949">
        <v>42</v>
      </c>
      <c r="B949" s="10">
        <v>45711</v>
      </c>
      <c r="C949">
        <v>23</v>
      </c>
      <c r="D949" t="s">
        <v>97</v>
      </c>
      <c r="E949" t="s">
        <v>128</v>
      </c>
      <c r="F949" t="s">
        <v>36</v>
      </c>
      <c r="G949" t="s">
        <v>100</v>
      </c>
      <c r="H949" t="s">
        <v>37</v>
      </c>
      <c r="I949" t="s">
        <v>38</v>
      </c>
      <c r="J949" t="s">
        <v>94</v>
      </c>
      <c r="K949">
        <v>9</v>
      </c>
      <c r="L949">
        <v>2500</v>
      </c>
      <c r="M949">
        <v>22500</v>
      </c>
      <c r="N949" t="s">
        <v>95</v>
      </c>
      <c r="O949" t="s">
        <v>115</v>
      </c>
    </row>
    <row r="950" spans="1:15" x14ac:dyDescent="0.25">
      <c r="A950">
        <v>94</v>
      </c>
      <c r="B950" s="10">
        <v>45774</v>
      </c>
      <c r="C950">
        <v>27</v>
      </c>
      <c r="D950" t="s">
        <v>105</v>
      </c>
      <c r="E950" t="s">
        <v>150</v>
      </c>
      <c r="F950" t="s">
        <v>36</v>
      </c>
      <c r="G950" t="s">
        <v>100</v>
      </c>
      <c r="H950" t="s">
        <v>37</v>
      </c>
      <c r="I950" t="s">
        <v>38</v>
      </c>
      <c r="J950" t="s">
        <v>94</v>
      </c>
      <c r="K950">
        <v>5</v>
      </c>
      <c r="L950">
        <v>2500</v>
      </c>
      <c r="M950">
        <v>12500</v>
      </c>
      <c r="N950" t="s">
        <v>95</v>
      </c>
      <c r="O950" t="s">
        <v>104</v>
      </c>
    </row>
    <row r="951" spans="1:15" x14ac:dyDescent="0.25">
      <c r="A951">
        <v>129</v>
      </c>
      <c r="B951" s="10">
        <v>45783</v>
      </c>
      <c r="C951">
        <v>6</v>
      </c>
      <c r="D951" t="s">
        <v>120</v>
      </c>
      <c r="E951" t="s">
        <v>137</v>
      </c>
      <c r="F951" t="s">
        <v>134</v>
      </c>
      <c r="G951" t="s">
        <v>100</v>
      </c>
      <c r="H951" t="s">
        <v>101</v>
      </c>
      <c r="I951" t="s">
        <v>127</v>
      </c>
      <c r="J951" t="s">
        <v>94</v>
      </c>
      <c r="K951">
        <v>3</v>
      </c>
      <c r="L951">
        <v>2500</v>
      </c>
      <c r="M951">
        <v>7500</v>
      </c>
      <c r="N951" t="s">
        <v>95</v>
      </c>
      <c r="O951" t="s">
        <v>96</v>
      </c>
    </row>
    <row r="952" spans="1:15" x14ac:dyDescent="0.25">
      <c r="A952">
        <v>201</v>
      </c>
      <c r="B952" s="10">
        <v>45922</v>
      </c>
      <c r="C952">
        <v>22</v>
      </c>
      <c r="D952" t="s">
        <v>147</v>
      </c>
      <c r="E952" t="s">
        <v>121</v>
      </c>
      <c r="F952" t="s">
        <v>28</v>
      </c>
      <c r="G952" t="s">
        <v>126</v>
      </c>
      <c r="H952" t="s">
        <v>37</v>
      </c>
      <c r="I952" t="s">
        <v>38</v>
      </c>
      <c r="J952" t="s">
        <v>94</v>
      </c>
      <c r="K952">
        <v>5</v>
      </c>
      <c r="L952">
        <v>2500</v>
      </c>
      <c r="M952">
        <v>12500</v>
      </c>
      <c r="N952" t="s">
        <v>108</v>
      </c>
      <c r="O952" t="s">
        <v>96</v>
      </c>
    </row>
    <row r="953" spans="1:15" x14ac:dyDescent="0.25">
      <c r="A953">
        <v>355</v>
      </c>
      <c r="B953" s="10">
        <v>45856</v>
      </c>
      <c r="C953">
        <v>18</v>
      </c>
      <c r="D953" t="s">
        <v>145</v>
      </c>
      <c r="E953" t="s">
        <v>110</v>
      </c>
      <c r="F953" t="s">
        <v>134</v>
      </c>
      <c r="G953" t="s">
        <v>100</v>
      </c>
      <c r="H953" t="s">
        <v>101</v>
      </c>
      <c r="I953" t="s">
        <v>102</v>
      </c>
      <c r="J953" t="s">
        <v>103</v>
      </c>
      <c r="K953">
        <v>27</v>
      </c>
      <c r="L953">
        <v>2500</v>
      </c>
      <c r="M953">
        <v>67500</v>
      </c>
      <c r="N953" t="s">
        <v>108</v>
      </c>
      <c r="O953" t="s">
        <v>96</v>
      </c>
    </row>
    <row r="954" spans="1:15" x14ac:dyDescent="0.25">
      <c r="A954">
        <v>535</v>
      </c>
      <c r="B954" s="10">
        <v>45809</v>
      </c>
      <c r="C954">
        <v>1</v>
      </c>
      <c r="D954" t="s">
        <v>153</v>
      </c>
      <c r="E954" t="s">
        <v>106</v>
      </c>
      <c r="F954" t="s">
        <v>117</v>
      </c>
      <c r="G954" t="s">
        <v>118</v>
      </c>
      <c r="H954" t="s">
        <v>101</v>
      </c>
      <c r="I954" t="s">
        <v>102</v>
      </c>
      <c r="J954" t="s">
        <v>103</v>
      </c>
      <c r="K954">
        <v>33</v>
      </c>
      <c r="L954">
        <v>2500</v>
      </c>
      <c r="M954">
        <v>82500</v>
      </c>
      <c r="N954" t="s">
        <v>95</v>
      </c>
      <c r="O954" t="s">
        <v>96</v>
      </c>
    </row>
    <row r="955" spans="1:15" x14ac:dyDescent="0.25">
      <c r="A955">
        <v>600</v>
      </c>
      <c r="B955" s="10">
        <v>45690</v>
      </c>
      <c r="C955">
        <v>2</v>
      </c>
      <c r="D955" t="s">
        <v>97</v>
      </c>
      <c r="E955" t="s">
        <v>116</v>
      </c>
      <c r="F955" t="s">
        <v>49</v>
      </c>
      <c r="G955" t="s">
        <v>118</v>
      </c>
      <c r="H955" t="s">
        <v>37</v>
      </c>
      <c r="I955" t="s">
        <v>38</v>
      </c>
      <c r="J955" t="s">
        <v>94</v>
      </c>
      <c r="K955">
        <v>7</v>
      </c>
      <c r="L955">
        <v>2500</v>
      </c>
      <c r="M955">
        <v>17500</v>
      </c>
      <c r="N955" t="s">
        <v>108</v>
      </c>
      <c r="O955" t="s">
        <v>96</v>
      </c>
    </row>
    <row r="956" spans="1:15" x14ac:dyDescent="0.25">
      <c r="A956">
        <v>638</v>
      </c>
      <c r="B956" s="10">
        <v>45978</v>
      </c>
      <c r="C956">
        <v>17</v>
      </c>
      <c r="D956" t="s">
        <v>90</v>
      </c>
      <c r="E956" t="s">
        <v>138</v>
      </c>
      <c r="F956" t="s">
        <v>36</v>
      </c>
      <c r="G956" t="s">
        <v>100</v>
      </c>
      <c r="H956" t="s">
        <v>101</v>
      </c>
      <c r="I956" t="s">
        <v>127</v>
      </c>
      <c r="J956" t="s">
        <v>94</v>
      </c>
      <c r="K956">
        <v>1</v>
      </c>
      <c r="L956">
        <v>2500</v>
      </c>
      <c r="M956">
        <v>2500</v>
      </c>
      <c r="N956" t="s">
        <v>108</v>
      </c>
      <c r="O956" t="s">
        <v>115</v>
      </c>
    </row>
    <row r="957" spans="1:15" x14ac:dyDescent="0.25">
      <c r="A957">
        <v>749</v>
      </c>
      <c r="B957" s="10">
        <v>45968</v>
      </c>
      <c r="C957">
        <v>7</v>
      </c>
      <c r="D957" t="s">
        <v>90</v>
      </c>
      <c r="E957" t="s">
        <v>142</v>
      </c>
      <c r="F957" t="s">
        <v>36</v>
      </c>
      <c r="G957" t="s">
        <v>100</v>
      </c>
      <c r="H957" t="s">
        <v>101</v>
      </c>
      <c r="I957" t="s">
        <v>102</v>
      </c>
      <c r="J957" t="s">
        <v>103</v>
      </c>
      <c r="K957">
        <v>50</v>
      </c>
      <c r="L957">
        <v>2500</v>
      </c>
      <c r="M957">
        <v>125000</v>
      </c>
      <c r="N957" t="s">
        <v>108</v>
      </c>
      <c r="O957" t="s">
        <v>96</v>
      </c>
    </row>
    <row r="958" spans="1:15" x14ac:dyDescent="0.25">
      <c r="A958">
        <v>852</v>
      </c>
      <c r="B958" s="10">
        <v>45911</v>
      </c>
      <c r="C958">
        <v>11</v>
      </c>
      <c r="D958" t="s">
        <v>147</v>
      </c>
      <c r="E958" t="s">
        <v>106</v>
      </c>
      <c r="F958" t="s">
        <v>28</v>
      </c>
      <c r="G958" t="s">
        <v>126</v>
      </c>
      <c r="H958" t="s">
        <v>101</v>
      </c>
      <c r="I958" t="s">
        <v>102</v>
      </c>
      <c r="J958" t="s">
        <v>103</v>
      </c>
      <c r="K958">
        <v>18</v>
      </c>
      <c r="L958">
        <v>2500</v>
      </c>
      <c r="M958">
        <v>45000</v>
      </c>
      <c r="N958" t="s">
        <v>95</v>
      </c>
      <c r="O958" t="s">
        <v>115</v>
      </c>
    </row>
    <row r="959" spans="1:15" x14ac:dyDescent="0.25">
      <c r="A959">
        <v>861</v>
      </c>
      <c r="B959" s="10">
        <v>45915</v>
      </c>
      <c r="C959">
        <v>15</v>
      </c>
      <c r="D959" t="s">
        <v>147</v>
      </c>
      <c r="E959" t="s">
        <v>98</v>
      </c>
      <c r="F959" t="s">
        <v>134</v>
      </c>
      <c r="G959" t="s">
        <v>100</v>
      </c>
      <c r="H959" t="s">
        <v>37</v>
      </c>
      <c r="I959" t="s">
        <v>38</v>
      </c>
      <c r="J959" t="s">
        <v>94</v>
      </c>
      <c r="K959">
        <v>6</v>
      </c>
      <c r="L959">
        <v>2500</v>
      </c>
      <c r="M959">
        <v>15000</v>
      </c>
      <c r="N959" t="s">
        <v>108</v>
      </c>
      <c r="O959" t="s">
        <v>115</v>
      </c>
    </row>
    <row r="960" spans="1:15" x14ac:dyDescent="0.25">
      <c r="A960">
        <v>865</v>
      </c>
      <c r="B960" s="10">
        <v>45735</v>
      </c>
      <c r="C960">
        <v>19</v>
      </c>
      <c r="D960" t="s">
        <v>140</v>
      </c>
      <c r="E960" t="s">
        <v>121</v>
      </c>
      <c r="F960" t="s">
        <v>49</v>
      </c>
      <c r="G960" t="s">
        <v>118</v>
      </c>
      <c r="H960" t="s">
        <v>101</v>
      </c>
      <c r="I960" t="s">
        <v>102</v>
      </c>
      <c r="J960" t="s">
        <v>103</v>
      </c>
      <c r="K960">
        <v>31</v>
      </c>
      <c r="L960">
        <v>2500</v>
      </c>
      <c r="M960">
        <v>77500</v>
      </c>
      <c r="N960" t="s">
        <v>95</v>
      </c>
      <c r="O960" t="s">
        <v>115</v>
      </c>
    </row>
    <row r="961" spans="1:15" x14ac:dyDescent="0.25">
      <c r="A961">
        <v>906</v>
      </c>
      <c r="B961" s="10">
        <v>45760</v>
      </c>
      <c r="C961">
        <v>13</v>
      </c>
      <c r="D961" t="s">
        <v>105</v>
      </c>
      <c r="E961" t="s">
        <v>138</v>
      </c>
      <c r="F961" t="s">
        <v>122</v>
      </c>
      <c r="G961" t="s">
        <v>114</v>
      </c>
      <c r="H961" t="s">
        <v>37</v>
      </c>
      <c r="I961" t="s">
        <v>38</v>
      </c>
      <c r="J961" t="s">
        <v>94</v>
      </c>
      <c r="K961">
        <v>3</v>
      </c>
      <c r="L961">
        <v>2500</v>
      </c>
      <c r="M961">
        <v>7500</v>
      </c>
      <c r="N961" t="s">
        <v>108</v>
      </c>
      <c r="O961" t="s">
        <v>96</v>
      </c>
    </row>
    <row r="962" spans="1:15" x14ac:dyDescent="0.25">
      <c r="A962">
        <v>927</v>
      </c>
      <c r="B962" s="10">
        <v>45945</v>
      </c>
      <c r="C962">
        <v>15</v>
      </c>
      <c r="D962" t="s">
        <v>136</v>
      </c>
      <c r="E962" t="s">
        <v>121</v>
      </c>
      <c r="F962" t="s">
        <v>36</v>
      </c>
      <c r="G962" t="s">
        <v>100</v>
      </c>
      <c r="H962" t="s">
        <v>101</v>
      </c>
      <c r="I962" t="s">
        <v>102</v>
      </c>
      <c r="J962" t="s">
        <v>103</v>
      </c>
      <c r="K962">
        <v>21</v>
      </c>
      <c r="L962">
        <v>2500</v>
      </c>
      <c r="M962">
        <v>52500</v>
      </c>
      <c r="N962" t="s">
        <v>108</v>
      </c>
      <c r="O962" t="s">
        <v>96</v>
      </c>
    </row>
    <row r="963" spans="1:15" x14ac:dyDescent="0.25">
      <c r="A963">
        <v>955</v>
      </c>
      <c r="B963" s="10">
        <v>45901</v>
      </c>
      <c r="C963">
        <v>1</v>
      </c>
      <c r="D963" t="s">
        <v>147</v>
      </c>
      <c r="E963" t="s">
        <v>161</v>
      </c>
      <c r="F963" t="s">
        <v>113</v>
      </c>
      <c r="G963" t="s">
        <v>114</v>
      </c>
      <c r="H963" t="s">
        <v>37</v>
      </c>
      <c r="I963" t="s">
        <v>38</v>
      </c>
      <c r="J963" t="s">
        <v>94</v>
      </c>
      <c r="K963">
        <v>1</v>
      </c>
      <c r="L963">
        <v>2500</v>
      </c>
      <c r="M963">
        <v>2500</v>
      </c>
      <c r="N963" t="s">
        <v>95</v>
      </c>
      <c r="O963" t="s">
        <v>115</v>
      </c>
    </row>
    <row r="964" spans="1:15" x14ac:dyDescent="0.25">
      <c r="A964">
        <v>1060</v>
      </c>
      <c r="B964" s="10">
        <v>45928</v>
      </c>
      <c r="C964">
        <v>28</v>
      </c>
      <c r="D964" t="s">
        <v>147</v>
      </c>
      <c r="E964" t="s">
        <v>150</v>
      </c>
      <c r="F964" t="s">
        <v>134</v>
      </c>
      <c r="G964" t="s">
        <v>100</v>
      </c>
      <c r="H964" t="s">
        <v>37</v>
      </c>
      <c r="I964" t="s">
        <v>38</v>
      </c>
      <c r="J964" t="s">
        <v>94</v>
      </c>
      <c r="K964">
        <v>2</v>
      </c>
      <c r="L964">
        <v>2500</v>
      </c>
      <c r="M964">
        <v>5000</v>
      </c>
      <c r="N964" t="s">
        <v>95</v>
      </c>
      <c r="O964" t="s">
        <v>115</v>
      </c>
    </row>
    <row r="965" spans="1:15" x14ac:dyDescent="0.25">
      <c r="A965">
        <v>1071</v>
      </c>
      <c r="B965" s="10">
        <v>45740</v>
      </c>
      <c r="C965">
        <v>24</v>
      </c>
      <c r="D965" t="s">
        <v>140</v>
      </c>
      <c r="E965" t="s">
        <v>161</v>
      </c>
      <c r="F965" t="s">
        <v>107</v>
      </c>
      <c r="G965" t="s">
        <v>100</v>
      </c>
      <c r="H965" t="s">
        <v>101</v>
      </c>
      <c r="I965" t="s">
        <v>102</v>
      </c>
      <c r="J965" t="s">
        <v>103</v>
      </c>
      <c r="K965">
        <v>10</v>
      </c>
      <c r="L965">
        <v>2500</v>
      </c>
      <c r="M965">
        <v>25000</v>
      </c>
      <c r="N965" t="s">
        <v>108</v>
      </c>
      <c r="O965" t="s">
        <v>96</v>
      </c>
    </row>
    <row r="966" spans="1:15" x14ac:dyDescent="0.25">
      <c r="A966">
        <v>1213</v>
      </c>
      <c r="B966" s="10">
        <v>45952</v>
      </c>
      <c r="C966">
        <v>22</v>
      </c>
      <c r="D966" t="s">
        <v>136</v>
      </c>
      <c r="E966" t="s">
        <v>112</v>
      </c>
      <c r="F966" t="s">
        <v>144</v>
      </c>
      <c r="G966" t="s">
        <v>91</v>
      </c>
      <c r="H966" t="s">
        <v>101</v>
      </c>
      <c r="I966" t="s">
        <v>102</v>
      </c>
      <c r="J966" t="s">
        <v>103</v>
      </c>
      <c r="K966">
        <v>29</v>
      </c>
      <c r="L966">
        <v>2500</v>
      </c>
      <c r="M966">
        <v>72500</v>
      </c>
      <c r="N966" t="s">
        <v>108</v>
      </c>
      <c r="O966" t="s">
        <v>96</v>
      </c>
    </row>
    <row r="967" spans="1:15" x14ac:dyDescent="0.25">
      <c r="A967">
        <v>1233</v>
      </c>
      <c r="B967" s="10">
        <v>45908</v>
      </c>
      <c r="C967">
        <v>8</v>
      </c>
      <c r="D967" t="s">
        <v>147</v>
      </c>
      <c r="E967" t="s">
        <v>98</v>
      </c>
      <c r="F967" t="s">
        <v>122</v>
      </c>
      <c r="G967" t="s">
        <v>114</v>
      </c>
      <c r="H967" t="s">
        <v>101</v>
      </c>
      <c r="I967" t="s">
        <v>127</v>
      </c>
      <c r="J967" t="s">
        <v>94</v>
      </c>
      <c r="K967">
        <v>10</v>
      </c>
      <c r="L967">
        <v>2500</v>
      </c>
      <c r="M967">
        <v>25000</v>
      </c>
      <c r="N967" t="s">
        <v>108</v>
      </c>
      <c r="O967" t="s">
        <v>115</v>
      </c>
    </row>
    <row r="968" spans="1:15" x14ac:dyDescent="0.25">
      <c r="A968">
        <v>1247</v>
      </c>
      <c r="B968" s="10">
        <v>45880</v>
      </c>
      <c r="C968">
        <v>11</v>
      </c>
      <c r="D968" t="s">
        <v>109</v>
      </c>
      <c r="E968" t="s">
        <v>142</v>
      </c>
      <c r="F968" t="s">
        <v>22</v>
      </c>
      <c r="G968" t="s">
        <v>91</v>
      </c>
      <c r="H968" t="s">
        <v>101</v>
      </c>
      <c r="I968" t="s">
        <v>127</v>
      </c>
      <c r="J968" t="s">
        <v>94</v>
      </c>
      <c r="K968">
        <v>5</v>
      </c>
      <c r="L968">
        <v>2500</v>
      </c>
      <c r="M968">
        <v>12500</v>
      </c>
      <c r="N968" t="s">
        <v>95</v>
      </c>
      <c r="O968" t="s">
        <v>96</v>
      </c>
    </row>
    <row r="969" spans="1:15" x14ac:dyDescent="0.25">
      <c r="A969">
        <v>1262</v>
      </c>
      <c r="B969" s="10">
        <v>46003</v>
      </c>
      <c r="C969">
        <v>12</v>
      </c>
      <c r="D969" t="s">
        <v>125</v>
      </c>
      <c r="E969" t="s">
        <v>128</v>
      </c>
      <c r="F969" t="s">
        <v>144</v>
      </c>
      <c r="G969" t="s">
        <v>91</v>
      </c>
      <c r="H969" t="s">
        <v>101</v>
      </c>
      <c r="I969" t="s">
        <v>127</v>
      </c>
      <c r="J969" t="s">
        <v>94</v>
      </c>
      <c r="K969">
        <v>2</v>
      </c>
      <c r="L969">
        <v>2500</v>
      </c>
      <c r="M969">
        <v>5000</v>
      </c>
      <c r="N969" t="s">
        <v>108</v>
      </c>
      <c r="O969" t="s">
        <v>104</v>
      </c>
    </row>
    <row r="970" spans="1:15" x14ac:dyDescent="0.25">
      <c r="A970">
        <v>1296</v>
      </c>
      <c r="B970" s="10">
        <v>45752</v>
      </c>
      <c r="C970">
        <v>5</v>
      </c>
      <c r="D970" t="s">
        <v>105</v>
      </c>
      <c r="E970" t="s">
        <v>25</v>
      </c>
      <c r="F970" t="s">
        <v>36</v>
      </c>
      <c r="G970" t="s">
        <v>100</v>
      </c>
      <c r="H970" t="s">
        <v>101</v>
      </c>
      <c r="I970" t="s">
        <v>127</v>
      </c>
      <c r="J970" t="s">
        <v>94</v>
      </c>
      <c r="K970">
        <v>9</v>
      </c>
      <c r="L970">
        <v>2500</v>
      </c>
      <c r="M970">
        <v>22500</v>
      </c>
      <c r="N970" t="s">
        <v>108</v>
      </c>
      <c r="O970" t="s">
        <v>96</v>
      </c>
    </row>
    <row r="971" spans="1:15" x14ac:dyDescent="0.25">
      <c r="A971">
        <v>1303</v>
      </c>
      <c r="B971" s="10">
        <v>45994</v>
      </c>
      <c r="C971">
        <v>3</v>
      </c>
      <c r="D971" t="s">
        <v>125</v>
      </c>
      <c r="E971" t="s">
        <v>121</v>
      </c>
      <c r="F971" t="s">
        <v>117</v>
      </c>
      <c r="G971" t="s">
        <v>118</v>
      </c>
      <c r="H971" t="s">
        <v>101</v>
      </c>
      <c r="I971" t="s">
        <v>102</v>
      </c>
      <c r="J971" t="s">
        <v>103</v>
      </c>
      <c r="K971">
        <v>46</v>
      </c>
      <c r="L971">
        <v>2500</v>
      </c>
      <c r="M971">
        <v>115000</v>
      </c>
      <c r="N971" t="s">
        <v>108</v>
      </c>
      <c r="O971" t="s">
        <v>96</v>
      </c>
    </row>
    <row r="972" spans="1:15" x14ac:dyDescent="0.25">
      <c r="A972">
        <v>1318</v>
      </c>
      <c r="B972" s="10">
        <v>45973</v>
      </c>
      <c r="C972">
        <v>12</v>
      </c>
      <c r="D972" t="s">
        <v>90</v>
      </c>
      <c r="E972" t="s">
        <v>150</v>
      </c>
      <c r="F972" t="s">
        <v>28</v>
      </c>
      <c r="G972" t="s">
        <v>126</v>
      </c>
      <c r="H972" t="s">
        <v>37</v>
      </c>
      <c r="I972" t="s">
        <v>38</v>
      </c>
      <c r="J972" t="s">
        <v>94</v>
      </c>
      <c r="K972">
        <v>10</v>
      </c>
      <c r="L972">
        <v>2500</v>
      </c>
      <c r="M972">
        <v>25000</v>
      </c>
      <c r="N972" t="s">
        <v>95</v>
      </c>
      <c r="O972" t="s">
        <v>104</v>
      </c>
    </row>
    <row r="973" spans="1:15" x14ac:dyDescent="0.25">
      <c r="A973">
        <v>1339</v>
      </c>
      <c r="B973" s="10">
        <v>45989</v>
      </c>
      <c r="C973">
        <v>28</v>
      </c>
      <c r="D973" t="s">
        <v>90</v>
      </c>
      <c r="E973" t="s">
        <v>142</v>
      </c>
      <c r="F973" t="s">
        <v>49</v>
      </c>
      <c r="G973" t="s">
        <v>118</v>
      </c>
      <c r="H973" t="s">
        <v>37</v>
      </c>
      <c r="I973" t="s">
        <v>38</v>
      </c>
      <c r="J973" t="s">
        <v>94</v>
      </c>
      <c r="K973">
        <v>2</v>
      </c>
      <c r="L973">
        <v>2500</v>
      </c>
      <c r="M973">
        <v>5000</v>
      </c>
      <c r="N973" t="s">
        <v>108</v>
      </c>
      <c r="O973" t="s">
        <v>96</v>
      </c>
    </row>
    <row r="974" spans="1:15" x14ac:dyDescent="0.25">
      <c r="A974">
        <v>1409</v>
      </c>
      <c r="B974" s="10">
        <v>45945</v>
      </c>
      <c r="C974">
        <v>15</v>
      </c>
      <c r="D974" t="s">
        <v>136</v>
      </c>
      <c r="E974" t="s">
        <v>116</v>
      </c>
      <c r="F974" t="s">
        <v>99</v>
      </c>
      <c r="G974" t="s">
        <v>100</v>
      </c>
      <c r="H974" t="s">
        <v>101</v>
      </c>
      <c r="I974" t="s">
        <v>102</v>
      </c>
      <c r="J974" t="s">
        <v>103</v>
      </c>
      <c r="K974">
        <v>48</v>
      </c>
      <c r="L974">
        <v>2500</v>
      </c>
      <c r="M974">
        <v>120000</v>
      </c>
      <c r="N974" t="s">
        <v>108</v>
      </c>
      <c r="O974" t="s">
        <v>115</v>
      </c>
    </row>
    <row r="975" spans="1:15" x14ac:dyDescent="0.25">
      <c r="A975">
        <v>1430</v>
      </c>
      <c r="B975" s="10">
        <v>45929</v>
      </c>
      <c r="C975">
        <v>29</v>
      </c>
      <c r="D975" t="s">
        <v>147</v>
      </c>
      <c r="E975" t="s">
        <v>133</v>
      </c>
      <c r="F975" t="s">
        <v>113</v>
      </c>
      <c r="G975" t="s">
        <v>114</v>
      </c>
      <c r="H975" t="s">
        <v>37</v>
      </c>
      <c r="I975" t="s">
        <v>38</v>
      </c>
      <c r="J975" t="s">
        <v>94</v>
      </c>
      <c r="K975">
        <v>6</v>
      </c>
      <c r="L975">
        <v>2500</v>
      </c>
      <c r="M975">
        <v>15000</v>
      </c>
      <c r="N975" t="s">
        <v>108</v>
      </c>
      <c r="O975" t="s">
        <v>104</v>
      </c>
    </row>
    <row r="976" spans="1:15" x14ac:dyDescent="0.25">
      <c r="A976">
        <v>1485</v>
      </c>
      <c r="B976" s="10">
        <v>45690</v>
      </c>
      <c r="C976">
        <v>2</v>
      </c>
      <c r="D976" t="s">
        <v>97</v>
      </c>
      <c r="E976" t="s">
        <v>25</v>
      </c>
      <c r="F976" t="s">
        <v>148</v>
      </c>
      <c r="G976" t="s">
        <v>118</v>
      </c>
      <c r="H976" t="s">
        <v>37</v>
      </c>
      <c r="I976" t="s">
        <v>38</v>
      </c>
      <c r="J976" t="s">
        <v>94</v>
      </c>
      <c r="K976">
        <v>2</v>
      </c>
      <c r="L976">
        <v>2500</v>
      </c>
      <c r="M976">
        <v>5000</v>
      </c>
      <c r="N976" t="s">
        <v>108</v>
      </c>
      <c r="O976" t="s">
        <v>115</v>
      </c>
    </row>
    <row r="977" spans="1:15" x14ac:dyDescent="0.25">
      <c r="A977">
        <v>1494</v>
      </c>
      <c r="B977" s="10">
        <v>45684</v>
      </c>
      <c r="C977">
        <v>27</v>
      </c>
      <c r="D977" t="s">
        <v>130</v>
      </c>
      <c r="E977" t="s">
        <v>110</v>
      </c>
      <c r="F977" t="s">
        <v>107</v>
      </c>
      <c r="G977" t="s">
        <v>100</v>
      </c>
      <c r="H977" t="s">
        <v>37</v>
      </c>
      <c r="I977" t="s">
        <v>38</v>
      </c>
      <c r="J977" t="s">
        <v>94</v>
      </c>
      <c r="K977">
        <v>5</v>
      </c>
      <c r="L977">
        <v>2500</v>
      </c>
      <c r="M977">
        <v>12500</v>
      </c>
      <c r="N977" t="s">
        <v>108</v>
      </c>
      <c r="O977" t="s">
        <v>115</v>
      </c>
    </row>
    <row r="978" spans="1:15" x14ac:dyDescent="0.25">
      <c r="A978">
        <v>1552</v>
      </c>
      <c r="B978" s="10">
        <v>45918</v>
      </c>
      <c r="C978">
        <v>18</v>
      </c>
      <c r="D978" t="s">
        <v>147</v>
      </c>
      <c r="E978" t="s">
        <v>161</v>
      </c>
      <c r="F978" t="s">
        <v>148</v>
      </c>
      <c r="G978" t="s">
        <v>118</v>
      </c>
      <c r="H978" t="s">
        <v>37</v>
      </c>
      <c r="I978" t="s">
        <v>38</v>
      </c>
      <c r="J978" t="s">
        <v>94</v>
      </c>
      <c r="K978">
        <v>5</v>
      </c>
      <c r="L978">
        <v>2500</v>
      </c>
      <c r="M978">
        <v>12500</v>
      </c>
      <c r="N978" t="s">
        <v>108</v>
      </c>
      <c r="O978" t="s">
        <v>115</v>
      </c>
    </row>
    <row r="979" spans="1:15" x14ac:dyDescent="0.25">
      <c r="A979">
        <v>1712</v>
      </c>
      <c r="B979" s="10">
        <v>45978</v>
      </c>
      <c r="C979">
        <v>17</v>
      </c>
      <c r="D979" t="s">
        <v>90</v>
      </c>
      <c r="E979" t="s">
        <v>31</v>
      </c>
      <c r="F979" t="s">
        <v>113</v>
      </c>
      <c r="G979" t="s">
        <v>114</v>
      </c>
      <c r="H979" t="s">
        <v>101</v>
      </c>
      <c r="I979" t="s">
        <v>102</v>
      </c>
      <c r="J979" t="s">
        <v>103</v>
      </c>
      <c r="K979">
        <v>40</v>
      </c>
      <c r="L979">
        <v>2500</v>
      </c>
      <c r="M979">
        <v>100000</v>
      </c>
      <c r="N979" t="s">
        <v>95</v>
      </c>
      <c r="O979" t="s">
        <v>104</v>
      </c>
    </row>
    <row r="980" spans="1:15" x14ac:dyDescent="0.25">
      <c r="A980">
        <v>2189</v>
      </c>
      <c r="B980" s="10">
        <v>45874</v>
      </c>
      <c r="C980">
        <v>5</v>
      </c>
      <c r="D980" t="s">
        <v>109</v>
      </c>
      <c r="E980" t="s">
        <v>161</v>
      </c>
      <c r="F980" t="s">
        <v>122</v>
      </c>
      <c r="G980" t="s">
        <v>114</v>
      </c>
      <c r="H980" t="s">
        <v>101</v>
      </c>
      <c r="I980" t="s">
        <v>102</v>
      </c>
      <c r="J980" t="s">
        <v>103</v>
      </c>
      <c r="K980">
        <v>34</v>
      </c>
      <c r="L980">
        <v>2500</v>
      </c>
      <c r="M980">
        <v>85000</v>
      </c>
      <c r="N980" t="s">
        <v>95</v>
      </c>
      <c r="O980" t="s">
        <v>96</v>
      </c>
    </row>
    <row r="981" spans="1:15" x14ac:dyDescent="0.25">
      <c r="A981">
        <v>2268</v>
      </c>
      <c r="B981" s="10">
        <v>45926</v>
      </c>
      <c r="C981">
        <v>26</v>
      </c>
      <c r="D981" t="s">
        <v>147</v>
      </c>
      <c r="E981" t="s">
        <v>98</v>
      </c>
      <c r="F981" t="s">
        <v>107</v>
      </c>
      <c r="G981" t="s">
        <v>100</v>
      </c>
      <c r="H981" t="s">
        <v>37</v>
      </c>
      <c r="I981" t="s">
        <v>38</v>
      </c>
      <c r="J981" t="s">
        <v>94</v>
      </c>
      <c r="K981">
        <v>4</v>
      </c>
      <c r="L981">
        <v>2500</v>
      </c>
      <c r="M981">
        <v>10000</v>
      </c>
      <c r="N981" t="s">
        <v>95</v>
      </c>
      <c r="O981" t="s">
        <v>115</v>
      </c>
    </row>
    <row r="982" spans="1:15" x14ac:dyDescent="0.25">
      <c r="A982">
        <v>2308</v>
      </c>
      <c r="B982" s="10">
        <v>45969</v>
      </c>
      <c r="C982">
        <v>8</v>
      </c>
      <c r="D982" t="s">
        <v>90</v>
      </c>
      <c r="E982" t="s">
        <v>112</v>
      </c>
      <c r="F982" t="s">
        <v>122</v>
      </c>
      <c r="G982" t="s">
        <v>114</v>
      </c>
      <c r="H982" t="s">
        <v>37</v>
      </c>
      <c r="I982" t="s">
        <v>38</v>
      </c>
      <c r="J982" t="s">
        <v>94</v>
      </c>
      <c r="K982">
        <v>9</v>
      </c>
      <c r="L982">
        <v>2500</v>
      </c>
      <c r="M982">
        <v>22500</v>
      </c>
      <c r="N982" t="s">
        <v>95</v>
      </c>
      <c r="O982" t="s">
        <v>96</v>
      </c>
    </row>
    <row r="983" spans="1:15" x14ac:dyDescent="0.25">
      <c r="A983">
        <v>2332</v>
      </c>
      <c r="B983" s="10">
        <v>45805</v>
      </c>
      <c r="C983">
        <v>28</v>
      </c>
      <c r="D983" t="s">
        <v>120</v>
      </c>
      <c r="E983" t="s">
        <v>106</v>
      </c>
      <c r="F983" t="s">
        <v>28</v>
      </c>
      <c r="G983" t="s">
        <v>126</v>
      </c>
      <c r="H983" t="s">
        <v>101</v>
      </c>
      <c r="I983" t="s">
        <v>127</v>
      </c>
      <c r="J983" t="s">
        <v>94</v>
      </c>
      <c r="K983">
        <v>9</v>
      </c>
      <c r="L983">
        <v>2500</v>
      </c>
      <c r="M983">
        <v>22500</v>
      </c>
      <c r="N983" t="s">
        <v>95</v>
      </c>
      <c r="O983" t="s">
        <v>96</v>
      </c>
    </row>
    <row r="984" spans="1:15" x14ac:dyDescent="0.25">
      <c r="A984">
        <v>2588</v>
      </c>
      <c r="B984" s="10">
        <v>45669</v>
      </c>
      <c r="C984">
        <v>12</v>
      </c>
      <c r="D984" t="s">
        <v>130</v>
      </c>
      <c r="E984" t="s">
        <v>98</v>
      </c>
      <c r="F984" t="s">
        <v>36</v>
      </c>
      <c r="G984" t="s">
        <v>100</v>
      </c>
      <c r="H984" t="s">
        <v>101</v>
      </c>
      <c r="I984" t="s">
        <v>102</v>
      </c>
      <c r="J984" t="s">
        <v>103</v>
      </c>
      <c r="K984">
        <v>48</v>
      </c>
      <c r="L984">
        <v>2500</v>
      </c>
      <c r="M984">
        <v>120000</v>
      </c>
      <c r="N984" t="s">
        <v>95</v>
      </c>
      <c r="O984" t="s">
        <v>115</v>
      </c>
    </row>
    <row r="985" spans="1:15" x14ac:dyDescent="0.25">
      <c r="A985">
        <v>2775</v>
      </c>
      <c r="B985" s="10">
        <v>45807</v>
      </c>
      <c r="C985">
        <v>30</v>
      </c>
      <c r="D985" t="s">
        <v>120</v>
      </c>
      <c r="E985" t="s">
        <v>112</v>
      </c>
      <c r="F985" t="s">
        <v>148</v>
      </c>
      <c r="G985" t="s">
        <v>118</v>
      </c>
      <c r="H985" t="s">
        <v>101</v>
      </c>
      <c r="I985" t="s">
        <v>102</v>
      </c>
      <c r="J985" t="s">
        <v>103</v>
      </c>
      <c r="K985">
        <v>23</v>
      </c>
      <c r="L985">
        <v>2500</v>
      </c>
      <c r="M985">
        <v>57500</v>
      </c>
      <c r="N985" t="s">
        <v>108</v>
      </c>
      <c r="O985" t="s">
        <v>104</v>
      </c>
    </row>
    <row r="986" spans="1:15" x14ac:dyDescent="0.25">
      <c r="A986">
        <v>2851</v>
      </c>
      <c r="B986" s="10">
        <v>45726</v>
      </c>
      <c r="C986">
        <v>10</v>
      </c>
      <c r="D986" t="s">
        <v>140</v>
      </c>
      <c r="E986" t="s">
        <v>128</v>
      </c>
      <c r="F986" t="s">
        <v>141</v>
      </c>
      <c r="G986" t="s">
        <v>100</v>
      </c>
      <c r="H986" t="s">
        <v>101</v>
      </c>
      <c r="I986" t="s">
        <v>102</v>
      </c>
      <c r="J986" t="s">
        <v>103</v>
      </c>
      <c r="K986">
        <v>45</v>
      </c>
      <c r="L986">
        <v>2500</v>
      </c>
      <c r="M986">
        <v>112500</v>
      </c>
      <c r="N986" t="s">
        <v>108</v>
      </c>
      <c r="O986" t="s">
        <v>96</v>
      </c>
    </row>
    <row r="987" spans="1:15" x14ac:dyDescent="0.25">
      <c r="A987">
        <v>2858</v>
      </c>
      <c r="B987" s="10">
        <v>45854</v>
      </c>
      <c r="C987">
        <v>16</v>
      </c>
      <c r="D987" t="s">
        <v>145</v>
      </c>
      <c r="E987" t="s">
        <v>121</v>
      </c>
      <c r="F987" t="s">
        <v>141</v>
      </c>
      <c r="G987" t="s">
        <v>100</v>
      </c>
      <c r="H987" t="s">
        <v>37</v>
      </c>
      <c r="I987" t="s">
        <v>38</v>
      </c>
      <c r="J987" t="s">
        <v>94</v>
      </c>
      <c r="K987">
        <v>5</v>
      </c>
      <c r="L987">
        <v>2500</v>
      </c>
      <c r="M987">
        <v>12500</v>
      </c>
      <c r="N987" t="s">
        <v>95</v>
      </c>
      <c r="O987" t="s">
        <v>96</v>
      </c>
    </row>
    <row r="988" spans="1:15" x14ac:dyDescent="0.25">
      <c r="A988">
        <v>2860</v>
      </c>
      <c r="B988" s="10">
        <v>45991</v>
      </c>
      <c r="C988">
        <v>30</v>
      </c>
      <c r="D988" t="s">
        <v>90</v>
      </c>
      <c r="E988" t="s">
        <v>161</v>
      </c>
      <c r="F988" t="s">
        <v>113</v>
      </c>
      <c r="G988" t="s">
        <v>114</v>
      </c>
      <c r="H988" t="s">
        <v>101</v>
      </c>
      <c r="I988" t="s">
        <v>127</v>
      </c>
      <c r="J988" t="s">
        <v>94</v>
      </c>
      <c r="K988">
        <v>4</v>
      </c>
      <c r="L988">
        <v>2500</v>
      </c>
      <c r="M988">
        <v>10000</v>
      </c>
      <c r="N988" t="s">
        <v>108</v>
      </c>
      <c r="O988" t="s">
        <v>115</v>
      </c>
    </row>
    <row r="989" spans="1:15" x14ac:dyDescent="0.25">
      <c r="A989">
        <v>2919</v>
      </c>
      <c r="B989" s="10">
        <v>45729</v>
      </c>
      <c r="C989">
        <v>13</v>
      </c>
      <c r="D989" t="s">
        <v>140</v>
      </c>
      <c r="E989" t="s">
        <v>137</v>
      </c>
      <c r="F989" t="s">
        <v>99</v>
      </c>
      <c r="G989" t="s">
        <v>100</v>
      </c>
      <c r="H989" t="s">
        <v>37</v>
      </c>
      <c r="I989" t="s">
        <v>38</v>
      </c>
      <c r="J989" t="s">
        <v>94</v>
      </c>
      <c r="K989">
        <v>7</v>
      </c>
      <c r="L989">
        <v>2500</v>
      </c>
      <c r="M989">
        <v>17500</v>
      </c>
      <c r="N989" t="s">
        <v>95</v>
      </c>
      <c r="O989" t="s">
        <v>96</v>
      </c>
    </row>
    <row r="990" spans="1:15" x14ac:dyDescent="0.25">
      <c r="A990">
        <v>3113</v>
      </c>
      <c r="B990" s="10">
        <v>45989</v>
      </c>
      <c r="C990">
        <v>28</v>
      </c>
      <c r="D990" t="s">
        <v>90</v>
      </c>
      <c r="E990" t="s">
        <v>133</v>
      </c>
      <c r="F990" t="s">
        <v>122</v>
      </c>
      <c r="G990" t="s">
        <v>114</v>
      </c>
      <c r="H990" t="s">
        <v>37</v>
      </c>
      <c r="I990" t="s">
        <v>38</v>
      </c>
      <c r="J990" t="s">
        <v>94</v>
      </c>
      <c r="K990">
        <v>7</v>
      </c>
      <c r="L990">
        <v>2500</v>
      </c>
      <c r="M990">
        <v>17500</v>
      </c>
      <c r="N990" t="s">
        <v>95</v>
      </c>
      <c r="O990" t="s">
        <v>115</v>
      </c>
    </row>
    <row r="991" spans="1:15" x14ac:dyDescent="0.25">
      <c r="A991">
        <v>3132</v>
      </c>
      <c r="B991" s="10">
        <v>45851</v>
      </c>
      <c r="C991">
        <v>13</v>
      </c>
      <c r="D991" t="s">
        <v>145</v>
      </c>
      <c r="E991" t="s">
        <v>110</v>
      </c>
      <c r="F991" t="s">
        <v>148</v>
      </c>
      <c r="G991" t="s">
        <v>118</v>
      </c>
      <c r="H991" t="s">
        <v>101</v>
      </c>
      <c r="I991" t="s">
        <v>127</v>
      </c>
      <c r="J991" t="s">
        <v>94</v>
      </c>
      <c r="K991">
        <v>4</v>
      </c>
      <c r="L991">
        <v>2500</v>
      </c>
      <c r="M991">
        <v>10000</v>
      </c>
      <c r="N991" t="s">
        <v>108</v>
      </c>
      <c r="O991" t="s">
        <v>96</v>
      </c>
    </row>
    <row r="992" spans="1:15" x14ac:dyDescent="0.25">
      <c r="A992">
        <v>3152</v>
      </c>
      <c r="B992" s="10">
        <v>45773</v>
      </c>
      <c r="C992">
        <v>26</v>
      </c>
      <c r="D992" t="s">
        <v>105</v>
      </c>
      <c r="E992" t="s">
        <v>142</v>
      </c>
      <c r="F992" t="s">
        <v>28</v>
      </c>
      <c r="G992" t="s">
        <v>126</v>
      </c>
      <c r="H992" t="s">
        <v>101</v>
      </c>
      <c r="I992" t="s">
        <v>127</v>
      </c>
      <c r="J992" t="s">
        <v>94</v>
      </c>
      <c r="K992">
        <v>3</v>
      </c>
      <c r="L992">
        <v>2500</v>
      </c>
      <c r="M992">
        <v>7500</v>
      </c>
      <c r="N992" t="s">
        <v>108</v>
      </c>
      <c r="O992" t="s">
        <v>96</v>
      </c>
    </row>
    <row r="993" spans="1:15" x14ac:dyDescent="0.25">
      <c r="A993">
        <v>3203</v>
      </c>
      <c r="B993" s="10">
        <v>45724</v>
      </c>
      <c r="C993">
        <v>8</v>
      </c>
      <c r="D993" t="s">
        <v>140</v>
      </c>
      <c r="E993" t="s">
        <v>138</v>
      </c>
      <c r="F993" t="s">
        <v>44</v>
      </c>
      <c r="G993" t="s">
        <v>111</v>
      </c>
      <c r="H993" t="s">
        <v>37</v>
      </c>
      <c r="I993" t="s">
        <v>38</v>
      </c>
      <c r="J993" t="s">
        <v>94</v>
      </c>
      <c r="K993">
        <v>4</v>
      </c>
      <c r="L993">
        <v>2500</v>
      </c>
      <c r="M993">
        <v>10000</v>
      </c>
      <c r="N993" t="s">
        <v>108</v>
      </c>
      <c r="O993" t="s">
        <v>115</v>
      </c>
    </row>
    <row r="994" spans="1:15" x14ac:dyDescent="0.25">
      <c r="A994">
        <v>3327</v>
      </c>
      <c r="B994" s="10">
        <v>45900</v>
      </c>
      <c r="C994">
        <v>31</v>
      </c>
      <c r="D994" t="s">
        <v>109</v>
      </c>
      <c r="E994" t="s">
        <v>121</v>
      </c>
      <c r="F994" t="s">
        <v>151</v>
      </c>
      <c r="G994" t="s">
        <v>111</v>
      </c>
      <c r="H994" t="s">
        <v>101</v>
      </c>
      <c r="I994" t="s">
        <v>102</v>
      </c>
      <c r="J994" t="s">
        <v>103</v>
      </c>
      <c r="K994">
        <v>14</v>
      </c>
      <c r="L994">
        <v>2500</v>
      </c>
      <c r="M994">
        <v>35000</v>
      </c>
      <c r="N994" t="s">
        <v>108</v>
      </c>
      <c r="O994" t="s">
        <v>115</v>
      </c>
    </row>
    <row r="995" spans="1:15" x14ac:dyDescent="0.25">
      <c r="A995">
        <v>3469</v>
      </c>
      <c r="B995" s="10">
        <v>45989</v>
      </c>
      <c r="C995">
        <v>28</v>
      </c>
      <c r="D995" t="s">
        <v>90</v>
      </c>
      <c r="E995" t="s">
        <v>150</v>
      </c>
      <c r="F995" t="s">
        <v>151</v>
      </c>
      <c r="G995" t="s">
        <v>111</v>
      </c>
      <c r="H995" t="s">
        <v>101</v>
      </c>
      <c r="I995" t="s">
        <v>102</v>
      </c>
      <c r="J995" t="s">
        <v>103</v>
      </c>
      <c r="K995">
        <v>47</v>
      </c>
      <c r="L995">
        <v>2500</v>
      </c>
      <c r="M995">
        <v>117500</v>
      </c>
      <c r="N995" t="s">
        <v>95</v>
      </c>
      <c r="O995" t="s">
        <v>96</v>
      </c>
    </row>
    <row r="996" spans="1:15" x14ac:dyDescent="0.25">
      <c r="A996">
        <v>3576</v>
      </c>
      <c r="B996" s="10">
        <v>45826</v>
      </c>
      <c r="C996">
        <v>18</v>
      </c>
      <c r="D996" t="s">
        <v>153</v>
      </c>
      <c r="E996" t="s">
        <v>133</v>
      </c>
      <c r="F996" t="s">
        <v>107</v>
      </c>
      <c r="G996" t="s">
        <v>100</v>
      </c>
      <c r="H996" t="s">
        <v>101</v>
      </c>
      <c r="I996" t="s">
        <v>127</v>
      </c>
      <c r="J996" t="s">
        <v>94</v>
      </c>
      <c r="K996">
        <v>3</v>
      </c>
      <c r="L996">
        <v>2500</v>
      </c>
      <c r="M996">
        <v>7500</v>
      </c>
      <c r="N996" t="s">
        <v>108</v>
      </c>
      <c r="O996" t="s">
        <v>115</v>
      </c>
    </row>
    <row r="997" spans="1:15" x14ac:dyDescent="0.25">
      <c r="A997">
        <v>3614</v>
      </c>
      <c r="B997" s="10">
        <v>45743</v>
      </c>
      <c r="C997">
        <v>27</v>
      </c>
      <c r="D997" t="s">
        <v>140</v>
      </c>
      <c r="E997" t="s">
        <v>112</v>
      </c>
      <c r="F997" t="s">
        <v>134</v>
      </c>
      <c r="G997" t="s">
        <v>100</v>
      </c>
      <c r="H997" t="s">
        <v>37</v>
      </c>
      <c r="I997" t="s">
        <v>38</v>
      </c>
      <c r="J997" t="s">
        <v>94</v>
      </c>
      <c r="K997">
        <v>7</v>
      </c>
      <c r="L997">
        <v>2500</v>
      </c>
      <c r="M997">
        <v>17500</v>
      </c>
      <c r="N997" t="s">
        <v>95</v>
      </c>
      <c r="O997" t="s">
        <v>96</v>
      </c>
    </row>
    <row r="998" spans="1:15" x14ac:dyDescent="0.25">
      <c r="A998">
        <v>3638</v>
      </c>
      <c r="B998" s="10">
        <v>45990</v>
      </c>
      <c r="C998">
        <v>29</v>
      </c>
      <c r="D998" t="s">
        <v>90</v>
      </c>
      <c r="E998" t="s">
        <v>112</v>
      </c>
      <c r="F998" t="s">
        <v>22</v>
      </c>
      <c r="G998" t="s">
        <v>91</v>
      </c>
      <c r="H998" t="s">
        <v>37</v>
      </c>
      <c r="I998" t="s">
        <v>38</v>
      </c>
      <c r="J998" t="s">
        <v>94</v>
      </c>
      <c r="K998">
        <v>5</v>
      </c>
      <c r="L998">
        <v>2500</v>
      </c>
      <c r="M998">
        <v>12500</v>
      </c>
      <c r="N998" t="s">
        <v>108</v>
      </c>
      <c r="O998" t="s">
        <v>96</v>
      </c>
    </row>
    <row r="999" spans="1:15" x14ac:dyDescent="0.25">
      <c r="A999">
        <v>3713</v>
      </c>
      <c r="B999" s="10">
        <v>45691</v>
      </c>
      <c r="C999">
        <v>3</v>
      </c>
      <c r="D999" t="s">
        <v>97</v>
      </c>
      <c r="E999" t="s">
        <v>98</v>
      </c>
      <c r="F999" t="s">
        <v>141</v>
      </c>
      <c r="G999" t="s">
        <v>100</v>
      </c>
      <c r="H999" t="s">
        <v>101</v>
      </c>
      <c r="I999" t="s">
        <v>127</v>
      </c>
      <c r="J999" t="s">
        <v>94</v>
      </c>
      <c r="K999">
        <v>10</v>
      </c>
      <c r="L999">
        <v>2500</v>
      </c>
      <c r="M999">
        <v>25000</v>
      </c>
      <c r="N999" t="s">
        <v>95</v>
      </c>
      <c r="O999" t="s">
        <v>115</v>
      </c>
    </row>
    <row r="1000" spans="1:15" x14ac:dyDescent="0.25">
      <c r="A1000">
        <v>3860</v>
      </c>
      <c r="B1000" s="10">
        <v>45914</v>
      </c>
      <c r="C1000">
        <v>14</v>
      </c>
      <c r="D1000" t="s">
        <v>147</v>
      </c>
      <c r="E1000" t="s">
        <v>150</v>
      </c>
      <c r="F1000" t="s">
        <v>134</v>
      </c>
      <c r="G1000" t="s">
        <v>100</v>
      </c>
      <c r="H1000" t="s">
        <v>37</v>
      </c>
      <c r="I1000" t="s">
        <v>38</v>
      </c>
      <c r="J1000" t="s">
        <v>94</v>
      </c>
      <c r="K1000">
        <v>6</v>
      </c>
      <c r="L1000">
        <v>2500</v>
      </c>
      <c r="M1000">
        <v>15000</v>
      </c>
      <c r="N1000" t="s">
        <v>108</v>
      </c>
      <c r="O1000" t="s">
        <v>96</v>
      </c>
    </row>
    <row r="1001" spans="1:15" x14ac:dyDescent="0.25">
      <c r="A1001">
        <v>3960</v>
      </c>
      <c r="B1001" s="10">
        <v>45725</v>
      </c>
      <c r="C1001">
        <v>9</v>
      </c>
      <c r="D1001" t="s">
        <v>140</v>
      </c>
      <c r="E1001" t="s">
        <v>121</v>
      </c>
      <c r="F1001" t="s">
        <v>151</v>
      </c>
      <c r="G1001" t="s">
        <v>111</v>
      </c>
      <c r="H1001" t="s">
        <v>37</v>
      </c>
      <c r="I1001" t="s">
        <v>38</v>
      </c>
      <c r="J1001" t="s">
        <v>94</v>
      </c>
      <c r="K1001">
        <v>6</v>
      </c>
      <c r="L1001">
        <v>2500</v>
      </c>
      <c r="M1001">
        <v>15000</v>
      </c>
      <c r="N1001" t="s">
        <v>95</v>
      </c>
      <c r="O1001" t="s">
        <v>115</v>
      </c>
    </row>
    <row r="1002" spans="1:15" x14ac:dyDescent="0.25">
      <c r="A1002">
        <v>4105</v>
      </c>
      <c r="B1002" s="10">
        <v>45850</v>
      </c>
      <c r="C1002">
        <v>12</v>
      </c>
      <c r="D1002" t="s">
        <v>145</v>
      </c>
      <c r="E1002" t="s">
        <v>121</v>
      </c>
      <c r="F1002" t="s">
        <v>148</v>
      </c>
      <c r="G1002" t="s">
        <v>118</v>
      </c>
      <c r="H1002" t="s">
        <v>101</v>
      </c>
      <c r="I1002" t="s">
        <v>102</v>
      </c>
      <c r="J1002" t="s">
        <v>103</v>
      </c>
      <c r="K1002">
        <v>35</v>
      </c>
      <c r="L1002">
        <v>2500</v>
      </c>
      <c r="M1002">
        <v>87500</v>
      </c>
      <c r="N1002" t="s">
        <v>95</v>
      </c>
      <c r="O1002" t="s">
        <v>104</v>
      </c>
    </row>
    <row r="1003" spans="1:15" x14ac:dyDescent="0.25">
      <c r="A1003">
        <v>4124</v>
      </c>
      <c r="B1003" s="10">
        <v>45755</v>
      </c>
      <c r="C1003">
        <v>8</v>
      </c>
      <c r="D1003" t="s">
        <v>105</v>
      </c>
      <c r="E1003" t="s">
        <v>150</v>
      </c>
      <c r="F1003" t="s">
        <v>107</v>
      </c>
      <c r="G1003" t="s">
        <v>100</v>
      </c>
      <c r="H1003" t="s">
        <v>37</v>
      </c>
      <c r="I1003" t="s">
        <v>38</v>
      </c>
      <c r="J1003" t="s">
        <v>94</v>
      </c>
      <c r="K1003">
        <v>3</v>
      </c>
      <c r="L1003">
        <v>2500</v>
      </c>
      <c r="M1003">
        <v>7500</v>
      </c>
      <c r="N1003" t="s">
        <v>108</v>
      </c>
      <c r="O1003" t="s">
        <v>115</v>
      </c>
    </row>
    <row r="1004" spans="1:15" x14ac:dyDescent="0.25">
      <c r="A1004">
        <v>4144</v>
      </c>
      <c r="B1004" s="10">
        <v>45952</v>
      </c>
      <c r="C1004">
        <v>22</v>
      </c>
      <c r="D1004" t="s">
        <v>136</v>
      </c>
      <c r="E1004" t="s">
        <v>31</v>
      </c>
      <c r="F1004" t="s">
        <v>134</v>
      </c>
      <c r="G1004" t="s">
        <v>100</v>
      </c>
      <c r="H1004" t="s">
        <v>101</v>
      </c>
      <c r="I1004" t="s">
        <v>127</v>
      </c>
      <c r="J1004" t="s">
        <v>94</v>
      </c>
      <c r="K1004">
        <v>10</v>
      </c>
      <c r="L1004">
        <v>2500</v>
      </c>
      <c r="M1004">
        <v>25000</v>
      </c>
      <c r="N1004" t="s">
        <v>95</v>
      </c>
      <c r="O1004" t="s">
        <v>115</v>
      </c>
    </row>
    <row r="1005" spans="1:15" x14ac:dyDescent="0.25">
      <c r="A1005">
        <v>4147</v>
      </c>
      <c r="B1005" s="10">
        <v>45849</v>
      </c>
      <c r="C1005">
        <v>11</v>
      </c>
      <c r="D1005" t="s">
        <v>145</v>
      </c>
      <c r="E1005" t="s">
        <v>116</v>
      </c>
      <c r="F1005" t="s">
        <v>144</v>
      </c>
      <c r="G1005" t="s">
        <v>91</v>
      </c>
      <c r="H1005" t="s">
        <v>37</v>
      </c>
      <c r="I1005" t="s">
        <v>38</v>
      </c>
      <c r="J1005" t="s">
        <v>94</v>
      </c>
      <c r="K1005">
        <v>7</v>
      </c>
      <c r="L1005">
        <v>2500</v>
      </c>
      <c r="M1005">
        <v>17500</v>
      </c>
      <c r="N1005" t="s">
        <v>95</v>
      </c>
      <c r="O1005" t="s">
        <v>115</v>
      </c>
    </row>
    <row r="1006" spans="1:15" x14ac:dyDescent="0.25">
      <c r="A1006">
        <v>4182</v>
      </c>
      <c r="B1006" s="10">
        <v>45984</v>
      </c>
      <c r="C1006">
        <v>23</v>
      </c>
      <c r="D1006" t="s">
        <v>90</v>
      </c>
      <c r="E1006" t="s">
        <v>161</v>
      </c>
      <c r="F1006" t="s">
        <v>141</v>
      </c>
      <c r="G1006" t="s">
        <v>100</v>
      </c>
      <c r="H1006" t="s">
        <v>101</v>
      </c>
      <c r="I1006" t="s">
        <v>102</v>
      </c>
      <c r="J1006" t="s">
        <v>103</v>
      </c>
      <c r="K1006">
        <v>43</v>
      </c>
      <c r="L1006">
        <v>2500</v>
      </c>
      <c r="M1006">
        <v>107500</v>
      </c>
      <c r="N1006" t="s">
        <v>108</v>
      </c>
      <c r="O1006" t="s">
        <v>115</v>
      </c>
    </row>
    <row r="1007" spans="1:15" x14ac:dyDescent="0.25">
      <c r="A1007">
        <v>4229</v>
      </c>
      <c r="B1007" s="10">
        <v>45899</v>
      </c>
      <c r="C1007">
        <v>30</v>
      </c>
      <c r="D1007" t="s">
        <v>109</v>
      </c>
      <c r="E1007" t="s">
        <v>121</v>
      </c>
      <c r="F1007" t="s">
        <v>148</v>
      </c>
      <c r="G1007" t="s">
        <v>118</v>
      </c>
      <c r="H1007" t="s">
        <v>37</v>
      </c>
      <c r="I1007" t="s">
        <v>38</v>
      </c>
      <c r="J1007" t="s">
        <v>94</v>
      </c>
      <c r="K1007">
        <v>8</v>
      </c>
      <c r="L1007">
        <v>2500</v>
      </c>
      <c r="M1007">
        <v>20000</v>
      </c>
      <c r="N1007" t="s">
        <v>95</v>
      </c>
      <c r="O1007" t="s">
        <v>104</v>
      </c>
    </row>
    <row r="1008" spans="1:15" x14ac:dyDescent="0.25">
      <c r="A1008">
        <v>4238</v>
      </c>
      <c r="B1008" s="10">
        <v>45912</v>
      </c>
      <c r="C1008">
        <v>12</v>
      </c>
      <c r="D1008" t="s">
        <v>147</v>
      </c>
      <c r="E1008" t="s">
        <v>137</v>
      </c>
      <c r="F1008" t="s">
        <v>99</v>
      </c>
      <c r="G1008" t="s">
        <v>100</v>
      </c>
      <c r="H1008" t="s">
        <v>37</v>
      </c>
      <c r="I1008" t="s">
        <v>38</v>
      </c>
      <c r="J1008" t="s">
        <v>94</v>
      </c>
      <c r="K1008">
        <v>1</v>
      </c>
      <c r="L1008">
        <v>2500</v>
      </c>
      <c r="M1008">
        <v>2500</v>
      </c>
      <c r="N1008" t="s">
        <v>108</v>
      </c>
      <c r="O1008" t="s">
        <v>104</v>
      </c>
    </row>
    <row r="1009" spans="1:15" x14ac:dyDescent="0.25">
      <c r="A1009">
        <v>4280</v>
      </c>
      <c r="B1009" s="10">
        <v>45879</v>
      </c>
      <c r="C1009">
        <v>10</v>
      </c>
      <c r="D1009" t="s">
        <v>109</v>
      </c>
      <c r="E1009" t="s">
        <v>150</v>
      </c>
      <c r="F1009" t="s">
        <v>99</v>
      </c>
      <c r="G1009" t="s">
        <v>100</v>
      </c>
      <c r="H1009" t="s">
        <v>37</v>
      </c>
      <c r="I1009" t="s">
        <v>38</v>
      </c>
      <c r="J1009" t="s">
        <v>94</v>
      </c>
      <c r="K1009">
        <v>3</v>
      </c>
      <c r="L1009">
        <v>2500</v>
      </c>
      <c r="M1009">
        <v>7500</v>
      </c>
      <c r="N1009" t="s">
        <v>95</v>
      </c>
      <c r="O1009" t="s">
        <v>115</v>
      </c>
    </row>
    <row r="1010" spans="1:15" x14ac:dyDescent="0.25">
      <c r="A1010">
        <v>4408</v>
      </c>
      <c r="B1010" s="10">
        <v>45860</v>
      </c>
      <c r="C1010">
        <v>22</v>
      </c>
      <c r="D1010" t="s">
        <v>145</v>
      </c>
      <c r="E1010" t="s">
        <v>150</v>
      </c>
      <c r="F1010" t="s">
        <v>122</v>
      </c>
      <c r="G1010" t="s">
        <v>114</v>
      </c>
      <c r="H1010" t="s">
        <v>37</v>
      </c>
      <c r="I1010" t="s">
        <v>38</v>
      </c>
      <c r="J1010" t="s">
        <v>94</v>
      </c>
      <c r="K1010">
        <v>9</v>
      </c>
      <c r="L1010">
        <v>2500</v>
      </c>
      <c r="M1010">
        <v>22500</v>
      </c>
      <c r="N1010" t="s">
        <v>95</v>
      </c>
      <c r="O1010" t="s">
        <v>115</v>
      </c>
    </row>
    <row r="1011" spans="1:15" x14ac:dyDescent="0.25">
      <c r="A1011">
        <v>4456</v>
      </c>
      <c r="B1011" s="10">
        <v>45827</v>
      </c>
      <c r="C1011">
        <v>19</v>
      </c>
      <c r="D1011" t="s">
        <v>153</v>
      </c>
      <c r="E1011" t="s">
        <v>142</v>
      </c>
      <c r="F1011" t="s">
        <v>134</v>
      </c>
      <c r="G1011" t="s">
        <v>100</v>
      </c>
      <c r="H1011" t="s">
        <v>37</v>
      </c>
      <c r="I1011" t="s">
        <v>38</v>
      </c>
      <c r="J1011" t="s">
        <v>94</v>
      </c>
      <c r="K1011">
        <v>8</v>
      </c>
      <c r="L1011">
        <v>2500</v>
      </c>
      <c r="M1011">
        <v>20000</v>
      </c>
      <c r="N1011" t="s">
        <v>108</v>
      </c>
      <c r="O1011" t="s">
        <v>96</v>
      </c>
    </row>
    <row r="1012" spans="1:15" x14ac:dyDescent="0.25">
      <c r="A1012">
        <v>4493</v>
      </c>
      <c r="B1012" s="10">
        <v>45866</v>
      </c>
      <c r="C1012">
        <v>28</v>
      </c>
      <c r="D1012" t="s">
        <v>145</v>
      </c>
      <c r="E1012" t="s">
        <v>121</v>
      </c>
      <c r="F1012" t="s">
        <v>22</v>
      </c>
      <c r="G1012" t="s">
        <v>91</v>
      </c>
      <c r="H1012" t="s">
        <v>101</v>
      </c>
      <c r="I1012" t="s">
        <v>102</v>
      </c>
      <c r="J1012" t="s">
        <v>103</v>
      </c>
      <c r="K1012">
        <v>11</v>
      </c>
      <c r="L1012">
        <v>2500</v>
      </c>
      <c r="M1012">
        <v>27500</v>
      </c>
      <c r="N1012" t="s">
        <v>108</v>
      </c>
      <c r="O1012" t="s">
        <v>104</v>
      </c>
    </row>
    <row r="1013" spans="1:15" x14ac:dyDescent="0.25">
      <c r="A1013">
        <v>4585</v>
      </c>
      <c r="B1013" s="10">
        <v>45884</v>
      </c>
      <c r="C1013">
        <v>15</v>
      </c>
      <c r="D1013" t="s">
        <v>109</v>
      </c>
      <c r="E1013" t="s">
        <v>133</v>
      </c>
      <c r="F1013" t="s">
        <v>36</v>
      </c>
      <c r="G1013" t="s">
        <v>100</v>
      </c>
      <c r="H1013" t="s">
        <v>101</v>
      </c>
      <c r="I1013" t="s">
        <v>102</v>
      </c>
      <c r="J1013" t="s">
        <v>103</v>
      </c>
      <c r="K1013">
        <v>48</v>
      </c>
      <c r="L1013">
        <v>2500</v>
      </c>
      <c r="M1013">
        <v>120000</v>
      </c>
      <c r="N1013" t="s">
        <v>108</v>
      </c>
      <c r="O1013" t="s">
        <v>115</v>
      </c>
    </row>
    <row r="1014" spans="1:15" x14ac:dyDescent="0.25">
      <c r="A1014">
        <v>4628</v>
      </c>
      <c r="B1014" s="10">
        <v>46006</v>
      </c>
      <c r="C1014">
        <v>15</v>
      </c>
      <c r="D1014" t="s">
        <v>125</v>
      </c>
      <c r="E1014" t="s">
        <v>150</v>
      </c>
      <c r="F1014" t="s">
        <v>49</v>
      </c>
      <c r="G1014" t="s">
        <v>118</v>
      </c>
      <c r="H1014" t="s">
        <v>101</v>
      </c>
      <c r="I1014" t="s">
        <v>102</v>
      </c>
      <c r="J1014" t="s">
        <v>103</v>
      </c>
      <c r="K1014">
        <v>10</v>
      </c>
      <c r="L1014">
        <v>2500</v>
      </c>
      <c r="M1014">
        <v>25000</v>
      </c>
      <c r="N1014" t="s">
        <v>95</v>
      </c>
      <c r="O1014" t="s">
        <v>115</v>
      </c>
    </row>
    <row r="1015" spans="1:15" x14ac:dyDescent="0.25">
      <c r="A1015">
        <v>4659</v>
      </c>
      <c r="B1015" s="10">
        <v>45803</v>
      </c>
      <c r="C1015">
        <v>26</v>
      </c>
      <c r="D1015" t="s">
        <v>120</v>
      </c>
      <c r="E1015" t="s">
        <v>25</v>
      </c>
      <c r="F1015" t="s">
        <v>22</v>
      </c>
      <c r="G1015" t="s">
        <v>91</v>
      </c>
      <c r="H1015" t="s">
        <v>101</v>
      </c>
      <c r="I1015" t="s">
        <v>127</v>
      </c>
      <c r="J1015" t="s">
        <v>94</v>
      </c>
      <c r="K1015">
        <v>4</v>
      </c>
      <c r="L1015">
        <v>2500</v>
      </c>
      <c r="M1015">
        <v>10000</v>
      </c>
      <c r="N1015" t="s">
        <v>108</v>
      </c>
      <c r="O1015" t="s">
        <v>104</v>
      </c>
    </row>
    <row r="1016" spans="1:15" x14ac:dyDescent="0.25">
      <c r="A1016">
        <v>4690</v>
      </c>
      <c r="B1016" s="10">
        <v>45844</v>
      </c>
      <c r="C1016">
        <v>6</v>
      </c>
      <c r="D1016" t="s">
        <v>145</v>
      </c>
      <c r="E1016" t="s">
        <v>138</v>
      </c>
      <c r="F1016" t="s">
        <v>36</v>
      </c>
      <c r="G1016" t="s">
        <v>100</v>
      </c>
      <c r="H1016" t="s">
        <v>101</v>
      </c>
      <c r="I1016" t="s">
        <v>102</v>
      </c>
      <c r="J1016" t="s">
        <v>103</v>
      </c>
      <c r="K1016">
        <v>27</v>
      </c>
      <c r="L1016">
        <v>2500</v>
      </c>
      <c r="M1016">
        <v>67500</v>
      </c>
      <c r="N1016" t="s">
        <v>108</v>
      </c>
      <c r="O1016" t="s">
        <v>96</v>
      </c>
    </row>
    <row r="1017" spans="1:15" x14ac:dyDescent="0.25">
      <c r="A1017">
        <v>4743</v>
      </c>
      <c r="B1017" s="10">
        <v>45676</v>
      </c>
      <c r="C1017">
        <v>19</v>
      </c>
      <c r="D1017" t="s">
        <v>130</v>
      </c>
      <c r="E1017" t="s">
        <v>121</v>
      </c>
      <c r="F1017" t="s">
        <v>28</v>
      </c>
      <c r="G1017" t="s">
        <v>126</v>
      </c>
      <c r="H1017" t="s">
        <v>101</v>
      </c>
      <c r="I1017" t="s">
        <v>127</v>
      </c>
      <c r="J1017" t="s">
        <v>94</v>
      </c>
      <c r="K1017">
        <v>7</v>
      </c>
      <c r="L1017">
        <v>2500</v>
      </c>
      <c r="M1017">
        <v>17500</v>
      </c>
      <c r="N1017" t="s">
        <v>108</v>
      </c>
      <c r="O1017" t="s">
        <v>115</v>
      </c>
    </row>
    <row r="1018" spans="1:15" x14ac:dyDescent="0.25">
      <c r="A1018">
        <v>4752</v>
      </c>
      <c r="B1018" s="10">
        <v>45893</v>
      </c>
      <c r="C1018">
        <v>24</v>
      </c>
      <c r="D1018" t="s">
        <v>109</v>
      </c>
      <c r="E1018" t="s">
        <v>137</v>
      </c>
      <c r="F1018" t="s">
        <v>134</v>
      </c>
      <c r="G1018" t="s">
        <v>100</v>
      </c>
      <c r="H1018" t="s">
        <v>37</v>
      </c>
      <c r="I1018" t="s">
        <v>38</v>
      </c>
      <c r="J1018" t="s">
        <v>94</v>
      </c>
      <c r="K1018">
        <v>10</v>
      </c>
      <c r="L1018">
        <v>2500</v>
      </c>
      <c r="M1018">
        <v>25000</v>
      </c>
      <c r="N1018" t="s">
        <v>108</v>
      </c>
      <c r="O1018" t="s">
        <v>96</v>
      </c>
    </row>
    <row r="1019" spans="1:15" x14ac:dyDescent="0.25">
      <c r="A1019">
        <v>4774</v>
      </c>
      <c r="B1019" s="10">
        <v>45830</v>
      </c>
      <c r="C1019">
        <v>22</v>
      </c>
      <c r="D1019" t="s">
        <v>153</v>
      </c>
      <c r="E1019" t="s">
        <v>138</v>
      </c>
      <c r="F1019" t="s">
        <v>28</v>
      </c>
      <c r="G1019" t="s">
        <v>126</v>
      </c>
      <c r="H1019" t="s">
        <v>37</v>
      </c>
      <c r="I1019" t="s">
        <v>38</v>
      </c>
      <c r="J1019" t="s">
        <v>94</v>
      </c>
      <c r="K1019">
        <v>1</v>
      </c>
      <c r="L1019">
        <v>2500</v>
      </c>
      <c r="M1019">
        <v>2500</v>
      </c>
      <c r="N1019" t="s">
        <v>95</v>
      </c>
      <c r="O1019" t="s">
        <v>104</v>
      </c>
    </row>
    <row r="1020" spans="1:15" x14ac:dyDescent="0.25">
      <c r="A1020">
        <v>4782</v>
      </c>
      <c r="B1020" s="10">
        <v>45715</v>
      </c>
      <c r="C1020">
        <v>27</v>
      </c>
      <c r="D1020" t="s">
        <v>97</v>
      </c>
      <c r="E1020" t="s">
        <v>116</v>
      </c>
      <c r="F1020" t="s">
        <v>28</v>
      </c>
      <c r="G1020" t="s">
        <v>126</v>
      </c>
      <c r="H1020" t="s">
        <v>37</v>
      </c>
      <c r="I1020" t="s">
        <v>38</v>
      </c>
      <c r="J1020" t="s">
        <v>94</v>
      </c>
      <c r="K1020">
        <v>4</v>
      </c>
      <c r="L1020">
        <v>2500</v>
      </c>
      <c r="M1020">
        <v>10000</v>
      </c>
      <c r="N1020" t="s">
        <v>108</v>
      </c>
      <c r="O1020" t="s">
        <v>96</v>
      </c>
    </row>
    <row r="1021" spans="1:15" x14ac:dyDescent="0.25">
      <c r="A1021">
        <v>4792</v>
      </c>
      <c r="B1021" s="10">
        <v>45806</v>
      </c>
      <c r="C1021">
        <v>29</v>
      </c>
      <c r="D1021" t="s">
        <v>120</v>
      </c>
      <c r="E1021" t="s">
        <v>138</v>
      </c>
      <c r="F1021" t="s">
        <v>107</v>
      </c>
      <c r="G1021" t="s">
        <v>100</v>
      </c>
      <c r="H1021" t="s">
        <v>37</v>
      </c>
      <c r="I1021" t="s">
        <v>38</v>
      </c>
      <c r="J1021" t="s">
        <v>94</v>
      </c>
      <c r="K1021">
        <v>3</v>
      </c>
      <c r="L1021">
        <v>2500</v>
      </c>
      <c r="M1021">
        <v>7500</v>
      </c>
      <c r="N1021" t="s">
        <v>108</v>
      </c>
      <c r="O1021" t="s">
        <v>115</v>
      </c>
    </row>
    <row r="1022" spans="1:15" x14ac:dyDescent="0.25">
      <c r="A1022">
        <v>4844</v>
      </c>
      <c r="B1022" s="10">
        <v>45914</v>
      </c>
      <c r="C1022">
        <v>14</v>
      </c>
      <c r="D1022" t="s">
        <v>147</v>
      </c>
      <c r="E1022" t="s">
        <v>142</v>
      </c>
      <c r="F1022" t="s">
        <v>144</v>
      </c>
      <c r="G1022" t="s">
        <v>91</v>
      </c>
      <c r="H1022" t="s">
        <v>101</v>
      </c>
      <c r="I1022" t="s">
        <v>102</v>
      </c>
      <c r="J1022" t="s">
        <v>103</v>
      </c>
      <c r="K1022">
        <v>19</v>
      </c>
      <c r="L1022">
        <v>2500</v>
      </c>
      <c r="M1022">
        <v>47500</v>
      </c>
      <c r="N1022" t="s">
        <v>108</v>
      </c>
      <c r="O1022" t="s">
        <v>104</v>
      </c>
    </row>
    <row r="1023" spans="1:15" x14ac:dyDescent="0.25">
      <c r="A1023">
        <v>4868</v>
      </c>
      <c r="B1023" s="10">
        <v>45840</v>
      </c>
      <c r="C1023">
        <v>2</v>
      </c>
      <c r="D1023" t="s">
        <v>145</v>
      </c>
      <c r="E1023" t="s">
        <v>161</v>
      </c>
      <c r="F1023" t="s">
        <v>134</v>
      </c>
      <c r="G1023" t="s">
        <v>100</v>
      </c>
      <c r="H1023" t="s">
        <v>37</v>
      </c>
      <c r="I1023" t="s">
        <v>38</v>
      </c>
      <c r="J1023" t="s">
        <v>94</v>
      </c>
      <c r="K1023">
        <v>3</v>
      </c>
      <c r="L1023">
        <v>2500</v>
      </c>
      <c r="M1023">
        <v>7500</v>
      </c>
      <c r="N1023" t="s">
        <v>108</v>
      </c>
      <c r="O1023" t="s">
        <v>115</v>
      </c>
    </row>
    <row r="1024" spans="1:15" x14ac:dyDescent="0.25">
      <c r="A1024">
        <v>4904</v>
      </c>
      <c r="B1024" s="10">
        <v>45857</v>
      </c>
      <c r="C1024">
        <v>19</v>
      </c>
      <c r="D1024" t="s">
        <v>145</v>
      </c>
      <c r="E1024" t="s">
        <v>150</v>
      </c>
      <c r="F1024" t="s">
        <v>122</v>
      </c>
      <c r="G1024" t="s">
        <v>114</v>
      </c>
      <c r="H1024" t="s">
        <v>37</v>
      </c>
      <c r="I1024" t="s">
        <v>38</v>
      </c>
      <c r="J1024" t="s">
        <v>94</v>
      </c>
      <c r="K1024">
        <v>3</v>
      </c>
      <c r="L1024">
        <v>2500</v>
      </c>
      <c r="M1024">
        <v>7500</v>
      </c>
      <c r="N1024" t="s">
        <v>108</v>
      </c>
      <c r="O1024" t="s">
        <v>104</v>
      </c>
    </row>
    <row r="1025" spans="1:15" x14ac:dyDescent="0.25">
      <c r="A1025">
        <v>4964</v>
      </c>
      <c r="B1025" s="10">
        <v>45819</v>
      </c>
      <c r="C1025">
        <v>11</v>
      </c>
      <c r="D1025" t="s">
        <v>153</v>
      </c>
      <c r="E1025" t="s">
        <v>142</v>
      </c>
      <c r="F1025" t="s">
        <v>107</v>
      </c>
      <c r="G1025" t="s">
        <v>100</v>
      </c>
      <c r="H1025" t="s">
        <v>101</v>
      </c>
      <c r="I1025" t="s">
        <v>127</v>
      </c>
      <c r="J1025" t="s">
        <v>94</v>
      </c>
      <c r="K1025">
        <v>2</v>
      </c>
      <c r="L1025">
        <v>2500</v>
      </c>
      <c r="M1025">
        <v>5000</v>
      </c>
      <c r="N1025" t="s">
        <v>108</v>
      </c>
      <c r="O1025" t="s">
        <v>96</v>
      </c>
    </row>
    <row r="1026" spans="1:15" x14ac:dyDescent="0.25">
      <c r="A1026">
        <v>10</v>
      </c>
      <c r="B1026" s="10">
        <v>46007</v>
      </c>
      <c r="C1026">
        <v>16</v>
      </c>
      <c r="D1026" t="s">
        <v>125</v>
      </c>
      <c r="E1026" t="s">
        <v>98</v>
      </c>
      <c r="F1026" t="s">
        <v>28</v>
      </c>
      <c r="G1026" t="s">
        <v>126</v>
      </c>
      <c r="H1026" t="s">
        <v>101</v>
      </c>
      <c r="I1026" t="s">
        <v>127</v>
      </c>
      <c r="J1026" t="s">
        <v>94</v>
      </c>
      <c r="K1026">
        <v>3</v>
      </c>
      <c r="L1026">
        <v>2600</v>
      </c>
      <c r="M1026">
        <v>7800</v>
      </c>
      <c r="N1026" t="s">
        <v>108</v>
      </c>
      <c r="O1026" t="s">
        <v>115</v>
      </c>
    </row>
    <row r="1027" spans="1:15" x14ac:dyDescent="0.25">
      <c r="A1027">
        <v>35</v>
      </c>
      <c r="B1027" s="10">
        <v>45957</v>
      </c>
      <c r="C1027">
        <v>27</v>
      </c>
      <c r="D1027" t="s">
        <v>136</v>
      </c>
      <c r="E1027" t="s">
        <v>133</v>
      </c>
      <c r="F1027" t="s">
        <v>107</v>
      </c>
      <c r="G1027" t="s">
        <v>100</v>
      </c>
      <c r="H1027" t="s">
        <v>101</v>
      </c>
      <c r="I1027" t="s">
        <v>127</v>
      </c>
      <c r="J1027" t="s">
        <v>94</v>
      </c>
      <c r="K1027">
        <v>9</v>
      </c>
      <c r="L1027">
        <v>2600</v>
      </c>
      <c r="M1027">
        <v>23400</v>
      </c>
      <c r="N1027" t="s">
        <v>95</v>
      </c>
      <c r="O1027" t="s">
        <v>104</v>
      </c>
    </row>
    <row r="1028" spans="1:15" x14ac:dyDescent="0.25">
      <c r="A1028">
        <v>92</v>
      </c>
      <c r="B1028" s="10">
        <v>45719</v>
      </c>
      <c r="C1028">
        <v>3</v>
      </c>
      <c r="D1028" t="s">
        <v>140</v>
      </c>
      <c r="E1028" t="s">
        <v>161</v>
      </c>
      <c r="F1028" t="s">
        <v>49</v>
      </c>
      <c r="G1028" t="s">
        <v>118</v>
      </c>
      <c r="H1028" t="s">
        <v>37</v>
      </c>
      <c r="I1028" t="s">
        <v>38</v>
      </c>
      <c r="J1028" t="s">
        <v>94</v>
      </c>
      <c r="K1028">
        <v>4</v>
      </c>
      <c r="L1028">
        <v>2600</v>
      </c>
      <c r="M1028">
        <v>10400</v>
      </c>
      <c r="N1028" t="s">
        <v>95</v>
      </c>
      <c r="O1028" t="s">
        <v>96</v>
      </c>
    </row>
    <row r="1029" spans="1:15" x14ac:dyDescent="0.25">
      <c r="A1029">
        <v>149</v>
      </c>
      <c r="B1029" s="10">
        <v>45828</v>
      </c>
      <c r="C1029">
        <v>20</v>
      </c>
      <c r="D1029" t="s">
        <v>153</v>
      </c>
      <c r="E1029" t="s">
        <v>106</v>
      </c>
      <c r="F1029" t="s">
        <v>36</v>
      </c>
      <c r="G1029" t="s">
        <v>100</v>
      </c>
      <c r="H1029" t="s">
        <v>101</v>
      </c>
      <c r="I1029" t="s">
        <v>127</v>
      </c>
      <c r="J1029" t="s">
        <v>94</v>
      </c>
      <c r="K1029">
        <v>9</v>
      </c>
      <c r="L1029">
        <v>2600</v>
      </c>
      <c r="M1029">
        <v>23400</v>
      </c>
      <c r="N1029" t="s">
        <v>95</v>
      </c>
      <c r="O1029" t="s">
        <v>96</v>
      </c>
    </row>
    <row r="1030" spans="1:15" x14ac:dyDescent="0.25">
      <c r="A1030">
        <v>187</v>
      </c>
      <c r="B1030" s="10">
        <v>45888</v>
      </c>
      <c r="C1030">
        <v>19</v>
      </c>
      <c r="D1030" t="s">
        <v>109</v>
      </c>
      <c r="E1030" t="s">
        <v>31</v>
      </c>
      <c r="F1030" t="s">
        <v>117</v>
      </c>
      <c r="G1030" t="s">
        <v>118</v>
      </c>
      <c r="H1030" t="s">
        <v>37</v>
      </c>
      <c r="I1030" t="s">
        <v>38</v>
      </c>
      <c r="J1030" t="s">
        <v>94</v>
      </c>
      <c r="K1030">
        <v>1</v>
      </c>
      <c r="L1030">
        <v>2600</v>
      </c>
      <c r="M1030">
        <v>2600</v>
      </c>
      <c r="N1030" t="s">
        <v>95</v>
      </c>
      <c r="O1030" t="s">
        <v>96</v>
      </c>
    </row>
    <row r="1031" spans="1:15" x14ac:dyDescent="0.25">
      <c r="A1031">
        <v>295</v>
      </c>
      <c r="B1031" s="10">
        <v>45763</v>
      </c>
      <c r="C1031">
        <v>16</v>
      </c>
      <c r="D1031" t="s">
        <v>105</v>
      </c>
      <c r="E1031" t="s">
        <v>31</v>
      </c>
      <c r="F1031" t="s">
        <v>28</v>
      </c>
      <c r="G1031" t="s">
        <v>126</v>
      </c>
      <c r="H1031" t="s">
        <v>101</v>
      </c>
      <c r="I1031" t="s">
        <v>102</v>
      </c>
      <c r="J1031" t="s">
        <v>103</v>
      </c>
      <c r="K1031">
        <v>43</v>
      </c>
      <c r="L1031">
        <v>2600</v>
      </c>
      <c r="M1031">
        <v>111800</v>
      </c>
      <c r="N1031" t="s">
        <v>95</v>
      </c>
      <c r="O1031" t="s">
        <v>104</v>
      </c>
    </row>
    <row r="1032" spans="1:15" x14ac:dyDescent="0.25">
      <c r="A1032">
        <v>309</v>
      </c>
      <c r="B1032" s="10">
        <v>45818</v>
      </c>
      <c r="C1032">
        <v>10</v>
      </c>
      <c r="D1032" t="s">
        <v>153</v>
      </c>
      <c r="E1032" t="s">
        <v>142</v>
      </c>
      <c r="F1032" t="s">
        <v>22</v>
      </c>
      <c r="G1032" t="s">
        <v>91</v>
      </c>
      <c r="H1032" t="s">
        <v>101</v>
      </c>
      <c r="I1032" t="s">
        <v>127</v>
      </c>
      <c r="J1032" t="s">
        <v>94</v>
      </c>
      <c r="K1032">
        <v>1</v>
      </c>
      <c r="L1032">
        <v>2600</v>
      </c>
      <c r="M1032">
        <v>2600</v>
      </c>
      <c r="N1032" t="s">
        <v>108</v>
      </c>
      <c r="O1032" t="s">
        <v>96</v>
      </c>
    </row>
    <row r="1033" spans="1:15" x14ac:dyDescent="0.25">
      <c r="A1033">
        <v>425</v>
      </c>
      <c r="B1033" s="10">
        <v>45987</v>
      </c>
      <c r="C1033">
        <v>26</v>
      </c>
      <c r="D1033" t="s">
        <v>90</v>
      </c>
      <c r="E1033" t="s">
        <v>128</v>
      </c>
      <c r="F1033" t="s">
        <v>117</v>
      </c>
      <c r="G1033" t="s">
        <v>118</v>
      </c>
      <c r="H1033" t="s">
        <v>101</v>
      </c>
      <c r="I1033" t="s">
        <v>127</v>
      </c>
      <c r="J1033" t="s">
        <v>94</v>
      </c>
      <c r="K1033">
        <v>7</v>
      </c>
      <c r="L1033">
        <v>2600</v>
      </c>
      <c r="M1033">
        <v>18200</v>
      </c>
      <c r="N1033" t="s">
        <v>108</v>
      </c>
      <c r="O1033" t="s">
        <v>115</v>
      </c>
    </row>
    <row r="1034" spans="1:15" x14ac:dyDescent="0.25">
      <c r="A1034">
        <v>434</v>
      </c>
      <c r="B1034" s="10">
        <v>45688</v>
      </c>
      <c r="C1034">
        <v>31</v>
      </c>
      <c r="D1034" t="s">
        <v>130</v>
      </c>
      <c r="E1034" t="s">
        <v>25</v>
      </c>
      <c r="F1034" t="s">
        <v>36</v>
      </c>
      <c r="G1034" t="s">
        <v>100</v>
      </c>
      <c r="H1034" t="s">
        <v>101</v>
      </c>
      <c r="I1034" t="s">
        <v>127</v>
      </c>
      <c r="J1034" t="s">
        <v>94</v>
      </c>
      <c r="K1034">
        <v>9</v>
      </c>
      <c r="L1034">
        <v>2600</v>
      </c>
      <c r="M1034">
        <v>23400</v>
      </c>
      <c r="N1034" t="s">
        <v>108</v>
      </c>
      <c r="O1034" t="s">
        <v>104</v>
      </c>
    </row>
    <row r="1035" spans="1:15" x14ac:dyDescent="0.25">
      <c r="A1035">
        <v>516</v>
      </c>
      <c r="B1035" s="10">
        <v>45822</v>
      </c>
      <c r="C1035">
        <v>14</v>
      </c>
      <c r="D1035" t="s">
        <v>153</v>
      </c>
      <c r="E1035" t="s">
        <v>106</v>
      </c>
      <c r="F1035" t="s">
        <v>113</v>
      </c>
      <c r="G1035" t="s">
        <v>114</v>
      </c>
      <c r="H1035" t="s">
        <v>37</v>
      </c>
      <c r="I1035" t="s">
        <v>38</v>
      </c>
      <c r="J1035" t="s">
        <v>94</v>
      </c>
      <c r="K1035">
        <v>9</v>
      </c>
      <c r="L1035">
        <v>2600</v>
      </c>
      <c r="M1035">
        <v>23400</v>
      </c>
      <c r="N1035" t="s">
        <v>108</v>
      </c>
      <c r="O1035" t="s">
        <v>115</v>
      </c>
    </row>
    <row r="1036" spans="1:15" x14ac:dyDescent="0.25">
      <c r="A1036">
        <v>520</v>
      </c>
      <c r="B1036" s="10">
        <v>46001</v>
      </c>
      <c r="C1036">
        <v>10</v>
      </c>
      <c r="D1036" t="s">
        <v>125</v>
      </c>
      <c r="E1036" t="s">
        <v>133</v>
      </c>
      <c r="F1036" t="s">
        <v>113</v>
      </c>
      <c r="G1036" t="s">
        <v>114</v>
      </c>
      <c r="H1036" t="s">
        <v>37</v>
      </c>
      <c r="I1036" t="s">
        <v>38</v>
      </c>
      <c r="J1036" t="s">
        <v>94</v>
      </c>
      <c r="K1036">
        <v>8</v>
      </c>
      <c r="L1036">
        <v>2600</v>
      </c>
      <c r="M1036">
        <v>20800</v>
      </c>
      <c r="N1036" t="s">
        <v>108</v>
      </c>
      <c r="O1036" t="s">
        <v>96</v>
      </c>
    </row>
    <row r="1037" spans="1:15" x14ac:dyDescent="0.25">
      <c r="A1037">
        <v>547</v>
      </c>
      <c r="B1037" s="10">
        <v>45986</v>
      </c>
      <c r="C1037">
        <v>25</v>
      </c>
      <c r="D1037" t="s">
        <v>90</v>
      </c>
      <c r="E1037" t="s">
        <v>110</v>
      </c>
      <c r="F1037" t="s">
        <v>144</v>
      </c>
      <c r="G1037" t="s">
        <v>91</v>
      </c>
      <c r="H1037" t="s">
        <v>101</v>
      </c>
      <c r="I1037" t="s">
        <v>127</v>
      </c>
      <c r="J1037" t="s">
        <v>94</v>
      </c>
      <c r="K1037">
        <v>6</v>
      </c>
      <c r="L1037">
        <v>2600</v>
      </c>
      <c r="M1037">
        <v>15600</v>
      </c>
      <c r="N1037" t="s">
        <v>108</v>
      </c>
      <c r="O1037" t="s">
        <v>104</v>
      </c>
    </row>
    <row r="1038" spans="1:15" x14ac:dyDescent="0.25">
      <c r="A1038">
        <v>792</v>
      </c>
      <c r="B1038" s="10">
        <v>45807</v>
      </c>
      <c r="C1038">
        <v>30</v>
      </c>
      <c r="D1038" t="s">
        <v>120</v>
      </c>
      <c r="E1038" t="s">
        <v>112</v>
      </c>
      <c r="F1038" t="s">
        <v>99</v>
      </c>
      <c r="G1038" t="s">
        <v>100</v>
      </c>
      <c r="H1038" t="s">
        <v>101</v>
      </c>
      <c r="I1038" t="s">
        <v>102</v>
      </c>
      <c r="J1038" t="s">
        <v>103</v>
      </c>
      <c r="K1038">
        <v>36</v>
      </c>
      <c r="L1038">
        <v>2600</v>
      </c>
      <c r="M1038">
        <v>93600</v>
      </c>
      <c r="N1038" t="s">
        <v>95</v>
      </c>
      <c r="O1038" t="s">
        <v>104</v>
      </c>
    </row>
    <row r="1039" spans="1:15" x14ac:dyDescent="0.25">
      <c r="A1039">
        <v>845</v>
      </c>
      <c r="B1039" s="10">
        <v>45723</v>
      </c>
      <c r="C1039">
        <v>7</v>
      </c>
      <c r="D1039" t="s">
        <v>140</v>
      </c>
      <c r="E1039" t="s">
        <v>25</v>
      </c>
      <c r="F1039" t="s">
        <v>99</v>
      </c>
      <c r="G1039" t="s">
        <v>100</v>
      </c>
      <c r="H1039" t="s">
        <v>101</v>
      </c>
      <c r="I1039" t="s">
        <v>102</v>
      </c>
      <c r="J1039" t="s">
        <v>103</v>
      </c>
      <c r="K1039">
        <v>13</v>
      </c>
      <c r="L1039">
        <v>2600</v>
      </c>
      <c r="M1039">
        <v>33800</v>
      </c>
      <c r="N1039" t="s">
        <v>95</v>
      </c>
      <c r="O1039" t="s">
        <v>115</v>
      </c>
    </row>
    <row r="1040" spans="1:15" x14ac:dyDescent="0.25">
      <c r="A1040">
        <v>860</v>
      </c>
      <c r="B1040" s="10">
        <v>45902</v>
      </c>
      <c r="C1040">
        <v>2</v>
      </c>
      <c r="D1040" t="s">
        <v>147</v>
      </c>
      <c r="E1040" t="s">
        <v>161</v>
      </c>
      <c r="F1040" t="s">
        <v>117</v>
      </c>
      <c r="G1040" t="s">
        <v>118</v>
      </c>
      <c r="H1040" t="s">
        <v>101</v>
      </c>
      <c r="I1040" t="s">
        <v>127</v>
      </c>
      <c r="J1040" t="s">
        <v>94</v>
      </c>
      <c r="K1040">
        <v>6</v>
      </c>
      <c r="L1040">
        <v>2600</v>
      </c>
      <c r="M1040">
        <v>15600</v>
      </c>
      <c r="N1040" t="s">
        <v>108</v>
      </c>
      <c r="O1040" t="s">
        <v>115</v>
      </c>
    </row>
    <row r="1041" spans="1:15" x14ac:dyDescent="0.25">
      <c r="A1041">
        <v>908</v>
      </c>
      <c r="B1041" s="10">
        <v>45954</v>
      </c>
      <c r="C1041">
        <v>24</v>
      </c>
      <c r="D1041" t="s">
        <v>136</v>
      </c>
      <c r="E1041" t="s">
        <v>112</v>
      </c>
      <c r="F1041" t="s">
        <v>22</v>
      </c>
      <c r="G1041" t="s">
        <v>91</v>
      </c>
      <c r="H1041" t="s">
        <v>101</v>
      </c>
      <c r="I1041" t="s">
        <v>127</v>
      </c>
      <c r="J1041" t="s">
        <v>94</v>
      </c>
      <c r="K1041">
        <v>5</v>
      </c>
      <c r="L1041">
        <v>2600</v>
      </c>
      <c r="M1041">
        <v>13000</v>
      </c>
      <c r="N1041" t="s">
        <v>95</v>
      </c>
      <c r="O1041" t="s">
        <v>96</v>
      </c>
    </row>
    <row r="1042" spans="1:15" x14ac:dyDescent="0.25">
      <c r="A1042">
        <v>960</v>
      </c>
      <c r="B1042" s="10">
        <v>45740</v>
      </c>
      <c r="C1042">
        <v>24</v>
      </c>
      <c r="D1042" t="s">
        <v>140</v>
      </c>
      <c r="E1042" t="s">
        <v>161</v>
      </c>
      <c r="F1042" t="s">
        <v>44</v>
      </c>
      <c r="G1042" t="s">
        <v>111</v>
      </c>
      <c r="H1042" t="s">
        <v>101</v>
      </c>
      <c r="I1042" t="s">
        <v>102</v>
      </c>
      <c r="J1042" t="s">
        <v>103</v>
      </c>
      <c r="K1042">
        <v>31</v>
      </c>
      <c r="L1042">
        <v>2600</v>
      </c>
      <c r="M1042">
        <v>80600</v>
      </c>
      <c r="N1042" t="s">
        <v>108</v>
      </c>
      <c r="O1042" t="s">
        <v>115</v>
      </c>
    </row>
    <row r="1043" spans="1:15" x14ac:dyDescent="0.25">
      <c r="A1043">
        <v>1021</v>
      </c>
      <c r="B1043" s="10">
        <v>45830</v>
      </c>
      <c r="C1043">
        <v>22</v>
      </c>
      <c r="D1043" t="s">
        <v>153</v>
      </c>
      <c r="E1043" t="s">
        <v>142</v>
      </c>
      <c r="F1043" t="s">
        <v>28</v>
      </c>
      <c r="G1043" t="s">
        <v>126</v>
      </c>
      <c r="H1043" t="s">
        <v>101</v>
      </c>
      <c r="I1043" t="s">
        <v>127</v>
      </c>
      <c r="J1043" t="s">
        <v>94</v>
      </c>
      <c r="K1043">
        <v>9</v>
      </c>
      <c r="L1043">
        <v>2600</v>
      </c>
      <c r="M1043">
        <v>23400</v>
      </c>
      <c r="N1043" t="s">
        <v>95</v>
      </c>
      <c r="O1043" t="s">
        <v>115</v>
      </c>
    </row>
    <row r="1044" spans="1:15" x14ac:dyDescent="0.25">
      <c r="A1044">
        <v>1097</v>
      </c>
      <c r="B1044" s="10">
        <v>45877</v>
      </c>
      <c r="C1044">
        <v>8</v>
      </c>
      <c r="D1044" t="s">
        <v>109</v>
      </c>
      <c r="E1044" t="s">
        <v>128</v>
      </c>
      <c r="F1044" t="s">
        <v>148</v>
      </c>
      <c r="G1044" t="s">
        <v>118</v>
      </c>
      <c r="H1044" t="s">
        <v>101</v>
      </c>
      <c r="I1044" t="s">
        <v>102</v>
      </c>
      <c r="J1044" t="s">
        <v>103</v>
      </c>
      <c r="K1044">
        <v>46</v>
      </c>
      <c r="L1044">
        <v>2600</v>
      </c>
      <c r="M1044">
        <v>119600</v>
      </c>
      <c r="N1044" t="s">
        <v>95</v>
      </c>
      <c r="O1044" t="s">
        <v>115</v>
      </c>
    </row>
    <row r="1045" spans="1:15" x14ac:dyDescent="0.25">
      <c r="A1045">
        <v>1137</v>
      </c>
      <c r="B1045" s="10">
        <v>45949</v>
      </c>
      <c r="C1045">
        <v>19</v>
      </c>
      <c r="D1045" t="s">
        <v>136</v>
      </c>
      <c r="E1045" t="s">
        <v>133</v>
      </c>
      <c r="F1045" t="s">
        <v>122</v>
      </c>
      <c r="G1045" t="s">
        <v>114</v>
      </c>
      <c r="H1045" t="s">
        <v>37</v>
      </c>
      <c r="I1045" t="s">
        <v>38</v>
      </c>
      <c r="J1045" t="s">
        <v>94</v>
      </c>
      <c r="K1045">
        <v>2</v>
      </c>
      <c r="L1045">
        <v>2600</v>
      </c>
      <c r="M1045">
        <v>5200</v>
      </c>
      <c r="N1045" t="s">
        <v>95</v>
      </c>
      <c r="O1045" t="s">
        <v>104</v>
      </c>
    </row>
    <row r="1046" spans="1:15" x14ac:dyDescent="0.25">
      <c r="A1046">
        <v>1168</v>
      </c>
      <c r="B1046" s="10">
        <v>45957</v>
      </c>
      <c r="C1046">
        <v>27</v>
      </c>
      <c r="D1046" t="s">
        <v>136</v>
      </c>
      <c r="E1046" t="s">
        <v>133</v>
      </c>
      <c r="F1046" t="s">
        <v>134</v>
      </c>
      <c r="G1046" t="s">
        <v>100</v>
      </c>
      <c r="H1046" t="s">
        <v>101</v>
      </c>
      <c r="I1046" t="s">
        <v>127</v>
      </c>
      <c r="J1046" t="s">
        <v>94</v>
      </c>
      <c r="K1046">
        <v>4</v>
      </c>
      <c r="L1046">
        <v>2600</v>
      </c>
      <c r="M1046">
        <v>10400</v>
      </c>
      <c r="N1046" t="s">
        <v>95</v>
      </c>
      <c r="O1046" t="s">
        <v>96</v>
      </c>
    </row>
    <row r="1047" spans="1:15" x14ac:dyDescent="0.25">
      <c r="A1047">
        <v>1312</v>
      </c>
      <c r="B1047" s="10">
        <v>45712</v>
      </c>
      <c r="C1047">
        <v>24</v>
      </c>
      <c r="D1047" t="s">
        <v>97</v>
      </c>
      <c r="E1047" t="s">
        <v>137</v>
      </c>
      <c r="F1047" t="s">
        <v>99</v>
      </c>
      <c r="G1047" t="s">
        <v>100</v>
      </c>
      <c r="H1047" t="s">
        <v>37</v>
      </c>
      <c r="I1047" t="s">
        <v>38</v>
      </c>
      <c r="J1047" t="s">
        <v>94</v>
      </c>
      <c r="K1047">
        <v>3</v>
      </c>
      <c r="L1047">
        <v>2600</v>
      </c>
      <c r="M1047">
        <v>7800</v>
      </c>
      <c r="N1047" t="s">
        <v>108</v>
      </c>
      <c r="O1047" t="s">
        <v>96</v>
      </c>
    </row>
    <row r="1048" spans="1:15" x14ac:dyDescent="0.25">
      <c r="A1048">
        <v>1330</v>
      </c>
      <c r="B1048" s="10">
        <v>45671</v>
      </c>
      <c r="C1048">
        <v>14</v>
      </c>
      <c r="D1048" t="s">
        <v>130</v>
      </c>
      <c r="E1048" t="s">
        <v>161</v>
      </c>
      <c r="F1048" t="s">
        <v>134</v>
      </c>
      <c r="G1048" t="s">
        <v>100</v>
      </c>
      <c r="H1048" t="s">
        <v>37</v>
      </c>
      <c r="I1048" t="s">
        <v>38</v>
      </c>
      <c r="J1048" t="s">
        <v>94</v>
      </c>
      <c r="K1048">
        <v>10</v>
      </c>
      <c r="L1048">
        <v>2600</v>
      </c>
      <c r="M1048">
        <v>26000</v>
      </c>
      <c r="N1048" t="s">
        <v>95</v>
      </c>
      <c r="O1048" t="s">
        <v>115</v>
      </c>
    </row>
    <row r="1049" spans="1:15" x14ac:dyDescent="0.25">
      <c r="A1049">
        <v>1440</v>
      </c>
      <c r="B1049" s="10">
        <v>45999</v>
      </c>
      <c r="C1049">
        <v>8</v>
      </c>
      <c r="D1049" t="s">
        <v>125</v>
      </c>
      <c r="E1049" t="s">
        <v>133</v>
      </c>
      <c r="F1049" t="s">
        <v>134</v>
      </c>
      <c r="G1049" t="s">
        <v>100</v>
      </c>
      <c r="H1049" t="s">
        <v>37</v>
      </c>
      <c r="I1049" t="s">
        <v>38</v>
      </c>
      <c r="J1049" t="s">
        <v>94</v>
      </c>
      <c r="K1049">
        <v>5</v>
      </c>
      <c r="L1049">
        <v>2600</v>
      </c>
      <c r="M1049">
        <v>13000</v>
      </c>
      <c r="N1049" t="s">
        <v>95</v>
      </c>
      <c r="O1049" t="s">
        <v>104</v>
      </c>
    </row>
    <row r="1050" spans="1:15" x14ac:dyDescent="0.25">
      <c r="A1050">
        <v>1466</v>
      </c>
      <c r="B1050" s="10">
        <v>45947</v>
      </c>
      <c r="C1050">
        <v>17</v>
      </c>
      <c r="D1050" t="s">
        <v>136</v>
      </c>
      <c r="E1050" t="s">
        <v>133</v>
      </c>
      <c r="F1050" t="s">
        <v>99</v>
      </c>
      <c r="G1050" t="s">
        <v>100</v>
      </c>
      <c r="H1050" t="s">
        <v>37</v>
      </c>
      <c r="I1050" t="s">
        <v>38</v>
      </c>
      <c r="J1050" t="s">
        <v>94</v>
      </c>
      <c r="K1050">
        <v>10</v>
      </c>
      <c r="L1050">
        <v>2600</v>
      </c>
      <c r="M1050">
        <v>26000</v>
      </c>
      <c r="N1050" t="s">
        <v>95</v>
      </c>
      <c r="O1050" t="s">
        <v>96</v>
      </c>
    </row>
    <row r="1051" spans="1:15" x14ac:dyDescent="0.25">
      <c r="A1051">
        <v>1653</v>
      </c>
      <c r="B1051" s="10">
        <v>45846</v>
      </c>
      <c r="C1051">
        <v>8</v>
      </c>
      <c r="D1051" t="s">
        <v>145</v>
      </c>
      <c r="E1051" t="s">
        <v>150</v>
      </c>
      <c r="F1051" t="s">
        <v>113</v>
      </c>
      <c r="G1051" t="s">
        <v>114</v>
      </c>
      <c r="H1051" t="s">
        <v>101</v>
      </c>
      <c r="I1051" t="s">
        <v>102</v>
      </c>
      <c r="J1051" t="s">
        <v>103</v>
      </c>
      <c r="K1051">
        <v>9</v>
      </c>
      <c r="L1051">
        <v>2600</v>
      </c>
      <c r="M1051">
        <v>23400</v>
      </c>
      <c r="N1051" t="s">
        <v>95</v>
      </c>
      <c r="O1051" t="s">
        <v>104</v>
      </c>
    </row>
    <row r="1052" spans="1:15" x14ac:dyDescent="0.25">
      <c r="A1052">
        <v>1726</v>
      </c>
      <c r="B1052" s="10">
        <v>46008</v>
      </c>
      <c r="C1052">
        <v>17</v>
      </c>
      <c r="D1052" t="s">
        <v>125</v>
      </c>
      <c r="E1052" t="s">
        <v>116</v>
      </c>
      <c r="F1052" t="s">
        <v>144</v>
      </c>
      <c r="G1052" t="s">
        <v>91</v>
      </c>
      <c r="H1052" t="s">
        <v>101</v>
      </c>
      <c r="I1052" t="s">
        <v>127</v>
      </c>
      <c r="J1052" t="s">
        <v>94</v>
      </c>
      <c r="K1052">
        <v>6</v>
      </c>
      <c r="L1052">
        <v>2600</v>
      </c>
      <c r="M1052">
        <v>15600</v>
      </c>
      <c r="N1052" t="s">
        <v>95</v>
      </c>
      <c r="O1052" t="s">
        <v>104</v>
      </c>
    </row>
    <row r="1053" spans="1:15" x14ac:dyDescent="0.25">
      <c r="A1053">
        <v>1743</v>
      </c>
      <c r="B1053" s="10">
        <v>45907</v>
      </c>
      <c r="C1053">
        <v>7</v>
      </c>
      <c r="D1053" t="s">
        <v>147</v>
      </c>
      <c r="E1053" t="s">
        <v>112</v>
      </c>
      <c r="F1053" t="s">
        <v>22</v>
      </c>
      <c r="G1053" t="s">
        <v>91</v>
      </c>
      <c r="H1053" t="s">
        <v>101</v>
      </c>
      <c r="I1053" t="s">
        <v>102</v>
      </c>
      <c r="J1053" t="s">
        <v>103</v>
      </c>
      <c r="K1053">
        <v>6</v>
      </c>
      <c r="L1053">
        <v>2600</v>
      </c>
      <c r="M1053">
        <v>15600</v>
      </c>
      <c r="N1053" t="s">
        <v>108</v>
      </c>
      <c r="O1053" t="s">
        <v>104</v>
      </c>
    </row>
    <row r="1054" spans="1:15" x14ac:dyDescent="0.25">
      <c r="A1054">
        <v>1762</v>
      </c>
      <c r="B1054" s="10">
        <v>45947</v>
      </c>
      <c r="C1054">
        <v>17</v>
      </c>
      <c r="D1054" t="s">
        <v>136</v>
      </c>
      <c r="E1054" t="s">
        <v>25</v>
      </c>
      <c r="F1054" t="s">
        <v>36</v>
      </c>
      <c r="G1054" t="s">
        <v>100</v>
      </c>
      <c r="H1054" t="s">
        <v>101</v>
      </c>
      <c r="I1054" t="s">
        <v>127</v>
      </c>
      <c r="J1054" t="s">
        <v>94</v>
      </c>
      <c r="K1054">
        <v>8</v>
      </c>
      <c r="L1054">
        <v>2600</v>
      </c>
      <c r="M1054">
        <v>20800</v>
      </c>
      <c r="N1054" t="s">
        <v>95</v>
      </c>
      <c r="O1054" t="s">
        <v>104</v>
      </c>
    </row>
    <row r="1055" spans="1:15" x14ac:dyDescent="0.25">
      <c r="A1055">
        <v>1799</v>
      </c>
      <c r="B1055" s="10">
        <v>45999</v>
      </c>
      <c r="C1055">
        <v>8</v>
      </c>
      <c r="D1055" t="s">
        <v>125</v>
      </c>
      <c r="E1055" t="s">
        <v>121</v>
      </c>
      <c r="F1055" t="s">
        <v>44</v>
      </c>
      <c r="G1055" t="s">
        <v>111</v>
      </c>
      <c r="H1055" t="s">
        <v>37</v>
      </c>
      <c r="I1055" t="s">
        <v>38</v>
      </c>
      <c r="J1055" t="s">
        <v>94</v>
      </c>
      <c r="K1055">
        <v>2</v>
      </c>
      <c r="L1055">
        <v>2600</v>
      </c>
      <c r="M1055">
        <v>5200</v>
      </c>
      <c r="N1055" t="s">
        <v>108</v>
      </c>
      <c r="O1055" t="s">
        <v>104</v>
      </c>
    </row>
    <row r="1056" spans="1:15" x14ac:dyDescent="0.25">
      <c r="A1056">
        <v>1867</v>
      </c>
      <c r="B1056" s="10">
        <v>45966</v>
      </c>
      <c r="C1056">
        <v>5</v>
      </c>
      <c r="D1056" t="s">
        <v>90</v>
      </c>
      <c r="E1056" t="s">
        <v>137</v>
      </c>
      <c r="F1056" t="s">
        <v>44</v>
      </c>
      <c r="G1056" t="s">
        <v>111</v>
      </c>
      <c r="H1056" t="s">
        <v>101</v>
      </c>
      <c r="I1056" t="s">
        <v>127</v>
      </c>
      <c r="J1056" t="s">
        <v>94</v>
      </c>
      <c r="K1056">
        <v>9</v>
      </c>
      <c r="L1056">
        <v>2600</v>
      </c>
      <c r="M1056">
        <v>23400</v>
      </c>
      <c r="N1056" t="s">
        <v>108</v>
      </c>
      <c r="O1056" t="s">
        <v>104</v>
      </c>
    </row>
    <row r="1057" spans="1:15" x14ac:dyDescent="0.25">
      <c r="A1057">
        <v>1927</v>
      </c>
      <c r="B1057" s="10">
        <v>45802</v>
      </c>
      <c r="C1057">
        <v>25</v>
      </c>
      <c r="D1057" t="s">
        <v>120</v>
      </c>
      <c r="E1057" t="s">
        <v>150</v>
      </c>
      <c r="F1057" t="s">
        <v>99</v>
      </c>
      <c r="G1057" t="s">
        <v>100</v>
      </c>
      <c r="H1057" t="s">
        <v>37</v>
      </c>
      <c r="I1057" t="s">
        <v>146</v>
      </c>
      <c r="J1057" t="s">
        <v>103</v>
      </c>
      <c r="K1057">
        <v>41</v>
      </c>
      <c r="L1057">
        <v>2600</v>
      </c>
      <c r="M1057">
        <v>106600</v>
      </c>
      <c r="N1057" t="s">
        <v>108</v>
      </c>
      <c r="O1057" t="s">
        <v>104</v>
      </c>
    </row>
    <row r="1058" spans="1:15" x14ac:dyDescent="0.25">
      <c r="A1058">
        <v>1965</v>
      </c>
      <c r="B1058" s="10">
        <v>45871</v>
      </c>
      <c r="C1058">
        <v>2</v>
      </c>
      <c r="D1058" t="s">
        <v>109</v>
      </c>
      <c r="E1058" t="s">
        <v>98</v>
      </c>
      <c r="F1058" t="s">
        <v>22</v>
      </c>
      <c r="G1058" t="s">
        <v>91</v>
      </c>
      <c r="H1058" t="s">
        <v>37</v>
      </c>
      <c r="I1058" t="s">
        <v>38</v>
      </c>
      <c r="J1058" t="s">
        <v>94</v>
      </c>
      <c r="K1058">
        <v>5</v>
      </c>
      <c r="L1058">
        <v>2600</v>
      </c>
      <c r="M1058">
        <v>13000</v>
      </c>
      <c r="N1058" t="s">
        <v>95</v>
      </c>
      <c r="O1058" t="s">
        <v>115</v>
      </c>
    </row>
    <row r="1059" spans="1:15" x14ac:dyDescent="0.25">
      <c r="A1059">
        <v>1994</v>
      </c>
      <c r="B1059" s="10">
        <v>45663</v>
      </c>
      <c r="C1059">
        <v>6</v>
      </c>
      <c r="D1059" t="s">
        <v>130</v>
      </c>
      <c r="E1059" t="s">
        <v>98</v>
      </c>
      <c r="F1059" t="s">
        <v>36</v>
      </c>
      <c r="G1059" t="s">
        <v>100</v>
      </c>
      <c r="H1059" t="s">
        <v>101</v>
      </c>
      <c r="I1059" t="s">
        <v>102</v>
      </c>
      <c r="J1059" t="s">
        <v>103</v>
      </c>
      <c r="K1059">
        <v>9</v>
      </c>
      <c r="L1059">
        <v>2600</v>
      </c>
      <c r="M1059">
        <v>23400</v>
      </c>
      <c r="N1059" t="s">
        <v>95</v>
      </c>
      <c r="O1059" t="s">
        <v>115</v>
      </c>
    </row>
    <row r="1060" spans="1:15" x14ac:dyDescent="0.25">
      <c r="A1060">
        <v>2241</v>
      </c>
      <c r="B1060" s="10">
        <v>46011</v>
      </c>
      <c r="C1060">
        <v>20</v>
      </c>
      <c r="D1060" t="s">
        <v>125</v>
      </c>
      <c r="E1060" t="s">
        <v>161</v>
      </c>
      <c r="F1060" t="s">
        <v>22</v>
      </c>
      <c r="G1060" t="s">
        <v>91</v>
      </c>
      <c r="H1060" t="s">
        <v>101</v>
      </c>
      <c r="I1060" t="s">
        <v>102</v>
      </c>
      <c r="J1060" t="s">
        <v>103</v>
      </c>
      <c r="K1060">
        <v>41</v>
      </c>
      <c r="L1060">
        <v>2600</v>
      </c>
      <c r="M1060">
        <v>106600</v>
      </c>
      <c r="N1060" t="s">
        <v>95</v>
      </c>
      <c r="O1060" t="s">
        <v>115</v>
      </c>
    </row>
    <row r="1061" spans="1:15" x14ac:dyDescent="0.25">
      <c r="A1061">
        <v>2287</v>
      </c>
      <c r="B1061" s="10">
        <v>46009</v>
      </c>
      <c r="C1061">
        <v>18</v>
      </c>
      <c r="D1061" t="s">
        <v>125</v>
      </c>
      <c r="E1061" t="s">
        <v>116</v>
      </c>
      <c r="F1061" t="s">
        <v>134</v>
      </c>
      <c r="G1061" t="s">
        <v>100</v>
      </c>
      <c r="H1061" t="s">
        <v>101</v>
      </c>
      <c r="I1061" t="s">
        <v>127</v>
      </c>
      <c r="J1061" t="s">
        <v>94</v>
      </c>
      <c r="K1061">
        <v>9</v>
      </c>
      <c r="L1061">
        <v>2600</v>
      </c>
      <c r="M1061">
        <v>23400</v>
      </c>
      <c r="N1061" t="s">
        <v>95</v>
      </c>
      <c r="O1061" t="s">
        <v>104</v>
      </c>
    </row>
    <row r="1062" spans="1:15" x14ac:dyDescent="0.25">
      <c r="A1062">
        <v>2299</v>
      </c>
      <c r="B1062" s="10">
        <v>45930</v>
      </c>
      <c r="C1062">
        <v>30</v>
      </c>
      <c r="D1062" t="s">
        <v>147</v>
      </c>
      <c r="E1062" t="s">
        <v>150</v>
      </c>
      <c r="F1062" t="s">
        <v>122</v>
      </c>
      <c r="G1062" t="s">
        <v>114</v>
      </c>
      <c r="H1062" t="s">
        <v>101</v>
      </c>
      <c r="I1062" t="s">
        <v>102</v>
      </c>
      <c r="J1062" t="s">
        <v>103</v>
      </c>
      <c r="K1062">
        <v>46</v>
      </c>
      <c r="L1062">
        <v>2600</v>
      </c>
      <c r="M1062">
        <v>119600</v>
      </c>
      <c r="N1062" t="s">
        <v>95</v>
      </c>
      <c r="O1062" t="s">
        <v>96</v>
      </c>
    </row>
    <row r="1063" spans="1:15" x14ac:dyDescent="0.25">
      <c r="A1063">
        <v>2338</v>
      </c>
      <c r="B1063" s="10">
        <v>45727</v>
      </c>
      <c r="C1063">
        <v>11</v>
      </c>
      <c r="D1063" t="s">
        <v>140</v>
      </c>
      <c r="E1063" t="s">
        <v>142</v>
      </c>
      <c r="F1063" t="s">
        <v>36</v>
      </c>
      <c r="G1063" t="s">
        <v>100</v>
      </c>
      <c r="H1063" t="s">
        <v>101</v>
      </c>
      <c r="I1063" t="s">
        <v>102</v>
      </c>
      <c r="J1063" t="s">
        <v>103</v>
      </c>
      <c r="K1063">
        <v>14</v>
      </c>
      <c r="L1063">
        <v>2600</v>
      </c>
      <c r="M1063">
        <v>36400</v>
      </c>
      <c r="N1063" t="s">
        <v>95</v>
      </c>
      <c r="O1063" t="s">
        <v>96</v>
      </c>
    </row>
    <row r="1064" spans="1:15" x14ac:dyDescent="0.25">
      <c r="A1064">
        <v>2408</v>
      </c>
      <c r="B1064" s="10">
        <v>45893</v>
      </c>
      <c r="C1064">
        <v>24</v>
      </c>
      <c r="D1064" t="s">
        <v>109</v>
      </c>
      <c r="E1064" t="s">
        <v>121</v>
      </c>
      <c r="F1064" t="s">
        <v>144</v>
      </c>
      <c r="G1064" t="s">
        <v>91</v>
      </c>
      <c r="H1064" t="s">
        <v>101</v>
      </c>
      <c r="I1064" t="s">
        <v>127</v>
      </c>
      <c r="J1064" t="s">
        <v>94</v>
      </c>
      <c r="K1064">
        <v>2</v>
      </c>
      <c r="L1064">
        <v>2600</v>
      </c>
      <c r="M1064">
        <v>5200</v>
      </c>
      <c r="N1064" t="s">
        <v>108</v>
      </c>
      <c r="O1064" t="s">
        <v>104</v>
      </c>
    </row>
    <row r="1065" spans="1:15" x14ac:dyDescent="0.25">
      <c r="A1065">
        <v>2496</v>
      </c>
      <c r="B1065" s="10">
        <v>46000</v>
      </c>
      <c r="C1065">
        <v>9</v>
      </c>
      <c r="D1065" t="s">
        <v>125</v>
      </c>
      <c r="E1065" t="s">
        <v>142</v>
      </c>
      <c r="F1065" t="s">
        <v>134</v>
      </c>
      <c r="G1065" t="s">
        <v>100</v>
      </c>
      <c r="H1065" t="s">
        <v>37</v>
      </c>
      <c r="I1065" t="s">
        <v>38</v>
      </c>
      <c r="J1065" t="s">
        <v>94</v>
      </c>
      <c r="K1065">
        <v>1</v>
      </c>
      <c r="L1065">
        <v>2600</v>
      </c>
      <c r="M1065">
        <v>2600</v>
      </c>
      <c r="N1065" t="s">
        <v>108</v>
      </c>
      <c r="O1065" t="s">
        <v>115</v>
      </c>
    </row>
    <row r="1066" spans="1:15" x14ac:dyDescent="0.25">
      <c r="A1066">
        <v>2667</v>
      </c>
      <c r="B1066" s="10">
        <v>46011</v>
      </c>
      <c r="C1066">
        <v>20</v>
      </c>
      <c r="D1066" t="s">
        <v>125</v>
      </c>
      <c r="E1066" t="s">
        <v>25</v>
      </c>
      <c r="F1066" t="s">
        <v>44</v>
      </c>
      <c r="G1066" t="s">
        <v>111</v>
      </c>
      <c r="H1066" t="s">
        <v>37</v>
      </c>
      <c r="I1066" t="s">
        <v>38</v>
      </c>
      <c r="J1066" t="s">
        <v>94</v>
      </c>
      <c r="K1066">
        <v>7</v>
      </c>
      <c r="L1066">
        <v>2600</v>
      </c>
      <c r="M1066">
        <v>18200</v>
      </c>
      <c r="N1066" t="s">
        <v>95</v>
      </c>
      <c r="O1066" t="s">
        <v>115</v>
      </c>
    </row>
    <row r="1067" spans="1:15" x14ac:dyDescent="0.25">
      <c r="A1067">
        <v>2803</v>
      </c>
      <c r="B1067" s="10">
        <v>45830</v>
      </c>
      <c r="C1067">
        <v>22</v>
      </c>
      <c r="D1067" t="s">
        <v>153</v>
      </c>
      <c r="E1067" t="s">
        <v>128</v>
      </c>
      <c r="F1067" t="s">
        <v>22</v>
      </c>
      <c r="G1067" t="s">
        <v>91</v>
      </c>
      <c r="H1067" t="s">
        <v>101</v>
      </c>
      <c r="I1067" t="s">
        <v>102</v>
      </c>
      <c r="J1067" t="s">
        <v>103</v>
      </c>
      <c r="K1067">
        <v>24</v>
      </c>
      <c r="L1067">
        <v>2600</v>
      </c>
      <c r="M1067">
        <v>62400</v>
      </c>
      <c r="N1067" t="s">
        <v>95</v>
      </c>
      <c r="O1067" t="s">
        <v>115</v>
      </c>
    </row>
    <row r="1068" spans="1:15" x14ac:dyDescent="0.25">
      <c r="A1068">
        <v>2934</v>
      </c>
      <c r="B1068" s="10">
        <v>45688</v>
      </c>
      <c r="C1068">
        <v>31</v>
      </c>
      <c r="D1068" t="s">
        <v>130</v>
      </c>
      <c r="E1068" t="s">
        <v>98</v>
      </c>
      <c r="F1068" t="s">
        <v>49</v>
      </c>
      <c r="G1068" t="s">
        <v>118</v>
      </c>
      <c r="H1068" t="s">
        <v>37</v>
      </c>
      <c r="I1068" t="s">
        <v>38</v>
      </c>
      <c r="J1068" t="s">
        <v>94</v>
      </c>
      <c r="K1068">
        <v>7</v>
      </c>
      <c r="L1068">
        <v>2600</v>
      </c>
      <c r="M1068">
        <v>18200</v>
      </c>
      <c r="N1068" t="s">
        <v>95</v>
      </c>
      <c r="O1068" t="s">
        <v>96</v>
      </c>
    </row>
    <row r="1069" spans="1:15" x14ac:dyDescent="0.25">
      <c r="A1069">
        <v>3066</v>
      </c>
      <c r="B1069" s="10">
        <v>45967</v>
      </c>
      <c r="C1069">
        <v>6</v>
      </c>
      <c r="D1069" t="s">
        <v>90</v>
      </c>
      <c r="E1069" t="s">
        <v>116</v>
      </c>
      <c r="F1069" t="s">
        <v>36</v>
      </c>
      <c r="G1069" t="s">
        <v>100</v>
      </c>
      <c r="H1069" t="s">
        <v>101</v>
      </c>
      <c r="I1069" t="s">
        <v>102</v>
      </c>
      <c r="J1069" t="s">
        <v>103</v>
      </c>
      <c r="K1069">
        <v>32</v>
      </c>
      <c r="L1069">
        <v>2600</v>
      </c>
      <c r="M1069">
        <v>83200</v>
      </c>
      <c r="N1069" t="s">
        <v>95</v>
      </c>
      <c r="O1069" t="s">
        <v>115</v>
      </c>
    </row>
    <row r="1070" spans="1:15" x14ac:dyDescent="0.25">
      <c r="A1070">
        <v>3179</v>
      </c>
      <c r="B1070" s="10">
        <v>46015</v>
      </c>
      <c r="C1070">
        <v>24</v>
      </c>
      <c r="D1070" t="s">
        <v>125</v>
      </c>
      <c r="E1070" t="s">
        <v>112</v>
      </c>
      <c r="F1070" t="s">
        <v>22</v>
      </c>
      <c r="G1070" t="s">
        <v>91</v>
      </c>
      <c r="H1070" t="s">
        <v>101</v>
      </c>
      <c r="I1070" t="s">
        <v>127</v>
      </c>
      <c r="J1070" t="s">
        <v>94</v>
      </c>
      <c r="K1070">
        <v>2</v>
      </c>
      <c r="L1070">
        <v>2600</v>
      </c>
      <c r="M1070">
        <v>5200</v>
      </c>
      <c r="N1070" t="s">
        <v>108</v>
      </c>
      <c r="O1070" t="s">
        <v>104</v>
      </c>
    </row>
    <row r="1071" spans="1:15" x14ac:dyDescent="0.25">
      <c r="A1071">
        <v>3305</v>
      </c>
      <c r="B1071" s="10">
        <v>45868</v>
      </c>
      <c r="C1071">
        <v>30</v>
      </c>
      <c r="D1071" t="s">
        <v>145</v>
      </c>
      <c r="E1071" t="s">
        <v>133</v>
      </c>
      <c r="F1071" t="s">
        <v>148</v>
      </c>
      <c r="G1071" t="s">
        <v>118</v>
      </c>
      <c r="H1071" t="s">
        <v>37</v>
      </c>
      <c r="I1071" t="s">
        <v>38</v>
      </c>
      <c r="J1071" t="s">
        <v>94</v>
      </c>
      <c r="K1071">
        <v>7</v>
      </c>
      <c r="L1071">
        <v>2600</v>
      </c>
      <c r="M1071">
        <v>18200</v>
      </c>
      <c r="N1071" t="s">
        <v>108</v>
      </c>
      <c r="O1071" t="s">
        <v>115</v>
      </c>
    </row>
    <row r="1072" spans="1:15" x14ac:dyDescent="0.25">
      <c r="A1072">
        <v>3319</v>
      </c>
      <c r="B1072" s="10">
        <v>45907</v>
      </c>
      <c r="C1072">
        <v>7</v>
      </c>
      <c r="D1072" t="s">
        <v>147</v>
      </c>
      <c r="E1072" t="s">
        <v>112</v>
      </c>
      <c r="F1072" t="s">
        <v>151</v>
      </c>
      <c r="G1072" t="s">
        <v>111</v>
      </c>
      <c r="H1072" t="s">
        <v>37</v>
      </c>
      <c r="I1072" t="s">
        <v>38</v>
      </c>
      <c r="J1072" t="s">
        <v>94</v>
      </c>
      <c r="K1072">
        <v>10</v>
      </c>
      <c r="L1072">
        <v>2600</v>
      </c>
      <c r="M1072">
        <v>26000</v>
      </c>
      <c r="N1072" t="s">
        <v>95</v>
      </c>
      <c r="O1072" t="s">
        <v>96</v>
      </c>
    </row>
    <row r="1073" spans="1:15" x14ac:dyDescent="0.25">
      <c r="A1073">
        <v>3389</v>
      </c>
      <c r="B1073" s="10">
        <v>45937</v>
      </c>
      <c r="C1073">
        <v>7</v>
      </c>
      <c r="D1073" t="s">
        <v>136</v>
      </c>
      <c r="E1073" t="s">
        <v>112</v>
      </c>
      <c r="F1073" t="s">
        <v>99</v>
      </c>
      <c r="G1073" t="s">
        <v>100</v>
      </c>
      <c r="H1073" t="s">
        <v>37</v>
      </c>
      <c r="I1073" t="s">
        <v>38</v>
      </c>
      <c r="J1073" t="s">
        <v>94</v>
      </c>
      <c r="K1073">
        <v>2</v>
      </c>
      <c r="L1073">
        <v>2600</v>
      </c>
      <c r="M1073">
        <v>5200</v>
      </c>
      <c r="N1073" t="s">
        <v>108</v>
      </c>
      <c r="O1073" t="s">
        <v>115</v>
      </c>
    </row>
    <row r="1074" spans="1:15" x14ac:dyDescent="0.25">
      <c r="A1074">
        <v>3403</v>
      </c>
      <c r="B1074" s="10">
        <v>45984</v>
      </c>
      <c r="C1074">
        <v>23</v>
      </c>
      <c r="D1074" t="s">
        <v>90</v>
      </c>
      <c r="E1074" t="s">
        <v>133</v>
      </c>
      <c r="F1074" t="s">
        <v>44</v>
      </c>
      <c r="G1074" t="s">
        <v>111</v>
      </c>
      <c r="H1074" t="s">
        <v>101</v>
      </c>
      <c r="I1074" t="s">
        <v>102</v>
      </c>
      <c r="J1074" t="s">
        <v>103</v>
      </c>
      <c r="K1074">
        <v>12</v>
      </c>
      <c r="L1074">
        <v>2600</v>
      </c>
      <c r="M1074">
        <v>31200</v>
      </c>
      <c r="N1074" t="s">
        <v>108</v>
      </c>
      <c r="O1074" t="s">
        <v>104</v>
      </c>
    </row>
    <row r="1075" spans="1:15" x14ac:dyDescent="0.25">
      <c r="A1075">
        <v>3543</v>
      </c>
      <c r="B1075" s="10">
        <v>45964</v>
      </c>
      <c r="C1075">
        <v>3</v>
      </c>
      <c r="D1075" t="s">
        <v>90</v>
      </c>
      <c r="E1075" t="s">
        <v>133</v>
      </c>
      <c r="F1075" t="s">
        <v>141</v>
      </c>
      <c r="G1075" t="s">
        <v>100</v>
      </c>
      <c r="H1075" t="s">
        <v>101</v>
      </c>
      <c r="I1075" t="s">
        <v>127</v>
      </c>
      <c r="J1075" t="s">
        <v>94</v>
      </c>
      <c r="K1075">
        <v>6</v>
      </c>
      <c r="L1075">
        <v>2600</v>
      </c>
      <c r="M1075">
        <v>15600</v>
      </c>
      <c r="N1075" t="s">
        <v>108</v>
      </c>
      <c r="O1075" t="s">
        <v>96</v>
      </c>
    </row>
    <row r="1076" spans="1:15" x14ac:dyDescent="0.25">
      <c r="A1076">
        <v>3565</v>
      </c>
      <c r="B1076" s="10">
        <v>45866</v>
      </c>
      <c r="C1076">
        <v>28</v>
      </c>
      <c r="D1076" t="s">
        <v>145</v>
      </c>
      <c r="E1076" t="s">
        <v>161</v>
      </c>
      <c r="F1076" t="s">
        <v>141</v>
      </c>
      <c r="G1076" t="s">
        <v>100</v>
      </c>
      <c r="H1076" t="s">
        <v>37</v>
      </c>
      <c r="I1076" t="s">
        <v>38</v>
      </c>
      <c r="J1076" t="s">
        <v>94</v>
      </c>
      <c r="K1076">
        <v>7</v>
      </c>
      <c r="L1076">
        <v>2600</v>
      </c>
      <c r="M1076">
        <v>18200</v>
      </c>
      <c r="N1076" t="s">
        <v>108</v>
      </c>
      <c r="O1076" t="s">
        <v>115</v>
      </c>
    </row>
    <row r="1077" spans="1:15" x14ac:dyDescent="0.25">
      <c r="A1077">
        <v>3598</v>
      </c>
      <c r="B1077" s="10">
        <v>45758</v>
      </c>
      <c r="C1077">
        <v>11</v>
      </c>
      <c r="D1077" t="s">
        <v>105</v>
      </c>
      <c r="E1077" t="s">
        <v>116</v>
      </c>
      <c r="F1077" t="s">
        <v>36</v>
      </c>
      <c r="G1077" t="s">
        <v>100</v>
      </c>
      <c r="H1077" t="s">
        <v>101</v>
      </c>
      <c r="I1077" t="s">
        <v>127</v>
      </c>
      <c r="J1077" t="s">
        <v>94</v>
      </c>
      <c r="K1077">
        <v>8</v>
      </c>
      <c r="L1077">
        <v>2600</v>
      </c>
      <c r="M1077">
        <v>20800</v>
      </c>
      <c r="N1077" t="s">
        <v>108</v>
      </c>
      <c r="O1077" t="s">
        <v>104</v>
      </c>
    </row>
    <row r="1078" spans="1:15" x14ac:dyDescent="0.25">
      <c r="A1078">
        <v>3605</v>
      </c>
      <c r="B1078" s="10">
        <v>45780</v>
      </c>
      <c r="C1078">
        <v>3</v>
      </c>
      <c r="D1078" t="s">
        <v>120</v>
      </c>
      <c r="E1078" t="s">
        <v>98</v>
      </c>
      <c r="F1078" t="s">
        <v>113</v>
      </c>
      <c r="G1078" t="s">
        <v>114</v>
      </c>
      <c r="H1078" t="s">
        <v>101</v>
      </c>
      <c r="I1078" t="s">
        <v>102</v>
      </c>
      <c r="J1078" t="s">
        <v>103</v>
      </c>
      <c r="K1078">
        <v>15</v>
      </c>
      <c r="L1078">
        <v>2600</v>
      </c>
      <c r="M1078">
        <v>39000</v>
      </c>
      <c r="N1078" t="s">
        <v>108</v>
      </c>
      <c r="O1078" t="s">
        <v>115</v>
      </c>
    </row>
    <row r="1079" spans="1:15" x14ac:dyDescent="0.25">
      <c r="A1079">
        <v>3631</v>
      </c>
      <c r="B1079" s="10">
        <v>45939</v>
      </c>
      <c r="C1079">
        <v>9</v>
      </c>
      <c r="D1079" t="s">
        <v>136</v>
      </c>
      <c r="E1079" t="s">
        <v>106</v>
      </c>
      <c r="F1079" t="s">
        <v>134</v>
      </c>
      <c r="G1079" t="s">
        <v>100</v>
      </c>
      <c r="H1079" t="s">
        <v>101</v>
      </c>
      <c r="I1079" t="s">
        <v>102</v>
      </c>
      <c r="J1079" t="s">
        <v>103</v>
      </c>
      <c r="K1079">
        <v>33</v>
      </c>
      <c r="L1079">
        <v>2600</v>
      </c>
      <c r="M1079">
        <v>85800</v>
      </c>
      <c r="N1079" t="s">
        <v>95</v>
      </c>
      <c r="O1079" t="s">
        <v>96</v>
      </c>
    </row>
    <row r="1080" spans="1:15" x14ac:dyDescent="0.25">
      <c r="A1080">
        <v>3810</v>
      </c>
      <c r="B1080" s="10">
        <v>46014</v>
      </c>
      <c r="C1080">
        <v>23</v>
      </c>
      <c r="D1080" t="s">
        <v>125</v>
      </c>
      <c r="E1080" t="s">
        <v>128</v>
      </c>
      <c r="F1080" t="s">
        <v>148</v>
      </c>
      <c r="G1080" t="s">
        <v>118</v>
      </c>
      <c r="H1080" t="s">
        <v>101</v>
      </c>
      <c r="I1080" t="s">
        <v>127</v>
      </c>
      <c r="J1080" t="s">
        <v>94</v>
      </c>
      <c r="K1080">
        <v>4</v>
      </c>
      <c r="L1080">
        <v>2600</v>
      </c>
      <c r="M1080">
        <v>10400</v>
      </c>
      <c r="N1080" t="s">
        <v>108</v>
      </c>
      <c r="O1080" t="s">
        <v>96</v>
      </c>
    </row>
    <row r="1081" spans="1:15" x14ac:dyDescent="0.25">
      <c r="A1081">
        <v>3828</v>
      </c>
      <c r="B1081" s="10">
        <v>45738</v>
      </c>
      <c r="C1081">
        <v>22</v>
      </c>
      <c r="D1081" t="s">
        <v>140</v>
      </c>
      <c r="E1081" t="s">
        <v>142</v>
      </c>
      <c r="F1081" t="s">
        <v>151</v>
      </c>
      <c r="G1081" t="s">
        <v>111</v>
      </c>
      <c r="H1081" t="s">
        <v>37</v>
      </c>
      <c r="I1081" t="s">
        <v>38</v>
      </c>
      <c r="J1081" t="s">
        <v>94</v>
      </c>
      <c r="K1081">
        <v>10</v>
      </c>
      <c r="L1081">
        <v>2600</v>
      </c>
      <c r="M1081">
        <v>26000</v>
      </c>
      <c r="N1081" t="s">
        <v>108</v>
      </c>
      <c r="O1081" t="s">
        <v>115</v>
      </c>
    </row>
    <row r="1082" spans="1:15" x14ac:dyDescent="0.25">
      <c r="A1082">
        <v>3877</v>
      </c>
      <c r="B1082" s="10">
        <v>45931</v>
      </c>
      <c r="C1082">
        <v>1</v>
      </c>
      <c r="D1082" t="s">
        <v>136</v>
      </c>
      <c r="E1082" t="s">
        <v>137</v>
      </c>
      <c r="F1082" t="s">
        <v>49</v>
      </c>
      <c r="G1082" t="s">
        <v>118</v>
      </c>
      <c r="H1082" t="s">
        <v>37</v>
      </c>
      <c r="I1082" t="s">
        <v>38</v>
      </c>
      <c r="J1082" t="s">
        <v>94</v>
      </c>
      <c r="K1082">
        <v>4</v>
      </c>
      <c r="L1082">
        <v>2600</v>
      </c>
      <c r="M1082">
        <v>10400</v>
      </c>
      <c r="N1082" t="s">
        <v>108</v>
      </c>
      <c r="O1082" t="s">
        <v>104</v>
      </c>
    </row>
    <row r="1083" spans="1:15" x14ac:dyDescent="0.25">
      <c r="A1083">
        <v>3966</v>
      </c>
      <c r="B1083" s="10">
        <v>45997</v>
      </c>
      <c r="C1083">
        <v>6</v>
      </c>
      <c r="D1083" t="s">
        <v>125</v>
      </c>
      <c r="E1083" t="s">
        <v>137</v>
      </c>
      <c r="F1083" t="s">
        <v>113</v>
      </c>
      <c r="G1083" t="s">
        <v>114</v>
      </c>
      <c r="H1083" t="s">
        <v>101</v>
      </c>
      <c r="I1083" t="s">
        <v>102</v>
      </c>
      <c r="J1083" t="s">
        <v>103</v>
      </c>
      <c r="K1083">
        <v>5</v>
      </c>
      <c r="L1083">
        <v>2600</v>
      </c>
      <c r="M1083">
        <v>13000</v>
      </c>
      <c r="N1083" t="s">
        <v>95</v>
      </c>
      <c r="O1083" t="s">
        <v>115</v>
      </c>
    </row>
    <row r="1084" spans="1:15" x14ac:dyDescent="0.25">
      <c r="A1084">
        <v>4044</v>
      </c>
      <c r="B1084" s="10">
        <v>45688</v>
      </c>
      <c r="C1084">
        <v>31</v>
      </c>
      <c r="D1084" t="s">
        <v>130</v>
      </c>
      <c r="E1084" t="s">
        <v>25</v>
      </c>
      <c r="F1084" t="s">
        <v>22</v>
      </c>
      <c r="G1084" t="s">
        <v>91</v>
      </c>
      <c r="H1084" t="s">
        <v>101</v>
      </c>
      <c r="I1084" t="s">
        <v>102</v>
      </c>
      <c r="J1084" t="s">
        <v>103</v>
      </c>
      <c r="K1084">
        <v>19</v>
      </c>
      <c r="L1084">
        <v>2600</v>
      </c>
      <c r="M1084">
        <v>49400</v>
      </c>
      <c r="N1084" t="s">
        <v>108</v>
      </c>
      <c r="O1084" t="s">
        <v>104</v>
      </c>
    </row>
    <row r="1085" spans="1:15" x14ac:dyDescent="0.25">
      <c r="A1085">
        <v>4104</v>
      </c>
      <c r="B1085" s="10">
        <v>46002</v>
      </c>
      <c r="C1085">
        <v>11</v>
      </c>
      <c r="D1085" t="s">
        <v>125</v>
      </c>
      <c r="E1085" t="s">
        <v>161</v>
      </c>
      <c r="F1085" t="s">
        <v>107</v>
      </c>
      <c r="G1085" t="s">
        <v>100</v>
      </c>
      <c r="H1085" t="s">
        <v>101</v>
      </c>
      <c r="I1085" t="s">
        <v>127</v>
      </c>
      <c r="J1085" t="s">
        <v>94</v>
      </c>
      <c r="K1085">
        <v>9</v>
      </c>
      <c r="L1085">
        <v>2600</v>
      </c>
      <c r="M1085">
        <v>23400</v>
      </c>
      <c r="N1085" t="s">
        <v>108</v>
      </c>
      <c r="O1085" t="s">
        <v>96</v>
      </c>
    </row>
    <row r="1086" spans="1:15" x14ac:dyDescent="0.25">
      <c r="A1086">
        <v>4139</v>
      </c>
      <c r="B1086" s="10">
        <v>46021</v>
      </c>
      <c r="C1086">
        <v>30</v>
      </c>
      <c r="D1086" t="s">
        <v>125</v>
      </c>
      <c r="E1086" t="s">
        <v>25</v>
      </c>
      <c r="F1086" t="s">
        <v>22</v>
      </c>
      <c r="G1086" t="s">
        <v>91</v>
      </c>
      <c r="H1086" t="s">
        <v>37</v>
      </c>
      <c r="I1086" t="s">
        <v>38</v>
      </c>
      <c r="J1086" t="s">
        <v>94</v>
      </c>
      <c r="K1086">
        <v>9</v>
      </c>
      <c r="L1086">
        <v>2600</v>
      </c>
      <c r="M1086">
        <v>23400</v>
      </c>
      <c r="N1086" t="s">
        <v>95</v>
      </c>
      <c r="O1086" t="s">
        <v>96</v>
      </c>
    </row>
    <row r="1087" spans="1:15" x14ac:dyDescent="0.25">
      <c r="A1087">
        <v>4221</v>
      </c>
      <c r="B1087" s="10">
        <v>45979</v>
      </c>
      <c r="C1087">
        <v>18</v>
      </c>
      <c r="D1087" t="s">
        <v>90</v>
      </c>
      <c r="E1087" t="s">
        <v>116</v>
      </c>
      <c r="F1087" t="s">
        <v>144</v>
      </c>
      <c r="G1087" t="s">
        <v>91</v>
      </c>
      <c r="H1087" t="s">
        <v>37</v>
      </c>
      <c r="I1087" t="s">
        <v>146</v>
      </c>
      <c r="J1087" t="s">
        <v>103</v>
      </c>
      <c r="K1087">
        <v>34</v>
      </c>
      <c r="L1087">
        <v>2600</v>
      </c>
      <c r="M1087">
        <v>88400</v>
      </c>
      <c r="N1087" t="s">
        <v>95</v>
      </c>
      <c r="O1087" t="s">
        <v>115</v>
      </c>
    </row>
    <row r="1088" spans="1:15" x14ac:dyDescent="0.25">
      <c r="A1088">
        <v>4390</v>
      </c>
      <c r="B1088" s="10">
        <v>45700</v>
      </c>
      <c r="C1088">
        <v>12</v>
      </c>
      <c r="D1088" t="s">
        <v>97</v>
      </c>
      <c r="E1088" t="s">
        <v>150</v>
      </c>
      <c r="F1088" t="s">
        <v>107</v>
      </c>
      <c r="G1088" t="s">
        <v>100</v>
      </c>
      <c r="H1088" t="s">
        <v>101</v>
      </c>
      <c r="I1088" t="s">
        <v>127</v>
      </c>
      <c r="J1088" t="s">
        <v>94</v>
      </c>
      <c r="K1088">
        <v>9</v>
      </c>
      <c r="L1088">
        <v>2600</v>
      </c>
      <c r="M1088">
        <v>23400</v>
      </c>
      <c r="N1088" t="s">
        <v>108</v>
      </c>
      <c r="O1088" t="s">
        <v>104</v>
      </c>
    </row>
    <row r="1089" spans="1:15" x14ac:dyDescent="0.25">
      <c r="A1089">
        <v>4467</v>
      </c>
      <c r="B1089" s="10">
        <v>45748</v>
      </c>
      <c r="C1089">
        <v>1</v>
      </c>
      <c r="D1089" t="s">
        <v>105</v>
      </c>
      <c r="E1089" t="s">
        <v>31</v>
      </c>
      <c r="F1089" t="s">
        <v>117</v>
      </c>
      <c r="G1089" t="s">
        <v>118</v>
      </c>
      <c r="H1089" t="s">
        <v>37</v>
      </c>
      <c r="I1089" t="s">
        <v>38</v>
      </c>
      <c r="J1089" t="s">
        <v>94</v>
      </c>
      <c r="K1089">
        <v>10</v>
      </c>
      <c r="L1089">
        <v>2600</v>
      </c>
      <c r="M1089">
        <v>26000</v>
      </c>
      <c r="N1089" t="s">
        <v>108</v>
      </c>
      <c r="O1089" t="s">
        <v>96</v>
      </c>
    </row>
    <row r="1090" spans="1:15" x14ac:dyDescent="0.25">
      <c r="A1090">
        <v>4522</v>
      </c>
      <c r="B1090" s="10">
        <v>45811</v>
      </c>
      <c r="C1090">
        <v>3</v>
      </c>
      <c r="D1090" t="s">
        <v>153</v>
      </c>
      <c r="E1090" t="s">
        <v>137</v>
      </c>
      <c r="F1090" t="s">
        <v>107</v>
      </c>
      <c r="G1090" t="s">
        <v>100</v>
      </c>
      <c r="H1090" t="s">
        <v>101</v>
      </c>
      <c r="I1090" t="s">
        <v>127</v>
      </c>
      <c r="J1090" t="s">
        <v>94</v>
      </c>
      <c r="K1090">
        <v>8</v>
      </c>
      <c r="L1090">
        <v>2600</v>
      </c>
      <c r="M1090">
        <v>20800</v>
      </c>
      <c r="N1090" t="s">
        <v>95</v>
      </c>
      <c r="O1090" t="s">
        <v>115</v>
      </c>
    </row>
    <row r="1091" spans="1:15" x14ac:dyDescent="0.25">
      <c r="A1091">
        <v>4608</v>
      </c>
      <c r="B1091" s="10">
        <v>45829</v>
      </c>
      <c r="C1091">
        <v>21</v>
      </c>
      <c r="D1091" t="s">
        <v>153</v>
      </c>
      <c r="E1091" t="s">
        <v>128</v>
      </c>
      <c r="F1091" t="s">
        <v>99</v>
      </c>
      <c r="G1091" t="s">
        <v>100</v>
      </c>
      <c r="H1091" t="s">
        <v>101</v>
      </c>
      <c r="I1091" t="s">
        <v>102</v>
      </c>
      <c r="J1091" t="s">
        <v>103</v>
      </c>
      <c r="K1091">
        <v>42</v>
      </c>
      <c r="L1091">
        <v>2600</v>
      </c>
      <c r="M1091">
        <v>109200</v>
      </c>
      <c r="N1091" t="s">
        <v>95</v>
      </c>
      <c r="O1091" t="s">
        <v>104</v>
      </c>
    </row>
    <row r="1092" spans="1:15" x14ac:dyDescent="0.25">
      <c r="A1092">
        <v>4671</v>
      </c>
      <c r="B1092" s="10">
        <v>45736</v>
      </c>
      <c r="C1092">
        <v>20</v>
      </c>
      <c r="D1092" t="s">
        <v>140</v>
      </c>
      <c r="E1092" t="s">
        <v>98</v>
      </c>
      <c r="F1092" t="s">
        <v>134</v>
      </c>
      <c r="G1092" t="s">
        <v>100</v>
      </c>
      <c r="H1092" t="s">
        <v>101</v>
      </c>
      <c r="I1092" t="s">
        <v>102</v>
      </c>
      <c r="J1092" t="s">
        <v>103</v>
      </c>
      <c r="K1092">
        <v>22</v>
      </c>
      <c r="L1092">
        <v>2600</v>
      </c>
      <c r="M1092">
        <v>57200</v>
      </c>
      <c r="N1092" t="s">
        <v>108</v>
      </c>
      <c r="O1092" t="s">
        <v>115</v>
      </c>
    </row>
    <row r="1093" spans="1:15" x14ac:dyDescent="0.25">
      <c r="A1093">
        <v>4693</v>
      </c>
      <c r="B1093" s="10">
        <v>45768</v>
      </c>
      <c r="C1093">
        <v>21</v>
      </c>
      <c r="D1093" t="s">
        <v>105</v>
      </c>
      <c r="E1093" t="s">
        <v>150</v>
      </c>
      <c r="F1093" t="s">
        <v>144</v>
      </c>
      <c r="G1093" t="s">
        <v>91</v>
      </c>
      <c r="H1093" t="s">
        <v>101</v>
      </c>
      <c r="I1093" t="s">
        <v>127</v>
      </c>
      <c r="J1093" t="s">
        <v>94</v>
      </c>
      <c r="K1093">
        <v>5</v>
      </c>
      <c r="L1093">
        <v>2600</v>
      </c>
      <c r="M1093">
        <v>13000</v>
      </c>
      <c r="N1093" t="s">
        <v>95</v>
      </c>
      <c r="O1093" t="s">
        <v>96</v>
      </c>
    </row>
    <row r="1094" spans="1:15" x14ac:dyDescent="0.25">
      <c r="A1094">
        <v>4705</v>
      </c>
      <c r="B1094" s="10">
        <v>45890</v>
      </c>
      <c r="C1094">
        <v>21</v>
      </c>
      <c r="D1094" t="s">
        <v>109</v>
      </c>
      <c r="E1094" t="s">
        <v>121</v>
      </c>
      <c r="F1094" t="s">
        <v>99</v>
      </c>
      <c r="G1094" t="s">
        <v>100</v>
      </c>
      <c r="H1094" t="s">
        <v>101</v>
      </c>
      <c r="I1094" t="s">
        <v>127</v>
      </c>
      <c r="J1094" t="s">
        <v>94</v>
      </c>
      <c r="K1094">
        <v>4</v>
      </c>
      <c r="L1094">
        <v>2600</v>
      </c>
      <c r="M1094">
        <v>10400</v>
      </c>
      <c r="N1094" t="s">
        <v>108</v>
      </c>
      <c r="O1094" t="s">
        <v>104</v>
      </c>
    </row>
    <row r="1095" spans="1:15" x14ac:dyDescent="0.25">
      <c r="A1095">
        <v>4712</v>
      </c>
      <c r="B1095" s="10">
        <v>45916</v>
      </c>
      <c r="C1095">
        <v>16</v>
      </c>
      <c r="D1095" t="s">
        <v>147</v>
      </c>
      <c r="E1095" t="s">
        <v>25</v>
      </c>
      <c r="F1095" t="s">
        <v>117</v>
      </c>
      <c r="G1095" t="s">
        <v>118</v>
      </c>
      <c r="H1095" t="s">
        <v>37</v>
      </c>
      <c r="I1095" t="s">
        <v>38</v>
      </c>
      <c r="J1095" t="s">
        <v>94</v>
      </c>
      <c r="K1095">
        <v>10</v>
      </c>
      <c r="L1095">
        <v>2600</v>
      </c>
      <c r="M1095">
        <v>26000</v>
      </c>
      <c r="N1095" t="s">
        <v>95</v>
      </c>
      <c r="O1095" t="s">
        <v>104</v>
      </c>
    </row>
    <row r="1096" spans="1:15" x14ac:dyDescent="0.25">
      <c r="A1096">
        <v>4719</v>
      </c>
      <c r="B1096" s="10">
        <v>45934</v>
      </c>
      <c r="C1096">
        <v>4</v>
      </c>
      <c r="D1096" t="s">
        <v>136</v>
      </c>
      <c r="E1096" t="s">
        <v>150</v>
      </c>
      <c r="F1096" t="s">
        <v>134</v>
      </c>
      <c r="G1096" t="s">
        <v>100</v>
      </c>
      <c r="H1096" t="s">
        <v>101</v>
      </c>
      <c r="I1096" t="s">
        <v>102</v>
      </c>
      <c r="J1096" t="s">
        <v>103</v>
      </c>
      <c r="K1096">
        <v>29</v>
      </c>
      <c r="L1096">
        <v>2600</v>
      </c>
      <c r="M1096">
        <v>75400</v>
      </c>
      <c r="N1096" t="s">
        <v>108</v>
      </c>
      <c r="O1096" t="s">
        <v>115</v>
      </c>
    </row>
    <row r="1097" spans="1:15" x14ac:dyDescent="0.25">
      <c r="A1097">
        <v>4808</v>
      </c>
      <c r="B1097" s="10">
        <v>45876</v>
      </c>
      <c r="C1097">
        <v>7</v>
      </c>
      <c r="D1097" t="s">
        <v>109</v>
      </c>
      <c r="E1097" t="s">
        <v>98</v>
      </c>
      <c r="F1097" t="s">
        <v>148</v>
      </c>
      <c r="G1097" t="s">
        <v>118</v>
      </c>
      <c r="H1097" t="s">
        <v>101</v>
      </c>
      <c r="I1097" t="s">
        <v>127</v>
      </c>
      <c r="J1097" t="s">
        <v>94</v>
      </c>
      <c r="K1097">
        <v>4</v>
      </c>
      <c r="L1097">
        <v>2600</v>
      </c>
      <c r="M1097">
        <v>10400</v>
      </c>
      <c r="N1097" t="s">
        <v>108</v>
      </c>
      <c r="O1097" t="s">
        <v>104</v>
      </c>
    </row>
    <row r="1098" spans="1:15" x14ac:dyDescent="0.25">
      <c r="A1098">
        <v>76</v>
      </c>
      <c r="B1098" s="10">
        <v>45898</v>
      </c>
      <c r="C1098">
        <v>29</v>
      </c>
      <c r="D1098" t="s">
        <v>109</v>
      </c>
      <c r="E1098" t="s">
        <v>25</v>
      </c>
      <c r="F1098" t="s">
        <v>99</v>
      </c>
      <c r="G1098" t="s">
        <v>100</v>
      </c>
      <c r="H1098" t="s">
        <v>101</v>
      </c>
      <c r="I1098" t="s">
        <v>102</v>
      </c>
      <c r="J1098" t="s">
        <v>103</v>
      </c>
      <c r="K1098">
        <v>19</v>
      </c>
      <c r="L1098">
        <v>2700</v>
      </c>
      <c r="M1098">
        <v>51300</v>
      </c>
      <c r="N1098" t="s">
        <v>95</v>
      </c>
      <c r="O1098" t="s">
        <v>96</v>
      </c>
    </row>
    <row r="1099" spans="1:15" x14ac:dyDescent="0.25">
      <c r="A1099">
        <v>178</v>
      </c>
      <c r="B1099" s="10">
        <v>45881</v>
      </c>
      <c r="C1099">
        <v>12</v>
      </c>
      <c r="D1099" t="s">
        <v>109</v>
      </c>
      <c r="E1099" t="s">
        <v>110</v>
      </c>
      <c r="F1099" t="s">
        <v>134</v>
      </c>
      <c r="G1099" t="s">
        <v>100</v>
      </c>
      <c r="H1099" t="s">
        <v>101</v>
      </c>
      <c r="I1099" t="s">
        <v>102</v>
      </c>
      <c r="J1099" t="s">
        <v>103</v>
      </c>
      <c r="K1099">
        <v>24</v>
      </c>
      <c r="L1099">
        <v>2700</v>
      </c>
      <c r="M1099">
        <v>64800</v>
      </c>
      <c r="N1099" t="s">
        <v>108</v>
      </c>
      <c r="O1099" t="s">
        <v>104</v>
      </c>
    </row>
    <row r="1100" spans="1:15" x14ac:dyDescent="0.25">
      <c r="A1100">
        <v>414</v>
      </c>
      <c r="B1100" s="10">
        <v>45889</v>
      </c>
      <c r="C1100">
        <v>20</v>
      </c>
      <c r="D1100" t="s">
        <v>109</v>
      </c>
      <c r="E1100" t="s">
        <v>116</v>
      </c>
      <c r="F1100" t="s">
        <v>151</v>
      </c>
      <c r="G1100" t="s">
        <v>111</v>
      </c>
      <c r="H1100" t="s">
        <v>37</v>
      </c>
      <c r="I1100" t="s">
        <v>38</v>
      </c>
      <c r="J1100" t="s">
        <v>94</v>
      </c>
      <c r="K1100">
        <v>3</v>
      </c>
      <c r="L1100">
        <v>2700</v>
      </c>
      <c r="M1100">
        <v>8100</v>
      </c>
      <c r="N1100" t="s">
        <v>108</v>
      </c>
      <c r="O1100" t="s">
        <v>96</v>
      </c>
    </row>
    <row r="1101" spans="1:15" x14ac:dyDescent="0.25">
      <c r="A1101">
        <v>417</v>
      </c>
      <c r="B1101" s="10">
        <v>45889</v>
      </c>
      <c r="C1101">
        <v>20</v>
      </c>
      <c r="D1101" t="s">
        <v>109</v>
      </c>
      <c r="E1101" t="s">
        <v>137</v>
      </c>
      <c r="F1101" t="s">
        <v>99</v>
      </c>
      <c r="G1101" t="s">
        <v>100</v>
      </c>
      <c r="H1101" t="s">
        <v>101</v>
      </c>
      <c r="I1101" t="s">
        <v>127</v>
      </c>
      <c r="J1101" t="s">
        <v>94</v>
      </c>
      <c r="K1101">
        <v>8</v>
      </c>
      <c r="L1101">
        <v>2700</v>
      </c>
      <c r="M1101">
        <v>21600</v>
      </c>
      <c r="N1101" t="s">
        <v>95</v>
      </c>
      <c r="O1101" t="s">
        <v>104</v>
      </c>
    </row>
    <row r="1102" spans="1:15" x14ac:dyDescent="0.25">
      <c r="A1102">
        <v>589</v>
      </c>
      <c r="B1102" s="10">
        <v>45724</v>
      </c>
      <c r="C1102">
        <v>8</v>
      </c>
      <c r="D1102" t="s">
        <v>140</v>
      </c>
      <c r="E1102" t="s">
        <v>128</v>
      </c>
      <c r="F1102" t="s">
        <v>148</v>
      </c>
      <c r="G1102" t="s">
        <v>118</v>
      </c>
      <c r="H1102" t="s">
        <v>101</v>
      </c>
      <c r="I1102" t="s">
        <v>102</v>
      </c>
      <c r="J1102" t="s">
        <v>103</v>
      </c>
      <c r="K1102">
        <v>38</v>
      </c>
      <c r="L1102">
        <v>2700</v>
      </c>
      <c r="M1102">
        <v>102600</v>
      </c>
      <c r="N1102" t="s">
        <v>108</v>
      </c>
      <c r="O1102" t="s">
        <v>115</v>
      </c>
    </row>
    <row r="1103" spans="1:15" x14ac:dyDescent="0.25">
      <c r="A1103">
        <v>1387</v>
      </c>
      <c r="B1103" s="10">
        <v>45881</v>
      </c>
      <c r="C1103">
        <v>12</v>
      </c>
      <c r="D1103" t="s">
        <v>109</v>
      </c>
      <c r="E1103" t="s">
        <v>25</v>
      </c>
      <c r="F1103" t="s">
        <v>122</v>
      </c>
      <c r="G1103" t="s">
        <v>114</v>
      </c>
      <c r="H1103" t="s">
        <v>101</v>
      </c>
      <c r="I1103" t="s">
        <v>127</v>
      </c>
      <c r="J1103" t="s">
        <v>94</v>
      </c>
      <c r="K1103">
        <v>10</v>
      </c>
      <c r="L1103">
        <v>2700</v>
      </c>
      <c r="M1103">
        <v>27000</v>
      </c>
      <c r="N1103" t="s">
        <v>95</v>
      </c>
      <c r="O1103" t="s">
        <v>96</v>
      </c>
    </row>
    <row r="1104" spans="1:15" x14ac:dyDescent="0.25">
      <c r="A1104">
        <v>1791</v>
      </c>
      <c r="B1104" s="10">
        <v>45837</v>
      </c>
      <c r="C1104">
        <v>29</v>
      </c>
      <c r="D1104" t="s">
        <v>153</v>
      </c>
      <c r="E1104" t="s">
        <v>31</v>
      </c>
      <c r="F1104" t="s">
        <v>49</v>
      </c>
      <c r="G1104" t="s">
        <v>118</v>
      </c>
      <c r="H1104" t="s">
        <v>37</v>
      </c>
      <c r="I1104" t="s">
        <v>146</v>
      </c>
      <c r="J1104" t="s">
        <v>103</v>
      </c>
      <c r="K1104">
        <v>12</v>
      </c>
      <c r="L1104">
        <v>2700</v>
      </c>
      <c r="M1104">
        <v>32400</v>
      </c>
      <c r="N1104" t="s">
        <v>95</v>
      </c>
      <c r="O1104" t="s">
        <v>104</v>
      </c>
    </row>
    <row r="1105" spans="1:15" x14ac:dyDescent="0.25">
      <c r="A1105">
        <v>1847</v>
      </c>
      <c r="B1105" s="10">
        <v>45857</v>
      </c>
      <c r="C1105">
        <v>19</v>
      </c>
      <c r="D1105" t="s">
        <v>145</v>
      </c>
      <c r="E1105" t="s">
        <v>116</v>
      </c>
      <c r="F1105" t="s">
        <v>151</v>
      </c>
      <c r="G1105" t="s">
        <v>111</v>
      </c>
      <c r="H1105" t="s">
        <v>37</v>
      </c>
      <c r="I1105" t="s">
        <v>38</v>
      </c>
      <c r="J1105" t="s">
        <v>94</v>
      </c>
      <c r="K1105">
        <v>4</v>
      </c>
      <c r="L1105">
        <v>2700</v>
      </c>
      <c r="M1105">
        <v>10800</v>
      </c>
      <c r="N1105" t="s">
        <v>95</v>
      </c>
      <c r="O1105" t="s">
        <v>115</v>
      </c>
    </row>
    <row r="1106" spans="1:15" x14ac:dyDescent="0.25">
      <c r="A1106">
        <v>2028</v>
      </c>
      <c r="B1106" s="10">
        <v>45876</v>
      </c>
      <c r="C1106">
        <v>7</v>
      </c>
      <c r="D1106" t="s">
        <v>109</v>
      </c>
      <c r="E1106" t="s">
        <v>98</v>
      </c>
      <c r="F1106" t="s">
        <v>151</v>
      </c>
      <c r="G1106" t="s">
        <v>111</v>
      </c>
      <c r="H1106" t="s">
        <v>101</v>
      </c>
      <c r="I1106" t="s">
        <v>102</v>
      </c>
      <c r="J1106" t="s">
        <v>103</v>
      </c>
      <c r="K1106">
        <v>32</v>
      </c>
      <c r="L1106">
        <v>2700</v>
      </c>
      <c r="M1106">
        <v>86400</v>
      </c>
      <c r="N1106" t="s">
        <v>108</v>
      </c>
      <c r="O1106" t="s">
        <v>115</v>
      </c>
    </row>
    <row r="1107" spans="1:15" x14ac:dyDescent="0.25">
      <c r="A1107">
        <v>2266</v>
      </c>
      <c r="B1107" s="10">
        <v>45728</v>
      </c>
      <c r="C1107">
        <v>12</v>
      </c>
      <c r="D1107" t="s">
        <v>140</v>
      </c>
      <c r="E1107" t="s">
        <v>150</v>
      </c>
      <c r="F1107" t="s">
        <v>22</v>
      </c>
      <c r="G1107" t="s">
        <v>91</v>
      </c>
      <c r="H1107" t="s">
        <v>101</v>
      </c>
      <c r="I1107" t="s">
        <v>102</v>
      </c>
      <c r="J1107" t="s">
        <v>103</v>
      </c>
      <c r="K1107">
        <v>45</v>
      </c>
      <c r="L1107">
        <v>2700</v>
      </c>
      <c r="M1107">
        <v>121500</v>
      </c>
      <c r="N1107" t="s">
        <v>108</v>
      </c>
      <c r="O1107" t="s">
        <v>115</v>
      </c>
    </row>
    <row r="1108" spans="1:15" x14ac:dyDescent="0.25">
      <c r="A1108">
        <v>2490</v>
      </c>
      <c r="B1108" s="10">
        <v>45663</v>
      </c>
      <c r="C1108">
        <v>6</v>
      </c>
      <c r="D1108" t="s">
        <v>130</v>
      </c>
      <c r="E1108" t="s">
        <v>137</v>
      </c>
      <c r="F1108" t="s">
        <v>28</v>
      </c>
      <c r="G1108" t="s">
        <v>126</v>
      </c>
      <c r="H1108" t="s">
        <v>37</v>
      </c>
      <c r="I1108" t="s">
        <v>146</v>
      </c>
      <c r="J1108" t="s">
        <v>103</v>
      </c>
      <c r="K1108">
        <v>29</v>
      </c>
      <c r="L1108">
        <v>2700</v>
      </c>
      <c r="M1108">
        <v>78300</v>
      </c>
      <c r="N1108" t="s">
        <v>95</v>
      </c>
      <c r="O1108" t="s">
        <v>115</v>
      </c>
    </row>
    <row r="1109" spans="1:15" x14ac:dyDescent="0.25">
      <c r="A1109">
        <v>2696</v>
      </c>
      <c r="B1109" s="10">
        <v>45774</v>
      </c>
      <c r="C1109">
        <v>27</v>
      </c>
      <c r="D1109" t="s">
        <v>105</v>
      </c>
      <c r="E1109" t="s">
        <v>137</v>
      </c>
      <c r="F1109" t="s">
        <v>117</v>
      </c>
      <c r="G1109" t="s">
        <v>118</v>
      </c>
      <c r="H1109" t="s">
        <v>37</v>
      </c>
      <c r="I1109" t="s">
        <v>38</v>
      </c>
      <c r="J1109" t="s">
        <v>94</v>
      </c>
      <c r="K1109">
        <v>3</v>
      </c>
      <c r="L1109">
        <v>2700</v>
      </c>
      <c r="M1109">
        <v>8100</v>
      </c>
      <c r="N1109" t="s">
        <v>108</v>
      </c>
      <c r="O1109" t="s">
        <v>115</v>
      </c>
    </row>
    <row r="1110" spans="1:15" x14ac:dyDescent="0.25">
      <c r="A1110">
        <v>2882</v>
      </c>
      <c r="B1110" s="10">
        <v>45661</v>
      </c>
      <c r="C1110">
        <v>4</v>
      </c>
      <c r="D1110" t="s">
        <v>130</v>
      </c>
      <c r="E1110" t="s">
        <v>133</v>
      </c>
      <c r="F1110" t="s">
        <v>44</v>
      </c>
      <c r="G1110" t="s">
        <v>111</v>
      </c>
      <c r="H1110" t="s">
        <v>37</v>
      </c>
      <c r="I1110" t="s">
        <v>146</v>
      </c>
      <c r="J1110" t="s">
        <v>103</v>
      </c>
      <c r="K1110">
        <v>8</v>
      </c>
      <c r="L1110">
        <v>2700</v>
      </c>
      <c r="M1110">
        <v>21600</v>
      </c>
      <c r="N1110" t="s">
        <v>95</v>
      </c>
      <c r="O1110" t="s">
        <v>104</v>
      </c>
    </row>
    <row r="1111" spans="1:15" x14ac:dyDescent="0.25">
      <c r="A1111">
        <v>2974</v>
      </c>
      <c r="B1111" s="10">
        <v>45784</v>
      </c>
      <c r="C1111">
        <v>7</v>
      </c>
      <c r="D1111" t="s">
        <v>120</v>
      </c>
      <c r="E1111" t="s">
        <v>137</v>
      </c>
      <c r="F1111" t="s">
        <v>113</v>
      </c>
      <c r="G1111" t="s">
        <v>114</v>
      </c>
      <c r="H1111" t="s">
        <v>37</v>
      </c>
      <c r="I1111" t="s">
        <v>38</v>
      </c>
      <c r="J1111" t="s">
        <v>94</v>
      </c>
      <c r="K1111">
        <v>9</v>
      </c>
      <c r="L1111">
        <v>2700</v>
      </c>
      <c r="M1111">
        <v>24300</v>
      </c>
      <c r="N1111" t="s">
        <v>95</v>
      </c>
      <c r="O1111" t="s">
        <v>115</v>
      </c>
    </row>
    <row r="1112" spans="1:15" x14ac:dyDescent="0.25">
      <c r="A1112">
        <v>3001</v>
      </c>
      <c r="B1112" s="10">
        <v>45711</v>
      </c>
      <c r="C1112">
        <v>23</v>
      </c>
      <c r="D1112" t="s">
        <v>97</v>
      </c>
      <c r="E1112" t="s">
        <v>121</v>
      </c>
      <c r="F1112" t="s">
        <v>134</v>
      </c>
      <c r="G1112" t="s">
        <v>100</v>
      </c>
      <c r="H1112" t="s">
        <v>101</v>
      </c>
      <c r="I1112" t="s">
        <v>102</v>
      </c>
      <c r="J1112" t="s">
        <v>94</v>
      </c>
      <c r="K1112">
        <v>10</v>
      </c>
      <c r="L1112">
        <v>2700</v>
      </c>
      <c r="M1112">
        <v>27000</v>
      </c>
      <c r="N1112" t="s">
        <v>95</v>
      </c>
      <c r="O1112" t="s">
        <v>104</v>
      </c>
    </row>
    <row r="1113" spans="1:15" x14ac:dyDescent="0.25">
      <c r="A1113">
        <v>3234</v>
      </c>
      <c r="B1113" s="10">
        <v>45665</v>
      </c>
      <c r="C1113">
        <v>8</v>
      </c>
      <c r="D1113" t="s">
        <v>130</v>
      </c>
      <c r="E1113" t="s">
        <v>121</v>
      </c>
      <c r="F1113" t="s">
        <v>44</v>
      </c>
      <c r="G1113" t="s">
        <v>111</v>
      </c>
      <c r="H1113" t="s">
        <v>101</v>
      </c>
      <c r="I1113" t="s">
        <v>127</v>
      </c>
      <c r="J1113" t="s">
        <v>94</v>
      </c>
      <c r="K1113">
        <v>7</v>
      </c>
      <c r="L1113">
        <v>2700</v>
      </c>
      <c r="M1113">
        <v>18900</v>
      </c>
      <c r="N1113" t="s">
        <v>108</v>
      </c>
      <c r="O1113" t="s">
        <v>115</v>
      </c>
    </row>
    <row r="1114" spans="1:15" x14ac:dyDescent="0.25">
      <c r="A1114">
        <v>3284</v>
      </c>
      <c r="B1114" s="10">
        <v>45921</v>
      </c>
      <c r="C1114">
        <v>21</v>
      </c>
      <c r="D1114" t="s">
        <v>147</v>
      </c>
      <c r="E1114" t="s">
        <v>31</v>
      </c>
      <c r="F1114" t="s">
        <v>113</v>
      </c>
      <c r="G1114" t="s">
        <v>114</v>
      </c>
      <c r="H1114" t="s">
        <v>101</v>
      </c>
      <c r="I1114" t="s">
        <v>102</v>
      </c>
      <c r="J1114" t="s">
        <v>103</v>
      </c>
      <c r="K1114">
        <v>36</v>
      </c>
      <c r="L1114">
        <v>2700</v>
      </c>
      <c r="M1114">
        <v>97200</v>
      </c>
      <c r="N1114" t="s">
        <v>95</v>
      </c>
      <c r="O1114" t="s">
        <v>96</v>
      </c>
    </row>
    <row r="1115" spans="1:15" x14ac:dyDescent="0.25">
      <c r="A1115">
        <v>3479</v>
      </c>
      <c r="B1115" s="10">
        <v>45912</v>
      </c>
      <c r="C1115">
        <v>12</v>
      </c>
      <c r="D1115" t="s">
        <v>147</v>
      </c>
      <c r="E1115" t="s">
        <v>142</v>
      </c>
      <c r="F1115" t="s">
        <v>113</v>
      </c>
      <c r="G1115" t="s">
        <v>114</v>
      </c>
      <c r="H1115" t="s">
        <v>101</v>
      </c>
      <c r="I1115" t="s">
        <v>102</v>
      </c>
      <c r="J1115" t="s">
        <v>103</v>
      </c>
      <c r="K1115">
        <v>18</v>
      </c>
      <c r="L1115">
        <v>2700</v>
      </c>
      <c r="M1115">
        <v>48600</v>
      </c>
      <c r="N1115" t="s">
        <v>95</v>
      </c>
      <c r="O1115" t="s">
        <v>104</v>
      </c>
    </row>
    <row r="1116" spans="1:15" x14ac:dyDescent="0.25">
      <c r="A1116">
        <v>3845</v>
      </c>
      <c r="B1116" s="10">
        <v>45832</v>
      </c>
      <c r="C1116">
        <v>24</v>
      </c>
      <c r="D1116" t="s">
        <v>153</v>
      </c>
      <c r="E1116" t="s">
        <v>121</v>
      </c>
      <c r="F1116" t="s">
        <v>113</v>
      </c>
      <c r="G1116" t="s">
        <v>114</v>
      </c>
      <c r="H1116" t="s">
        <v>101</v>
      </c>
      <c r="I1116" t="s">
        <v>127</v>
      </c>
      <c r="J1116" t="s">
        <v>94</v>
      </c>
      <c r="K1116">
        <v>3</v>
      </c>
      <c r="L1116">
        <v>2700</v>
      </c>
      <c r="M1116">
        <v>8100</v>
      </c>
      <c r="N1116" t="s">
        <v>108</v>
      </c>
      <c r="O1116" t="s">
        <v>104</v>
      </c>
    </row>
    <row r="1117" spans="1:15" x14ac:dyDescent="0.25">
      <c r="A1117">
        <v>3993</v>
      </c>
      <c r="B1117" s="10">
        <v>45761</v>
      </c>
      <c r="C1117">
        <v>14</v>
      </c>
      <c r="D1117" t="s">
        <v>105</v>
      </c>
      <c r="E1117" t="s">
        <v>138</v>
      </c>
      <c r="F1117" t="s">
        <v>148</v>
      </c>
      <c r="G1117" t="s">
        <v>118</v>
      </c>
      <c r="H1117" t="s">
        <v>101</v>
      </c>
      <c r="I1117" t="s">
        <v>102</v>
      </c>
      <c r="J1117" t="s">
        <v>94</v>
      </c>
      <c r="K1117">
        <v>1</v>
      </c>
      <c r="L1117">
        <v>2700</v>
      </c>
      <c r="M1117">
        <v>2700</v>
      </c>
      <c r="N1117" t="s">
        <v>108</v>
      </c>
      <c r="O1117" t="s">
        <v>115</v>
      </c>
    </row>
    <row r="1118" spans="1:15" x14ac:dyDescent="0.25">
      <c r="A1118">
        <v>4092</v>
      </c>
      <c r="B1118" s="10">
        <v>45890</v>
      </c>
      <c r="C1118">
        <v>21</v>
      </c>
      <c r="D1118" t="s">
        <v>109</v>
      </c>
      <c r="E1118" t="s">
        <v>98</v>
      </c>
      <c r="F1118" t="s">
        <v>28</v>
      </c>
      <c r="G1118" t="s">
        <v>126</v>
      </c>
      <c r="H1118" t="s">
        <v>37</v>
      </c>
      <c r="I1118" t="s">
        <v>38</v>
      </c>
      <c r="J1118" t="s">
        <v>94</v>
      </c>
      <c r="K1118">
        <v>5</v>
      </c>
      <c r="L1118">
        <v>2700</v>
      </c>
      <c r="M1118">
        <v>13500</v>
      </c>
      <c r="N1118" t="s">
        <v>95</v>
      </c>
      <c r="O1118" t="s">
        <v>104</v>
      </c>
    </row>
    <row r="1119" spans="1:15" x14ac:dyDescent="0.25">
      <c r="A1119">
        <v>4232</v>
      </c>
      <c r="B1119" s="10">
        <v>45942</v>
      </c>
      <c r="C1119">
        <v>12</v>
      </c>
      <c r="D1119" t="s">
        <v>136</v>
      </c>
      <c r="E1119" t="s">
        <v>98</v>
      </c>
      <c r="F1119" t="s">
        <v>44</v>
      </c>
      <c r="G1119" t="s">
        <v>111</v>
      </c>
      <c r="H1119" t="s">
        <v>101</v>
      </c>
      <c r="I1119" t="s">
        <v>102</v>
      </c>
      <c r="J1119" t="s">
        <v>103</v>
      </c>
      <c r="K1119">
        <v>5</v>
      </c>
      <c r="L1119">
        <v>2700</v>
      </c>
      <c r="M1119">
        <v>13500</v>
      </c>
      <c r="N1119" t="s">
        <v>95</v>
      </c>
      <c r="O1119" t="s">
        <v>115</v>
      </c>
    </row>
    <row r="1120" spans="1:15" x14ac:dyDescent="0.25">
      <c r="A1120">
        <v>4399</v>
      </c>
      <c r="B1120" s="10">
        <v>45865</v>
      </c>
      <c r="C1120">
        <v>27</v>
      </c>
      <c r="D1120" t="s">
        <v>145</v>
      </c>
      <c r="E1120" t="s">
        <v>133</v>
      </c>
      <c r="F1120" t="s">
        <v>148</v>
      </c>
      <c r="G1120" t="s">
        <v>118</v>
      </c>
      <c r="H1120" t="s">
        <v>101</v>
      </c>
      <c r="I1120" t="s">
        <v>102</v>
      </c>
      <c r="J1120" t="s">
        <v>103</v>
      </c>
      <c r="K1120">
        <v>47</v>
      </c>
      <c r="L1120">
        <v>2700</v>
      </c>
      <c r="M1120">
        <v>126900</v>
      </c>
      <c r="N1120" t="s">
        <v>108</v>
      </c>
      <c r="O1120" t="s">
        <v>115</v>
      </c>
    </row>
    <row r="1121" spans="1:15" x14ac:dyDescent="0.25">
      <c r="A1121">
        <v>4798</v>
      </c>
      <c r="B1121" s="10">
        <v>45678</v>
      </c>
      <c r="C1121">
        <v>21</v>
      </c>
      <c r="D1121" t="s">
        <v>130</v>
      </c>
      <c r="E1121" t="s">
        <v>133</v>
      </c>
      <c r="F1121" t="s">
        <v>122</v>
      </c>
      <c r="G1121" t="s">
        <v>114</v>
      </c>
      <c r="H1121" t="s">
        <v>37</v>
      </c>
      <c r="I1121" t="s">
        <v>146</v>
      </c>
      <c r="J1121" t="s">
        <v>103</v>
      </c>
      <c r="K1121">
        <v>49</v>
      </c>
      <c r="L1121">
        <v>2700</v>
      </c>
      <c r="M1121">
        <v>132300</v>
      </c>
      <c r="N1121" t="s">
        <v>95</v>
      </c>
      <c r="O1121" t="s">
        <v>104</v>
      </c>
    </row>
    <row r="1122" spans="1:15" x14ac:dyDescent="0.25">
      <c r="A1122">
        <v>4817</v>
      </c>
      <c r="B1122" s="10">
        <v>45868</v>
      </c>
      <c r="C1122">
        <v>30</v>
      </c>
      <c r="D1122" t="s">
        <v>145</v>
      </c>
      <c r="E1122" t="s">
        <v>133</v>
      </c>
      <c r="F1122" t="s">
        <v>44</v>
      </c>
      <c r="G1122" t="s">
        <v>111</v>
      </c>
      <c r="H1122" t="s">
        <v>37</v>
      </c>
      <c r="I1122" t="s">
        <v>38</v>
      </c>
      <c r="J1122" t="s">
        <v>94</v>
      </c>
      <c r="K1122">
        <v>7</v>
      </c>
      <c r="L1122">
        <v>2700</v>
      </c>
      <c r="M1122">
        <v>18900</v>
      </c>
      <c r="N1122" t="s">
        <v>95</v>
      </c>
      <c r="O1122" t="s">
        <v>115</v>
      </c>
    </row>
    <row r="1123" spans="1:15" x14ac:dyDescent="0.25">
      <c r="A1123">
        <v>4938</v>
      </c>
      <c r="B1123" s="10">
        <v>45695</v>
      </c>
      <c r="C1123">
        <v>7</v>
      </c>
      <c r="D1123" t="s">
        <v>97</v>
      </c>
      <c r="E1123" t="s">
        <v>138</v>
      </c>
      <c r="F1123" t="s">
        <v>44</v>
      </c>
      <c r="G1123" t="s">
        <v>111</v>
      </c>
      <c r="H1123" t="s">
        <v>101</v>
      </c>
      <c r="I1123" t="s">
        <v>127</v>
      </c>
      <c r="J1123" t="s">
        <v>94</v>
      </c>
      <c r="K1123">
        <v>7</v>
      </c>
      <c r="L1123">
        <v>2700</v>
      </c>
      <c r="M1123">
        <v>18900</v>
      </c>
      <c r="N1123" t="s">
        <v>108</v>
      </c>
      <c r="O1123" t="s">
        <v>115</v>
      </c>
    </row>
    <row r="1124" spans="1:15" x14ac:dyDescent="0.25">
      <c r="A1124">
        <v>39</v>
      </c>
      <c r="B1124" s="10">
        <v>45662</v>
      </c>
      <c r="C1124">
        <v>5</v>
      </c>
      <c r="D1124" t="s">
        <v>130</v>
      </c>
      <c r="E1124" t="s">
        <v>133</v>
      </c>
      <c r="F1124" t="s">
        <v>148</v>
      </c>
      <c r="G1124" t="s">
        <v>118</v>
      </c>
      <c r="H1124" t="s">
        <v>101</v>
      </c>
      <c r="I1124" t="s">
        <v>102</v>
      </c>
      <c r="J1124" t="s">
        <v>94</v>
      </c>
      <c r="K1124">
        <v>9</v>
      </c>
      <c r="L1124">
        <v>2800</v>
      </c>
      <c r="M1124">
        <v>25200</v>
      </c>
      <c r="N1124" t="s">
        <v>95</v>
      </c>
      <c r="O1124" t="s">
        <v>96</v>
      </c>
    </row>
    <row r="1125" spans="1:15" x14ac:dyDescent="0.25">
      <c r="A1125">
        <v>135</v>
      </c>
      <c r="B1125" s="10">
        <v>45912</v>
      </c>
      <c r="C1125">
        <v>12</v>
      </c>
      <c r="D1125" t="s">
        <v>147</v>
      </c>
      <c r="E1125" t="s">
        <v>121</v>
      </c>
      <c r="F1125" t="s">
        <v>144</v>
      </c>
      <c r="G1125" t="s">
        <v>91</v>
      </c>
      <c r="H1125" t="s">
        <v>37</v>
      </c>
      <c r="I1125" t="s">
        <v>146</v>
      </c>
      <c r="J1125" t="s">
        <v>103</v>
      </c>
      <c r="K1125">
        <v>19</v>
      </c>
      <c r="L1125">
        <v>2800</v>
      </c>
      <c r="M1125">
        <v>53200</v>
      </c>
      <c r="N1125" t="s">
        <v>95</v>
      </c>
      <c r="O1125" t="s">
        <v>96</v>
      </c>
    </row>
    <row r="1126" spans="1:15" x14ac:dyDescent="0.25">
      <c r="A1126">
        <v>272</v>
      </c>
      <c r="B1126" s="10">
        <v>45991</v>
      </c>
      <c r="C1126">
        <v>30</v>
      </c>
      <c r="D1126" t="s">
        <v>90</v>
      </c>
      <c r="E1126" t="s">
        <v>110</v>
      </c>
      <c r="F1126" t="s">
        <v>49</v>
      </c>
      <c r="G1126" t="s">
        <v>118</v>
      </c>
      <c r="H1126" t="s">
        <v>101</v>
      </c>
      <c r="I1126" t="s">
        <v>102</v>
      </c>
      <c r="J1126" t="s">
        <v>94</v>
      </c>
      <c r="K1126">
        <v>7</v>
      </c>
      <c r="L1126">
        <v>2800</v>
      </c>
      <c r="M1126">
        <v>19600</v>
      </c>
      <c r="N1126" t="s">
        <v>95</v>
      </c>
      <c r="O1126" t="s">
        <v>104</v>
      </c>
    </row>
    <row r="1127" spans="1:15" x14ac:dyDescent="0.25">
      <c r="A1127">
        <v>693</v>
      </c>
      <c r="B1127" s="10">
        <v>45878</v>
      </c>
      <c r="C1127">
        <v>9</v>
      </c>
      <c r="D1127" t="s">
        <v>109</v>
      </c>
      <c r="E1127" t="s">
        <v>150</v>
      </c>
      <c r="F1127" t="s">
        <v>122</v>
      </c>
      <c r="G1127" t="s">
        <v>114</v>
      </c>
      <c r="H1127" t="s">
        <v>101</v>
      </c>
      <c r="I1127" t="s">
        <v>102</v>
      </c>
      <c r="J1127" t="s">
        <v>94</v>
      </c>
      <c r="K1127">
        <v>7</v>
      </c>
      <c r="L1127">
        <v>2800</v>
      </c>
      <c r="M1127">
        <v>19600</v>
      </c>
      <c r="N1127" t="s">
        <v>108</v>
      </c>
      <c r="O1127" t="s">
        <v>115</v>
      </c>
    </row>
    <row r="1128" spans="1:15" x14ac:dyDescent="0.25">
      <c r="A1128">
        <v>1074</v>
      </c>
      <c r="B1128" s="10">
        <v>45783</v>
      </c>
      <c r="C1128">
        <v>6</v>
      </c>
      <c r="D1128" t="s">
        <v>120</v>
      </c>
      <c r="E1128" t="s">
        <v>98</v>
      </c>
      <c r="F1128" t="s">
        <v>113</v>
      </c>
      <c r="G1128" t="s">
        <v>114</v>
      </c>
      <c r="H1128" t="s">
        <v>37</v>
      </c>
      <c r="I1128" t="s">
        <v>146</v>
      </c>
      <c r="J1128" t="s">
        <v>103</v>
      </c>
      <c r="K1128">
        <v>43</v>
      </c>
      <c r="L1128">
        <v>2800</v>
      </c>
      <c r="M1128">
        <v>120400</v>
      </c>
      <c r="N1128" t="s">
        <v>108</v>
      </c>
      <c r="O1128" t="s">
        <v>104</v>
      </c>
    </row>
    <row r="1129" spans="1:15" x14ac:dyDescent="0.25">
      <c r="A1129">
        <v>1103</v>
      </c>
      <c r="B1129" s="10">
        <v>45779</v>
      </c>
      <c r="C1129">
        <v>2</v>
      </c>
      <c r="D1129" t="s">
        <v>120</v>
      </c>
      <c r="E1129" t="s">
        <v>137</v>
      </c>
      <c r="F1129" t="s">
        <v>141</v>
      </c>
      <c r="G1129" t="s">
        <v>100</v>
      </c>
      <c r="H1129" t="s">
        <v>101</v>
      </c>
      <c r="I1129" t="s">
        <v>102</v>
      </c>
      <c r="J1129" t="s">
        <v>103</v>
      </c>
      <c r="K1129">
        <v>27</v>
      </c>
      <c r="L1129">
        <v>2800</v>
      </c>
      <c r="M1129">
        <v>75600</v>
      </c>
      <c r="N1129" t="s">
        <v>95</v>
      </c>
      <c r="O1129" t="s">
        <v>104</v>
      </c>
    </row>
    <row r="1130" spans="1:15" x14ac:dyDescent="0.25">
      <c r="A1130">
        <v>1397</v>
      </c>
      <c r="B1130" s="10">
        <v>45756</v>
      </c>
      <c r="C1130">
        <v>9</v>
      </c>
      <c r="D1130" t="s">
        <v>105</v>
      </c>
      <c r="E1130" t="s">
        <v>110</v>
      </c>
      <c r="F1130" t="s">
        <v>22</v>
      </c>
      <c r="G1130" t="s">
        <v>91</v>
      </c>
      <c r="H1130" t="s">
        <v>101</v>
      </c>
      <c r="I1130" t="s">
        <v>102</v>
      </c>
      <c r="J1130" t="s">
        <v>94</v>
      </c>
      <c r="K1130">
        <v>4</v>
      </c>
      <c r="L1130">
        <v>2800</v>
      </c>
      <c r="M1130">
        <v>11200</v>
      </c>
      <c r="N1130" t="s">
        <v>108</v>
      </c>
      <c r="O1130" t="s">
        <v>104</v>
      </c>
    </row>
    <row r="1131" spans="1:15" x14ac:dyDescent="0.25">
      <c r="A1131">
        <v>1407</v>
      </c>
      <c r="B1131" s="10">
        <v>46010</v>
      </c>
      <c r="C1131">
        <v>19</v>
      </c>
      <c r="D1131" t="s">
        <v>125</v>
      </c>
      <c r="E1131" t="s">
        <v>25</v>
      </c>
      <c r="F1131" t="s">
        <v>99</v>
      </c>
      <c r="G1131" t="s">
        <v>100</v>
      </c>
      <c r="H1131" t="s">
        <v>37</v>
      </c>
      <c r="I1131" t="s">
        <v>146</v>
      </c>
      <c r="J1131" t="s">
        <v>103</v>
      </c>
      <c r="K1131">
        <v>41</v>
      </c>
      <c r="L1131">
        <v>2800</v>
      </c>
      <c r="M1131">
        <v>114800</v>
      </c>
      <c r="N1131" t="s">
        <v>108</v>
      </c>
      <c r="O1131" t="s">
        <v>104</v>
      </c>
    </row>
    <row r="1132" spans="1:15" x14ac:dyDescent="0.25">
      <c r="A1132">
        <v>1428</v>
      </c>
      <c r="B1132" s="10">
        <v>46009</v>
      </c>
      <c r="C1132">
        <v>18</v>
      </c>
      <c r="D1132" t="s">
        <v>125</v>
      </c>
      <c r="E1132" t="s">
        <v>116</v>
      </c>
      <c r="F1132" t="s">
        <v>141</v>
      </c>
      <c r="G1132" t="s">
        <v>100</v>
      </c>
      <c r="H1132" t="s">
        <v>101</v>
      </c>
      <c r="I1132" t="s">
        <v>102</v>
      </c>
      <c r="J1132" t="s">
        <v>94</v>
      </c>
      <c r="K1132">
        <v>8</v>
      </c>
      <c r="L1132">
        <v>2800</v>
      </c>
      <c r="M1132">
        <v>22400</v>
      </c>
      <c r="N1132" t="s">
        <v>95</v>
      </c>
      <c r="O1132" t="s">
        <v>96</v>
      </c>
    </row>
    <row r="1133" spans="1:15" x14ac:dyDescent="0.25">
      <c r="A1133">
        <v>1524</v>
      </c>
      <c r="B1133" s="10">
        <v>45996</v>
      </c>
      <c r="C1133">
        <v>5</v>
      </c>
      <c r="D1133" t="s">
        <v>125</v>
      </c>
      <c r="E1133" t="s">
        <v>150</v>
      </c>
      <c r="F1133" t="s">
        <v>141</v>
      </c>
      <c r="G1133" t="s">
        <v>100</v>
      </c>
      <c r="H1133" t="s">
        <v>37</v>
      </c>
      <c r="I1133" t="s">
        <v>146</v>
      </c>
      <c r="J1133" t="s">
        <v>103</v>
      </c>
      <c r="K1133">
        <v>34</v>
      </c>
      <c r="L1133">
        <v>2800</v>
      </c>
      <c r="M1133">
        <v>95200</v>
      </c>
      <c r="N1133" t="s">
        <v>95</v>
      </c>
      <c r="O1133" t="s">
        <v>115</v>
      </c>
    </row>
    <row r="1134" spans="1:15" x14ac:dyDescent="0.25">
      <c r="A1134">
        <v>1539</v>
      </c>
      <c r="B1134" s="10">
        <v>45808</v>
      </c>
      <c r="C1134">
        <v>31</v>
      </c>
      <c r="D1134" t="s">
        <v>120</v>
      </c>
      <c r="E1134" t="s">
        <v>128</v>
      </c>
      <c r="F1134" t="s">
        <v>49</v>
      </c>
      <c r="G1134" t="s">
        <v>118</v>
      </c>
      <c r="H1134" t="s">
        <v>37</v>
      </c>
      <c r="I1134" t="s">
        <v>146</v>
      </c>
      <c r="J1134" t="s">
        <v>103</v>
      </c>
      <c r="K1134">
        <v>19</v>
      </c>
      <c r="L1134">
        <v>2800</v>
      </c>
      <c r="M1134">
        <v>53200</v>
      </c>
      <c r="N1134" t="s">
        <v>108</v>
      </c>
      <c r="O1134" t="s">
        <v>115</v>
      </c>
    </row>
    <row r="1135" spans="1:15" x14ac:dyDescent="0.25">
      <c r="A1135">
        <v>1898</v>
      </c>
      <c r="B1135" s="10">
        <v>45977</v>
      </c>
      <c r="C1135">
        <v>16</v>
      </c>
      <c r="D1135" t="s">
        <v>90</v>
      </c>
      <c r="E1135" t="s">
        <v>25</v>
      </c>
      <c r="F1135" t="s">
        <v>99</v>
      </c>
      <c r="G1135" t="s">
        <v>100</v>
      </c>
      <c r="H1135" t="s">
        <v>101</v>
      </c>
      <c r="I1135" t="s">
        <v>102</v>
      </c>
      <c r="J1135" t="s">
        <v>103</v>
      </c>
      <c r="K1135">
        <v>29</v>
      </c>
      <c r="L1135">
        <v>2800</v>
      </c>
      <c r="M1135">
        <v>81200</v>
      </c>
      <c r="N1135" t="s">
        <v>95</v>
      </c>
      <c r="O1135" t="s">
        <v>115</v>
      </c>
    </row>
    <row r="1136" spans="1:15" x14ac:dyDescent="0.25">
      <c r="A1136">
        <v>2024</v>
      </c>
      <c r="B1136" s="10">
        <v>45989</v>
      </c>
      <c r="C1136">
        <v>28</v>
      </c>
      <c r="D1136" t="s">
        <v>90</v>
      </c>
      <c r="E1136" t="s">
        <v>112</v>
      </c>
      <c r="F1136" t="s">
        <v>151</v>
      </c>
      <c r="G1136" t="s">
        <v>111</v>
      </c>
      <c r="H1136" t="s">
        <v>37</v>
      </c>
      <c r="I1136" t="s">
        <v>146</v>
      </c>
      <c r="J1136" t="s">
        <v>103</v>
      </c>
      <c r="K1136">
        <v>35</v>
      </c>
      <c r="L1136">
        <v>2800</v>
      </c>
      <c r="M1136">
        <v>98000</v>
      </c>
      <c r="N1136" t="s">
        <v>108</v>
      </c>
      <c r="O1136" t="s">
        <v>96</v>
      </c>
    </row>
    <row r="1137" spans="1:15" x14ac:dyDescent="0.25">
      <c r="A1137">
        <v>2094</v>
      </c>
      <c r="B1137" s="10">
        <v>45803</v>
      </c>
      <c r="C1137">
        <v>26</v>
      </c>
      <c r="D1137" t="s">
        <v>120</v>
      </c>
      <c r="E1137" t="s">
        <v>25</v>
      </c>
      <c r="F1137" t="s">
        <v>134</v>
      </c>
      <c r="G1137" t="s">
        <v>100</v>
      </c>
      <c r="H1137" t="s">
        <v>37</v>
      </c>
      <c r="I1137" t="s">
        <v>146</v>
      </c>
      <c r="J1137" t="s">
        <v>103</v>
      </c>
      <c r="K1137">
        <v>33</v>
      </c>
      <c r="L1137">
        <v>2800</v>
      </c>
      <c r="M1137">
        <v>92400</v>
      </c>
      <c r="N1137" t="s">
        <v>108</v>
      </c>
      <c r="O1137" t="s">
        <v>96</v>
      </c>
    </row>
    <row r="1138" spans="1:15" x14ac:dyDescent="0.25">
      <c r="A1138">
        <v>2166</v>
      </c>
      <c r="B1138" s="10">
        <v>45762</v>
      </c>
      <c r="C1138">
        <v>15</v>
      </c>
      <c r="D1138" t="s">
        <v>105</v>
      </c>
      <c r="E1138" t="s">
        <v>133</v>
      </c>
      <c r="F1138" t="s">
        <v>134</v>
      </c>
      <c r="G1138" t="s">
        <v>100</v>
      </c>
      <c r="H1138" t="s">
        <v>101</v>
      </c>
      <c r="I1138" t="s">
        <v>102</v>
      </c>
      <c r="J1138" t="s">
        <v>94</v>
      </c>
      <c r="K1138">
        <v>9</v>
      </c>
      <c r="L1138">
        <v>2800</v>
      </c>
      <c r="M1138">
        <v>25200</v>
      </c>
      <c r="N1138" t="s">
        <v>108</v>
      </c>
      <c r="O1138" t="s">
        <v>96</v>
      </c>
    </row>
    <row r="1139" spans="1:15" x14ac:dyDescent="0.25">
      <c r="A1139">
        <v>2305</v>
      </c>
      <c r="B1139" s="10">
        <v>45937</v>
      </c>
      <c r="C1139">
        <v>7</v>
      </c>
      <c r="D1139" t="s">
        <v>136</v>
      </c>
      <c r="E1139" t="s">
        <v>128</v>
      </c>
      <c r="F1139" t="s">
        <v>144</v>
      </c>
      <c r="G1139" t="s">
        <v>91</v>
      </c>
      <c r="H1139" t="s">
        <v>101</v>
      </c>
      <c r="I1139" t="s">
        <v>102</v>
      </c>
      <c r="J1139" t="s">
        <v>103</v>
      </c>
      <c r="K1139">
        <v>30</v>
      </c>
      <c r="L1139">
        <v>2800</v>
      </c>
      <c r="M1139">
        <v>84000</v>
      </c>
      <c r="N1139" t="s">
        <v>95</v>
      </c>
      <c r="O1139" t="s">
        <v>115</v>
      </c>
    </row>
    <row r="1140" spans="1:15" x14ac:dyDescent="0.25">
      <c r="A1140">
        <v>2576</v>
      </c>
      <c r="B1140" s="10">
        <v>45683</v>
      </c>
      <c r="C1140">
        <v>26</v>
      </c>
      <c r="D1140" t="s">
        <v>130</v>
      </c>
      <c r="E1140" t="s">
        <v>112</v>
      </c>
      <c r="F1140" t="s">
        <v>117</v>
      </c>
      <c r="G1140" t="s">
        <v>118</v>
      </c>
      <c r="H1140" t="s">
        <v>37</v>
      </c>
      <c r="I1140" t="s">
        <v>146</v>
      </c>
      <c r="J1140" t="s">
        <v>103</v>
      </c>
      <c r="K1140">
        <v>39</v>
      </c>
      <c r="L1140">
        <v>2800</v>
      </c>
      <c r="M1140">
        <v>109200</v>
      </c>
      <c r="N1140" t="s">
        <v>95</v>
      </c>
      <c r="O1140" t="s">
        <v>104</v>
      </c>
    </row>
    <row r="1141" spans="1:15" x14ac:dyDescent="0.25">
      <c r="A1141">
        <v>2587</v>
      </c>
      <c r="B1141" s="10">
        <v>45840</v>
      </c>
      <c r="C1141">
        <v>2</v>
      </c>
      <c r="D1141" t="s">
        <v>145</v>
      </c>
      <c r="E1141" t="s">
        <v>142</v>
      </c>
      <c r="F1141" t="s">
        <v>144</v>
      </c>
      <c r="G1141" t="s">
        <v>91</v>
      </c>
      <c r="H1141" t="s">
        <v>101</v>
      </c>
      <c r="I1141" t="s">
        <v>102</v>
      </c>
      <c r="J1141" t="s">
        <v>94</v>
      </c>
      <c r="K1141">
        <v>3</v>
      </c>
      <c r="L1141">
        <v>2800</v>
      </c>
      <c r="M1141">
        <v>8400</v>
      </c>
      <c r="N1141" t="s">
        <v>95</v>
      </c>
      <c r="O1141" t="s">
        <v>96</v>
      </c>
    </row>
    <row r="1142" spans="1:15" x14ac:dyDescent="0.25">
      <c r="A1142">
        <v>2675</v>
      </c>
      <c r="B1142" s="10">
        <v>45792</v>
      </c>
      <c r="C1142">
        <v>15</v>
      </c>
      <c r="D1142" t="s">
        <v>120</v>
      </c>
      <c r="E1142" t="s">
        <v>121</v>
      </c>
      <c r="F1142" t="s">
        <v>144</v>
      </c>
      <c r="G1142" t="s">
        <v>91</v>
      </c>
      <c r="H1142" t="s">
        <v>37</v>
      </c>
      <c r="I1142" t="s">
        <v>146</v>
      </c>
      <c r="J1142" t="s">
        <v>103</v>
      </c>
      <c r="K1142">
        <v>50</v>
      </c>
      <c r="L1142">
        <v>2800</v>
      </c>
      <c r="M1142">
        <v>140000</v>
      </c>
      <c r="N1142" t="s">
        <v>108</v>
      </c>
      <c r="O1142" t="s">
        <v>104</v>
      </c>
    </row>
    <row r="1143" spans="1:15" x14ac:dyDescent="0.25">
      <c r="A1143">
        <v>2916</v>
      </c>
      <c r="B1143" s="10">
        <v>45675</v>
      </c>
      <c r="C1143">
        <v>18</v>
      </c>
      <c r="D1143" t="s">
        <v>130</v>
      </c>
      <c r="E1143" t="s">
        <v>137</v>
      </c>
      <c r="F1143" t="s">
        <v>113</v>
      </c>
      <c r="G1143" t="s">
        <v>114</v>
      </c>
      <c r="H1143" t="s">
        <v>101</v>
      </c>
      <c r="I1143" t="s">
        <v>102</v>
      </c>
      <c r="J1143" t="s">
        <v>103</v>
      </c>
      <c r="K1143">
        <v>21</v>
      </c>
      <c r="L1143">
        <v>2800</v>
      </c>
      <c r="M1143">
        <v>58800</v>
      </c>
      <c r="N1143" t="s">
        <v>108</v>
      </c>
      <c r="O1143" t="s">
        <v>104</v>
      </c>
    </row>
    <row r="1144" spans="1:15" x14ac:dyDescent="0.25">
      <c r="A1144">
        <v>3396</v>
      </c>
      <c r="B1144" s="10">
        <v>46001</v>
      </c>
      <c r="C1144">
        <v>10</v>
      </c>
      <c r="D1144" t="s">
        <v>125</v>
      </c>
      <c r="E1144" t="s">
        <v>31</v>
      </c>
      <c r="F1144" t="s">
        <v>151</v>
      </c>
      <c r="G1144" t="s">
        <v>111</v>
      </c>
      <c r="H1144" t="s">
        <v>101</v>
      </c>
      <c r="I1144" t="s">
        <v>102</v>
      </c>
      <c r="J1144" t="s">
        <v>94</v>
      </c>
      <c r="K1144">
        <v>9</v>
      </c>
      <c r="L1144">
        <v>2800</v>
      </c>
      <c r="M1144">
        <v>25200</v>
      </c>
      <c r="N1144" t="s">
        <v>108</v>
      </c>
      <c r="O1144" t="s">
        <v>104</v>
      </c>
    </row>
    <row r="1145" spans="1:15" x14ac:dyDescent="0.25">
      <c r="A1145">
        <v>3456</v>
      </c>
      <c r="B1145" s="10">
        <v>45681</v>
      </c>
      <c r="C1145">
        <v>24</v>
      </c>
      <c r="D1145" t="s">
        <v>130</v>
      </c>
      <c r="E1145" t="s">
        <v>116</v>
      </c>
      <c r="F1145" t="s">
        <v>107</v>
      </c>
      <c r="G1145" t="s">
        <v>100</v>
      </c>
      <c r="H1145" t="s">
        <v>37</v>
      </c>
      <c r="I1145" t="s">
        <v>38</v>
      </c>
      <c r="J1145" t="s">
        <v>94</v>
      </c>
      <c r="K1145">
        <v>3</v>
      </c>
      <c r="L1145">
        <v>2800</v>
      </c>
      <c r="M1145">
        <v>8400</v>
      </c>
      <c r="N1145" t="s">
        <v>95</v>
      </c>
      <c r="O1145" t="s">
        <v>115</v>
      </c>
    </row>
    <row r="1146" spans="1:15" x14ac:dyDescent="0.25">
      <c r="A1146">
        <v>4187</v>
      </c>
      <c r="B1146" s="10">
        <v>45931</v>
      </c>
      <c r="C1146">
        <v>1</v>
      </c>
      <c r="D1146" t="s">
        <v>136</v>
      </c>
      <c r="E1146" t="s">
        <v>106</v>
      </c>
      <c r="F1146" t="s">
        <v>134</v>
      </c>
      <c r="G1146" t="s">
        <v>100</v>
      </c>
      <c r="H1146" t="s">
        <v>101</v>
      </c>
      <c r="I1146" t="s">
        <v>127</v>
      </c>
      <c r="J1146" t="s">
        <v>94</v>
      </c>
      <c r="K1146">
        <v>4</v>
      </c>
      <c r="L1146">
        <v>2800</v>
      </c>
      <c r="M1146">
        <v>11200</v>
      </c>
      <c r="N1146" t="s">
        <v>95</v>
      </c>
      <c r="O1146" t="s">
        <v>96</v>
      </c>
    </row>
    <row r="1147" spans="1:15" x14ac:dyDescent="0.25">
      <c r="A1147">
        <v>4466</v>
      </c>
      <c r="B1147" s="10">
        <v>45893</v>
      </c>
      <c r="C1147">
        <v>24</v>
      </c>
      <c r="D1147" t="s">
        <v>109</v>
      </c>
      <c r="E1147" t="s">
        <v>142</v>
      </c>
      <c r="F1147" t="s">
        <v>99</v>
      </c>
      <c r="G1147" t="s">
        <v>100</v>
      </c>
      <c r="H1147" t="s">
        <v>101</v>
      </c>
      <c r="I1147" t="s">
        <v>102</v>
      </c>
      <c r="J1147" t="s">
        <v>94</v>
      </c>
      <c r="K1147">
        <v>7</v>
      </c>
      <c r="L1147">
        <v>2800</v>
      </c>
      <c r="M1147">
        <v>19600</v>
      </c>
      <c r="N1147" t="s">
        <v>95</v>
      </c>
      <c r="O1147" t="s">
        <v>104</v>
      </c>
    </row>
    <row r="1148" spans="1:15" x14ac:dyDescent="0.25">
      <c r="A1148">
        <v>4511</v>
      </c>
      <c r="B1148" s="10">
        <v>45734</v>
      </c>
      <c r="C1148">
        <v>18</v>
      </c>
      <c r="D1148" t="s">
        <v>140</v>
      </c>
      <c r="E1148" t="s">
        <v>25</v>
      </c>
      <c r="F1148" t="s">
        <v>122</v>
      </c>
      <c r="G1148" t="s">
        <v>114</v>
      </c>
      <c r="H1148" t="s">
        <v>37</v>
      </c>
      <c r="I1148" t="s">
        <v>146</v>
      </c>
      <c r="J1148" t="s">
        <v>103</v>
      </c>
      <c r="K1148">
        <v>17</v>
      </c>
      <c r="L1148">
        <v>2800</v>
      </c>
      <c r="M1148">
        <v>47600</v>
      </c>
      <c r="N1148" t="s">
        <v>95</v>
      </c>
      <c r="O1148" t="s">
        <v>104</v>
      </c>
    </row>
    <row r="1149" spans="1:15" x14ac:dyDescent="0.25">
      <c r="A1149">
        <v>4646</v>
      </c>
      <c r="B1149" s="10">
        <v>45878</v>
      </c>
      <c r="C1149">
        <v>9</v>
      </c>
      <c r="D1149" t="s">
        <v>109</v>
      </c>
      <c r="E1149" t="s">
        <v>133</v>
      </c>
      <c r="F1149" t="s">
        <v>44</v>
      </c>
      <c r="G1149" t="s">
        <v>111</v>
      </c>
      <c r="H1149" t="s">
        <v>101</v>
      </c>
      <c r="I1149" t="s">
        <v>102</v>
      </c>
      <c r="J1149" t="s">
        <v>103</v>
      </c>
      <c r="K1149">
        <v>24</v>
      </c>
      <c r="L1149">
        <v>2800</v>
      </c>
      <c r="M1149">
        <v>67200</v>
      </c>
      <c r="N1149" t="s">
        <v>95</v>
      </c>
      <c r="O1149" t="s">
        <v>104</v>
      </c>
    </row>
    <row r="1150" spans="1:15" x14ac:dyDescent="0.25">
      <c r="A1150">
        <v>4672</v>
      </c>
      <c r="B1150" s="10">
        <v>45872</v>
      </c>
      <c r="C1150">
        <v>3</v>
      </c>
      <c r="D1150" t="s">
        <v>109</v>
      </c>
      <c r="E1150" t="s">
        <v>98</v>
      </c>
      <c r="F1150" t="s">
        <v>117</v>
      </c>
      <c r="G1150" t="s">
        <v>118</v>
      </c>
      <c r="H1150" t="s">
        <v>101</v>
      </c>
      <c r="I1150" t="s">
        <v>102</v>
      </c>
      <c r="J1150" t="s">
        <v>94</v>
      </c>
      <c r="K1150">
        <v>9</v>
      </c>
      <c r="L1150">
        <v>2800</v>
      </c>
      <c r="M1150">
        <v>25200</v>
      </c>
      <c r="N1150" t="s">
        <v>95</v>
      </c>
      <c r="O1150" t="s">
        <v>104</v>
      </c>
    </row>
    <row r="1151" spans="1:15" x14ac:dyDescent="0.25">
      <c r="A1151">
        <v>4876</v>
      </c>
      <c r="B1151" s="10">
        <v>45992</v>
      </c>
      <c r="C1151">
        <v>1</v>
      </c>
      <c r="D1151" t="s">
        <v>125</v>
      </c>
      <c r="E1151" t="s">
        <v>106</v>
      </c>
      <c r="F1151" t="s">
        <v>99</v>
      </c>
      <c r="G1151" t="s">
        <v>100</v>
      </c>
      <c r="H1151" t="s">
        <v>37</v>
      </c>
      <c r="I1151" t="s">
        <v>146</v>
      </c>
      <c r="J1151" t="s">
        <v>103</v>
      </c>
      <c r="K1151">
        <v>47</v>
      </c>
      <c r="L1151">
        <v>2800</v>
      </c>
      <c r="M1151">
        <v>131600</v>
      </c>
      <c r="N1151" t="s">
        <v>95</v>
      </c>
      <c r="O1151" t="s">
        <v>115</v>
      </c>
    </row>
    <row r="1152" spans="1:15" x14ac:dyDescent="0.25">
      <c r="A1152">
        <v>538</v>
      </c>
      <c r="B1152" s="10">
        <v>45685</v>
      </c>
      <c r="C1152">
        <v>28</v>
      </c>
      <c r="D1152" t="s">
        <v>130</v>
      </c>
      <c r="E1152" t="s">
        <v>25</v>
      </c>
      <c r="F1152" t="s">
        <v>99</v>
      </c>
      <c r="G1152" t="s">
        <v>100</v>
      </c>
      <c r="H1152" t="s">
        <v>37</v>
      </c>
      <c r="I1152" t="s">
        <v>146</v>
      </c>
      <c r="J1152" t="s">
        <v>103</v>
      </c>
      <c r="K1152">
        <v>19</v>
      </c>
      <c r="L1152">
        <v>2900</v>
      </c>
      <c r="M1152">
        <v>55100</v>
      </c>
      <c r="N1152" t="s">
        <v>108</v>
      </c>
      <c r="O1152" t="s">
        <v>96</v>
      </c>
    </row>
    <row r="1153" spans="1:15" x14ac:dyDescent="0.25">
      <c r="A1153">
        <v>546</v>
      </c>
      <c r="B1153" s="10">
        <v>45974</v>
      </c>
      <c r="C1153">
        <v>13</v>
      </c>
      <c r="D1153" t="s">
        <v>90</v>
      </c>
      <c r="E1153" t="s">
        <v>137</v>
      </c>
      <c r="F1153" t="s">
        <v>151</v>
      </c>
      <c r="G1153" t="s">
        <v>111</v>
      </c>
      <c r="H1153" t="s">
        <v>101</v>
      </c>
      <c r="I1153" t="s">
        <v>102</v>
      </c>
      <c r="J1153" t="s">
        <v>94</v>
      </c>
      <c r="K1153">
        <v>6</v>
      </c>
      <c r="L1153">
        <v>2900</v>
      </c>
      <c r="M1153">
        <v>17400</v>
      </c>
      <c r="N1153" t="s">
        <v>108</v>
      </c>
      <c r="O1153" t="s">
        <v>104</v>
      </c>
    </row>
    <row r="1154" spans="1:15" x14ac:dyDescent="0.25">
      <c r="A1154">
        <v>550</v>
      </c>
      <c r="B1154" s="10">
        <v>45743</v>
      </c>
      <c r="C1154">
        <v>27</v>
      </c>
      <c r="D1154" t="s">
        <v>140</v>
      </c>
      <c r="E1154" t="s">
        <v>112</v>
      </c>
      <c r="F1154" t="s">
        <v>107</v>
      </c>
      <c r="G1154" t="s">
        <v>100</v>
      </c>
      <c r="H1154" t="s">
        <v>101</v>
      </c>
      <c r="I1154" t="s">
        <v>102</v>
      </c>
      <c r="J1154" t="s">
        <v>94</v>
      </c>
      <c r="K1154">
        <v>4</v>
      </c>
      <c r="L1154">
        <v>2900</v>
      </c>
      <c r="M1154">
        <v>11600</v>
      </c>
      <c r="N1154" t="s">
        <v>95</v>
      </c>
      <c r="O1154" t="s">
        <v>96</v>
      </c>
    </row>
    <row r="1155" spans="1:15" x14ac:dyDescent="0.25">
      <c r="A1155">
        <v>588</v>
      </c>
      <c r="B1155" s="10">
        <v>45901</v>
      </c>
      <c r="C1155">
        <v>1</v>
      </c>
      <c r="D1155" t="s">
        <v>147</v>
      </c>
      <c r="E1155" t="s">
        <v>128</v>
      </c>
      <c r="F1155" t="s">
        <v>148</v>
      </c>
      <c r="G1155" t="s">
        <v>118</v>
      </c>
      <c r="H1155" t="s">
        <v>101</v>
      </c>
      <c r="I1155" t="s">
        <v>102</v>
      </c>
      <c r="J1155" t="s">
        <v>94</v>
      </c>
      <c r="K1155">
        <v>2</v>
      </c>
      <c r="L1155">
        <v>2900</v>
      </c>
      <c r="M1155">
        <v>5800</v>
      </c>
      <c r="N1155" t="s">
        <v>108</v>
      </c>
      <c r="O1155" t="s">
        <v>96</v>
      </c>
    </row>
    <row r="1156" spans="1:15" x14ac:dyDescent="0.25">
      <c r="A1156">
        <v>607</v>
      </c>
      <c r="B1156" s="10">
        <v>45864</v>
      </c>
      <c r="C1156">
        <v>26</v>
      </c>
      <c r="D1156" t="s">
        <v>145</v>
      </c>
      <c r="E1156" t="s">
        <v>110</v>
      </c>
      <c r="F1156" t="s">
        <v>22</v>
      </c>
      <c r="G1156" t="s">
        <v>91</v>
      </c>
      <c r="H1156" t="s">
        <v>37</v>
      </c>
      <c r="I1156" t="s">
        <v>146</v>
      </c>
      <c r="J1156" t="s">
        <v>103</v>
      </c>
      <c r="K1156">
        <v>37</v>
      </c>
      <c r="L1156">
        <v>2900</v>
      </c>
      <c r="M1156">
        <v>107300</v>
      </c>
      <c r="N1156" t="s">
        <v>95</v>
      </c>
      <c r="O1156" t="s">
        <v>96</v>
      </c>
    </row>
    <row r="1157" spans="1:15" x14ac:dyDescent="0.25">
      <c r="A1157">
        <v>703</v>
      </c>
      <c r="B1157" s="10">
        <v>45759</v>
      </c>
      <c r="C1157">
        <v>12</v>
      </c>
      <c r="D1157" t="s">
        <v>105</v>
      </c>
      <c r="E1157" t="s">
        <v>137</v>
      </c>
      <c r="F1157" t="s">
        <v>151</v>
      </c>
      <c r="G1157" t="s">
        <v>111</v>
      </c>
      <c r="H1157" t="s">
        <v>101</v>
      </c>
      <c r="I1157" t="s">
        <v>102</v>
      </c>
      <c r="J1157" t="s">
        <v>94</v>
      </c>
      <c r="K1157">
        <v>4</v>
      </c>
      <c r="L1157">
        <v>2900</v>
      </c>
      <c r="M1157">
        <v>11600</v>
      </c>
      <c r="N1157" t="s">
        <v>108</v>
      </c>
      <c r="O1157" t="s">
        <v>115</v>
      </c>
    </row>
    <row r="1158" spans="1:15" x14ac:dyDescent="0.25">
      <c r="A1158">
        <v>805</v>
      </c>
      <c r="B1158" s="10">
        <v>45711</v>
      </c>
      <c r="C1158">
        <v>23</v>
      </c>
      <c r="D1158" t="s">
        <v>97</v>
      </c>
      <c r="E1158" t="s">
        <v>98</v>
      </c>
      <c r="F1158" t="s">
        <v>151</v>
      </c>
      <c r="G1158" t="s">
        <v>111</v>
      </c>
      <c r="H1158" t="s">
        <v>37</v>
      </c>
      <c r="I1158" t="s">
        <v>146</v>
      </c>
      <c r="J1158" t="s">
        <v>103</v>
      </c>
      <c r="K1158">
        <v>21</v>
      </c>
      <c r="L1158">
        <v>2900</v>
      </c>
      <c r="M1158">
        <v>60900</v>
      </c>
      <c r="N1158" t="s">
        <v>95</v>
      </c>
      <c r="O1158" t="s">
        <v>104</v>
      </c>
    </row>
    <row r="1159" spans="1:15" x14ac:dyDescent="0.25">
      <c r="A1159">
        <v>1406</v>
      </c>
      <c r="B1159" s="10">
        <v>45768</v>
      </c>
      <c r="C1159">
        <v>21</v>
      </c>
      <c r="D1159" t="s">
        <v>105</v>
      </c>
      <c r="E1159" t="s">
        <v>98</v>
      </c>
      <c r="F1159" t="s">
        <v>113</v>
      </c>
      <c r="G1159" t="s">
        <v>114</v>
      </c>
      <c r="H1159" t="s">
        <v>37</v>
      </c>
      <c r="I1159" t="s">
        <v>146</v>
      </c>
      <c r="J1159" t="s">
        <v>103</v>
      </c>
      <c r="K1159">
        <v>12</v>
      </c>
      <c r="L1159">
        <v>2900</v>
      </c>
      <c r="M1159">
        <v>34800</v>
      </c>
      <c r="N1159" t="s">
        <v>95</v>
      </c>
      <c r="O1159" t="s">
        <v>115</v>
      </c>
    </row>
    <row r="1160" spans="1:15" x14ac:dyDescent="0.25">
      <c r="A1160">
        <v>1624</v>
      </c>
      <c r="B1160" s="10">
        <v>46002</v>
      </c>
      <c r="C1160">
        <v>11</v>
      </c>
      <c r="D1160" t="s">
        <v>125</v>
      </c>
      <c r="E1160" t="s">
        <v>121</v>
      </c>
      <c r="F1160" t="s">
        <v>144</v>
      </c>
      <c r="G1160" t="s">
        <v>91</v>
      </c>
      <c r="H1160" t="s">
        <v>37</v>
      </c>
      <c r="I1160" t="s">
        <v>146</v>
      </c>
      <c r="J1160" t="s">
        <v>103</v>
      </c>
      <c r="K1160">
        <v>38</v>
      </c>
      <c r="L1160">
        <v>2900</v>
      </c>
      <c r="M1160">
        <v>110200</v>
      </c>
      <c r="N1160" t="s">
        <v>95</v>
      </c>
      <c r="O1160" t="s">
        <v>96</v>
      </c>
    </row>
    <row r="1161" spans="1:15" x14ac:dyDescent="0.25">
      <c r="A1161">
        <v>1745</v>
      </c>
      <c r="B1161" s="10">
        <v>45692</v>
      </c>
      <c r="C1161">
        <v>4</v>
      </c>
      <c r="D1161" t="s">
        <v>97</v>
      </c>
      <c r="E1161" t="s">
        <v>161</v>
      </c>
      <c r="F1161" t="s">
        <v>28</v>
      </c>
      <c r="G1161" t="s">
        <v>126</v>
      </c>
      <c r="H1161" t="s">
        <v>101</v>
      </c>
      <c r="I1161" t="s">
        <v>102</v>
      </c>
      <c r="J1161" t="s">
        <v>94</v>
      </c>
      <c r="K1161">
        <v>9</v>
      </c>
      <c r="L1161">
        <v>2900</v>
      </c>
      <c r="M1161">
        <v>26100</v>
      </c>
      <c r="N1161" t="s">
        <v>95</v>
      </c>
      <c r="O1161" t="s">
        <v>96</v>
      </c>
    </row>
    <row r="1162" spans="1:15" x14ac:dyDescent="0.25">
      <c r="A1162">
        <v>1773</v>
      </c>
      <c r="B1162" s="10">
        <v>45711</v>
      </c>
      <c r="C1162">
        <v>23</v>
      </c>
      <c r="D1162" t="s">
        <v>97</v>
      </c>
      <c r="E1162" t="s">
        <v>106</v>
      </c>
      <c r="F1162" t="s">
        <v>49</v>
      </c>
      <c r="G1162" t="s">
        <v>118</v>
      </c>
      <c r="H1162" t="s">
        <v>37</v>
      </c>
      <c r="I1162" t="s">
        <v>146</v>
      </c>
      <c r="J1162" t="s">
        <v>103</v>
      </c>
      <c r="K1162">
        <v>26</v>
      </c>
      <c r="L1162">
        <v>2900</v>
      </c>
      <c r="M1162">
        <v>75400</v>
      </c>
      <c r="N1162" t="s">
        <v>108</v>
      </c>
      <c r="O1162" t="s">
        <v>96</v>
      </c>
    </row>
    <row r="1163" spans="1:15" x14ac:dyDescent="0.25">
      <c r="A1163">
        <v>1779</v>
      </c>
      <c r="B1163" s="10">
        <v>45921</v>
      </c>
      <c r="C1163">
        <v>21</v>
      </c>
      <c r="D1163" t="s">
        <v>147</v>
      </c>
      <c r="E1163" t="s">
        <v>128</v>
      </c>
      <c r="F1163" t="s">
        <v>113</v>
      </c>
      <c r="G1163" t="s">
        <v>114</v>
      </c>
      <c r="H1163" t="s">
        <v>37</v>
      </c>
      <c r="I1163" t="s">
        <v>146</v>
      </c>
      <c r="J1163" t="s">
        <v>103</v>
      </c>
      <c r="K1163">
        <v>26</v>
      </c>
      <c r="L1163">
        <v>2900</v>
      </c>
      <c r="M1163">
        <v>75400</v>
      </c>
      <c r="N1163" t="s">
        <v>108</v>
      </c>
      <c r="O1163" t="s">
        <v>96</v>
      </c>
    </row>
    <row r="1164" spans="1:15" x14ac:dyDescent="0.25">
      <c r="A1164">
        <v>1797</v>
      </c>
      <c r="B1164" s="10">
        <v>45966</v>
      </c>
      <c r="C1164">
        <v>5</v>
      </c>
      <c r="D1164" t="s">
        <v>90</v>
      </c>
      <c r="E1164" t="s">
        <v>110</v>
      </c>
      <c r="F1164" t="s">
        <v>141</v>
      </c>
      <c r="G1164" t="s">
        <v>100</v>
      </c>
      <c r="H1164" t="s">
        <v>37</v>
      </c>
      <c r="I1164" t="s">
        <v>146</v>
      </c>
      <c r="J1164" t="s">
        <v>103</v>
      </c>
      <c r="K1164">
        <v>49</v>
      </c>
      <c r="L1164">
        <v>2900</v>
      </c>
      <c r="M1164">
        <v>142100</v>
      </c>
      <c r="N1164" t="s">
        <v>108</v>
      </c>
      <c r="O1164" t="s">
        <v>115</v>
      </c>
    </row>
    <row r="1165" spans="1:15" x14ac:dyDescent="0.25">
      <c r="A1165">
        <v>1870</v>
      </c>
      <c r="B1165" s="10">
        <v>45687</v>
      </c>
      <c r="C1165">
        <v>30</v>
      </c>
      <c r="D1165" t="s">
        <v>130</v>
      </c>
      <c r="E1165" t="s">
        <v>121</v>
      </c>
      <c r="F1165" t="s">
        <v>134</v>
      </c>
      <c r="G1165" t="s">
        <v>100</v>
      </c>
      <c r="H1165" t="s">
        <v>101</v>
      </c>
      <c r="I1165" t="s">
        <v>102</v>
      </c>
      <c r="J1165" t="s">
        <v>94</v>
      </c>
      <c r="K1165">
        <v>1</v>
      </c>
      <c r="L1165">
        <v>2900</v>
      </c>
      <c r="M1165">
        <v>2900</v>
      </c>
      <c r="N1165" t="s">
        <v>95</v>
      </c>
      <c r="O1165" t="s">
        <v>104</v>
      </c>
    </row>
    <row r="1166" spans="1:15" x14ac:dyDescent="0.25">
      <c r="A1166">
        <v>1900</v>
      </c>
      <c r="B1166" s="10">
        <v>45875</v>
      </c>
      <c r="C1166">
        <v>6</v>
      </c>
      <c r="D1166" t="s">
        <v>109</v>
      </c>
      <c r="E1166" t="s">
        <v>142</v>
      </c>
      <c r="F1166" t="s">
        <v>99</v>
      </c>
      <c r="G1166" t="s">
        <v>100</v>
      </c>
      <c r="H1166" t="s">
        <v>37</v>
      </c>
      <c r="I1166" t="s">
        <v>146</v>
      </c>
      <c r="J1166" t="s">
        <v>103</v>
      </c>
      <c r="K1166">
        <v>21</v>
      </c>
      <c r="L1166">
        <v>2900</v>
      </c>
      <c r="M1166">
        <v>60900</v>
      </c>
      <c r="N1166" t="s">
        <v>95</v>
      </c>
      <c r="O1166" t="s">
        <v>115</v>
      </c>
    </row>
    <row r="1167" spans="1:15" x14ac:dyDescent="0.25">
      <c r="A1167">
        <v>1933</v>
      </c>
      <c r="B1167" s="10">
        <v>45756</v>
      </c>
      <c r="C1167">
        <v>9</v>
      </c>
      <c r="D1167" t="s">
        <v>105</v>
      </c>
      <c r="E1167" t="s">
        <v>112</v>
      </c>
      <c r="F1167" t="s">
        <v>117</v>
      </c>
      <c r="G1167" t="s">
        <v>118</v>
      </c>
      <c r="H1167" t="s">
        <v>37</v>
      </c>
      <c r="I1167" t="s">
        <v>146</v>
      </c>
      <c r="J1167" t="s">
        <v>103</v>
      </c>
      <c r="K1167">
        <v>8</v>
      </c>
      <c r="L1167">
        <v>2900</v>
      </c>
      <c r="M1167">
        <v>23200</v>
      </c>
      <c r="N1167" t="s">
        <v>108</v>
      </c>
      <c r="O1167" t="s">
        <v>104</v>
      </c>
    </row>
    <row r="1168" spans="1:15" x14ac:dyDescent="0.25">
      <c r="A1168">
        <v>2041</v>
      </c>
      <c r="B1168" s="10">
        <v>45818</v>
      </c>
      <c r="C1168">
        <v>10</v>
      </c>
      <c r="D1168" t="s">
        <v>153</v>
      </c>
      <c r="E1168" t="s">
        <v>150</v>
      </c>
      <c r="F1168" t="s">
        <v>134</v>
      </c>
      <c r="G1168" t="s">
        <v>100</v>
      </c>
      <c r="H1168" t="s">
        <v>37</v>
      </c>
      <c r="I1168" t="s">
        <v>146</v>
      </c>
      <c r="J1168" t="s">
        <v>103</v>
      </c>
      <c r="K1168">
        <v>19</v>
      </c>
      <c r="L1168">
        <v>2900</v>
      </c>
      <c r="M1168">
        <v>55100</v>
      </c>
      <c r="N1168" t="s">
        <v>108</v>
      </c>
      <c r="O1168" t="s">
        <v>96</v>
      </c>
    </row>
    <row r="1169" spans="1:15" x14ac:dyDescent="0.25">
      <c r="A1169">
        <v>2066</v>
      </c>
      <c r="B1169" s="10">
        <v>45903</v>
      </c>
      <c r="C1169">
        <v>3</v>
      </c>
      <c r="D1169" t="s">
        <v>147</v>
      </c>
      <c r="E1169" t="s">
        <v>31</v>
      </c>
      <c r="F1169" t="s">
        <v>113</v>
      </c>
      <c r="G1169" t="s">
        <v>114</v>
      </c>
      <c r="H1169" t="s">
        <v>37</v>
      </c>
      <c r="I1169" t="s">
        <v>146</v>
      </c>
      <c r="J1169" t="s">
        <v>103</v>
      </c>
      <c r="K1169">
        <v>37</v>
      </c>
      <c r="L1169">
        <v>2900</v>
      </c>
      <c r="M1169">
        <v>107300</v>
      </c>
      <c r="N1169" t="s">
        <v>95</v>
      </c>
      <c r="O1169" t="s">
        <v>104</v>
      </c>
    </row>
    <row r="1170" spans="1:15" x14ac:dyDescent="0.25">
      <c r="A1170">
        <v>2148</v>
      </c>
      <c r="B1170" s="10">
        <v>45665</v>
      </c>
      <c r="C1170">
        <v>8</v>
      </c>
      <c r="D1170" t="s">
        <v>130</v>
      </c>
      <c r="E1170" t="s">
        <v>142</v>
      </c>
      <c r="F1170" t="s">
        <v>28</v>
      </c>
      <c r="G1170" t="s">
        <v>126</v>
      </c>
      <c r="H1170" t="s">
        <v>37</v>
      </c>
      <c r="I1170" t="s">
        <v>146</v>
      </c>
      <c r="J1170" t="s">
        <v>103</v>
      </c>
      <c r="K1170">
        <v>14</v>
      </c>
      <c r="L1170">
        <v>2900</v>
      </c>
      <c r="M1170">
        <v>40600</v>
      </c>
      <c r="N1170" t="s">
        <v>95</v>
      </c>
      <c r="O1170" t="s">
        <v>96</v>
      </c>
    </row>
    <row r="1171" spans="1:15" x14ac:dyDescent="0.25">
      <c r="A1171">
        <v>2334</v>
      </c>
      <c r="B1171" s="10">
        <v>45661</v>
      </c>
      <c r="C1171">
        <v>4</v>
      </c>
      <c r="D1171" t="s">
        <v>130</v>
      </c>
      <c r="E1171" t="s">
        <v>98</v>
      </c>
      <c r="F1171" t="s">
        <v>44</v>
      </c>
      <c r="G1171" t="s">
        <v>111</v>
      </c>
      <c r="H1171" t="s">
        <v>101</v>
      </c>
      <c r="I1171" t="s">
        <v>102</v>
      </c>
      <c r="J1171" t="s">
        <v>94</v>
      </c>
      <c r="K1171">
        <v>7</v>
      </c>
      <c r="L1171">
        <v>2900</v>
      </c>
      <c r="M1171">
        <v>20300</v>
      </c>
      <c r="N1171" t="s">
        <v>95</v>
      </c>
      <c r="O1171" t="s">
        <v>104</v>
      </c>
    </row>
    <row r="1172" spans="1:15" x14ac:dyDescent="0.25">
      <c r="A1172">
        <v>2485</v>
      </c>
      <c r="B1172" s="10">
        <v>45924</v>
      </c>
      <c r="C1172">
        <v>24</v>
      </c>
      <c r="D1172" t="s">
        <v>147</v>
      </c>
      <c r="E1172" t="s">
        <v>106</v>
      </c>
      <c r="F1172" t="s">
        <v>49</v>
      </c>
      <c r="G1172" t="s">
        <v>118</v>
      </c>
      <c r="H1172" t="s">
        <v>101</v>
      </c>
      <c r="I1172" t="s">
        <v>102</v>
      </c>
      <c r="J1172" t="s">
        <v>94</v>
      </c>
      <c r="K1172">
        <v>2</v>
      </c>
      <c r="L1172">
        <v>2900</v>
      </c>
      <c r="M1172">
        <v>5800</v>
      </c>
      <c r="N1172" t="s">
        <v>108</v>
      </c>
      <c r="O1172" t="s">
        <v>104</v>
      </c>
    </row>
    <row r="1173" spans="1:15" x14ac:dyDescent="0.25">
      <c r="A1173">
        <v>2520</v>
      </c>
      <c r="B1173" s="10">
        <v>45688</v>
      </c>
      <c r="C1173">
        <v>31</v>
      </c>
      <c r="D1173" t="s">
        <v>130</v>
      </c>
      <c r="E1173" t="s">
        <v>112</v>
      </c>
      <c r="F1173" t="s">
        <v>113</v>
      </c>
      <c r="G1173" t="s">
        <v>114</v>
      </c>
      <c r="H1173" t="s">
        <v>101</v>
      </c>
      <c r="I1173" t="s">
        <v>102</v>
      </c>
      <c r="J1173" t="s">
        <v>94</v>
      </c>
      <c r="K1173">
        <v>2</v>
      </c>
      <c r="L1173">
        <v>2900</v>
      </c>
      <c r="M1173">
        <v>5800</v>
      </c>
      <c r="N1173" t="s">
        <v>108</v>
      </c>
      <c r="O1173" t="s">
        <v>104</v>
      </c>
    </row>
    <row r="1174" spans="1:15" x14ac:dyDescent="0.25">
      <c r="A1174">
        <v>2589</v>
      </c>
      <c r="B1174" s="10">
        <v>45810</v>
      </c>
      <c r="C1174">
        <v>2</v>
      </c>
      <c r="D1174" t="s">
        <v>153</v>
      </c>
      <c r="E1174" t="s">
        <v>142</v>
      </c>
      <c r="F1174" t="s">
        <v>141</v>
      </c>
      <c r="G1174" t="s">
        <v>100</v>
      </c>
      <c r="H1174" t="s">
        <v>101</v>
      </c>
      <c r="I1174" t="s">
        <v>102</v>
      </c>
      <c r="J1174" t="s">
        <v>94</v>
      </c>
      <c r="K1174">
        <v>10</v>
      </c>
      <c r="L1174">
        <v>2900</v>
      </c>
      <c r="M1174">
        <v>29000</v>
      </c>
      <c r="N1174" t="s">
        <v>95</v>
      </c>
      <c r="O1174" t="s">
        <v>104</v>
      </c>
    </row>
    <row r="1175" spans="1:15" x14ac:dyDescent="0.25">
      <c r="A1175">
        <v>2850</v>
      </c>
      <c r="B1175" s="10">
        <v>45909</v>
      </c>
      <c r="C1175">
        <v>9</v>
      </c>
      <c r="D1175" t="s">
        <v>147</v>
      </c>
      <c r="E1175" t="s">
        <v>106</v>
      </c>
      <c r="F1175" t="s">
        <v>22</v>
      </c>
      <c r="G1175" t="s">
        <v>91</v>
      </c>
      <c r="H1175" t="s">
        <v>37</v>
      </c>
      <c r="I1175" t="s">
        <v>146</v>
      </c>
      <c r="J1175" t="s">
        <v>103</v>
      </c>
      <c r="K1175">
        <v>31</v>
      </c>
      <c r="L1175">
        <v>2900</v>
      </c>
      <c r="M1175">
        <v>89900</v>
      </c>
      <c r="N1175" t="s">
        <v>95</v>
      </c>
      <c r="O1175" t="s">
        <v>115</v>
      </c>
    </row>
    <row r="1176" spans="1:15" x14ac:dyDescent="0.25">
      <c r="A1176">
        <v>2871</v>
      </c>
      <c r="B1176" s="10">
        <v>45713</v>
      </c>
      <c r="C1176">
        <v>25</v>
      </c>
      <c r="D1176" t="s">
        <v>97</v>
      </c>
      <c r="E1176" t="s">
        <v>137</v>
      </c>
      <c r="F1176" t="s">
        <v>141</v>
      </c>
      <c r="G1176" t="s">
        <v>100</v>
      </c>
      <c r="H1176" t="s">
        <v>101</v>
      </c>
      <c r="I1176" t="s">
        <v>102</v>
      </c>
      <c r="J1176" t="s">
        <v>94</v>
      </c>
      <c r="K1176">
        <v>4</v>
      </c>
      <c r="L1176">
        <v>2900</v>
      </c>
      <c r="M1176">
        <v>11600</v>
      </c>
      <c r="N1176" t="s">
        <v>108</v>
      </c>
      <c r="O1176" t="s">
        <v>115</v>
      </c>
    </row>
    <row r="1177" spans="1:15" x14ac:dyDescent="0.25">
      <c r="A1177">
        <v>2902</v>
      </c>
      <c r="B1177" s="10">
        <v>45864</v>
      </c>
      <c r="C1177">
        <v>26</v>
      </c>
      <c r="D1177" t="s">
        <v>145</v>
      </c>
      <c r="E1177" t="s">
        <v>133</v>
      </c>
      <c r="F1177" t="s">
        <v>49</v>
      </c>
      <c r="G1177" t="s">
        <v>118</v>
      </c>
      <c r="H1177" t="s">
        <v>101</v>
      </c>
      <c r="I1177" t="s">
        <v>102</v>
      </c>
      <c r="J1177" t="s">
        <v>94</v>
      </c>
      <c r="K1177">
        <v>1</v>
      </c>
      <c r="L1177">
        <v>2900</v>
      </c>
      <c r="M1177">
        <v>2900</v>
      </c>
      <c r="N1177" t="s">
        <v>95</v>
      </c>
      <c r="O1177" t="s">
        <v>104</v>
      </c>
    </row>
    <row r="1178" spans="1:15" x14ac:dyDescent="0.25">
      <c r="A1178">
        <v>2917</v>
      </c>
      <c r="B1178" s="10">
        <v>45897</v>
      </c>
      <c r="C1178">
        <v>28</v>
      </c>
      <c r="D1178" t="s">
        <v>109</v>
      </c>
      <c r="E1178" t="s">
        <v>106</v>
      </c>
      <c r="F1178" t="s">
        <v>117</v>
      </c>
      <c r="G1178" t="s">
        <v>118</v>
      </c>
      <c r="H1178" t="s">
        <v>37</v>
      </c>
      <c r="I1178" t="s">
        <v>146</v>
      </c>
      <c r="J1178" t="s">
        <v>103</v>
      </c>
      <c r="K1178">
        <v>24</v>
      </c>
      <c r="L1178">
        <v>2900</v>
      </c>
      <c r="M1178">
        <v>69600</v>
      </c>
      <c r="N1178" t="s">
        <v>95</v>
      </c>
      <c r="O1178" t="s">
        <v>104</v>
      </c>
    </row>
    <row r="1179" spans="1:15" x14ac:dyDescent="0.25">
      <c r="A1179">
        <v>2995</v>
      </c>
      <c r="B1179" s="10">
        <v>45881</v>
      </c>
      <c r="C1179">
        <v>12</v>
      </c>
      <c r="D1179" t="s">
        <v>109</v>
      </c>
      <c r="E1179" t="s">
        <v>121</v>
      </c>
      <c r="F1179" t="s">
        <v>28</v>
      </c>
      <c r="G1179" t="s">
        <v>126</v>
      </c>
      <c r="H1179" t="s">
        <v>101</v>
      </c>
      <c r="I1179" t="s">
        <v>102</v>
      </c>
      <c r="J1179" t="s">
        <v>94</v>
      </c>
      <c r="K1179">
        <v>9</v>
      </c>
      <c r="L1179">
        <v>2900</v>
      </c>
      <c r="M1179">
        <v>26100</v>
      </c>
      <c r="N1179" t="s">
        <v>108</v>
      </c>
      <c r="O1179" t="s">
        <v>104</v>
      </c>
    </row>
    <row r="1180" spans="1:15" x14ac:dyDescent="0.25">
      <c r="A1180">
        <v>3161</v>
      </c>
      <c r="B1180" s="10">
        <v>45658</v>
      </c>
      <c r="C1180">
        <v>1</v>
      </c>
      <c r="D1180" t="s">
        <v>130</v>
      </c>
      <c r="E1180" t="s">
        <v>150</v>
      </c>
      <c r="F1180" t="s">
        <v>113</v>
      </c>
      <c r="G1180" t="s">
        <v>114</v>
      </c>
      <c r="H1180" t="s">
        <v>101</v>
      </c>
      <c r="I1180" t="s">
        <v>102</v>
      </c>
      <c r="J1180" t="s">
        <v>94</v>
      </c>
      <c r="K1180">
        <v>6</v>
      </c>
      <c r="L1180">
        <v>2900</v>
      </c>
      <c r="M1180">
        <v>17400</v>
      </c>
      <c r="N1180" t="s">
        <v>108</v>
      </c>
      <c r="O1180" t="s">
        <v>115</v>
      </c>
    </row>
    <row r="1181" spans="1:15" x14ac:dyDescent="0.25">
      <c r="A1181">
        <v>3367</v>
      </c>
      <c r="B1181" s="10">
        <v>45820</v>
      </c>
      <c r="C1181">
        <v>12</v>
      </c>
      <c r="D1181" t="s">
        <v>153</v>
      </c>
      <c r="E1181" t="s">
        <v>98</v>
      </c>
      <c r="F1181" t="s">
        <v>49</v>
      </c>
      <c r="G1181" t="s">
        <v>118</v>
      </c>
      <c r="H1181" t="s">
        <v>37</v>
      </c>
      <c r="I1181" t="s">
        <v>146</v>
      </c>
      <c r="J1181" t="s">
        <v>103</v>
      </c>
      <c r="K1181">
        <v>13</v>
      </c>
      <c r="L1181">
        <v>2900</v>
      </c>
      <c r="M1181">
        <v>37700</v>
      </c>
      <c r="N1181" t="s">
        <v>108</v>
      </c>
      <c r="O1181" t="s">
        <v>96</v>
      </c>
    </row>
    <row r="1182" spans="1:15" x14ac:dyDescent="0.25">
      <c r="A1182">
        <v>3525</v>
      </c>
      <c r="B1182" s="10">
        <v>46021</v>
      </c>
      <c r="C1182">
        <v>30</v>
      </c>
      <c r="D1182" t="s">
        <v>125</v>
      </c>
      <c r="E1182" t="s">
        <v>25</v>
      </c>
      <c r="F1182" t="s">
        <v>36</v>
      </c>
      <c r="G1182" t="s">
        <v>100</v>
      </c>
      <c r="H1182" t="s">
        <v>37</v>
      </c>
      <c r="I1182" t="s">
        <v>146</v>
      </c>
      <c r="J1182" t="s">
        <v>103</v>
      </c>
      <c r="K1182">
        <v>24</v>
      </c>
      <c r="L1182">
        <v>2900</v>
      </c>
      <c r="M1182">
        <v>69600</v>
      </c>
      <c r="N1182" t="s">
        <v>108</v>
      </c>
      <c r="O1182" t="s">
        <v>104</v>
      </c>
    </row>
    <row r="1183" spans="1:15" x14ac:dyDescent="0.25">
      <c r="A1183">
        <v>3606</v>
      </c>
      <c r="B1183" s="10">
        <v>45752</v>
      </c>
      <c r="C1183">
        <v>5</v>
      </c>
      <c r="D1183" t="s">
        <v>105</v>
      </c>
      <c r="E1183" t="s">
        <v>128</v>
      </c>
      <c r="F1183" t="s">
        <v>151</v>
      </c>
      <c r="G1183" t="s">
        <v>111</v>
      </c>
      <c r="H1183" t="s">
        <v>37</v>
      </c>
      <c r="I1183" t="s">
        <v>146</v>
      </c>
      <c r="J1183" t="s">
        <v>103</v>
      </c>
      <c r="K1183">
        <v>48</v>
      </c>
      <c r="L1183">
        <v>2900</v>
      </c>
      <c r="M1183">
        <v>139200</v>
      </c>
      <c r="N1183" t="s">
        <v>108</v>
      </c>
      <c r="O1183" t="s">
        <v>104</v>
      </c>
    </row>
    <row r="1184" spans="1:15" x14ac:dyDescent="0.25">
      <c r="A1184">
        <v>3661</v>
      </c>
      <c r="B1184" s="10">
        <v>45978</v>
      </c>
      <c r="C1184">
        <v>17</v>
      </c>
      <c r="D1184" t="s">
        <v>90</v>
      </c>
      <c r="E1184" t="s">
        <v>98</v>
      </c>
      <c r="F1184" t="s">
        <v>28</v>
      </c>
      <c r="G1184" t="s">
        <v>126</v>
      </c>
      <c r="H1184" t="s">
        <v>37</v>
      </c>
      <c r="I1184" t="s">
        <v>146</v>
      </c>
      <c r="J1184" t="s">
        <v>103</v>
      </c>
      <c r="K1184">
        <v>37</v>
      </c>
      <c r="L1184">
        <v>2900</v>
      </c>
      <c r="M1184">
        <v>107300</v>
      </c>
      <c r="N1184" t="s">
        <v>95</v>
      </c>
      <c r="O1184" t="s">
        <v>104</v>
      </c>
    </row>
    <row r="1185" spans="1:15" x14ac:dyDescent="0.25">
      <c r="A1185">
        <v>4072</v>
      </c>
      <c r="B1185" s="10">
        <v>45967</v>
      </c>
      <c r="C1185">
        <v>6</v>
      </c>
      <c r="D1185" t="s">
        <v>90</v>
      </c>
      <c r="E1185" t="s">
        <v>106</v>
      </c>
      <c r="F1185" t="s">
        <v>49</v>
      </c>
      <c r="G1185" t="s">
        <v>118</v>
      </c>
      <c r="H1185" t="s">
        <v>101</v>
      </c>
      <c r="I1185" t="s">
        <v>102</v>
      </c>
      <c r="J1185" t="s">
        <v>94</v>
      </c>
      <c r="K1185">
        <v>7</v>
      </c>
      <c r="L1185">
        <v>2900</v>
      </c>
      <c r="M1185">
        <v>20300</v>
      </c>
      <c r="N1185" t="s">
        <v>108</v>
      </c>
      <c r="O1185" t="s">
        <v>104</v>
      </c>
    </row>
    <row r="1186" spans="1:15" x14ac:dyDescent="0.25">
      <c r="A1186">
        <v>4121</v>
      </c>
      <c r="B1186" s="10">
        <v>45929</v>
      </c>
      <c r="C1186">
        <v>29</v>
      </c>
      <c r="D1186" t="s">
        <v>147</v>
      </c>
      <c r="E1186" t="s">
        <v>133</v>
      </c>
      <c r="F1186" t="s">
        <v>144</v>
      </c>
      <c r="G1186" t="s">
        <v>91</v>
      </c>
      <c r="H1186" t="s">
        <v>101</v>
      </c>
      <c r="I1186" t="s">
        <v>102</v>
      </c>
      <c r="J1186" t="s">
        <v>94</v>
      </c>
      <c r="K1186">
        <v>6</v>
      </c>
      <c r="L1186">
        <v>2900</v>
      </c>
      <c r="M1186">
        <v>17400</v>
      </c>
      <c r="N1186" t="s">
        <v>95</v>
      </c>
      <c r="O1186" t="s">
        <v>96</v>
      </c>
    </row>
    <row r="1187" spans="1:15" x14ac:dyDescent="0.25">
      <c r="A1187">
        <v>4287</v>
      </c>
      <c r="B1187" s="10">
        <v>46017</v>
      </c>
      <c r="C1187">
        <v>26</v>
      </c>
      <c r="D1187" t="s">
        <v>125</v>
      </c>
      <c r="E1187" t="s">
        <v>98</v>
      </c>
      <c r="F1187" t="s">
        <v>117</v>
      </c>
      <c r="G1187" t="s">
        <v>118</v>
      </c>
      <c r="H1187" t="s">
        <v>37</v>
      </c>
      <c r="I1187" t="s">
        <v>146</v>
      </c>
      <c r="J1187" t="s">
        <v>103</v>
      </c>
      <c r="K1187">
        <v>14</v>
      </c>
      <c r="L1187">
        <v>2900</v>
      </c>
      <c r="M1187">
        <v>40600</v>
      </c>
      <c r="N1187" t="s">
        <v>108</v>
      </c>
      <c r="O1187" t="s">
        <v>96</v>
      </c>
    </row>
    <row r="1188" spans="1:15" x14ac:dyDescent="0.25">
      <c r="A1188">
        <v>4394</v>
      </c>
      <c r="B1188" s="10">
        <v>45953</v>
      </c>
      <c r="C1188">
        <v>23</v>
      </c>
      <c r="D1188" t="s">
        <v>136</v>
      </c>
      <c r="E1188" t="s">
        <v>133</v>
      </c>
      <c r="F1188" t="s">
        <v>113</v>
      </c>
      <c r="G1188" t="s">
        <v>114</v>
      </c>
      <c r="H1188" t="s">
        <v>37</v>
      </c>
      <c r="I1188" t="s">
        <v>146</v>
      </c>
      <c r="J1188" t="s">
        <v>103</v>
      </c>
      <c r="K1188">
        <v>36</v>
      </c>
      <c r="L1188">
        <v>2900</v>
      </c>
      <c r="M1188">
        <v>104400</v>
      </c>
      <c r="N1188" t="s">
        <v>95</v>
      </c>
      <c r="O1188" t="s">
        <v>96</v>
      </c>
    </row>
    <row r="1189" spans="1:15" x14ac:dyDescent="0.25">
      <c r="A1189">
        <v>4749</v>
      </c>
      <c r="B1189" s="10">
        <v>45909</v>
      </c>
      <c r="C1189">
        <v>9</v>
      </c>
      <c r="D1189" t="s">
        <v>147</v>
      </c>
      <c r="E1189" t="s">
        <v>116</v>
      </c>
      <c r="F1189" t="s">
        <v>151</v>
      </c>
      <c r="G1189" t="s">
        <v>111</v>
      </c>
      <c r="H1189" t="s">
        <v>101</v>
      </c>
      <c r="I1189" t="s">
        <v>102</v>
      </c>
      <c r="J1189" t="s">
        <v>94</v>
      </c>
      <c r="K1189">
        <v>3</v>
      </c>
      <c r="L1189">
        <v>2900</v>
      </c>
      <c r="M1189">
        <v>8700</v>
      </c>
      <c r="N1189" t="s">
        <v>95</v>
      </c>
      <c r="O1189" t="s">
        <v>115</v>
      </c>
    </row>
    <row r="1190" spans="1:15" x14ac:dyDescent="0.25">
      <c r="A1190">
        <v>75</v>
      </c>
      <c r="B1190" s="10">
        <v>45766</v>
      </c>
      <c r="C1190">
        <v>19</v>
      </c>
      <c r="D1190" t="s">
        <v>105</v>
      </c>
      <c r="E1190" t="s">
        <v>133</v>
      </c>
      <c r="F1190" t="s">
        <v>113</v>
      </c>
      <c r="G1190" t="s">
        <v>114</v>
      </c>
      <c r="H1190" t="s">
        <v>37</v>
      </c>
      <c r="I1190" t="s">
        <v>156</v>
      </c>
      <c r="J1190" t="s">
        <v>103</v>
      </c>
      <c r="K1190">
        <v>31</v>
      </c>
      <c r="L1190">
        <v>3000</v>
      </c>
      <c r="M1190">
        <v>93000</v>
      </c>
      <c r="N1190" t="s">
        <v>108</v>
      </c>
      <c r="O1190" t="s">
        <v>104</v>
      </c>
    </row>
    <row r="1191" spans="1:15" x14ac:dyDescent="0.25">
      <c r="A1191">
        <v>97</v>
      </c>
      <c r="B1191" s="10">
        <v>45863</v>
      </c>
      <c r="C1191">
        <v>25</v>
      </c>
      <c r="D1191" t="s">
        <v>145</v>
      </c>
      <c r="E1191" t="s">
        <v>133</v>
      </c>
      <c r="F1191" t="s">
        <v>28</v>
      </c>
      <c r="G1191" t="s">
        <v>126</v>
      </c>
      <c r="H1191" t="s">
        <v>101</v>
      </c>
      <c r="I1191" t="s">
        <v>102</v>
      </c>
      <c r="J1191" t="s">
        <v>94</v>
      </c>
      <c r="K1191">
        <v>3</v>
      </c>
      <c r="L1191">
        <v>3000</v>
      </c>
      <c r="M1191">
        <v>9000</v>
      </c>
      <c r="N1191" t="s">
        <v>108</v>
      </c>
      <c r="O1191" t="s">
        <v>104</v>
      </c>
    </row>
    <row r="1192" spans="1:15" x14ac:dyDescent="0.25">
      <c r="A1192">
        <v>169</v>
      </c>
      <c r="B1192" s="10">
        <v>45737</v>
      </c>
      <c r="C1192">
        <v>21</v>
      </c>
      <c r="D1192" t="s">
        <v>140</v>
      </c>
      <c r="E1192" t="s">
        <v>138</v>
      </c>
      <c r="F1192" t="s">
        <v>117</v>
      </c>
      <c r="G1192" t="s">
        <v>118</v>
      </c>
      <c r="H1192" t="s">
        <v>101</v>
      </c>
      <c r="I1192" t="s">
        <v>102</v>
      </c>
      <c r="J1192" t="s">
        <v>94</v>
      </c>
      <c r="K1192">
        <v>5</v>
      </c>
      <c r="L1192">
        <v>3000</v>
      </c>
      <c r="M1192">
        <v>15000</v>
      </c>
      <c r="N1192" t="s">
        <v>108</v>
      </c>
      <c r="O1192" t="s">
        <v>96</v>
      </c>
    </row>
    <row r="1193" spans="1:15" x14ac:dyDescent="0.25">
      <c r="A1193">
        <v>233</v>
      </c>
      <c r="B1193" s="10">
        <v>45868</v>
      </c>
      <c r="C1193">
        <v>30</v>
      </c>
      <c r="D1193" t="s">
        <v>145</v>
      </c>
      <c r="E1193" t="s">
        <v>112</v>
      </c>
      <c r="F1193" t="s">
        <v>134</v>
      </c>
      <c r="G1193" t="s">
        <v>100</v>
      </c>
      <c r="H1193" t="s">
        <v>101</v>
      </c>
      <c r="I1193" t="s">
        <v>102</v>
      </c>
      <c r="J1193" t="s">
        <v>94</v>
      </c>
      <c r="K1193">
        <v>6</v>
      </c>
      <c r="L1193">
        <v>3000</v>
      </c>
      <c r="M1193">
        <v>18000</v>
      </c>
      <c r="N1193" t="s">
        <v>95</v>
      </c>
      <c r="O1193" t="s">
        <v>115</v>
      </c>
    </row>
    <row r="1194" spans="1:15" x14ac:dyDescent="0.25">
      <c r="A1194">
        <v>342</v>
      </c>
      <c r="B1194" s="10">
        <v>45982</v>
      </c>
      <c r="C1194">
        <v>21</v>
      </c>
      <c r="D1194" t="s">
        <v>90</v>
      </c>
      <c r="E1194" t="s">
        <v>116</v>
      </c>
      <c r="F1194" t="s">
        <v>49</v>
      </c>
      <c r="G1194" t="s">
        <v>118</v>
      </c>
      <c r="H1194" t="s">
        <v>37</v>
      </c>
      <c r="I1194" t="s">
        <v>146</v>
      </c>
      <c r="J1194" t="s">
        <v>103</v>
      </c>
      <c r="K1194">
        <v>29</v>
      </c>
      <c r="L1194">
        <v>3000</v>
      </c>
      <c r="M1194">
        <v>87000</v>
      </c>
      <c r="N1194" t="s">
        <v>95</v>
      </c>
      <c r="O1194" t="s">
        <v>115</v>
      </c>
    </row>
    <row r="1195" spans="1:15" x14ac:dyDescent="0.25">
      <c r="A1195">
        <v>737</v>
      </c>
      <c r="B1195" s="10">
        <v>45765</v>
      </c>
      <c r="C1195">
        <v>18</v>
      </c>
      <c r="D1195" t="s">
        <v>105</v>
      </c>
      <c r="E1195" t="s">
        <v>161</v>
      </c>
      <c r="F1195" t="s">
        <v>49</v>
      </c>
      <c r="G1195" t="s">
        <v>118</v>
      </c>
      <c r="H1195" t="s">
        <v>101</v>
      </c>
      <c r="I1195" t="s">
        <v>102</v>
      </c>
      <c r="J1195" t="s">
        <v>94</v>
      </c>
      <c r="K1195">
        <v>10</v>
      </c>
      <c r="L1195">
        <v>3000</v>
      </c>
      <c r="M1195">
        <v>30000</v>
      </c>
      <c r="N1195" t="s">
        <v>95</v>
      </c>
      <c r="O1195" t="s">
        <v>115</v>
      </c>
    </row>
    <row r="1196" spans="1:15" x14ac:dyDescent="0.25">
      <c r="A1196">
        <v>846</v>
      </c>
      <c r="B1196" s="10">
        <v>45892</v>
      </c>
      <c r="C1196">
        <v>23</v>
      </c>
      <c r="D1196" t="s">
        <v>109</v>
      </c>
      <c r="E1196" t="s">
        <v>142</v>
      </c>
      <c r="F1196" t="s">
        <v>36</v>
      </c>
      <c r="G1196" t="s">
        <v>100</v>
      </c>
      <c r="H1196" t="s">
        <v>37</v>
      </c>
      <c r="I1196" t="s">
        <v>146</v>
      </c>
      <c r="J1196" t="s">
        <v>103</v>
      </c>
      <c r="K1196">
        <v>43</v>
      </c>
      <c r="L1196">
        <v>3000</v>
      </c>
      <c r="M1196">
        <v>129000</v>
      </c>
      <c r="N1196" t="s">
        <v>95</v>
      </c>
      <c r="O1196" t="s">
        <v>96</v>
      </c>
    </row>
    <row r="1197" spans="1:15" x14ac:dyDescent="0.25">
      <c r="A1197">
        <v>912</v>
      </c>
      <c r="B1197" s="10">
        <v>45842</v>
      </c>
      <c r="C1197">
        <v>4</v>
      </c>
      <c r="D1197" t="s">
        <v>145</v>
      </c>
      <c r="E1197" t="s">
        <v>161</v>
      </c>
      <c r="F1197" t="s">
        <v>44</v>
      </c>
      <c r="G1197" t="s">
        <v>111</v>
      </c>
      <c r="H1197" t="s">
        <v>101</v>
      </c>
      <c r="I1197" t="s">
        <v>102</v>
      </c>
      <c r="J1197" t="s">
        <v>94</v>
      </c>
      <c r="K1197">
        <v>6</v>
      </c>
      <c r="L1197">
        <v>3000</v>
      </c>
      <c r="M1197">
        <v>18000</v>
      </c>
      <c r="N1197" t="s">
        <v>108</v>
      </c>
      <c r="O1197" t="s">
        <v>104</v>
      </c>
    </row>
    <row r="1198" spans="1:15" x14ac:dyDescent="0.25">
      <c r="A1198">
        <v>982</v>
      </c>
      <c r="B1198" s="10">
        <v>45751</v>
      </c>
      <c r="C1198">
        <v>4</v>
      </c>
      <c r="D1198" t="s">
        <v>105</v>
      </c>
      <c r="E1198" t="s">
        <v>25</v>
      </c>
      <c r="F1198" t="s">
        <v>151</v>
      </c>
      <c r="G1198" t="s">
        <v>111</v>
      </c>
      <c r="H1198" t="s">
        <v>37</v>
      </c>
      <c r="I1198" t="s">
        <v>146</v>
      </c>
      <c r="J1198" t="s">
        <v>103</v>
      </c>
      <c r="K1198">
        <v>32</v>
      </c>
      <c r="L1198">
        <v>3000</v>
      </c>
      <c r="M1198">
        <v>96000</v>
      </c>
      <c r="N1198" t="s">
        <v>95</v>
      </c>
      <c r="O1198" t="s">
        <v>115</v>
      </c>
    </row>
    <row r="1199" spans="1:15" x14ac:dyDescent="0.25">
      <c r="A1199">
        <v>1218</v>
      </c>
      <c r="B1199" s="10">
        <v>45933</v>
      </c>
      <c r="C1199">
        <v>3</v>
      </c>
      <c r="D1199" t="s">
        <v>136</v>
      </c>
      <c r="E1199" t="s">
        <v>121</v>
      </c>
      <c r="F1199" t="s">
        <v>151</v>
      </c>
      <c r="G1199" t="s">
        <v>111</v>
      </c>
      <c r="H1199" t="s">
        <v>37</v>
      </c>
      <c r="I1199" t="s">
        <v>146</v>
      </c>
      <c r="J1199" t="s">
        <v>103</v>
      </c>
      <c r="K1199">
        <v>19</v>
      </c>
      <c r="L1199">
        <v>3000</v>
      </c>
      <c r="M1199">
        <v>57000</v>
      </c>
      <c r="N1199" t="s">
        <v>108</v>
      </c>
      <c r="O1199" t="s">
        <v>96</v>
      </c>
    </row>
    <row r="1200" spans="1:15" x14ac:dyDescent="0.25">
      <c r="A1200">
        <v>1224</v>
      </c>
      <c r="B1200" s="10">
        <v>45928</v>
      </c>
      <c r="C1200">
        <v>28</v>
      </c>
      <c r="D1200" t="s">
        <v>147</v>
      </c>
      <c r="E1200" t="s">
        <v>161</v>
      </c>
      <c r="F1200" t="s">
        <v>44</v>
      </c>
      <c r="G1200" t="s">
        <v>111</v>
      </c>
      <c r="H1200" t="s">
        <v>37</v>
      </c>
      <c r="I1200" t="s">
        <v>146</v>
      </c>
      <c r="J1200" t="s">
        <v>103</v>
      </c>
      <c r="K1200">
        <v>11</v>
      </c>
      <c r="L1200">
        <v>3000</v>
      </c>
      <c r="M1200">
        <v>33000</v>
      </c>
      <c r="N1200" t="s">
        <v>95</v>
      </c>
      <c r="O1200" t="s">
        <v>115</v>
      </c>
    </row>
    <row r="1201" spans="1:15" x14ac:dyDescent="0.25">
      <c r="A1201">
        <v>1279</v>
      </c>
      <c r="B1201" s="10">
        <v>45801</v>
      </c>
      <c r="C1201">
        <v>24</v>
      </c>
      <c r="D1201" t="s">
        <v>120</v>
      </c>
      <c r="E1201" t="s">
        <v>112</v>
      </c>
      <c r="F1201" t="s">
        <v>28</v>
      </c>
      <c r="G1201" t="s">
        <v>126</v>
      </c>
      <c r="H1201" t="s">
        <v>37</v>
      </c>
      <c r="I1201" t="s">
        <v>146</v>
      </c>
      <c r="J1201" t="s">
        <v>103</v>
      </c>
      <c r="K1201">
        <v>17</v>
      </c>
      <c r="L1201">
        <v>3000</v>
      </c>
      <c r="M1201">
        <v>51000</v>
      </c>
      <c r="N1201" t="s">
        <v>108</v>
      </c>
      <c r="O1201" t="s">
        <v>96</v>
      </c>
    </row>
    <row r="1202" spans="1:15" x14ac:dyDescent="0.25">
      <c r="A1202">
        <v>1396</v>
      </c>
      <c r="B1202" s="10">
        <v>45905</v>
      </c>
      <c r="C1202">
        <v>5</v>
      </c>
      <c r="D1202" t="s">
        <v>147</v>
      </c>
      <c r="E1202" t="s">
        <v>110</v>
      </c>
      <c r="F1202" t="s">
        <v>148</v>
      </c>
      <c r="G1202" t="s">
        <v>118</v>
      </c>
      <c r="H1202" t="s">
        <v>101</v>
      </c>
      <c r="I1202" t="s">
        <v>102</v>
      </c>
      <c r="J1202" t="s">
        <v>94</v>
      </c>
      <c r="K1202">
        <v>9</v>
      </c>
      <c r="L1202">
        <v>3000</v>
      </c>
      <c r="M1202">
        <v>27000</v>
      </c>
      <c r="N1202" t="s">
        <v>108</v>
      </c>
      <c r="O1202" t="s">
        <v>104</v>
      </c>
    </row>
    <row r="1203" spans="1:15" x14ac:dyDescent="0.25">
      <c r="A1203">
        <v>1652</v>
      </c>
      <c r="B1203" s="10">
        <v>45908</v>
      </c>
      <c r="C1203">
        <v>8</v>
      </c>
      <c r="D1203" t="s">
        <v>147</v>
      </c>
      <c r="E1203" t="s">
        <v>98</v>
      </c>
      <c r="F1203" t="s">
        <v>99</v>
      </c>
      <c r="G1203" t="s">
        <v>100</v>
      </c>
      <c r="H1203" t="s">
        <v>101</v>
      </c>
      <c r="I1203" t="s">
        <v>102</v>
      </c>
      <c r="J1203" t="s">
        <v>94</v>
      </c>
      <c r="K1203">
        <v>10</v>
      </c>
      <c r="L1203">
        <v>3000</v>
      </c>
      <c r="M1203">
        <v>30000</v>
      </c>
      <c r="N1203" t="s">
        <v>95</v>
      </c>
      <c r="O1203" t="s">
        <v>104</v>
      </c>
    </row>
    <row r="1204" spans="1:15" x14ac:dyDescent="0.25">
      <c r="A1204">
        <v>2044</v>
      </c>
      <c r="B1204" s="10">
        <v>45703</v>
      </c>
      <c r="C1204">
        <v>15</v>
      </c>
      <c r="D1204" t="s">
        <v>97</v>
      </c>
      <c r="E1204" t="s">
        <v>142</v>
      </c>
      <c r="F1204" t="s">
        <v>44</v>
      </c>
      <c r="G1204" t="s">
        <v>111</v>
      </c>
      <c r="H1204" t="s">
        <v>37</v>
      </c>
      <c r="I1204" t="s">
        <v>146</v>
      </c>
      <c r="J1204" t="s">
        <v>103</v>
      </c>
      <c r="K1204">
        <v>28</v>
      </c>
      <c r="L1204">
        <v>3000</v>
      </c>
      <c r="M1204">
        <v>84000</v>
      </c>
      <c r="N1204" t="s">
        <v>108</v>
      </c>
      <c r="O1204" t="s">
        <v>115</v>
      </c>
    </row>
    <row r="1205" spans="1:15" x14ac:dyDescent="0.25">
      <c r="A1205">
        <v>2125</v>
      </c>
      <c r="B1205" s="10">
        <v>45975</v>
      </c>
      <c r="C1205">
        <v>14</v>
      </c>
      <c r="D1205" t="s">
        <v>90</v>
      </c>
      <c r="E1205" t="s">
        <v>98</v>
      </c>
      <c r="F1205" t="s">
        <v>151</v>
      </c>
      <c r="G1205" t="s">
        <v>111</v>
      </c>
      <c r="H1205" t="s">
        <v>101</v>
      </c>
      <c r="I1205" t="s">
        <v>102</v>
      </c>
      <c r="J1205" t="s">
        <v>94</v>
      </c>
      <c r="K1205">
        <v>8</v>
      </c>
      <c r="L1205">
        <v>3000</v>
      </c>
      <c r="M1205">
        <v>24000</v>
      </c>
      <c r="N1205" t="s">
        <v>108</v>
      </c>
      <c r="O1205" t="s">
        <v>115</v>
      </c>
    </row>
    <row r="1206" spans="1:15" x14ac:dyDescent="0.25">
      <c r="A1206">
        <v>2447</v>
      </c>
      <c r="B1206" s="10">
        <v>45993</v>
      </c>
      <c r="C1206">
        <v>2</v>
      </c>
      <c r="D1206" t="s">
        <v>125</v>
      </c>
      <c r="E1206" t="s">
        <v>98</v>
      </c>
      <c r="F1206" t="s">
        <v>148</v>
      </c>
      <c r="G1206" t="s">
        <v>118</v>
      </c>
      <c r="H1206" t="s">
        <v>37</v>
      </c>
      <c r="I1206" t="s">
        <v>146</v>
      </c>
      <c r="J1206" t="s">
        <v>103</v>
      </c>
      <c r="K1206">
        <v>38</v>
      </c>
      <c r="L1206">
        <v>3000</v>
      </c>
      <c r="M1206">
        <v>114000</v>
      </c>
      <c r="N1206" t="s">
        <v>108</v>
      </c>
      <c r="O1206" t="s">
        <v>104</v>
      </c>
    </row>
    <row r="1207" spans="1:15" x14ac:dyDescent="0.25">
      <c r="A1207">
        <v>2461</v>
      </c>
      <c r="B1207" s="10">
        <v>45727</v>
      </c>
      <c r="C1207">
        <v>11</v>
      </c>
      <c r="D1207" t="s">
        <v>140</v>
      </c>
      <c r="E1207" t="s">
        <v>161</v>
      </c>
      <c r="F1207" t="s">
        <v>134</v>
      </c>
      <c r="G1207" t="s">
        <v>100</v>
      </c>
      <c r="H1207" t="s">
        <v>37</v>
      </c>
      <c r="I1207" t="s">
        <v>146</v>
      </c>
      <c r="J1207" t="s">
        <v>103</v>
      </c>
      <c r="K1207">
        <v>9</v>
      </c>
      <c r="L1207">
        <v>3000</v>
      </c>
      <c r="M1207">
        <v>27000</v>
      </c>
      <c r="N1207" t="s">
        <v>95</v>
      </c>
      <c r="O1207" t="s">
        <v>96</v>
      </c>
    </row>
    <row r="1208" spans="1:15" x14ac:dyDescent="0.25">
      <c r="A1208">
        <v>2705</v>
      </c>
      <c r="B1208" s="10">
        <v>45809</v>
      </c>
      <c r="C1208">
        <v>1</v>
      </c>
      <c r="D1208" t="s">
        <v>153</v>
      </c>
      <c r="E1208" t="s">
        <v>133</v>
      </c>
      <c r="F1208" t="s">
        <v>28</v>
      </c>
      <c r="G1208" t="s">
        <v>126</v>
      </c>
      <c r="H1208" t="s">
        <v>101</v>
      </c>
      <c r="I1208" t="s">
        <v>102</v>
      </c>
      <c r="J1208" t="s">
        <v>94</v>
      </c>
      <c r="K1208">
        <v>8</v>
      </c>
      <c r="L1208">
        <v>3000</v>
      </c>
      <c r="M1208">
        <v>24000</v>
      </c>
      <c r="N1208" t="s">
        <v>95</v>
      </c>
      <c r="O1208" t="s">
        <v>104</v>
      </c>
    </row>
    <row r="1209" spans="1:15" x14ac:dyDescent="0.25">
      <c r="A1209">
        <v>2841</v>
      </c>
      <c r="B1209" s="10">
        <v>45838</v>
      </c>
      <c r="C1209">
        <v>30</v>
      </c>
      <c r="D1209" t="s">
        <v>153</v>
      </c>
      <c r="E1209" t="s">
        <v>106</v>
      </c>
      <c r="F1209" t="s">
        <v>117</v>
      </c>
      <c r="G1209" t="s">
        <v>118</v>
      </c>
      <c r="H1209" t="s">
        <v>101</v>
      </c>
      <c r="I1209" t="s">
        <v>102</v>
      </c>
      <c r="J1209" t="s">
        <v>94</v>
      </c>
      <c r="K1209">
        <v>6</v>
      </c>
      <c r="L1209">
        <v>3000</v>
      </c>
      <c r="M1209">
        <v>18000</v>
      </c>
      <c r="N1209" t="s">
        <v>108</v>
      </c>
      <c r="O1209" t="s">
        <v>115</v>
      </c>
    </row>
    <row r="1210" spans="1:15" x14ac:dyDescent="0.25">
      <c r="A1210">
        <v>2925</v>
      </c>
      <c r="B1210" s="10">
        <v>45877</v>
      </c>
      <c r="C1210">
        <v>8</v>
      </c>
      <c r="D1210" t="s">
        <v>109</v>
      </c>
      <c r="E1210" t="s">
        <v>142</v>
      </c>
      <c r="F1210" t="s">
        <v>117</v>
      </c>
      <c r="G1210" t="s">
        <v>118</v>
      </c>
      <c r="H1210" t="s">
        <v>37</v>
      </c>
      <c r="I1210" t="s">
        <v>146</v>
      </c>
      <c r="J1210" t="s">
        <v>103</v>
      </c>
      <c r="K1210">
        <v>24</v>
      </c>
      <c r="L1210">
        <v>3000</v>
      </c>
      <c r="M1210">
        <v>72000</v>
      </c>
      <c r="N1210" t="s">
        <v>108</v>
      </c>
      <c r="O1210" t="s">
        <v>96</v>
      </c>
    </row>
    <row r="1211" spans="1:15" x14ac:dyDescent="0.25">
      <c r="A1211">
        <v>3018</v>
      </c>
      <c r="B1211" s="10">
        <v>45848</v>
      </c>
      <c r="C1211">
        <v>10</v>
      </c>
      <c r="D1211" t="s">
        <v>145</v>
      </c>
      <c r="E1211" t="s">
        <v>112</v>
      </c>
      <c r="F1211" t="s">
        <v>141</v>
      </c>
      <c r="G1211" t="s">
        <v>100</v>
      </c>
      <c r="H1211" t="s">
        <v>37</v>
      </c>
      <c r="I1211" t="s">
        <v>146</v>
      </c>
      <c r="J1211" t="s">
        <v>94</v>
      </c>
      <c r="K1211">
        <v>5</v>
      </c>
      <c r="L1211">
        <v>3000</v>
      </c>
      <c r="M1211">
        <v>15000</v>
      </c>
      <c r="N1211" t="s">
        <v>108</v>
      </c>
      <c r="O1211" t="s">
        <v>96</v>
      </c>
    </row>
    <row r="1212" spans="1:15" x14ac:dyDescent="0.25">
      <c r="A1212">
        <v>3031</v>
      </c>
      <c r="B1212" s="10">
        <v>45863</v>
      </c>
      <c r="C1212">
        <v>25</v>
      </c>
      <c r="D1212" t="s">
        <v>145</v>
      </c>
      <c r="E1212" t="s">
        <v>138</v>
      </c>
      <c r="F1212" t="s">
        <v>134</v>
      </c>
      <c r="G1212" t="s">
        <v>100</v>
      </c>
      <c r="H1212" t="s">
        <v>37</v>
      </c>
      <c r="I1212" t="s">
        <v>156</v>
      </c>
      <c r="J1212" t="s">
        <v>103</v>
      </c>
      <c r="K1212">
        <v>14</v>
      </c>
      <c r="L1212">
        <v>3000</v>
      </c>
      <c r="M1212">
        <v>42000</v>
      </c>
      <c r="N1212" t="s">
        <v>108</v>
      </c>
      <c r="O1212" t="s">
        <v>115</v>
      </c>
    </row>
    <row r="1213" spans="1:15" x14ac:dyDescent="0.25">
      <c r="A1213">
        <v>3393</v>
      </c>
      <c r="B1213" s="10">
        <v>45718</v>
      </c>
      <c r="C1213">
        <v>2</v>
      </c>
      <c r="D1213" t="s">
        <v>140</v>
      </c>
      <c r="E1213" t="s">
        <v>142</v>
      </c>
      <c r="F1213" t="s">
        <v>144</v>
      </c>
      <c r="G1213" t="s">
        <v>91</v>
      </c>
      <c r="H1213" t="s">
        <v>101</v>
      </c>
      <c r="I1213" t="s">
        <v>102</v>
      </c>
      <c r="J1213" t="s">
        <v>94</v>
      </c>
      <c r="K1213">
        <v>10</v>
      </c>
      <c r="L1213">
        <v>3000</v>
      </c>
      <c r="M1213">
        <v>30000</v>
      </c>
      <c r="N1213" t="s">
        <v>95</v>
      </c>
      <c r="O1213" t="s">
        <v>104</v>
      </c>
    </row>
    <row r="1214" spans="1:15" x14ac:dyDescent="0.25">
      <c r="A1214">
        <v>3405</v>
      </c>
      <c r="B1214" s="10">
        <v>45779</v>
      </c>
      <c r="C1214">
        <v>2</v>
      </c>
      <c r="D1214" t="s">
        <v>120</v>
      </c>
      <c r="E1214" t="s">
        <v>31</v>
      </c>
      <c r="F1214" t="s">
        <v>144</v>
      </c>
      <c r="G1214" t="s">
        <v>91</v>
      </c>
      <c r="H1214" t="s">
        <v>37</v>
      </c>
      <c r="I1214" t="s">
        <v>146</v>
      </c>
      <c r="J1214" t="s">
        <v>103</v>
      </c>
      <c r="K1214">
        <v>8</v>
      </c>
      <c r="L1214">
        <v>3000</v>
      </c>
      <c r="M1214">
        <v>24000</v>
      </c>
      <c r="N1214" t="s">
        <v>108</v>
      </c>
      <c r="O1214" t="s">
        <v>96</v>
      </c>
    </row>
    <row r="1215" spans="1:15" x14ac:dyDescent="0.25">
      <c r="A1215">
        <v>3558</v>
      </c>
      <c r="B1215" s="10">
        <v>45775</v>
      </c>
      <c r="C1215">
        <v>28</v>
      </c>
      <c r="D1215" t="s">
        <v>105</v>
      </c>
      <c r="E1215" t="s">
        <v>25</v>
      </c>
      <c r="F1215" t="s">
        <v>144</v>
      </c>
      <c r="G1215" t="s">
        <v>91</v>
      </c>
      <c r="H1215" t="s">
        <v>37</v>
      </c>
      <c r="I1215" t="s">
        <v>146</v>
      </c>
      <c r="J1215" t="s">
        <v>103</v>
      </c>
      <c r="K1215">
        <v>31</v>
      </c>
      <c r="L1215">
        <v>3000</v>
      </c>
      <c r="M1215">
        <v>93000</v>
      </c>
      <c r="N1215" t="s">
        <v>108</v>
      </c>
      <c r="O1215" t="s">
        <v>104</v>
      </c>
    </row>
    <row r="1216" spans="1:15" x14ac:dyDescent="0.25">
      <c r="A1216">
        <v>3757</v>
      </c>
      <c r="B1216" s="10">
        <v>45806</v>
      </c>
      <c r="C1216">
        <v>29</v>
      </c>
      <c r="D1216" t="s">
        <v>120</v>
      </c>
      <c r="E1216" t="s">
        <v>161</v>
      </c>
      <c r="F1216" t="s">
        <v>44</v>
      </c>
      <c r="G1216" t="s">
        <v>111</v>
      </c>
      <c r="H1216" t="s">
        <v>37</v>
      </c>
      <c r="I1216" t="s">
        <v>146</v>
      </c>
      <c r="J1216" t="s">
        <v>103</v>
      </c>
      <c r="K1216">
        <v>46</v>
      </c>
      <c r="L1216">
        <v>3000</v>
      </c>
      <c r="M1216">
        <v>138000</v>
      </c>
      <c r="N1216" t="s">
        <v>108</v>
      </c>
      <c r="O1216" t="s">
        <v>115</v>
      </c>
    </row>
    <row r="1217" spans="1:15" x14ac:dyDescent="0.25">
      <c r="A1217">
        <v>3766</v>
      </c>
      <c r="B1217" s="10">
        <v>45972</v>
      </c>
      <c r="C1217">
        <v>11</v>
      </c>
      <c r="D1217" t="s">
        <v>90</v>
      </c>
      <c r="E1217" t="s">
        <v>25</v>
      </c>
      <c r="F1217" t="s">
        <v>99</v>
      </c>
      <c r="G1217" t="s">
        <v>100</v>
      </c>
      <c r="H1217" t="s">
        <v>37</v>
      </c>
      <c r="I1217" t="s">
        <v>146</v>
      </c>
      <c r="J1217" t="s">
        <v>103</v>
      </c>
      <c r="K1217">
        <v>30</v>
      </c>
      <c r="L1217">
        <v>3000</v>
      </c>
      <c r="M1217">
        <v>90000</v>
      </c>
      <c r="N1217" t="s">
        <v>108</v>
      </c>
      <c r="O1217" t="s">
        <v>96</v>
      </c>
    </row>
    <row r="1218" spans="1:15" x14ac:dyDescent="0.25">
      <c r="A1218">
        <v>4004</v>
      </c>
      <c r="B1218" s="10">
        <v>45982</v>
      </c>
      <c r="C1218">
        <v>21</v>
      </c>
      <c r="D1218" t="s">
        <v>90</v>
      </c>
      <c r="E1218" t="s">
        <v>110</v>
      </c>
      <c r="F1218" t="s">
        <v>107</v>
      </c>
      <c r="G1218" t="s">
        <v>100</v>
      </c>
      <c r="H1218" t="s">
        <v>37</v>
      </c>
      <c r="I1218" t="s">
        <v>146</v>
      </c>
      <c r="J1218" t="s">
        <v>103</v>
      </c>
      <c r="K1218">
        <v>15</v>
      </c>
      <c r="L1218">
        <v>3000</v>
      </c>
      <c r="M1218">
        <v>45000</v>
      </c>
      <c r="N1218" t="s">
        <v>95</v>
      </c>
      <c r="O1218" t="s">
        <v>104</v>
      </c>
    </row>
    <row r="1219" spans="1:15" x14ac:dyDescent="0.25">
      <c r="A1219">
        <v>4011</v>
      </c>
      <c r="B1219" s="10">
        <v>45834</v>
      </c>
      <c r="C1219">
        <v>26</v>
      </c>
      <c r="D1219" t="s">
        <v>153</v>
      </c>
      <c r="E1219" t="s">
        <v>128</v>
      </c>
      <c r="F1219" t="s">
        <v>22</v>
      </c>
      <c r="G1219" t="s">
        <v>91</v>
      </c>
      <c r="H1219" t="s">
        <v>37</v>
      </c>
      <c r="I1219" t="s">
        <v>146</v>
      </c>
      <c r="J1219" t="s">
        <v>103</v>
      </c>
      <c r="K1219">
        <v>44</v>
      </c>
      <c r="L1219">
        <v>3000</v>
      </c>
      <c r="M1219">
        <v>132000</v>
      </c>
      <c r="N1219" t="s">
        <v>108</v>
      </c>
      <c r="O1219" t="s">
        <v>104</v>
      </c>
    </row>
    <row r="1220" spans="1:15" x14ac:dyDescent="0.25">
      <c r="A1220">
        <v>4230</v>
      </c>
      <c r="B1220" s="10">
        <v>45747</v>
      </c>
      <c r="C1220">
        <v>31</v>
      </c>
      <c r="D1220" t="s">
        <v>140</v>
      </c>
      <c r="E1220" t="s">
        <v>112</v>
      </c>
      <c r="F1220" t="s">
        <v>117</v>
      </c>
      <c r="G1220" t="s">
        <v>118</v>
      </c>
      <c r="H1220" t="s">
        <v>37</v>
      </c>
      <c r="I1220" t="s">
        <v>146</v>
      </c>
      <c r="J1220" t="s">
        <v>103</v>
      </c>
      <c r="K1220">
        <v>20</v>
      </c>
      <c r="L1220">
        <v>3000</v>
      </c>
      <c r="M1220">
        <v>60000</v>
      </c>
      <c r="N1220" t="s">
        <v>108</v>
      </c>
      <c r="O1220" t="s">
        <v>96</v>
      </c>
    </row>
    <row r="1221" spans="1:15" x14ac:dyDescent="0.25">
      <c r="A1221">
        <v>4314</v>
      </c>
      <c r="B1221" s="10">
        <v>45834</v>
      </c>
      <c r="C1221">
        <v>26</v>
      </c>
      <c r="D1221" t="s">
        <v>153</v>
      </c>
      <c r="E1221" t="s">
        <v>138</v>
      </c>
      <c r="F1221" t="s">
        <v>99</v>
      </c>
      <c r="G1221" t="s">
        <v>100</v>
      </c>
      <c r="H1221" t="s">
        <v>37</v>
      </c>
      <c r="I1221" t="s">
        <v>146</v>
      </c>
      <c r="J1221" t="s">
        <v>103</v>
      </c>
      <c r="K1221">
        <v>14</v>
      </c>
      <c r="L1221">
        <v>3000</v>
      </c>
      <c r="M1221">
        <v>42000</v>
      </c>
      <c r="N1221" t="s">
        <v>95</v>
      </c>
      <c r="O1221" t="s">
        <v>115</v>
      </c>
    </row>
    <row r="1222" spans="1:15" x14ac:dyDescent="0.25">
      <c r="A1222">
        <v>4594</v>
      </c>
      <c r="B1222" s="10">
        <v>45801</v>
      </c>
      <c r="C1222">
        <v>24</v>
      </c>
      <c r="D1222" t="s">
        <v>120</v>
      </c>
      <c r="E1222" t="s">
        <v>98</v>
      </c>
      <c r="F1222" t="s">
        <v>134</v>
      </c>
      <c r="G1222" t="s">
        <v>100</v>
      </c>
      <c r="H1222" t="s">
        <v>37</v>
      </c>
      <c r="I1222" t="s">
        <v>156</v>
      </c>
      <c r="J1222" t="s">
        <v>103</v>
      </c>
      <c r="K1222">
        <v>7</v>
      </c>
      <c r="L1222">
        <v>3000</v>
      </c>
      <c r="M1222">
        <v>21000</v>
      </c>
      <c r="N1222" t="s">
        <v>95</v>
      </c>
      <c r="O1222" t="s">
        <v>104</v>
      </c>
    </row>
    <row r="1223" spans="1:15" x14ac:dyDescent="0.25">
      <c r="A1223">
        <v>4827</v>
      </c>
      <c r="B1223" s="10">
        <v>45778</v>
      </c>
      <c r="C1223">
        <v>1</v>
      </c>
      <c r="D1223" t="s">
        <v>120</v>
      </c>
      <c r="E1223" t="s">
        <v>121</v>
      </c>
      <c r="F1223" t="s">
        <v>144</v>
      </c>
      <c r="G1223" t="s">
        <v>91</v>
      </c>
      <c r="H1223" t="s">
        <v>101</v>
      </c>
      <c r="I1223" t="s">
        <v>102</v>
      </c>
      <c r="J1223" t="s">
        <v>94</v>
      </c>
      <c r="K1223">
        <v>4</v>
      </c>
      <c r="L1223">
        <v>3000</v>
      </c>
      <c r="M1223">
        <v>12000</v>
      </c>
      <c r="N1223" t="s">
        <v>108</v>
      </c>
      <c r="O1223" t="s">
        <v>115</v>
      </c>
    </row>
    <row r="1224" spans="1:15" x14ac:dyDescent="0.25">
      <c r="A1224">
        <v>4889</v>
      </c>
      <c r="B1224" s="10">
        <v>46001</v>
      </c>
      <c r="C1224">
        <v>10</v>
      </c>
      <c r="D1224" t="s">
        <v>125</v>
      </c>
      <c r="E1224" t="s">
        <v>133</v>
      </c>
      <c r="F1224" t="s">
        <v>113</v>
      </c>
      <c r="G1224" t="s">
        <v>114</v>
      </c>
      <c r="H1224" t="s">
        <v>37</v>
      </c>
      <c r="I1224" t="s">
        <v>146</v>
      </c>
      <c r="J1224" t="s">
        <v>103</v>
      </c>
      <c r="K1224">
        <v>34</v>
      </c>
      <c r="L1224">
        <v>3000</v>
      </c>
      <c r="M1224">
        <v>102000</v>
      </c>
      <c r="N1224" t="s">
        <v>95</v>
      </c>
      <c r="O1224" t="s">
        <v>96</v>
      </c>
    </row>
    <row r="1225" spans="1:15" x14ac:dyDescent="0.25">
      <c r="A1225">
        <v>3</v>
      </c>
      <c r="B1225" s="10">
        <v>45769</v>
      </c>
      <c r="C1225">
        <v>22</v>
      </c>
      <c r="D1225" t="s">
        <v>105</v>
      </c>
      <c r="E1225" t="s">
        <v>106</v>
      </c>
      <c r="F1225" t="s">
        <v>107</v>
      </c>
      <c r="G1225" t="s">
        <v>100</v>
      </c>
      <c r="H1225" t="s">
        <v>101</v>
      </c>
      <c r="I1225" t="s">
        <v>102</v>
      </c>
      <c r="J1225" t="s">
        <v>94</v>
      </c>
      <c r="K1225">
        <v>9</v>
      </c>
      <c r="L1225">
        <v>3100</v>
      </c>
      <c r="M1225">
        <v>27900</v>
      </c>
      <c r="N1225" t="s">
        <v>108</v>
      </c>
      <c r="O1225" t="s">
        <v>104</v>
      </c>
    </row>
    <row r="1226" spans="1:15" x14ac:dyDescent="0.25">
      <c r="A1226">
        <v>160</v>
      </c>
      <c r="B1226" s="10">
        <v>45818</v>
      </c>
      <c r="C1226">
        <v>10</v>
      </c>
      <c r="D1226" t="s">
        <v>153</v>
      </c>
      <c r="E1226" t="s">
        <v>98</v>
      </c>
      <c r="F1226" t="s">
        <v>44</v>
      </c>
      <c r="G1226" t="s">
        <v>111</v>
      </c>
      <c r="H1226" t="s">
        <v>37</v>
      </c>
      <c r="I1226" t="s">
        <v>146</v>
      </c>
      <c r="J1226" t="s">
        <v>103</v>
      </c>
      <c r="K1226">
        <v>9</v>
      </c>
      <c r="L1226">
        <v>3100</v>
      </c>
      <c r="M1226">
        <v>27900</v>
      </c>
      <c r="N1226" t="s">
        <v>95</v>
      </c>
      <c r="O1226" t="s">
        <v>104</v>
      </c>
    </row>
    <row r="1227" spans="1:15" x14ac:dyDescent="0.25">
      <c r="A1227">
        <v>203</v>
      </c>
      <c r="B1227" s="10">
        <v>45685</v>
      </c>
      <c r="C1227">
        <v>28</v>
      </c>
      <c r="D1227" t="s">
        <v>130</v>
      </c>
      <c r="E1227" t="s">
        <v>142</v>
      </c>
      <c r="F1227" t="s">
        <v>107</v>
      </c>
      <c r="G1227" t="s">
        <v>100</v>
      </c>
      <c r="H1227" t="s">
        <v>37</v>
      </c>
      <c r="I1227" t="s">
        <v>146</v>
      </c>
      <c r="J1227" t="s">
        <v>103</v>
      </c>
      <c r="K1227">
        <v>10</v>
      </c>
      <c r="L1227">
        <v>3100</v>
      </c>
      <c r="M1227">
        <v>31000</v>
      </c>
      <c r="N1227" t="s">
        <v>108</v>
      </c>
      <c r="O1227" t="s">
        <v>104</v>
      </c>
    </row>
    <row r="1228" spans="1:15" x14ac:dyDescent="0.25">
      <c r="A1228">
        <v>244</v>
      </c>
      <c r="B1228" s="10">
        <v>45921</v>
      </c>
      <c r="C1228">
        <v>21</v>
      </c>
      <c r="D1228" t="s">
        <v>147</v>
      </c>
      <c r="E1228" t="s">
        <v>137</v>
      </c>
      <c r="F1228" t="s">
        <v>28</v>
      </c>
      <c r="G1228" t="s">
        <v>126</v>
      </c>
      <c r="H1228" t="s">
        <v>37</v>
      </c>
      <c r="I1228" t="s">
        <v>146</v>
      </c>
      <c r="J1228" t="s">
        <v>103</v>
      </c>
      <c r="K1228">
        <v>12</v>
      </c>
      <c r="L1228">
        <v>3100</v>
      </c>
      <c r="M1228">
        <v>37200</v>
      </c>
      <c r="N1228" t="s">
        <v>108</v>
      </c>
      <c r="O1228" t="s">
        <v>115</v>
      </c>
    </row>
    <row r="1229" spans="1:15" x14ac:dyDescent="0.25">
      <c r="A1229">
        <v>313</v>
      </c>
      <c r="B1229" s="10">
        <v>45937</v>
      </c>
      <c r="C1229">
        <v>7</v>
      </c>
      <c r="D1229" t="s">
        <v>136</v>
      </c>
      <c r="E1229" t="s">
        <v>133</v>
      </c>
      <c r="F1229" t="s">
        <v>36</v>
      </c>
      <c r="G1229" t="s">
        <v>100</v>
      </c>
      <c r="H1229" t="s">
        <v>101</v>
      </c>
      <c r="I1229" t="s">
        <v>102</v>
      </c>
      <c r="J1229" t="s">
        <v>94</v>
      </c>
      <c r="K1229">
        <v>2</v>
      </c>
      <c r="L1229">
        <v>3100</v>
      </c>
      <c r="M1229">
        <v>6200</v>
      </c>
      <c r="N1229" t="s">
        <v>95</v>
      </c>
      <c r="O1229" t="s">
        <v>104</v>
      </c>
    </row>
    <row r="1230" spans="1:15" x14ac:dyDescent="0.25">
      <c r="A1230">
        <v>383</v>
      </c>
      <c r="B1230" s="10">
        <v>45990</v>
      </c>
      <c r="C1230">
        <v>29</v>
      </c>
      <c r="D1230" t="s">
        <v>90</v>
      </c>
      <c r="E1230" t="s">
        <v>138</v>
      </c>
      <c r="F1230" t="s">
        <v>151</v>
      </c>
      <c r="G1230" t="s">
        <v>111</v>
      </c>
      <c r="H1230" t="s">
        <v>37</v>
      </c>
      <c r="I1230" t="s">
        <v>146</v>
      </c>
      <c r="J1230" t="s">
        <v>94</v>
      </c>
      <c r="K1230">
        <v>7</v>
      </c>
      <c r="L1230">
        <v>3100</v>
      </c>
      <c r="M1230">
        <v>21700</v>
      </c>
      <c r="N1230" t="s">
        <v>108</v>
      </c>
      <c r="O1230" t="s">
        <v>104</v>
      </c>
    </row>
    <row r="1231" spans="1:15" x14ac:dyDescent="0.25">
      <c r="A1231">
        <v>452</v>
      </c>
      <c r="B1231" s="10">
        <v>45847</v>
      </c>
      <c r="C1231">
        <v>9</v>
      </c>
      <c r="D1231" t="s">
        <v>145</v>
      </c>
      <c r="E1231" t="s">
        <v>128</v>
      </c>
      <c r="F1231" t="s">
        <v>134</v>
      </c>
      <c r="G1231" t="s">
        <v>100</v>
      </c>
      <c r="H1231" t="s">
        <v>37</v>
      </c>
      <c r="I1231" t="s">
        <v>146</v>
      </c>
      <c r="J1231" t="s">
        <v>103</v>
      </c>
      <c r="K1231">
        <v>7</v>
      </c>
      <c r="L1231">
        <v>3100</v>
      </c>
      <c r="M1231">
        <v>21700</v>
      </c>
      <c r="N1231" t="s">
        <v>108</v>
      </c>
      <c r="O1231" t="s">
        <v>115</v>
      </c>
    </row>
    <row r="1232" spans="1:15" x14ac:dyDescent="0.25">
      <c r="A1232">
        <v>555</v>
      </c>
      <c r="B1232" s="10">
        <v>45661</v>
      </c>
      <c r="C1232">
        <v>4</v>
      </c>
      <c r="D1232" t="s">
        <v>130</v>
      </c>
      <c r="E1232" t="s">
        <v>98</v>
      </c>
      <c r="F1232" t="s">
        <v>99</v>
      </c>
      <c r="G1232" t="s">
        <v>100</v>
      </c>
      <c r="H1232" t="s">
        <v>101</v>
      </c>
      <c r="I1232" t="s">
        <v>102</v>
      </c>
      <c r="J1232" t="s">
        <v>94</v>
      </c>
      <c r="K1232">
        <v>2</v>
      </c>
      <c r="L1232">
        <v>3100</v>
      </c>
      <c r="M1232">
        <v>6200</v>
      </c>
      <c r="N1232" t="s">
        <v>108</v>
      </c>
      <c r="O1232" t="s">
        <v>96</v>
      </c>
    </row>
    <row r="1233" spans="1:15" x14ac:dyDescent="0.25">
      <c r="A1233">
        <v>583</v>
      </c>
      <c r="B1233" s="10">
        <v>45733</v>
      </c>
      <c r="C1233">
        <v>17</v>
      </c>
      <c r="D1233" t="s">
        <v>140</v>
      </c>
      <c r="E1233" t="s">
        <v>25</v>
      </c>
      <c r="F1233" t="s">
        <v>36</v>
      </c>
      <c r="G1233" t="s">
        <v>100</v>
      </c>
      <c r="H1233" t="s">
        <v>37</v>
      </c>
      <c r="I1233" t="s">
        <v>146</v>
      </c>
      <c r="J1233" t="s">
        <v>103</v>
      </c>
      <c r="K1233">
        <v>43</v>
      </c>
      <c r="L1233">
        <v>3100</v>
      </c>
      <c r="M1233">
        <v>133300</v>
      </c>
      <c r="N1233" t="s">
        <v>95</v>
      </c>
      <c r="O1233" t="s">
        <v>96</v>
      </c>
    </row>
    <row r="1234" spans="1:15" x14ac:dyDescent="0.25">
      <c r="A1234">
        <v>774</v>
      </c>
      <c r="B1234" s="10">
        <v>45769</v>
      </c>
      <c r="C1234">
        <v>22</v>
      </c>
      <c r="D1234" t="s">
        <v>105</v>
      </c>
      <c r="E1234" t="s">
        <v>121</v>
      </c>
      <c r="F1234" t="s">
        <v>36</v>
      </c>
      <c r="G1234" t="s">
        <v>100</v>
      </c>
      <c r="H1234" t="s">
        <v>101</v>
      </c>
      <c r="I1234" t="s">
        <v>102</v>
      </c>
      <c r="J1234" t="s">
        <v>94</v>
      </c>
      <c r="K1234">
        <v>3</v>
      </c>
      <c r="L1234">
        <v>3100</v>
      </c>
      <c r="M1234">
        <v>9300</v>
      </c>
      <c r="N1234" t="s">
        <v>108</v>
      </c>
      <c r="O1234" t="s">
        <v>96</v>
      </c>
    </row>
    <row r="1235" spans="1:15" x14ac:dyDescent="0.25">
      <c r="A1235">
        <v>992</v>
      </c>
      <c r="B1235" s="10">
        <v>45856</v>
      </c>
      <c r="C1235">
        <v>18</v>
      </c>
      <c r="D1235" t="s">
        <v>145</v>
      </c>
      <c r="E1235" t="s">
        <v>112</v>
      </c>
      <c r="F1235" t="s">
        <v>134</v>
      </c>
      <c r="G1235" t="s">
        <v>100</v>
      </c>
      <c r="H1235" t="s">
        <v>37</v>
      </c>
      <c r="I1235" t="s">
        <v>146</v>
      </c>
      <c r="J1235" t="s">
        <v>94</v>
      </c>
      <c r="K1235">
        <v>5</v>
      </c>
      <c r="L1235">
        <v>3100</v>
      </c>
      <c r="M1235">
        <v>15500</v>
      </c>
      <c r="N1235" t="s">
        <v>108</v>
      </c>
      <c r="O1235" t="s">
        <v>115</v>
      </c>
    </row>
    <row r="1236" spans="1:15" x14ac:dyDescent="0.25">
      <c r="A1236">
        <v>998</v>
      </c>
      <c r="B1236" s="10">
        <v>45925</v>
      </c>
      <c r="C1236">
        <v>25</v>
      </c>
      <c r="D1236" t="s">
        <v>147</v>
      </c>
      <c r="E1236" t="s">
        <v>142</v>
      </c>
      <c r="F1236" t="s">
        <v>44</v>
      </c>
      <c r="G1236" t="s">
        <v>111</v>
      </c>
      <c r="H1236" t="s">
        <v>101</v>
      </c>
      <c r="I1236" t="s">
        <v>102</v>
      </c>
      <c r="J1236" t="s">
        <v>94</v>
      </c>
      <c r="K1236">
        <v>1</v>
      </c>
      <c r="L1236">
        <v>3100</v>
      </c>
      <c r="M1236">
        <v>3100</v>
      </c>
      <c r="N1236" t="s">
        <v>95</v>
      </c>
      <c r="O1236" t="s">
        <v>96</v>
      </c>
    </row>
    <row r="1237" spans="1:15" x14ac:dyDescent="0.25">
      <c r="A1237">
        <v>1113</v>
      </c>
      <c r="B1237" s="10">
        <v>45780</v>
      </c>
      <c r="C1237">
        <v>3</v>
      </c>
      <c r="D1237" t="s">
        <v>120</v>
      </c>
      <c r="E1237" t="s">
        <v>150</v>
      </c>
      <c r="F1237" t="s">
        <v>117</v>
      </c>
      <c r="G1237" t="s">
        <v>118</v>
      </c>
      <c r="H1237" t="s">
        <v>37</v>
      </c>
      <c r="I1237" t="s">
        <v>146</v>
      </c>
      <c r="J1237" t="s">
        <v>103</v>
      </c>
      <c r="K1237">
        <v>50</v>
      </c>
      <c r="L1237">
        <v>3100</v>
      </c>
      <c r="M1237">
        <v>155000</v>
      </c>
      <c r="N1237" t="s">
        <v>95</v>
      </c>
      <c r="O1237" t="s">
        <v>104</v>
      </c>
    </row>
    <row r="1238" spans="1:15" x14ac:dyDescent="0.25">
      <c r="A1238">
        <v>1770</v>
      </c>
      <c r="B1238" s="10">
        <v>45901</v>
      </c>
      <c r="C1238">
        <v>1</v>
      </c>
      <c r="D1238" t="s">
        <v>147</v>
      </c>
      <c r="E1238" t="s">
        <v>133</v>
      </c>
      <c r="F1238" t="s">
        <v>144</v>
      </c>
      <c r="G1238" t="s">
        <v>91</v>
      </c>
      <c r="H1238" t="s">
        <v>37</v>
      </c>
      <c r="I1238" t="s">
        <v>146</v>
      </c>
      <c r="J1238" t="s">
        <v>103</v>
      </c>
      <c r="K1238">
        <v>47</v>
      </c>
      <c r="L1238">
        <v>3100</v>
      </c>
      <c r="M1238">
        <v>145700</v>
      </c>
      <c r="N1238" t="s">
        <v>108</v>
      </c>
      <c r="O1238" t="s">
        <v>96</v>
      </c>
    </row>
    <row r="1239" spans="1:15" x14ac:dyDescent="0.25">
      <c r="A1239">
        <v>1806</v>
      </c>
      <c r="B1239" s="10">
        <v>45886</v>
      </c>
      <c r="C1239">
        <v>17</v>
      </c>
      <c r="D1239" t="s">
        <v>109</v>
      </c>
      <c r="E1239" t="s">
        <v>112</v>
      </c>
      <c r="F1239" t="s">
        <v>22</v>
      </c>
      <c r="G1239" t="s">
        <v>91</v>
      </c>
      <c r="H1239" t="s">
        <v>37</v>
      </c>
      <c r="I1239" t="s">
        <v>156</v>
      </c>
      <c r="J1239" t="s">
        <v>103</v>
      </c>
      <c r="K1239">
        <v>15</v>
      </c>
      <c r="L1239">
        <v>3100</v>
      </c>
      <c r="M1239">
        <v>46500</v>
      </c>
      <c r="N1239" t="s">
        <v>95</v>
      </c>
      <c r="O1239" t="s">
        <v>96</v>
      </c>
    </row>
    <row r="1240" spans="1:15" x14ac:dyDescent="0.25">
      <c r="A1240">
        <v>1904</v>
      </c>
      <c r="B1240" s="10">
        <v>45832</v>
      </c>
      <c r="C1240">
        <v>24</v>
      </c>
      <c r="D1240" t="s">
        <v>153</v>
      </c>
      <c r="E1240" t="s">
        <v>121</v>
      </c>
      <c r="F1240" t="s">
        <v>144</v>
      </c>
      <c r="G1240" t="s">
        <v>91</v>
      </c>
      <c r="H1240" t="s">
        <v>101</v>
      </c>
      <c r="I1240" t="s">
        <v>102</v>
      </c>
      <c r="J1240" t="s">
        <v>94</v>
      </c>
      <c r="K1240">
        <v>10</v>
      </c>
      <c r="L1240">
        <v>3100</v>
      </c>
      <c r="M1240">
        <v>31000</v>
      </c>
      <c r="N1240" t="s">
        <v>108</v>
      </c>
      <c r="O1240" t="s">
        <v>96</v>
      </c>
    </row>
    <row r="1241" spans="1:15" x14ac:dyDescent="0.25">
      <c r="A1241">
        <v>2070</v>
      </c>
      <c r="B1241" s="10">
        <v>45907</v>
      </c>
      <c r="C1241">
        <v>7</v>
      </c>
      <c r="D1241" t="s">
        <v>147</v>
      </c>
      <c r="E1241" t="s">
        <v>142</v>
      </c>
      <c r="F1241" t="s">
        <v>117</v>
      </c>
      <c r="G1241" t="s">
        <v>118</v>
      </c>
      <c r="H1241" t="s">
        <v>101</v>
      </c>
      <c r="I1241" t="s">
        <v>102</v>
      </c>
      <c r="J1241" t="s">
        <v>94</v>
      </c>
      <c r="K1241">
        <v>3</v>
      </c>
      <c r="L1241">
        <v>3100</v>
      </c>
      <c r="M1241">
        <v>9300</v>
      </c>
      <c r="N1241" t="s">
        <v>108</v>
      </c>
      <c r="O1241" t="s">
        <v>115</v>
      </c>
    </row>
    <row r="1242" spans="1:15" x14ac:dyDescent="0.25">
      <c r="A1242">
        <v>2119</v>
      </c>
      <c r="B1242" s="10">
        <v>45659</v>
      </c>
      <c r="C1242">
        <v>2</v>
      </c>
      <c r="D1242" t="s">
        <v>130</v>
      </c>
      <c r="E1242" t="s">
        <v>106</v>
      </c>
      <c r="F1242" t="s">
        <v>28</v>
      </c>
      <c r="G1242" t="s">
        <v>126</v>
      </c>
      <c r="H1242" t="s">
        <v>37</v>
      </c>
      <c r="I1242" t="s">
        <v>146</v>
      </c>
      <c r="J1242" t="s">
        <v>94</v>
      </c>
      <c r="K1242">
        <v>8</v>
      </c>
      <c r="L1242">
        <v>3100</v>
      </c>
      <c r="M1242">
        <v>24800</v>
      </c>
      <c r="N1242" t="s">
        <v>108</v>
      </c>
      <c r="O1242" t="s">
        <v>104</v>
      </c>
    </row>
    <row r="1243" spans="1:15" x14ac:dyDescent="0.25">
      <c r="A1243">
        <v>2122</v>
      </c>
      <c r="B1243" s="10">
        <v>45667</v>
      </c>
      <c r="C1243">
        <v>10</v>
      </c>
      <c r="D1243" t="s">
        <v>130</v>
      </c>
      <c r="E1243" t="s">
        <v>128</v>
      </c>
      <c r="F1243" t="s">
        <v>144</v>
      </c>
      <c r="G1243" t="s">
        <v>91</v>
      </c>
      <c r="H1243" t="s">
        <v>101</v>
      </c>
      <c r="I1243" t="s">
        <v>102</v>
      </c>
      <c r="J1243" t="s">
        <v>94</v>
      </c>
      <c r="K1243">
        <v>3</v>
      </c>
      <c r="L1243">
        <v>3100</v>
      </c>
      <c r="M1243">
        <v>9300</v>
      </c>
      <c r="N1243" t="s">
        <v>95</v>
      </c>
      <c r="O1243" t="s">
        <v>115</v>
      </c>
    </row>
    <row r="1244" spans="1:15" x14ac:dyDescent="0.25">
      <c r="A1244">
        <v>2349</v>
      </c>
      <c r="B1244" s="10">
        <v>45693</v>
      </c>
      <c r="C1244">
        <v>5</v>
      </c>
      <c r="D1244" t="s">
        <v>97</v>
      </c>
      <c r="E1244" t="s">
        <v>138</v>
      </c>
      <c r="F1244" t="s">
        <v>22</v>
      </c>
      <c r="G1244" t="s">
        <v>91</v>
      </c>
      <c r="H1244" t="s">
        <v>37</v>
      </c>
      <c r="I1244" t="s">
        <v>146</v>
      </c>
      <c r="J1244" t="s">
        <v>103</v>
      </c>
      <c r="K1244">
        <v>38</v>
      </c>
      <c r="L1244">
        <v>3100</v>
      </c>
      <c r="M1244">
        <v>117800</v>
      </c>
      <c r="N1244" t="s">
        <v>108</v>
      </c>
      <c r="O1244" t="s">
        <v>96</v>
      </c>
    </row>
    <row r="1245" spans="1:15" x14ac:dyDescent="0.25">
      <c r="A1245">
        <v>2533</v>
      </c>
      <c r="B1245" s="10">
        <v>45915</v>
      </c>
      <c r="C1245">
        <v>15</v>
      </c>
      <c r="D1245" t="s">
        <v>147</v>
      </c>
      <c r="E1245" t="s">
        <v>106</v>
      </c>
      <c r="F1245" t="s">
        <v>107</v>
      </c>
      <c r="G1245" t="s">
        <v>100</v>
      </c>
      <c r="H1245" t="s">
        <v>37</v>
      </c>
      <c r="I1245" t="s">
        <v>146</v>
      </c>
      <c r="J1245" t="s">
        <v>103</v>
      </c>
      <c r="K1245">
        <v>19</v>
      </c>
      <c r="L1245">
        <v>3100</v>
      </c>
      <c r="M1245">
        <v>58900</v>
      </c>
      <c r="N1245" t="s">
        <v>108</v>
      </c>
      <c r="O1245" t="s">
        <v>96</v>
      </c>
    </row>
    <row r="1246" spans="1:15" x14ac:dyDescent="0.25">
      <c r="A1246">
        <v>2554</v>
      </c>
      <c r="B1246" s="10">
        <v>45866</v>
      </c>
      <c r="C1246">
        <v>28</v>
      </c>
      <c r="D1246" t="s">
        <v>145</v>
      </c>
      <c r="E1246" t="s">
        <v>133</v>
      </c>
      <c r="F1246" t="s">
        <v>148</v>
      </c>
      <c r="G1246" t="s">
        <v>118</v>
      </c>
      <c r="H1246" t="s">
        <v>101</v>
      </c>
      <c r="I1246" t="s">
        <v>102</v>
      </c>
      <c r="J1246" t="s">
        <v>94</v>
      </c>
      <c r="K1246">
        <v>7</v>
      </c>
      <c r="L1246">
        <v>3100</v>
      </c>
      <c r="M1246">
        <v>21700</v>
      </c>
      <c r="N1246" t="s">
        <v>108</v>
      </c>
      <c r="O1246" t="s">
        <v>96</v>
      </c>
    </row>
    <row r="1247" spans="1:15" x14ac:dyDescent="0.25">
      <c r="A1247">
        <v>2608</v>
      </c>
      <c r="B1247" s="10">
        <v>45878</v>
      </c>
      <c r="C1247">
        <v>9</v>
      </c>
      <c r="D1247" t="s">
        <v>109</v>
      </c>
      <c r="E1247" t="s">
        <v>106</v>
      </c>
      <c r="F1247" t="s">
        <v>144</v>
      </c>
      <c r="G1247" t="s">
        <v>91</v>
      </c>
      <c r="H1247" t="s">
        <v>37</v>
      </c>
      <c r="I1247" t="s">
        <v>146</v>
      </c>
      <c r="J1247" t="s">
        <v>94</v>
      </c>
      <c r="K1247">
        <v>3</v>
      </c>
      <c r="L1247">
        <v>3100</v>
      </c>
      <c r="M1247">
        <v>9300</v>
      </c>
      <c r="N1247" t="s">
        <v>108</v>
      </c>
      <c r="O1247" t="s">
        <v>115</v>
      </c>
    </row>
    <row r="1248" spans="1:15" x14ac:dyDescent="0.25">
      <c r="A1248">
        <v>3139</v>
      </c>
      <c r="B1248" s="10">
        <v>45803</v>
      </c>
      <c r="C1248">
        <v>26</v>
      </c>
      <c r="D1248" t="s">
        <v>120</v>
      </c>
      <c r="E1248" t="s">
        <v>161</v>
      </c>
      <c r="F1248" t="s">
        <v>144</v>
      </c>
      <c r="G1248" t="s">
        <v>91</v>
      </c>
      <c r="H1248" t="s">
        <v>101</v>
      </c>
      <c r="I1248" t="s">
        <v>102</v>
      </c>
      <c r="J1248" t="s">
        <v>94</v>
      </c>
      <c r="K1248">
        <v>5</v>
      </c>
      <c r="L1248">
        <v>3100</v>
      </c>
      <c r="M1248">
        <v>15500</v>
      </c>
      <c r="N1248" t="s">
        <v>95</v>
      </c>
      <c r="O1248" t="s">
        <v>104</v>
      </c>
    </row>
    <row r="1249" spans="1:15" x14ac:dyDescent="0.25">
      <c r="A1249">
        <v>3237</v>
      </c>
      <c r="B1249" s="10">
        <v>45805</v>
      </c>
      <c r="C1249">
        <v>28</v>
      </c>
      <c r="D1249" t="s">
        <v>120</v>
      </c>
      <c r="E1249" t="s">
        <v>137</v>
      </c>
      <c r="F1249" t="s">
        <v>144</v>
      </c>
      <c r="G1249" t="s">
        <v>91</v>
      </c>
      <c r="H1249" t="s">
        <v>37</v>
      </c>
      <c r="I1249" t="s">
        <v>146</v>
      </c>
      <c r="J1249" t="s">
        <v>103</v>
      </c>
      <c r="K1249">
        <v>6</v>
      </c>
      <c r="L1249">
        <v>3100</v>
      </c>
      <c r="M1249">
        <v>18600</v>
      </c>
      <c r="N1249" t="s">
        <v>95</v>
      </c>
      <c r="O1249" t="s">
        <v>96</v>
      </c>
    </row>
    <row r="1250" spans="1:15" x14ac:dyDescent="0.25">
      <c r="A1250">
        <v>3250</v>
      </c>
      <c r="B1250" s="10">
        <v>45838</v>
      </c>
      <c r="C1250">
        <v>30</v>
      </c>
      <c r="D1250" t="s">
        <v>153</v>
      </c>
      <c r="E1250" t="s">
        <v>31</v>
      </c>
      <c r="F1250" t="s">
        <v>36</v>
      </c>
      <c r="G1250" t="s">
        <v>100</v>
      </c>
      <c r="H1250" t="s">
        <v>37</v>
      </c>
      <c r="I1250" t="s">
        <v>156</v>
      </c>
      <c r="J1250" t="s">
        <v>103</v>
      </c>
      <c r="K1250">
        <v>22</v>
      </c>
      <c r="L1250">
        <v>3100</v>
      </c>
      <c r="M1250">
        <v>68200</v>
      </c>
      <c r="N1250" t="s">
        <v>95</v>
      </c>
      <c r="O1250" t="s">
        <v>104</v>
      </c>
    </row>
    <row r="1251" spans="1:15" x14ac:dyDescent="0.25">
      <c r="A1251">
        <v>3431</v>
      </c>
      <c r="B1251" s="10">
        <v>45834</v>
      </c>
      <c r="C1251">
        <v>26</v>
      </c>
      <c r="D1251" t="s">
        <v>153</v>
      </c>
      <c r="E1251" t="s">
        <v>133</v>
      </c>
      <c r="F1251" t="s">
        <v>144</v>
      </c>
      <c r="G1251" t="s">
        <v>91</v>
      </c>
      <c r="H1251" t="s">
        <v>101</v>
      </c>
      <c r="I1251" t="s">
        <v>102</v>
      </c>
      <c r="J1251" t="s">
        <v>94</v>
      </c>
      <c r="K1251">
        <v>8</v>
      </c>
      <c r="L1251">
        <v>3100</v>
      </c>
      <c r="M1251">
        <v>24800</v>
      </c>
      <c r="N1251" t="s">
        <v>95</v>
      </c>
      <c r="O1251" t="s">
        <v>96</v>
      </c>
    </row>
    <row r="1252" spans="1:15" x14ac:dyDescent="0.25">
      <c r="A1252">
        <v>3445</v>
      </c>
      <c r="B1252" s="10">
        <v>45714</v>
      </c>
      <c r="C1252">
        <v>26</v>
      </c>
      <c r="D1252" t="s">
        <v>97</v>
      </c>
      <c r="E1252" t="s">
        <v>161</v>
      </c>
      <c r="F1252" t="s">
        <v>113</v>
      </c>
      <c r="G1252" t="s">
        <v>114</v>
      </c>
      <c r="H1252" t="s">
        <v>37</v>
      </c>
      <c r="I1252" t="s">
        <v>146</v>
      </c>
      <c r="J1252" t="s">
        <v>103</v>
      </c>
      <c r="K1252">
        <v>43</v>
      </c>
      <c r="L1252">
        <v>3100</v>
      </c>
      <c r="M1252">
        <v>133300</v>
      </c>
      <c r="N1252" t="s">
        <v>95</v>
      </c>
      <c r="O1252" t="s">
        <v>115</v>
      </c>
    </row>
    <row r="1253" spans="1:15" x14ac:dyDescent="0.25">
      <c r="A1253">
        <v>4176</v>
      </c>
      <c r="B1253" s="10">
        <v>46022</v>
      </c>
      <c r="C1253">
        <v>31</v>
      </c>
      <c r="D1253" t="s">
        <v>125</v>
      </c>
      <c r="E1253" t="s">
        <v>128</v>
      </c>
      <c r="F1253" t="s">
        <v>144</v>
      </c>
      <c r="G1253" t="s">
        <v>91</v>
      </c>
      <c r="H1253" t="s">
        <v>101</v>
      </c>
      <c r="I1253" t="s">
        <v>102</v>
      </c>
      <c r="J1253" t="s">
        <v>94</v>
      </c>
      <c r="K1253">
        <v>8</v>
      </c>
      <c r="L1253">
        <v>3100</v>
      </c>
      <c r="M1253">
        <v>24800</v>
      </c>
      <c r="N1253" t="s">
        <v>95</v>
      </c>
      <c r="O1253" t="s">
        <v>115</v>
      </c>
    </row>
    <row r="1254" spans="1:15" x14ac:dyDescent="0.25">
      <c r="A1254">
        <v>4445</v>
      </c>
      <c r="B1254" s="10">
        <v>46007</v>
      </c>
      <c r="C1254">
        <v>16</v>
      </c>
      <c r="D1254" t="s">
        <v>125</v>
      </c>
      <c r="E1254" t="s">
        <v>161</v>
      </c>
      <c r="F1254" t="s">
        <v>36</v>
      </c>
      <c r="G1254" t="s">
        <v>100</v>
      </c>
      <c r="H1254" t="s">
        <v>37</v>
      </c>
      <c r="I1254" t="s">
        <v>156</v>
      </c>
      <c r="J1254" t="s">
        <v>103</v>
      </c>
      <c r="K1254">
        <v>18</v>
      </c>
      <c r="L1254">
        <v>3100</v>
      </c>
      <c r="M1254">
        <v>55800</v>
      </c>
      <c r="N1254" t="s">
        <v>95</v>
      </c>
      <c r="O1254" t="s">
        <v>104</v>
      </c>
    </row>
    <row r="1255" spans="1:15" x14ac:dyDescent="0.25">
      <c r="A1255">
        <v>4552</v>
      </c>
      <c r="B1255" s="10">
        <v>45761</v>
      </c>
      <c r="C1255">
        <v>14</v>
      </c>
      <c r="D1255" t="s">
        <v>105</v>
      </c>
      <c r="E1255" t="s">
        <v>116</v>
      </c>
      <c r="F1255" t="s">
        <v>122</v>
      </c>
      <c r="G1255" t="s">
        <v>114</v>
      </c>
      <c r="H1255" t="s">
        <v>37</v>
      </c>
      <c r="I1255" t="s">
        <v>146</v>
      </c>
      <c r="J1255" t="s">
        <v>103</v>
      </c>
      <c r="K1255">
        <v>38</v>
      </c>
      <c r="L1255">
        <v>3100</v>
      </c>
      <c r="M1255">
        <v>117800</v>
      </c>
      <c r="N1255" t="s">
        <v>108</v>
      </c>
      <c r="O1255" t="s">
        <v>96</v>
      </c>
    </row>
    <row r="1256" spans="1:15" x14ac:dyDescent="0.25">
      <c r="A1256">
        <v>553</v>
      </c>
      <c r="B1256" s="10">
        <v>45749</v>
      </c>
      <c r="C1256">
        <v>2</v>
      </c>
      <c r="D1256" t="s">
        <v>105</v>
      </c>
      <c r="E1256" t="s">
        <v>112</v>
      </c>
      <c r="F1256" t="s">
        <v>44</v>
      </c>
      <c r="G1256" t="s">
        <v>111</v>
      </c>
      <c r="H1256" t="s">
        <v>101</v>
      </c>
      <c r="I1256" t="s">
        <v>102</v>
      </c>
      <c r="J1256" t="s">
        <v>94</v>
      </c>
      <c r="K1256">
        <v>5</v>
      </c>
      <c r="L1256">
        <v>3200</v>
      </c>
      <c r="M1256">
        <v>16000</v>
      </c>
      <c r="N1256" t="s">
        <v>108</v>
      </c>
      <c r="O1256" t="s">
        <v>115</v>
      </c>
    </row>
    <row r="1257" spans="1:15" x14ac:dyDescent="0.25">
      <c r="A1257">
        <v>739</v>
      </c>
      <c r="B1257" s="10">
        <v>45927</v>
      </c>
      <c r="C1257">
        <v>27</v>
      </c>
      <c r="D1257" t="s">
        <v>147</v>
      </c>
      <c r="E1257" t="s">
        <v>110</v>
      </c>
      <c r="F1257" t="s">
        <v>148</v>
      </c>
      <c r="G1257" t="s">
        <v>118</v>
      </c>
      <c r="H1257" t="s">
        <v>37</v>
      </c>
      <c r="I1257" t="s">
        <v>146</v>
      </c>
      <c r="J1257" t="s">
        <v>103</v>
      </c>
      <c r="K1257">
        <v>38</v>
      </c>
      <c r="L1257">
        <v>3200</v>
      </c>
      <c r="M1257">
        <v>121600</v>
      </c>
      <c r="N1257" t="s">
        <v>108</v>
      </c>
      <c r="O1257" t="s">
        <v>115</v>
      </c>
    </row>
    <row r="1258" spans="1:15" x14ac:dyDescent="0.25">
      <c r="A1258">
        <v>790</v>
      </c>
      <c r="B1258" s="10">
        <v>45838</v>
      </c>
      <c r="C1258">
        <v>30</v>
      </c>
      <c r="D1258" t="s">
        <v>153</v>
      </c>
      <c r="E1258" t="s">
        <v>112</v>
      </c>
      <c r="F1258" t="s">
        <v>44</v>
      </c>
      <c r="G1258" t="s">
        <v>111</v>
      </c>
      <c r="H1258" t="s">
        <v>37</v>
      </c>
      <c r="I1258" t="s">
        <v>146</v>
      </c>
      <c r="J1258" t="s">
        <v>94</v>
      </c>
      <c r="K1258">
        <v>10</v>
      </c>
      <c r="L1258">
        <v>3200</v>
      </c>
      <c r="M1258">
        <v>32000</v>
      </c>
      <c r="N1258" t="s">
        <v>108</v>
      </c>
      <c r="O1258" t="s">
        <v>96</v>
      </c>
    </row>
    <row r="1259" spans="1:15" x14ac:dyDescent="0.25">
      <c r="A1259">
        <v>826</v>
      </c>
      <c r="B1259" s="10">
        <v>45970</v>
      </c>
      <c r="C1259">
        <v>9</v>
      </c>
      <c r="D1259" t="s">
        <v>90</v>
      </c>
      <c r="E1259" t="s">
        <v>138</v>
      </c>
      <c r="F1259" t="s">
        <v>141</v>
      </c>
      <c r="G1259" t="s">
        <v>100</v>
      </c>
      <c r="H1259" t="s">
        <v>101</v>
      </c>
      <c r="I1259" t="s">
        <v>102</v>
      </c>
      <c r="J1259" t="s">
        <v>94</v>
      </c>
      <c r="K1259">
        <v>2</v>
      </c>
      <c r="L1259">
        <v>3200</v>
      </c>
      <c r="M1259">
        <v>6400</v>
      </c>
      <c r="N1259" t="s">
        <v>108</v>
      </c>
      <c r="O1259" t="s">
        <v>96</v>
      </c>
    </row>
    <row r="1260" spans="1:15" x14ac:dyDescent="0.25">
      <c r="A1260">
        <v>925</v>
      </c>
      <c r="B1260" s="10">
        <v>45943</v>
      </c>
      <c r="C1260">
        <v>13</v>
      </c>
      <c r="D1260" t="s">
        <v>136</v>
      </c>
      <c r="E1260" t="s">
        <v>98</v>
      </c>
      <c r="F1260" t="s">
        <v>141</v>
      </c>
      <c r="G1260" t="s">
        <v>100</v>
      </c>
      <c r="H1260" t="s">
        <v>37</v>
      </c>
      <c r="I1260" t="s">
        <v>146</v>
      </c>
      <c r="J1260" t="s">
        <v>103</v>
      </c>
      <c r="K1260">
        <v>32</v>
      </c>
      <c r="L1260">
        <v>3200</v>
      </c>
      <c r="M1260">
        <v>102400</v>
      </c>
      <c r="N1260" t="s">
        <v>95</v>
      </c>
      <c r="O1260" t="s">
        <v>115</v>
      </c>
    </row>
    <row r="1261" spans="1:15" x14ac:dyDescent="0.25">
      <c r="A1261">
        <v>946</v>
      </c>
      <c r="B1261" s="10">
        <v>45783</v>
      </c>
      <c r="C1261">
        <v>6</v>
      </c>
      <c r="D1261" t="s">
        <v>120</v>
      </c>
      <c r="E1261" t="s">
        <v>112</v>
      </c>
      <c r="F1261" t="s">
        <v>141</v>
      </c>
      <c r="G1261" t="s">
        <v>100</v>
      </c>
      <c r="H1261" t="s">
        <v>37</v>
      </c>
      <c r="I1261" t="s">
        <v>156</v>
      </c>
      <c r="J1261" t="s">
        <v>103</v>
      </c>
      <c r="K1261">
        <v>40</v>
      </c>
      <c r="L1261">
        <v>3200</v>
      </c>
      <c r="M1261">
        <v>128000</v>
      </c>
      <c r="N1261" t="s">
        <v>108</v>
      </c>
      <c r="O1261" t="s">
        <v>115</v>
      </c>
    </row>
    <row r="1262" spans="1:15" x14ac:dyDescent="0.25">
      <c r="A1262">
        <v>1120</v>
      </c>
      <c r="B1262" s="10">
        <v>45863</v>
      </c>
      <c r="C1262">
        <v>25</v>
      </c>
      <c r="D1262" t="s">
        <v>145</v>
      </c>
      <c r="E1262" t="s">
        <v>98</v>
      </c>
      <c r="F1262" t="s">
        <v>144</v>
      </c>
      <c r="G1262" t="s">
        <v>91</v>
      </c>
      <c r="H1262" t="s">
        <v>101</v>
      </c>
      <c r="I1262" t="s">
        <v>102</v>
      </c>
      <c r="J1262" t="s">
        <v>94</v>
      </c>
      <c r="K1262">
        <v>4</v>
      </c>
      <c r="L1262">
        <v>3200</v>
      </c>
      <c r="M1262">
        <v>12800</v>
      </c>
      <c r="N1262" t="s">
        <v>95</v>
      </c>
      <c r="O1262" t="s">
        <v>115</v>
      </c>
    </row>
    <row r="1263" spans="1:15" x14ac:dyDescent="0.25">
      <c r="A1263">
        <v>1182</v>
      </c>
      <c r="B1263" s="10">
        <v>45968</v>
      </c>
      <c r="C1263">
        <v>7</v>
      </c>
      <c r="D1263" t="s">
        <v>90</v>
      </c>
      <c r="E1263" t="s">
        <v>133</v>
      </c>
      <c r="F1263" t="s">
        <v>28</v>
      </c>
      <c r="G1263" t="s">
        <v>126</v>
      </c>
      <c r="H1263" t="s">
        <v>37</v>
      </c>
      <c r="I1263" t="s">
        <v>146</v>
      </c>
      <c r="J1263" t="s">
        <v>103</v>
      </c>
      <c r="K1263">
        <v>17</v>
      </c>
      <c r="L1263">
        <v>3200</v>
      </c>
      <c r="M1263">
        <v>54400</v>
      </c>
      <c r="N1263" t="s">
        <v>95</v>
      </c>
      <c r="O1263" t="s">
        <v>104</v>
      </c>
    </row>
    <row r="1264" spans="1:15" x14ac:dyDescent="0.25">
      <c r="A1264">
        <v>1211</v>
      </c>
      <c r="B1264" s="10">
        <v>45672</v>
      </c>
      <c r="C1264">
        <v>15</v>
      </c>
      <c r="D1264" t="s">
        <v>130</v>
      </c>
      <c r="E1264" t="s">
        <v>138</v>
      </c>
      <c r="F1264" t="s">
        <v>144</v>
      </c>
      <c r="G1264" t="s">
        <v>91</v>
      </c>
      <c r="H1264" t="s">
        <v>37</v>
      </c>
      <c r="I1264" t="s">
        <v>156</v>
      </c>
      <c r="J1264" t="s">
        <v>103</v>
      </c>
      <c r="K1264">
        <v>19</v>
      </c>
      <c r="L1264">
        <v>3200</v>
      </c>
      <c r="M1264">
        <v>60800</v>
      </c>
      <c r="N1264" t="s">
        <v>108</v>
      </c>
      <c r="O1264" t="s">
        <v>96</v>
      </c>
    </row>
    <row r="1265" spans="1:15" x14ac:dyDescent="0.25">
      <c r="A1265">
        <v>1510</v>
      </c>
      <c r="B1265" s="10">
        <v>46019</v>
      </c>
      <c r="C1265">
        <v>28</v>
      </c>
      <c r="D1265" t="s">
        <v>125</v>
      </c>
      <c r="E1265" t="s">
        <v>161</v>
      </c>
      <c r="F1265" t="s">
        <v>141</v>
      </c>
      <c r="G1265" t="s">
        <v>100</v>
      </c>
      <c r="H1265" t="s">
        <v>37</v>
      </c>
      <c r="I1265" t="s">
        <v>146</v>
      </c>
      <c r="J1265" t="s">
        <v>103</v>
      </c>
      <c r="K1265">
        <v>50</v>
      </c>
      <c r="L1265">
        <v>3200</v>
      </c>
      <c r="M1265">
        <v>160000</v>
      </c>
      <c r="N1265" t="s">
        <v>108</v>
      </c>
      <c r="O1265" t="s">
        <v>115</v>
      </c>
    </row>
    <row r="1266" spans="1:15" x14ac:dyDescent="0.25">
      <c r="A1266">
        <v>1528</v>
      </c>
      <c r="B1266" s="10">
        <v>45747</v>
      </c>
      <c r="C1266">
        <v>31</v>
      </c>
      <c r="D1266" t="s">
        <v>140</v>
      </c>
      <c r="E1266" t="s">
        <v>138</v>
      </c>
      <c r="F1266" t="s">
        <v>141</v>
      </c>
      <c r="G1266" t="s">
        <v>100</v>
      </c>
      <c r="H1266" t="s">
        <v>101</v>
      </c>
      <c r="I1266" t="s">
        <v>102</v>
      </c>
      <c r="J1266" t="s">
        <v>94</v>
      </c>
      <c r="K1266">
        <v>2</v>
      </c>
      <c r="L1266">
        <v>3200</v>
      </c>
      <c r="M1266">
        <v>6400</v>
      </c>
      <c r="N1266" t="s">
        <v>95</v>
      </c>
      <c r="O1266" t="s">
        <v>104</v>
      </c>
    </row>
    <row r="1267" spans="1:15" x14ac:dyDescent="0.25">
      <c r="A1267">
        <v>1577</v>
      </c>
      <c r="B1267" s="10">
        <v>45714</v>
      </c>
      <c r="C1267">
        <v>26</v>
      </c>
      <c r="D1267" t="s">
        <v>97</v>
      </c>
      <c r="E1267" t="s">
        <v>110</v>
      </c>
      <c r="F1267" t="s">
        <v>148</v>
      </c>
      <c r="G1267" t="s">
        <v>118</v>
      </c>
      <c r="H1267" t="s">
        <v>37</v>
      </c>
      <c r="I1267" t="s">
        <v>146</v>
      </c>
      <c r="J1267" t="s">
        <v>94</v>
      </c>
      <c r="K1267">
        <v>1</v>
      </c>
      <c r="L1267">
        <v>3200</v>
      </c>
      <c r="M1267">
        <v>3200</v>
      </c>
      <c r="N1267" t="s">
        <v>108</v>
      </c>
      <c r="O1267" t="s">
        <v>104</v>
      </c>
    </row>
    <row r="1268" spans="1:15" x14ac:dyDescent="0.25">
      <c r="A1268">
        <v>1710</v>
      </c>
      <c r="B1268" s="10">
        <v>45719</v>
      </c>
      <c r="C1268">
        <v>3</v>
      </c>
      <c r="D1268" t="s">
        <v>140</v>
      </c>
      <c r="E1268" t="s">
        <v>98</v>
      </c>
      <c r="F1268" t="s">
        <v>49</v>
      </c>
      <c r="G1268" t="s">
        <v>118</v>
      </c>
      <c r="H1268" t="s">
        <v>37</v>
      </c>
      <c r="I1268" t="s">
        <v>156</v>
      </c>
      <c r="J1268" t="s">
        <v>103</v>
      </c>
      <c r="K1268">
        <v>41</v>
      </c>
      <c r="L1268">
        <v>3200</v>
      </c>
      <c r="M1268">
        <v>131200</v>
      </c>
      <c r="N1268" t="s">
        <v>95</v>
      </c>
      <c r="O1268" t="s">
        <v>96</v>
      </c>
    </row>
    <row r="1269" spans="1:15" x14ac:dyDescent="0.25">
      <c r="A1269">
        <v>2090</v>
      </c>
      <c r="B1269" s="10">
        <v>45827</v>
      </c>
      <c r="C1269">
        <v>19</v>
      </c>
      <c r="D1269" t="s">
        <v>153</v>
      </c>
      <c r="E1269" t="s">
        <v>31</v>
      </c>
      <c r="F1269" t="s">
        <v>22</v>
      </c>
      <c r="G1269" t="s">
        <v>91</v>
      </c>
      <c r="H1269" t="s">
        <v>101</v>
      </c>
      <c r="I1269" t="s">
        <v>102</v>
      </c>
      <c r="J1269" t="s">
        <v>94</v>
      </c>
      <c r="K1269">
        <v>10</v>
      </c>
      <c r="L1269">
        <v>3200</v>
      </c>
      <c r="M1269">
        <v>32000</v>
      </c>
      <c r="N1269" t="s">
        <v>95</v>
      </c>
      <c r="O1269" t="s">
        <v>104</v>
      </c>
    </row>
    <row r="1270" spans="1:15" x14ac:dyDescent="0.25">
      <c r="A1270">
        <v>2226</v>
      </c>
      <c r="B1270" s="10">
        <v>45687</v>
      </c>
      <c r="C1270">
        <v>30</v>
      </c>
      <c r="D1270" t="s">
        <v>130</v>
      </c>
      <c r="E1270" t="s">
        <v>31</v>
      </c>
      <c r="F1270" t="s">
        <v>44</v>
      </c>
      <c r="G1270" t="s">
        <v>111</v>
      </c>
      <c r="H1270" t="s">
        <v>101</v>
      </c>
      <c r="I1270" t="s">
        <v>102</v>
      </c>
      <c r="J1270" t="s">
        <v>94</v>
      </c>
      <c r="K1270">
        <v>9</v>
      </c>
      <c r="L1270">
        <v>3200</v>
      </c>
      <c r="M1270">
        <v>28800</v>
      </c>
      <c r="N1270" t="s">
        <v>108</v>
      </c>
      <c r="O1270" t="s">
        <v>104</v>
      </c>
    </row>
    <row r="1271" spans="1:15" x14ac:dyDescent="0.25">
      <c r="A1271">
        <v>2751</v>
      </c>
      <c r="B1271" s="10">
        <v>45822</v>
      </c>
      <c r="C1271">
        <v>14</v>
      </c>
      <c r="D1271" t="s">
        <v>153</v>
      </c>
      <c r="E1271" t="s">
        <v>98</v>
      </c>
      <c r="F1271" t="s">
        <v>22</v>
      </c>
      <c r="G1271" t="s">
        <v>91</v>
      </c>
      <c r="H1271" t="s">
        <v>37</v>
      </c>
      <c r="I1271" t="s">
        <v>146</v>
      </c>
      <c r="J1271" t="s">
        <v>103</v>
      </c>
      <c r="K1271">
        <v>20</v>
      </c>
      <c r="L1271">
        <v>3200</v>
      </c>
      <c r="M1271">
        <v>64000</v>
      </c>
      <c r="N1271" t="s">
        <v>95</v>
      </c>
      <c r="O1271" t="s">
        <v>96</v>
      </c>
    </row>
    <row r="1272" spans="1:15" x14ac:dyDescent="0.25">
      <c r="A1272">
        <v>2933</v>
      </c>
      <c r="B1272" s="10">
        <v>45796</v>
      </c>
      <c r="C1272">
        <v>19</v>
      </c>
      <c r="D1272" t="s">
        <v>120</v>
      </c>
      <c r="E1272" t="s">
        <v>112</v>
      </c>
      <c r="F1272" t="s">
        <v>148</v>
      </c>
      <c r="G1272" t="s">
        <v>118</v>
      </c>
      <c r="H1272" t="s">
        <v>37</v>
      </c>
      <c r="I1272" t="s">
        <v>156</v>
      </c>
      <c r="J1272" t="s">
        <v>103</v>
      </c>
      <c r="K1272">
        <v>10</v>
      </c>
      <c r="L1272">
        <v>3200</v>
      </c>
      <c r="M1272">
        <v>32000</v>
      </c>
      <c r="N1272" t="s">
        <v>95</v>
      </c>
      <c r="O1272" t="s">
        <v>96</v>
      </c>
    </row>
    <row r="1273" spans="1:15" x14ac:dyDescent="0.25">
      <c r="A1273">
        <v>3103</v>
      </c>
      <c r="B1273" s="10">
        <v>45968</v>
      </c>
      <c r="C1273">
        <v>7</v>
      </c>
      <c r="D1273" t="s">
        <v>90</v>
      </c>
      <c r="E1273" t="s">
        <v>137</v>
      </c>
      <c r="F1273" t="s">
        <v>36</v>
      </c>
      <c r="G1273" t="s">
        <v>100</v>
      </c>
      <c r="H1273" t="s">
        <v>37</v>
      </c>
      <c r="I1273" t="s">
        <v>146</v>
      </c>
      <c r="J1273" t="s">
        <v>103</v>
      </c>
      <c r="K1273">
        <v>47</v>
      </c>
      <c r="L1273">
        <v>3200</v>
      </c>
      <c r="M1273">
        <v>150400</v>
      </c>
      <c r="N1273" t="s">
        <v>95</v>
      </c>
      <c r="O1273" t="s">
        <v>104</v>
      </c>
    </row>
    <row r="1274" spans="1:15" x14ac:dyDescent="0.25">
      <c r="A1274">
        <v>3120</v>
      </c>
      <c r="B1274" s="10">
        <v>45866</v>
      </c>
      <c r="C1274">
        <v>28</v>
      </c>
      <c r="D1274" t="s">
        <v>145</v>
      </c>
      <c r="E1274" t="s">
        <v>110</v>
      </c>
      <c r="F1274" t="s">
        <v>22</v>
      </c>
      <c r="G1274" t="s">
        <v>91</v>
      </c>
      <c r="H1274" t="s">
        <v>101</v>
      </c>
      <c r="I1274" t="s">
        <v>102</v>
      </c>
      <c r="J1274" t="s">
        <v>94</v>
      </c>
      <c r="K1274">
        <v>4</v>
      </c>
      <c r="L1274">
        <v>3200</v>
      </c>
      <c r="M1274">
        <v>12800</v>
      </c>
      <c r="N1274" t="s">
        <v>108</v>
      </c>
      <c r="O1274" t="s">
        <v>115</v>
      </c>
    </row>
    <row r="1275" spans="1:15" x14ac:dyDescent="0.25">
      <c r="A1275">
        <v>3276</v>
      </c>
      <c r="B1275" s="10">
        <v>45934</v>
      </c>
      <c r="C1275">
        <v>4</v>
      </c>
      <c r="D1275" t="s">
        <v>136</v>
      </c>
      <c r="E1275" t="s">
        <v>137</v>
      </c>
      <c r="F1275" t="s">
        <v>36</v>
      </c>
      <c r="G1275" t="s">
        <v>100</v>
      </c>
      <c r="H1275" t="s">
        <v>37</v>
      </c>
      <c r="I1275" t="s">
        <v>146</v>
      </c>
      <c r="J1275" t="s">
        <v>103</v>
      </c>
      <c r="K1275">
        <v>28</v>
      </c>
      <c r="L1275">
        <v>3200</v>
      </c>
      <c r="M1275">
        <v>89600</v>
      </c>
      <c r="N1275" t="s">
        <v>108</v>
      </c>
      <c r="O1275" t="s">
        <v>96</v>
      </c>
    </row>
    <row r="1276" spans="1:15" x14ac:dyDescent="0.25">
      <c r="A1276">
        <v>3460</v>
      </c>
      <c r="B1276" s="10">
        <v>45732</v>
      </c>
      <c r="C1276">
        <v>16</v>
      </c>
      <c r="D1276" t="s">
        <v>140</v>
      </c>
      <c r="E1276" t="s">
        <v>138</v>
      </c>
      <c r="F1276" t="s">
        <v>141</v>
      </c>
      <c r="G1276" t="s">
        <v>100</v>
      </c>
      <c r="H1276" t="s">
        <v>37</v>
      </c>
      <c r="I1276" t="s">
        <v>156</v>
      </c>
      <c r="J1276" t="s">
        <v>103</v>
      </c>
      <c r="K1276">
        <v>49</v>
      </c>
      <c r="L1276">
        <v>3200</v>
      </c>
      <c r="M1276">
        <v>156800</v>
      </c>
      <c r="N1276" t="s">
        <v>108</v>
      </c>
      <c r="O1276" t="s">
        <v>104</v>
      </c>
    </row>
    <row r="1277" spans="1:15" x14ac:dyDescent="0.25">
      <c r="A1277">
        <v>3594</v>
      </c>
      <c r="B1277" s="10">
        <v>45918</v>
      </c>
      <c r="C1277">
        <v>18</v>
      </c>
      <c r="D1277" t="s">
        <v>147</v>
      </c>
      <c r="E1277" t="s">
        <v>128</v>
      </c>
      <c r="F1277" t="s">
        <v>148</v>
      </c>
      <c r="G1277" t="s">
        <v>118</v>
      </c>
      <c r="H1277" t="s">
        <v>37</v>
      </c>
      <c r="I1277" t="s">
        <v>146</v>
      </c>
      <c r="J1277" t="s">
        <v>94</v>
      </c>
      <c r="K1277">
        <v>7</v>
      </c>
      <c r="L1277">
        <v>3200</v>
      </c>
      <c r="M1277">
        <v>22400</v>
      </c>
      <c r="N1277" t="s">
        <v>95</v>
      </c>
      <c r="O1277" t="s">
        <v>96</v>
      </c>
    </row>
    <row r="1278" spans="1:15" x14ac:dyDescent="0.25">
      <c r="A1278">
        <v>3837</v>
      </c>
      <c r="B1278" s="10">
        <v>45941</v>
      </c>
      <c r="C1278">
        <v>11</v>
      </c>
      <c r="D1278" t="s">
        <v>136</v>
      </c>
      <c r="E1278" t="s">
        <v>25</v>
      </c>
      <c r="F1278" t="s">
        <v>28</v>
      </c>
      <c r="G1278" t="s">
        <v>126</v>
      </c>
      <c r="H1278" t="s">
        <v>37</v>
      </c>
      <c r="I1278" t="s">
        <v>146</v>
      </c>
      <c r="J1278" t="s">
        <v>103</v>
      </c>
      <c r="K1278">
        <v>20</v>
      </c>
      <c r="L1278">
        <v>3200</v>
      </c>
      <c r="M1278">
        <v>64000</v>
      </c>
      <c r="N1278" t="s">
        <v>108</v>
      </c>
      <c r="O1278" t="s">
        <v>96</v>
      </c>
    </row>
    <row r="1279" spans="1:15" x14ac:dyDescent="0.25">
      <c r="A1279">
        <v>3850</v>
      </c>
      <c r="B1279" s="10">
        <v>45967</v>
      </c>
      <c r="C1279">
        <v>6</v>
      </c>
      <c r="D1279" t="s">
        <v>90</v>
      </c>
      <c r="E1279" t="s">
        <v>112</v>
      </c>
      <c r="F1279" t="s">
        <v>36</v>
      </c>
      <c r="G1279" t="s">
        <v>100</v>
      </c>
      <c r="H1279" t="s">
        <v>37</v>
      </c>
      <c r="I1279" t="s">
        <v>146</v>
      </c>
      <c r="J1279" t="s">
        <v>94</v>
      </c>
      <c r="K1279">
        <v>7</v>
      </c>
      <c r="L1279">
        <v>3200</v>
      </c>
      <c r="M1279">
        <v>22400</v>
      </c>
      <c r="N1279" t="s">
        <v>108</v>
      </c>
      <c r="O1279" t="s">
        <v>96</v>
      </c>
    </row>
    <row r="1280" spans="1:15" x14ac:dyDescent="0.25">
      <c r="A1280">
        <v>4069</v>
      </c>
      <c r="B1280" s="10">
        <v>45792</v>
      </c>
      <c r="C1280">
        <v>15</v>
      </c>
      <c r="D1280" t="s">
        <v>120</v>
      </c>
      <c r="E1280" t="s">
        <v>112</v>
      </c>
      <c r="F1280" t="s">
        <v>117</v>
      </c>
      <c r="G1280" t="s">
        <v>118</v>
      </c>
      <c r="H1280" t="s">
        <v>37</v>
      </c>
      <c r="I1280" t="s">
        <v>156</v>
      </c>
      <c r="J1280" t="s">
        <v>103</v>
      </c>
      <c r="K1280">
        <v>25</v>
      </c>
      <c r="L1280">
        <v>3200</v>
      </c>
      <c r="M1280">
        <v>80000</v>
      </c>
      <c r="N1280" t="s">
        <v>108</v>
      </c>
      <c r="O1280" t="s">
        <v>104</v>
      </c>
    </row>
    <row r="1281" spans="1:15" x14ac:dyDescent="0.25">
      <c r="A1281">
        <v>4113</v>
      </c>
      <c r="B1281" s="10">
        <v>45782</v>
      </c>
      <c r="C1281">
        <v>5</v>
      </c>
      <c r="D1281" t="s">
        <v>120</v>
      </c>
      <c r="E1281" t="s">
        <v>138</v>
      </c>
      <c r="F1281" t="s">
        <v>49</v>
      </c>
      <c r="G1281" t="s">
        <v>118</v>
      </c>
      <c r="H1281" t="s">
        <v>101</v>
      </c>
      <c r="I1281" t="s">
        <v>102</v>
      </c>
      <c r="J1281" t="s">
        <v>94</v>
      </c>
      <c r="K1281">
        <v>3</v>
      </c>
      <c r="L1281">
        <v>3200</v>
      </c>
      <c r="M1281">
        <v>9600</v>
      </c>
      <c r="N1281" t="s">
        <v>108</v>
      </c>
      <c r="O1281" t="s">
        <v>104</v>
      </c>
    </row>
    <row r="1282" spans="1:15" x14ac:dyDescent="0.25">
      <c r="A1282">
        <v>4126</v>
      </c>
      <c r="B1282" s="10">
        <v>45758</v>
      </c>
      <c r="C1282">
        <v>11</v>
      </c>
      <c r="D1282" t="s">
        <v>105</v>
      </c>
      <c r="E1282" t="s">
        <v>110</v>
      </c>
      <c r="F1282" t="s">
        <v>141</v>
      </c>
      <c r="G1282" t="s">
        <v>100</v>
      </c>
      <c r="H1282" t="s">
        <v>37</v>
      </c>
      <c r="I1282" t="s">
        <v>156</v>
      </c>
      <c r="J1282" t="s">
        <v>103</v>
      </c>
      <c r="K1282">
        <v>27</v>
      </c>
      <c r="L1282">
        <v>3200</v>
      </c>
      <c r="M1282">
        <v>86400</v>
      </c>
      <c r="N1282" t="s">
        <v>95</v>
      </c>
      <c r="O1282" t="s">
        <v>96</v>
      </c>
    </row>
    <row r="1283" spans="1:15" x14ac:dyDescent="0.25">
      <c r="A1283">
        <v>4237</v>
      </c>
      <c r="B1283" s="10">
        <v>45704</v>
      </c>
      <c r="C1283">
        <v>16</v>
      </c>
      <c r="D1283" t="s">
        <v>97</v>
      </c>
      <c r="E1283" t="s">
        <v>25</v>
      </c>
      <c r="F1283" t="s">
        <v>144</v>
      </c>
      <c r="G1283" t="s">
        <v>91</v>
      </c>
      <c r="H1283" t="s">
        <v>101</v>
      </c>
      <c r="I1283" t="s">
        <v>102</v>
      </c>
      <c r="J1283" t="s">
        <v>94</v>
      </c>
      <c r="K1283">
        <v>8</v>
      </c>
      <c r="L1283">
        <v>3200</v>
      </c>
      <c r="M1283">
        <v>25600</v>
      </c>
      <c r="N1283" t="s">
        <v>95</v>
      </c>
      <c r="O1283" t="s">
        <v>104</v>
      </c>
    </row>
    <row r="1284" spans="1:15" x14ac:dyDescent="0.25">
      <c r="A1284">
        <v>4258</v>
      </c>
      <c r="B1284" s="10">
        <v>45994</v>
      </c>
      <c r="C1284">
        <v>3</v>
      </c>
      <c r="D1284" t="s">
        <v>125</v>
      </c>
      <c r="E1284" t="s">
        <v>121</v>
      </c>
      <c r="F1284" t="s">
        <v>134</v>
      </c>
      <c r="G1284" t="s">
        <v>100</v>
      </c>
      <c r="H1284" t="s">
        <v>37</v>
      </c>
      <c r="I1284" t="s">
        <v>146</v>
      </c>
      <c r="J1284" t="s">
        <v>103</v>
      </c>
      <c r="K1284">
        <v>44</v>
      </c>
      <c r="L1284">
        <v>3200</v>
      </c>
      <c r="M1284">
        <v>140800</v>
      </c>
      <c r="N1284" t="s">
        <v>108</v>
      </c>
      <c r="O1284" t="s">
        <v>96</v>
      </c>
    </row>
    <row r="1285" spans="1:15" x14ac:dyDescent="0.25">
      <c r="A1285">
        <v>4326</v>
      </c>
      <c r="B1285" s="10">
        <v>45662</v>
      </c>
      <c r="C1285">
        <v>5</v>
      </c>
      <c r="D1285" t="s">
        <v>130</v>
      </c>
      <c r="E1285" t="s">
        <v>31</v>
      </c>
      <c r="F1285" t="s">
        <v>107</v>
      </c>
      <c r="G1285" t="s">
        <v>100</v>
      </c>
      <c r="H1285" t="s">
        <v>101</v>
      </c>
      <c r="I1285" t="s">
        <v>102</v>
      </c>
      <c r="J1285" t="s">
        <v>94</v>
      </c>
      <c r="K1285">
        <v>4</v>
      </c>
      <c r="L1285">
        <v>3200</v>
      </c>
      <c r="M1285">
        <v>12800</v>
      </c>
      <c r="N1285" t="s">
        <v>108</v>
      </c>
      <c r="O1285" t="s">
        <v>96</v>
      </c>
    </row>
    <row r="1286" spans="1:15" x14ac:dyDescent="0.25">
      <c r="A1286">
        <v>4562</v>
      </c>
      <c r="B1286" s="10">
        <v>45992</v>
      </c>
      <c r="C1286">
        <v>1</v>
      </c>
      <c r="D1286" t="s">
        <v>125</v>
      </c>
      <c r="E1286" t="s">
        <v>137</v>
      </c>
      <c r="F1286" t="s">
        <v>117</v>
      </c>
      <c r="G1286" t="s">
        <v>118</v>
      </c>
      <c r="H1286" t="s">
        <v>37</v>
      </c>
      <c r="I1286" t="s">
        <v>146</v>
      </c>
      <c r="J1286" t="s">
        <v>103</v>
      </c>
      <c r="K1286">
        <v>36</v>
      </c>
      <c r="L1286">
        <v>3200</v>
      </c>
      <c r="M1286">
        <v>115200</v>
      </c>
      <c r="N1286" t="s">
        <v>95</v>
      </c>
      <c r="O1286" t="s">
        <v>104</v>
      </c>
    </row>
    <row r="1287" spans="1:15" x14ac:dyDescent="0.25">
      <c r="A1287">
        <v>4613</v>
      </c>
      <c r="B1287" s="10">
        <v>45752</v>
      </c>
      <c r="C1287">
        <v>5</v>
      </c>
      <c r="D1287" t="s">
        <v>105</v>
      </c>
      <c r="E1287" t="s">
        <v>137</v>
      </c>
      <c r="F1287" t="s">
        <v>22</v>
      </c>
      <c r="G1287" t="s">
        <v>91</v>
      </c>
      <c r="H1287" t="s">
        <v>101</v>
      </c>
      <c r="I1287" t="s">
        <v>102</v>
      </c>
      <c r="J1287" t="s">
        <v>94</v>
      </c>
      <c r="K1287">
        <v>2</v>
      </c>
      <c r="L1287">
        <v>3200</v>
      </c>
      <c r="M1287">
        <v>6400</v>
      </c>
      <c r="N1287" t="s">
        <v>108</v>
      </c>
      <c r="O1287" t="s">
        <v>96</v>
      </c>
    </row>
    <row r="1288" spans="1:15" x14ac:dyDescent="0.25">
      <c r="A1288">
        <v>4685</v>
      </c>
      <c r="B1288" s="10">
        <v>45994</v>
      </c>
      <c r="C1288">
        <v>3</v>
      </c>
      <c r="D1288" t="s">
        <v>125</v>
      </c>
      <c r="E1288" t="s">
        <v>25</v>
      </c>
      <c r="F1288" t="s">
        <v>117</v>
      </c>
      <c r="G1288" t="s">
        <v>118</v>
      </c>
      <c r="H1288" t="s">
        <v>37</v>
      </c>
      <c r="I1288" t="s">
        <v>156</v>
      </c>
      <c r="J1288" t="s">
        <v>103</v>
      </c>
      <c r="K1288">
        <v>45</v>
      </c>
      <c r="L1288">
        <v>3200</v>
      </c>
      <c r="M1288">
        <v>144000</v>
      </c>
      <c r="N1288" t="s">
        <v>95</v>
      </c>
      <c r="O1288" t="s">
        <v>104</v>
      </c>
    </row>
    <row r="1289" spans="1:15" x14ac:dyDescent="0.25">
      <c r="A1289">
        <v>4882</v>
      </c>
      <c r="B1289" s="10">
        <v>45775</v>
      </c>
      <c r="C1289">
        <v>28</v>
      </c>
      <c r="D1289" t="s">
        <v>105</v>
      </c>
      <c r="E1289" t="s">
        <v>121</v>
      </c>
      <c r="F1289" t="s">
        <v>113</v>
      </c>
      <c r="G1289" t="s">
        <v>114</v>
      </c>
      <c r="H1289" t="s">
        <v>101</v>
      </c>
      <c r="I1289" t="s">
        <v>102</v>
      </c>
      <c r="J1289" t="s">
        <v>94</v>
      </c>
      <c r="K1289">
        <v>6</v>
      </c>
      <c r="L1289">
        <v>3200</v>
      </c>
      <c r="M1289">
        <v>19200</v>
      </c>
      <c r="N1289" t="s">
        <v>95</v>
      </c>
      <c r="O1289" t="s">
        <v>96</v>
      </c>
    </row>
    <row r="1290" spans="1:15" x14ac:dyDescent="0.25">
      <c r="A1290">
        <v>4962</v>
      </c>
      <c r="B1290" s="10">
        <v>45797</v>
      </c>
      <c r="C1290">
        <v>20</v>
      </c>
      <c r="D1290" t="s">
        <v>120</v>
      </c>
      <c r="E1290" t="s">
        <v>137</v>
      </c>
      <c r="F1290" t="s">
        <v>44</v>
      </c>
      <c r="G1290" t="s">
        <v>111</v>
      </c>
      <c r="H1290" t="s">
        <v>37</v>
      </c>
      <c r="I1290" t="s">
        <v>156</v>
      </c>
      <c r="J1290" t="s">
        <v>103</v>
      </c>
      <c r="K1290">
        <v>35</v>
      </c>
      <c r="L1290">
        <v>3200</v>
      </c>
      <c r="M1290">
        <v>112000</v>
      </c>
      <c r="N1290" t="s">
        <v>95</v>
      </c>
      <c r="O1290" t="s">
        <v>115</v>
      </c>
    </row>
    <row r="1291" spans="1:15" x14ac:dyDescent="0.25">
      <c r="A1291">
        <v>564</v>
      </c>
      <c r="B1291" s="10">
        <v>45693</v>
      </c>
      <c r="C1291">
        <v>5</v>
      </c>
      <c r="D1291" t="s">
        <v>97</v>
      </c>
      <c r="E1291" t="s">
        <v>128</v>
      </c>
      <c r="F1291" t="s">
        <v>49</v>
      </c>
      <c r="G1291" t="s">
        <v>118</v>
      </c>
      <c r="H1291" t="s">
        <v>37</v>
      </c>
      <c r="I1291" t="s">
        <v>156</v>
      </c>
      <c r="J1291" t="s">
        <v>103</v>
      </c>
      <c r="K1291">
        <v>26</v>
      </c>
      <c r="L1291">
        <v>3300</v>
      </c>
      <c r="M1291">
        <v>85800</v>
      </c>
      <c r="N1291" t="s">
        <v>108</v>
      </c>
      <c r="O1291" t="s">
        <v>96</v>
      </c>
    </row>
    <row r="1292" spans="1:15" x14ac:dyDescent="0.25">
      <c r="A1292">
        <v>698</v>
      </c>
      <c r="B1292" s="10">
        <v>45888</v>
      </c>
      <c r="C1292">
        <v>19</v>
      </c>
      <c r="D1292" t="s">
        <v>109</v>
      </c>
      <c r="E1292" t="s">
        <v>133</v>
      </c>
      <c r="F1292" t="s">
        <v>22</v>
      </c>
      <c r="G1292" t="s">
        <v>91</v>
      </c>
      <c r="H1292" t="s">
        <v>37</v>
      </c>
      <c r="I1292" t="s">
        <v>146</v>
      </c>
      <c r="J1292" t="s">
        <v>94</v>
      </c>
      <c r="K1292">
        <v>4</v>
      </c>
      <c r="L1292">
        <v>3300</v>
      </c>
      <c r="M1292">
        <v>13200</v>
      </c>
      <c r="N1292" t="s">
        <v>108</v>
      </c>
      <c r="O1292" t="s">
        <v>96</v>
      </c>
    </row>
    <row r="1293" spans="1:15" x14ac:dyDescent="0.25">
      <c r="A1293">
        <v>753</v>
      </c>
      <c r="B1293" s="10">
        <v>45926</v>
      </c>
      <c r="C1293">
        <v>26</v>
      </c>
      <c r="D1293" t="s">
        <v>147</v>
      </c>
      <c r="E1293" t="s">
        <v>116</v>
      </c>
      <c r="F1293" t="s">
        <v>117</v>
      </c>
      <c r="G1293" t="s">
        <v>118</v>
      </c>
      <c r="H1293" t="s">
        <v>37</v>
      </c>
      <c r="I1293" t="s">
        <v>146</v>
      </c>
      <c r="J1293" t="s">
        <v>94</v>
      </c>
      <c r="K1293">
        <v>9</v>
      </c>
      <c r="L1293">
        <v>3300</v>
      </c>
      <c r="M1293">
        <v>29700</v>
      </c>
      <c r="N1293" t="s">
        <v>95</v>
      </c>
      <c r="O1293" t="s">
        <v>104</v>
      </c>
    </row>
    <row r="1294" spans="1:15" x14ac:dyDescent="0.25">
      <c r="A1294">
        <v>856</v>
      </c>
      <c r="B1294" s="10">
        <v>45828</v>
      </c>
      <c r="C1294">
        <v>20</v>
      </c>
      <c r="D1294" t="s">
        <v>153</v>
      </c>
      <c r="E1294" t="s">
        <v>137</v>
      </c>
      <c r="F1294" t="s">
        <v>22</v>
      </c>
      <c r="G1294" t="s">
        <v>91</v>
      </c>
      <c r="H1294" t="s">
        <v>37</v>
      </c>
      <c r="I1294" t="s">
        <v>156</v>
      </c>
      <c r="J1294" t="s">
        <v>103</v>
      </c>
      <c r="K1294">
        <v>49</v>
      </c>
      <c r="L1294">
        <v>3300</v>
      </c>
      <c r="M1294">
        <v>161700</v>
      </c>
      <c r="N1294" t="s">
        <v>95</v>
      </c>
      <c r="O1294" t="s">
        <v>96</v>
      </c>
    </row>
    <row r="1295" spans="1:15" x14ac:dyDescent="0.25">
      <c r="A1295">
        <v>1696</v>
      </c>
      <c r="B1295" s="10">
        <v>45791</v>
      </c>
      <c r="C1295">
        <v>14</v>
      </c>
      <c r="D1295" t="s">
        <v>120</v>
      </c>
      <c r="E1295" t="s">
        <v>128</v>
      </c>
      <c r="F1295" t="s">
        <v>99</v>
      </c>
      <c r="G1295" t="s">
        <v>100</v>
      </c>
      <c r="H1295" t="s">
        <v>101</v>
      </c>
      <c r="I1295" t="s">
        <v>102</v>
      </c>
      <c r="J1295" t="s">
        <v>94</v>
      </c>
      <c r="K1295">
        <v>8</v>
      </c>
      <c r="L1295">
        <v>3300</v>
      </c>
      <c r="M1295">
        <v>26400</v>
      </c>
      <c r="N1295" t="s">
        <v>108</v>
      </c>
      <c r="O1295" t="s">
        <v>96</v>
      </c>
    </row>
    <row r="1296" spans="1:15" x14ac:dyDescent="0.25">
      <c r="A1296">
        <v>1787</v>
      </c>
      <c r="B1296" s="10">
        <v>45800</v>
      </c>
      <c r="C1296">
        <v>23</v>
      </c>
      <c r="D1296" t="s">
        <v>120</v>
      </c>
      <c r="E1296" t="s">
        <v>25</v>
      </c>
      <c r="F1296" t="s">
        <v>134</v>
      </c>
      <c r="G1296" t="s">
        <v>100</v>
      </c>
      <c r="H1296" t="s">
        <v>37</v>
      </c>
      <c r="I1296" t="s">
        <v>156</v>
      </c>
      <c r="J1296" t="s">
        <v>103</v>
      </c>
      <c r="K1296">
        <v>35</v>
      </c>
      <c r="L1296">
        <v>3300</v>
      </c>
      <c r="M1296">
        <v>115500</v>
      </c>
      <c r="N1296" t="s">
        <v>108</v>
      </c>
      <c r="O1296" t="s">
        <v>115</v>
      </c>
    </row>
    <row r="1297" spans="1:15" x14ac:dyDescent="0.25">
      <c r="A1297">
        <v>1916</v>
      </c>
      <c r="B1297" s="10">
        <v>45903</v>
      </c>
      <c r="C1297">
        <v>3</v>
      </c>
      <c r="D1297" t="s">
        <v>147</v>
      </c>
      <c r="E1297" t="s">
        <v>150</v>
      </c>
      <c r="F1297" t="s">
        <v>151</v>
      </c>
      <c r="G1297" t="s">
        <v>111</v>
      </c>
      <c r="H1297" t="s">
        <v>37</v>
      </c>
      <c r="I1297" t="s">
        <v>156</v>
      </c>
      <c r="J1297" t="s">
        <v>103</v>
      </c>
      <c r="K1297">
        <v>39</v>
      </c>
      <c r="L1297">
        <v>3300</v>
      </c>
      <c r="M1297">
        <v>128700</v>
      </c>
      <c r="N1297" t="s">
        <v>95</v>
      </c>
      <c r="O1297" t="s">
        <v>104</v>
      </c>
    </row>
    <row r="1298" spans="1:15" x14ac:dyDescent="0.25">
      <c r="A1298">
        <v>2056</v>
      </c>
      <c r="B1298" s="10">
        <v>45851</v>
      </c>
      <c r="C1298">
        <v>13</v>
      </c>
      <c r="D1298" t="s">
        <v>145</v>
      </c>
      <c r="E1298" t="s">
        <v>138</v>
      </c>
      <c r="F1298" t="s">
        <v>22</v>
      </c>
      <c r="G1298" t="s">
        <v>91</v>
      </c>
      <c r="H1298" t="s">
        <v>37</v>
      </c>
      <c r="I1298" t="s">
        <v>156</v>
      </c>
      <c r="J1298" t="s">
        <v>103</v>
      </c>
      <c r="K1298">
        <v>48</v>
      </c>
      <c r="L1298">
        <v>3300</v>
      </c>
      <c r="M1298">
        <v>158400</v>
      </c>
      <c r="N1298" t="s">
        <v>108</v>
      </c>
      <c r="O1298" t="s">
        <v>96</v>
      </c>
    </row>
    <row r="1299" spans="1:15" x14ac:dyDescent="0.25">
      <c r="A1299">
        <v>2121</v>
      </c>
      <c r="B1299" s="10">
        <v>45840</v>
      </c>
      <c r="C1299">
        <v>2</v>
      </c>
      <c r="D1299" t="s">
        <v>145</v>
      </c>
      <c r="E1299" t="s">
        <v>112</v>
      </c>
      <c r="F1299" t="s">
        <v>28</v>
      </c>
      <c r="G1299" t="s">
        <v>126</v>
      </c>
      <c r="H1299" t="s">
        <v>37</v>
      </c>
      <c r="I1299" t="s">
        <v>146</v>
      </c>
      <c r="J1299" t="s">
        <v>103</v>
      </c>
      <c r="K1299">
        <v>17</v>
      </c>
      <c r="L1299">
        <v>3300</v>
      </c>
      <c r="M1299">
        <v>56100</v>
      </c>
      <c r="N1299" t="s">
        <v>108</v>
      </c>
      <c r="O1299" t="s">
        <v>96</v>
      </c>
    </row>
    <row r="1300" spans="1:15" x14ac:dyDescent="0.25">
      <c r="A1300">
        <v>2449</v>
      </c>
      <c r="B1300" s="10">
        <v>45912</v>
      </c>
      <c r="C1300">
        <v>12</v>
      </c>
      <c r="D1300" t="s">
        <v>147</v>
      </c>
      <c r="E1300" t="s">
        <v>142</v>
      </c>
      <c r="F1300" t="s">
        <v>22</v>
      </c>
      <c r="G1300" t="s">
        <v>91</v>
      </c>
      <c r="H1300" t="s">
        <v>37</v>
      </c>
      <c r="I1300" t="s">
        <v>156</v>
      </c>
      <c r="J1300" t="s">
        <v>103</v>
      </c>
      <c r="K1300">
        <v>15</v>
      </c>
      <c r="L1300">
        <v>3300</v>
      </c>
      <c r="M1300">
        <v>49500</v>
      </c>
      <c r="N1300" t="s">
        <v>95</v>
      </c>
      <c r="O1300" t="s">
        <v>115</v>
      </c>
    </row>
    <row r="1301" spans="1:15" x14ac:dyDescent="0.25">
      <c r="A1301">
        <v>2450</v>
      </c>
      <c r="B1301" s="10">
        <v>45819</v>
      </c>
      <c r="C1301">
        <v>11</v>
      </c>
      <c r="D1301" t="s">
        <v>153</v>
      </c>
      <c r="E1301" t="s">
        <v>142</v>
      </c>
      <c r="F1301" t="s">
        <v>141</v>
      </c>
      <c r="G1301" t="s">
        <v>100</v>
      </c>
      <c r="H1301" t="s">
        <v>37</v>
      </c>
      <c r="I1301" t="s">
        <v>156</v>
      </c>
      <c r="J1301" t="s">
        <v>103</v>
      </c>
      <c r="K1301">
        <v>26</v>
      </c>
      <c r="L1301">
        <v>3300</v>
      </c>
      <c r="M1301">
        <v>85800</v>
      </c>
      <c r="N1301" t="s">
        <v>95</v>
      </c>
      <c r="O1301" t="s">
        <v>96</v>
      </c>
    </row>
    <row r="1302" spans="1:15" x14ac:dyDescent="0.25">
      <c r="A1302">
        <v>2451</v>
      </c>
      <c r="B1302" s="10">
        <v>45888</v>
      </c>
      <c r="C1302">
        <v>19</v>
      </c>
      <c r="D1302" t="s">
        <v>109</v>
      </c>
      <c r="E1302" t="s">
        <v>112</v>
      </c>
      <c r="F1302" t="s">
        <v>44</v>
      </c>
      <c r="G1302" t="s">
        <v>111</v>
      </c>
      <c r="H1302" t="s">
        <v>37</v>
      </c>
      <c r="I1302" t="s">
        <v>146</v>
      </c>
      <c r="J1302" t="s">
        <v>94</v>
      </c>
      <c r="K1302">
        <v>9</v>
      </c>
      <c r="L1302">
        <v>3300</v>
      </c>
      <c r="M1302">
        <v>29700</v>
      </c>
      <c r="N1302" t="s">
        <v>95</v>
      </c>
      <c r="O1302" t="s">
        <v>115</v>
      </c>
    </row>
    <row r="1303" spans="1:15" x14ac:dyDescent="0.25">
      <c r="A1303">
        <v>2639</v>
      </c>
      <c r="B1303" s="10">
        <v>45824</v>
      </c>
      <c r="C1303">
        <v>16</v>
      </c>
      <c r="D1303" t="s">
        <v>153</v>
      </c>
      <c r="E1303" t="s">
        <v>133</v>
      </c>
      <c r="F1303" t="s">
        <v>117</v>
      </c>
      <c r="G1303" t="s">
        <v>118</v>
      </c>
      <c r="H1303" t="s">
        <v>37</v>
      </c>
      <c r="I1303" t="s">
        <v>146</v>
      </c>
      <c r="J1303" t="s">
        <v>94</v>
      </c>
      <c r="K1303">
        <v>4</v>
      </c>
      <c r="L1303">
        <v>3300</v>
      </c>
      <c r="M1303">
        <v>13200</v>
      </c>
      <c r="N1303" t="s">
        <v>95</v>
      </c>
      <c r="O1303" t="s">
        <v>96</v>
      </c>
    </row>
    <row r="1304" spans="1:15" x14ac:dyDescent="0.25">
      <c r="A1304">
        <v>2674</v>
      </c>
      <c r="B1304" s="10">
        <v>45859</v>
      </c>
      <c r="C1304">
        <v>21</v>
      </c>
      <c r="D1304" t="s">
        <v>145</v>
      </c>
      <c r="E1304" t="s">
        <v>150</v>
      </c>
      <c r="F1304" t="s">
        <v>144</v>
      </c>
      <c r="G1304" t="s">
        <v>91</v>
      </c>
      <c r="H1304" t="s">
        <v>37</v>
      </c>
      <c r="I1304" t="s">
        <v>156</v>
      </c>
      <c r="J1304" t="s">
        <v>103</v>
      </c>
      <c r="K1304">
        <v>20</v>
      </c>
      <c r="L1304">
        <v>3300</v>
      </c>
      <c r="M1304">
        <v>66000</v>
      </c>
      <c r="N1304" t="s">
        <v>108</v>
      </c>
      <c r="O1304" t="s">
        <v>115</v>
      </c>
    </row>
    <row r="1305" spans="1:15" x14ac:dyDescent="0.25">
      <c r="A1305">
        <v>2725</v>
      </c>
      <c r="B1305" s="10">
        <v>45971</v>
      </c>
      <c r="C1305">
        <v>10</v>
      </c>
      <c r="D1305" t="s">
        <v>90</v>
      </c>
      <c r="E1305" t="s">
        <v>112</v>
      </c>
      <c r="F1305" t="s">
        <v>141</v>
      </c>
      <c r="G1305" t="s">
        <v>100</v>
      </c>
      <c r="H1305" t="s">
        <v>37</v>
      </c>
      <c r="I1305" t="s">
        <v>146</v>
      </c>
      <c r="J1305" t="s">
        <v>103</v>
      </c>
      <c r="K1305">
        <v>36</v>
      </c>
      <c r="L1305">
        <v>3300</v>
      </c>
      <c r="M1305">
        <v>118800</v>
      </c>
      <c r="N1305" t="s">
        <v>108</v>
      </c>
      <c r="O1305" t="s">
        <v>96</v>
      </c>
    </row>
    <row r="1306" spans="1:15" x14ac:dyDescent="0.25">
      <c r="A1306">
        <v>2735</v>
      </c>
      <c r="B1306" s="10">
        <v>45712</v>
      </c>
      <c r="C1306">
        <v>24</v>
      </c>
      <c r="D1306" t="s">
        <v>97</v>
      </c>
      <c r="E1306" t="s">
        <v>106</v>
      </c>
      <c r="F1306" t="s">
        <v>122</v>
      </c>
      <c r="G1306" t="s">
        <v>114</v>
      </c>
      <c r="H1306" t="s">
        <v>101</v>
      </c>
      <c r="I1306" t="s">
        <v>102</v>
      </c>
      <c r="J1306" t="s">
        <v>94</v>
      </c>
      <c r="K1306">
        <v>5</v>
      </c>
      <c r="L1306">
        <v>3300</v>
      </c>
      <c r="M1306">
        <v>16500</v>
      </c>
      <c r="N1306" t="s">
        <v>95</v>
      </c>
      <c r="O1306" t="s">
        <v>96</v>
      </c>
    </row>
    <row r="1307" spans="1:15" x14ac:dyDescent="0.25">
      <c r="A1307">
        <v>2911</v>
      </c>
      <c r="B1307" s="10">
        <v>45823</v>
      </c>
      <c r="C1307">
        <v>15</v>
      </c>
      <c r="D1307" t="s">
        <v>153</v>
      </c>
      <c r="E1307" t="s">
        <v>112</v>
      </c>
      <c r="F1307" t="s">
        <v>49</v>
      </c>
      <c r="G1307" t="s">
        <v>118</v>
      </c>
      <c r="H1307" t="s">
        <v>37</v>
      </c>
      <c r="I1307" t="s">
        <v>156</v>
      </c>
      <c r="J1307" t="s">
        <v>103</v>
      </c>
      <c r="K1307">
        <v>6</v>
      </c>
      <c r="L1307">
        <v>3300</v>
      </c>
      <c r="M1307">
        <v>19800</v>
      </c>
      <c r="N1307" t="s">
        <v>108</v>
      </c>
      <c r="O1307" t="s">
        <v>115</v>
      </c>
    </row>
    <row r="1308" spans="1:15" x14ac:dyDescent="0.25">
      <c r="A1308">
        <v>2963</v>
      </c>
      <c r="B1308" s="10">
        <v>45838</v>
      </c>
      <c r="C1308">
        <v>30</v>
      </c>
      <c r="D1308" t="s">
        <v>153</v>
      </c>
      <c r="E1308" t="s">
        <v>121</v>
      </c>
      <c r="F1308" t="s">
        <v>151</v>
      </c>
      <c r="G1308" t="s">
        <v>111</v>
      </c>
      <c r="H1308" t="s">
        <v>37</v>
      </c>
      <c r="I1308" t="s">
        <v>156</v>
      </c>
      <c r="J1308" t="s">
        <v>103</v>
      </c>
      <c r="K1308">
        <v>6</v>
      </c>
      <c r="L1308">
        <v>3300</v>
      </c>
      <c r="M1308">
        <v>19800</v>
      </c>
      <c r="N1308" t="s">
        <v>108</v>
      </c>
      <c r="O1308" t="s">
        <v>115</v>
      </c>
    </row>
    <row r="1309" spans="1:15" x14ac:dyDescent="0.25">
      <c r="A1309">
        <v>2978</v>
      </c>
      <c r="B1309" s="10">
        <v>45736</v>
      </c>
      <c r="C1309">
        <v>20</v>
      </c>
      <c r="D1309" t="s">
        <v>140</v>
      </c>
      <c r="E1309" t="s">
        <v>116</v>
      </c>
      <c r="F1309" t="s">
        <v>117</v>
      </c>
      <c r="G1309" t="s">
        <v>118</v>
      </c>
      <c r="H1309" t="s">
        <v>37</v>
      </c>
      <c r="I1309" t="s">
        <v>156</v>
      </c>
      <c r="J1309" t="s">
        <v>103</v>
      </c>
      <c r="K1309">
        <v>22</v>
      </c>
      <c r="L1309">
        <v>3300</v>
      </c>
      <c r="M1309">
        <v>72600</v>
      </c>
      <c r="N1309" t="s">
        <v>108</v>
      </c>
      <c r="O1309" t="s">
        <v>115</v>
      </c>
    </row>
    <row r="1310" spans="1:15" x14ac:dyDescent="0.25">
      <c r="A1310">
        <v>3057</v>
      </c>
      <c r="B1310" s="10">
        <v>45906</v>
      </c>
      <c r="C1310">
        <v>6</v>
      </c>
      <c r="D1310" t="s">
        <v>147</v>
      </c>
      <c r="E1310" t="s">
        <v>98</v>
      </c>
      <c r="F1310" t="s">
        <v>22</v>
      </c>
      <c r="G1310" t="s">
        <v>91</v>
      </c>
      <c r="H1310" t="s">
        <v>37</v>
      </c>
      <c r="I1310" t="s">
        <v>156</v>
      </c>
      <c r="J1310" t="s">
        <v>103</v>
      </c>
      <c r="K1310">
        <v>30</v>
      </c>
      <c r="L1310">
        <v>3300</v>
      </c>
      <c r="M1310">
        <v>99000</v>
      </c>
      <c r="N1310" t="s">
        <v>95</v>
      </c>
      <c r="O1310" t="s">
        <v>96</v>
      </c>
    </row>
    <row r="1311" spans="1:15" x14ac:dyDescent="0.25">
      <c r="A1311">
        <v>3076</v>
      </c>
      <c r="B1311" s="10">
        <v>45822</v>
      </c>
      <c r="C1311">
        <v>14</v>
      </c>
      <c r="D1311" t="s">
        <v>153</v>
      </c>
      <c r="E1311" t="s">
        <v>112</v>
      </c>
      <c r="F1311" t="s">
        <v>148</v>
      </c>
      <c r="G1311" t="s">
        <v>118</v>
      </c>
      <c r="H1311" t="s">
        <v>101</v>
      </c>
      <c r="I1311" t="s">
        <v>102</v>
      </c>
      <c r="J1311" t="s">
        <v>94</v>
      </c>
      <c r="K1311">
        <v>10</v>
      </c>
      <c r="L1311">
        <v>3300</v>
      </c>
      <c r="M1311">
        <v>33000</v>
      </c>
      <c r="N1311" t="s">
        <v>95</v>
      </c>
      <c r="O1311" t="s">
        <v>115</v>
      </c>
    </row>
    <row r="1312" spans="1:15" x14ac:dyDescent="0.25">
      <c r="A1312">
        <v>3267</v>
      </c>
      <c r="B1312" s="10">
        <v>45666</v>
      </c>
      <c r="C1312">
        <v>9</v>
      </c>
      <c r="D1312" t="s">
        <v>130</v>
      </c>
      <c r="E1312" t="s">
        <v>133</v>
      </c>
      <c r="F1312" t="s">
        <v>49</v>
      </c>
      <c r="G1312" t="s">
        <v>118</v>
      </c>
      <c r="H1312" t="s">
        <v>37</v>
      </c>
      <c r="I1312" t="s">
        <v>146</v>
      </c>
      <c r="J1312" t="s">
        <v>94</v>
      </c>
      <c r="K1312">
        <v>4</v>
      </c>
      <c r="L1312">
        <v>3300</v>
      </c>
      <c r="M1312">
        <v>13200</v>
      </c>
      <c r="N1312" t="s">
        <v>95</v>
      </c>
      <c r="O1312" t="s">
        <v>96</v>
      </c>
    </row>
    <row r="1313" spans="1:15" x14ac:dyDescent="0.25">
      <c r="A1313">
        <v>3281</v>
      </c>
      <c r="B1313" s="10">
        <v>46001</v>
      </c>
      <c r="C1313">
        <v>10</v>
      </c>
      <c r="D1313" t="s">
        <v>125</v>
      </c>
      <c r="E1313" t="s">
        <v>128</v>
      </c>
      <c r="F1313" t="s">
        <v>107</v>
      </c>
      <c r="G1313" t="s">
        <v>100</v>
      </c>
      <c r="H1313" t="s">
        <v>37</v>
      </c>
      <c r="I1313" t="s">
        <v>156</v>
      </c>
      <c r="J1313" t="s">
        <v>103</v>
      </c>
      <c r="K1313">
        <v>42</v>
      </c>
      <c r="L1313">
        <v>3300</v>
      </c>
      <c r="M1313">
        <v>138600</v>
      </c>
      <c r="N1313" t="s">
        <v>108</v>
      </c>
      <c r="O1313" t="s">
        <v>96</v>
      </c>
    </row>
    <row r="1314" spans="1:15" x14ac:dyDescent="0.25">
      <c r="A1314">
        <v>3483</v>
      </c>
      <c r="B1314" s="10">
        <v>45845</v>
      </c>
      <c r="C1314">
        <v>7</v>
      </c>
      <c r="D1314" t="s">
        <v>145</v>
      </c>
      <c r="E1314" t="s">
        <v>98</v>
      </c>
      <c r="F1314" t="s">
        <v>134</v>
      </c>
      <c r="G1314" t="s">
        <v>100</v>
      </c>
      <c r="H1314" t="s">
        <v>37</v>
      </c>
      <c r="I1314" t="s">
        <v>156</v>
      </c>
      <c r="J1314" t="s">
        <v>103</v>
      </c>
      <c r="K1314">
        <v>31</v>
      </c>
      <c r="L1314">
        <v>3300</v>
      </c>
      <c r="M1314">
        <v>102300</v>
      </c>
      <c r="N1314" t="s">
        <v>108</v>
      </c>
      <c r="O1314" t="s">
        <v>96</v>
      </c>
    </row>
    <row r="1315" spans="1:15" x14ac:dyDescent="0.25">
      <c r="A1315">
        <v>3704</v>
      </c>
      <c r="B1315" s="10">
        <v>45661</v>
      </c>
      <c r="C1315">
        <v>4</v>
      </c>
      <c r="D1315" t="s">
        <v>130</v>
      </c>
      <c r="E1315" t="s">
        <v>161</v>
      </c>
      <c r="F1315" t="s">
        <v>148</v>
      </c>
      <c r="G1315" t="s">
        <v>118</v>
      </c>
      <c r="H1315" t="s">
        <v>37</v>
      </c>
      <c r="I1315" t="s">
        <v>156</v>
      </c>
      <c r="J1315" t="s">
        <v>103</v>
      </c>
      <c r="K1315">
        <v>27</v>
      </c>
      <c r="L1315">
        <v>3300</v>
      </c>
      <c r="M1315">
        <v>89100</v>
      </c>
      <c r="N1315" t="s">
        <v>95</v>
      </c>
      <c r="O1315" t="s">
        <v>104</v>
      </c>
    </row>
    <row r="1316" spans="1:15" x14ac:dyDescent="0.25">
      <c r="A1316">
        <v>3803</v>
      </c>
      <c r="B1316" s="10">
        <v>45837</v>
      </c>
      <c r="C1316">
        <v>29</v>
      </c>
      <c r="D1316" t="s">
        <v>153</v>
      </c>
      <c r="E1316" t="s">
        <v>31</v>
      </c>
      <c r="F1316" t="s">
        <v>44</v>
      </c>
      <c r="G1316" t="s">
        <v>111</v>
      </c>
      <c r="H1316" t="s">
        <v>37</v>
      </c>
      <c r="I1316" t="s">
        <v>146</v>
      </c>
      <c r="J1316" t="s">
        <v>94</v>
      </c>
      <c r="K1316">
        <v>6</v>
      </c>
      <c r="L1316">
        <v>3300</v>
      </c>
      <c r="M1316">
        <v>19800</v>
      </c>
      <c r="N1316" t="s">
        <v>95</v>
      </c>
      <c r="O1316" t="s">
        <v>96</v>
      </c>
    </row>
    <row r="1317" spans="1:15" x14ac:dyDescent="0.25">
      <c r="A1317">
        <v>3839</v>
      </c>
      <c r="B1317" s="10">
        <v>45871</v>
      </c>
      <c r="C1317">
        <v>2</v>
      </c>
      <c r="D1317" t="s">
        <v>109</v>
      </c>
      <c r="E1317" t="s">
        <v>128</v>
      </c>
      <c r="F1317" t="s">
        <v>22</v>
      </c>
      <c r="G1317" t="s">
        <v>91</v>
      </c>
      <c r="H1317" t="s">
        <v>37</v>
      </c>
      <c r="I1317" t="s">
        <v>146</v>
      </c>
      <c r="J1317" t="s">
        <v>94</v>
      </c>
      <c r="K1317">
        <v>7</v>
      </c>
      <c r="L1317">
        <v>3300</v>
      </c>
      <c r="M1317">
        <v>23100</v>
      </c>
      <c r="N1317" t="s">
        <v>95</v>
      </c>
      <c r="O1317" t="s">
        <v>96</v>
      </c>
    </row>
    <row r="1318" spans="1:15" x14ac:dyDescent="0.25">
      <c r="A1318">
        <v>4127</v>
      </c>
      <c r="B1318" s="10">
        <v>45987</v>
      </c>
      <c r="C1318">
        <v>26</v>
      </c>
      <c r="D1318" t="s">
        <v>90</v>
      </c>
      <c r="E1318" t="s">
        <v>121</v>
      </c>
      <c r="F1318" t="s">
        <v>36</v>
      </c>
      <c r="G1318" t="s">
        <v>100</v>
      </c>
      <c r="H1318" t="s">
        <v>37</v>
      </c>
      <c r="I1318" t="s">
        <v>156</v>
      </c>
      <c r="J1318" t="s">
        <v>103</v>
      </c>
      <c r="K1318">
        <v>48</v>
      </c>
      <c r="L1318">
        <v>3300</v>
      </c>
      <c r="M1318">
        <v>158400</v>
      </c>
      <c r="N1318" t="s">
        <v>95</v>
      </c>
      <c r="O1318" t="s">
        <v>104</v>
      </c>
    </row>
    <row r="1319" spans="1:15" x14ac:dyDescent="0.25">
      <c r="A1319">
        <v>4129</v>
      </c>
      <c r="B1319" s="10">
        <v>45928</v>
      </c>
      <c r="C1319">
        <v>28</v>
      </c>
      <c r="D1319" t="s">
        <v>147</v>
      </c>
      <c r="E1319" t="s">
        <v>142</v>
      </c>
      <c r="F1319" t="s">
        <v>36</v>
      </c>
      <c r="G1319" t="s">
        <v>100</v>
      </c>
      <c r="H1319" t="s">
        <v>37</v>
      </c>
      <c r="I1319" t="s">
        <v>156</v>
      </c>
      <c r="J1319" t="s">
        <v>103</v>
      </c>
      <c r="K1319">
        <v>32</v>
      </c>
      <c r="L1319">
        <v>3300</v>
      </c>
      <c r="M1319">
        <v>105600</v>
      </c>
      <c r="N1319" t="s">
        <v>95</v>
      </c>
      <c r="O1319" t="s">
        <v>104</v>
      </c>
    </row>
    <row r="1320" spans="1:15" x14ac:dyDescent="0.25">
      <c r="A1320">
        <v>4203</v>
      </c>
      <c r="B1320" s="10">
        <v>45968</v>
      </c>
      <c r="C1320">
        <v>7</v>
      </c>
      <c r="D1320" t="s">
        <v>90</v>
      </c>
      <c r="E1320" t="s">
        <v>112</v>
      </c>
      <c r="F1320" t="s">
        <v>122</v>
      </c>
      <c r="G1320" t="s">
        <v>114</v>
      </c>
      <c r="H1320" t="s">
        <v>37</v>
      </c>
      <c r="I1320" t="s">
        <v>146</v>
      </c>
      <c r="J1320" t="s">
        <v>94</v>
      </c>
      <c r="K1320">
        <v>3</v>
      </c>
      <c r="L1320">
        <v>3300</v>
      </c>
      <c r="M1320">
        <v>9900</v>
      </c>
      <c r="N1320" t="s">
        <v>108</v>
      </c>
      <c r="O1320" t="s">
        <v>115</v>
      </c>
    </row>
    <row r="1321" spans="1:15" x14ac:dyDescent="0.25">
      <c r="A1321">
        <v>4349</v>
      </c>
      <c r="B1321" s="10">
        <v>45785</v>
      </c>
      <c r="C1321">
        <v>8</v>
      </c>
      <c r="D1321" t="s">
        <v>120</v>
      </c>
      <c r="E1321" t="s">
        <v>138</v>
      </c>
      <c r="F1321" t="s">
        <v>49</v>
      </c>
      <c r="G1321" t="s">
        <v>118</v>
      </c>
      <c r="H1321" t="s">
        <v>37</v>
      </c>
      <c r="I1321" t="s">
        <v>146</v>
      </c>
      <c r="J1321" t="s">
        <v>94</v>
      </c>
      <c r="K1321">
        <v>7</v>
      </c>
      <c r="L1321">
        <v>3300</v>
      </c>
      <c r="M1321">
        <v>23100</v>
      </c>
      <c r="N1321" t="s">
        <v>108</v>
      </c>
      <c r="O1321" t="s">
        <v>96</v>
      </c>
    </row>
    <row r="1322" spans="1:15" x14ac:dyDescent="0.25">
      <c r="A1322">
        <v>4494</v>
      </c>
      <c r="B1322" s="10">
        <v>45940</v>
      </c>
      <c r="C1322">
        <v>10</v>
      </c>
      <c r="D1322" t="s">
        <v>136</v>
      </c>
      <c r="E1322" t="s">
        <v>121</v>
      </c>
      <c r="F1322" t="s">
        <v>49</v>
      </c>
      <c r="G1322" t="s">
        <v>118</v>
      </c>
      <c r="H1322" t="s">
        <v>37</v>
      </c>
      <c r="I1322" t="s">
        <v>156</v>
      </c>
      <c r="J1322" t="s">
        <v>103</v>
      </c>
      <c r="K1322">
        <v>21</v>
      </c>
      <c r="L1322">
        <v>3300</v>
      </c>
      <c r="M1322">
        <v>69300</v>
      </c>
      <c r="N1322" t="s">
        <v>108</v>
      </c>
      <c r="O1322" t="s">
        <v>96</v>
      </c>
    </row>
    <row r="1323" spans="1:15" x14ac:dyDescent="0.25">
      <c r="A1323">
        <v>4514</v>
      </c>
      <c r="B1323" s="10">
        <v>45954</v>
      </c>
      <c r="C1323">
        <v>24</v>
      </c>
      <c r="D1323" t="s">
        <v>136</v>
      </c>
      <c r="E1323" t="s">
        <v>116</v>
      </c>
      <c r="F1323" t="s">
        <v>144</v>
      </c>
      <c r="G1323" t="s">
        <v>91</v>
      </c>
      <c r="H1323" t="s">
        <v>37</v>
      </c>
      <c r="I1323" t="s">
        <v>146</v>
      </c>
      <c r="J1323" t="s">
        <v>94</v>
      </c>
      <c r="K1323">
        <v>5</v>
      </c>
      <c r="L1323">
        <v>3300</v>
      </c>
      <c r="M1323">
        <v>16500</v>
      </c>
      <c r="N1323" t="s">
        <v>95</v>
      </c>
      <c r="O1323" t="s">
        <v>115</v>
      </c>
    </row>
    <row r="1324" spans="1:15" x14ac:dyDescent="0.25">
      <c r="A1324">
        <v>4658</v>
      </c>
      <c r="B1324" s="10">
        <v>45698</v>
      </c>
      <c r="C1324">
        <v>10</v>
      </c>
      <c r="D1324" t="s">
        <v>97</v>
      </c>
      <c r="E1324" t="s">
        <v>31</v>
      </c>
      <c r="F1324" t="s">
        <v>28</v>
      </c>
      <c r="G1324" t="s">
        <v>126</v>
      </c>
      <c r="H1324" t="s">
        <v>37</v>
      </c>
      <c r="I1324" t="s">
        <v>146</v>
      </c>
      <c r="J1324" t="s">
        <v>94</v>
      </c>
      <c r="K1324">
        <v>1</v>
      </c>
      <c r="L1324">
        <v>3300</v>
      </c>
      <c r="M1324">
        <v>3300</v>
      </c>
      <c r="N1324" t="s">
        <v>95</v>
      </c>
      <c r="O1324" t="s">
        <v>115</v>
      </c>
    </row>
    <row r="1325" spans="1:15" x14ac:dyDescent="0.25">
      <c r="A1325">
        <v>4967</v>
      </c>
      <c r="B1325" s="10">
        <v>45859</v>
      </c>
      <c r="C1325">
        <v>21</v>
      </c>
      <c r="D1325" t="s">
        <v>145</v>
      </c>
      <c r="E1325" t="s">
        <v>25</v>
      </c>
      <c r="F1325" t="s">
        <v>107</v>
      </c>
      <c r="G1325" t="s">
        <v>100</v>
      </c>
      <c r="H1325" t="s">
        <v>37</v>
      </c>
      <c r="I1325" t="s">
        <v>146</v>
      </c>
      <c r="J1325" t="s">
        <v>94</v>
      </c>
      <c r="K1325">
        <v>9</v>
      </c>
      <c r="L1325">
        <v>3300</v>
      </c>
      <c r="M1325">
        <v>29700</v>
      </c>
      <c r="N1325" t="s">
        <v>108</v>
      </c>
      <c r="O1325" t="s">
        <v>96</v>
      </c>
    </row>
    <row r="1326" spans="1:15" x14ac:dyDescent="0.25">
      <c r="A1326">
        <v>33</v>
      </c>
      <c r="B1326" s="10">
        <v>45852</v>
      </c>
      <c r="C1326">
        <v>14</v>
      </c>
      <c r="D1326" t="s">
        <v>145</v>
      </c>
      <c r="E1326" t="s">
        <v>25</v>
      </c>
      <c r="F1326" t="s">
        <v>134</v>
      </c>
      <c r="G1326" t="s">
        <v>100</v>
      </c>
      <c r="H1326" t="s">
        <v>37</v>
      </c>
      <c r="I1326" t="s">
        <v>156</v>
      </c>
      <c r="J1326" t="s">
        <v>103</v>
      </c>
      <c r="K1326">
        <v>32</v>
      </c>
      <c r="L1326">
        <v>3400</v>
      </c>
      <c r="M1326">
        <v>108800</v>
      </c>
      <c r="N1326" t="s">
        <v>108</v>
      </c>
      <c r="O1326" t="s">
        <v>104</v>
      </c>
    </row>
    <row r="1327" spans="1:15" x14ac:dyDescent="0.25">
      <c r="A1327">
        <v>132</v>
      </c>
      <c r="B1327" s="10">
        <v>45884</v>
      </c>
      <c r="C1327">
        <v>15</v>
      </c>
      <c r="D1327" t="s">
        <v>109</v>
      </c>
      <c r="E1327" t="s">
        <v>150</v>
      </c>
      <c r="F1327" t="s">
        <v>148</v>
      </c>
      <c r="G1327" t="s">
        <v>118</v>
      </c>
      <c r="H1327" t="s">
        <v>37</v>
      </c>
      <c r="I1327" t="s">
        <v>156</v>
      </c>
      <c r="J1327" t="s">
        <v>103</v>
      </c>
      <c r="K1327">
        <v>34</v>
      </c>
      <c r="L1327">
        <v>3400</v>
      </c>
      <c r="M1327">
        <v>115600</v>
      </c>
      <c r="N1327" t="s">
        <v>108</v>
      </c>
      <c r="O1327" t="s">
        <v>104</v>
      </c>
    </row>
    <row r="1328" spans="1:15" x14ac:dyDescent="0.25">
      <c r="A1328">
        <v>220</v>
      </c>
      <c r="B1328" s="10">
        <v>45825</v>
      </c>
      <c r="C1328">
        <v>17</v>
      </c>
      <c r="D1328" t="s">
        <v>153</v>
      </c>
      <c r="E1328" t="s">
        <v>98</v>
      </c>
      <c r="F1328" t="s">
        <v>44</v>
      </c>
      <c r="G1328" t="s">
        <v>111</v>
      </c>
      <c r="H1328" t="s">
        <v>37</v>
      </c>
      <c r="I1328" t="s">
        <v>156</v>
      </c>
      <c r="J1328" t="s">
        <v>103</v>
      </c>
      <c r="K1328">
        <v>15</v>
      </c>
      <c r="L1328">
        <v>3400</v>
      </c>
      <c r="M1328">
        <v>51000</v>
      </c>
      <c r="N1328" t="s">
        <v>108</v>
      </c>
      <c r="O1328" t="s">
        <v>115</v>
      </c>
    </row>
    <row r="1329" spans="1:15" x14ac:dyDescent="0.25">
      <c r="A1329">
        <v>234</v>
      </c>
      <c r="B1329" s="10">
        <v>45896</v>
      </c>
      <c r="C1329">
        <v>27</v>
      </c>
      <c r="D1329" t="s">
        <v>109</v>
      </c>
      <c r="E1329" t="s">
        <v>98</v>
      </c>
      <c r="F1329" t="s">
        <v>107</v>
      </c>
      <c r="G1329" t="s">
        <v>100</v>
      </c>
      <c r="H1329" t="s">
        <v>37</v>
      </c>
      <c r="I1329" t="s">
        <v>146</v>
      </c>
      <c r="J1329" t="s">
        <v>94</v>
      </c>
      <c r="K1329">
        <v>3</v>
      </c>
      <c r="L1329">
        <v>3400</v>
      </c>
      <c r="M1329">
        <v>10200</v>
      </c>
      <c r="N1329" t="s">
        <v>108</v>
      </c>
      <c r="O1329" t="s">
        <v>96</v>
      </c>
    </row>
    <row r="1330" spans="1:15" x14ac:dyDescent="0.25">
      <c r="A1330">
        <v>344</v>
      </c>
      <c r="B1330" s="10">
        <v>45785</v>
      </c>
      <c r="C1330">
        <v>8</v>
      </c>
      <c r="D1330" t="s">
        <v>120</v>
      </c>
      <c r="E1330" t="s">
        <v>98</v>
      </c>
      <c r="F1330" t="s">
        <v>122</v>
      </c>
      <c r="G1330" t="s">
        <v>114</v>
      </c>
      <c r="H1330" t="s">
        <v>37</v>
      </c>
      <c r="I1330" t="s">
        <v>146</v>
      </c>
      <c r="J1330" t="s">
        <v>94</v>
      </c>
      <c r="K1330">
        <v>10</v>
      </c>
      <c r="L1330">
        <v>3400</v>
      </c>
      <c r="M1330">
        <v>34000</v>
      </c>
      <c r="N1330" t="s">
        <v>108</v>
      </c>
      <c r="O1330" t="s">
        <v>115</v>
      </c>
    </row>
    <row r="1331" spans="1:15" x14ac:dyDescent="0.25">
      <c r="A1331">
        <v>484</v>
      </c>
      <c r="B1331" s="10">
        <v>45839</v>
      </c>
      <c r="C1331">
        <v>1</v>
      </c>
      <c r="D1331" t="s">
        <v>145</v>
      </c>
      <c r="E1331" t="s">
        <v>106</v>
      </c>
      <c r="F1331" t="s">
        <v>99</v>
      </c>
      <c r="G1331" t="s">
        <v>100</v>
      </c>
      <c r="H1331" t="s">
        <v>37</v>
      </c>
      <c r="I1331" t="s">
        <v>156</v>
      </c>
      <c r="J1331" t="s">
        <v>103</v>
      </c>
      <c r="K1331">
        <v>28</v>
      </c>
      <c r="L1331">
        <v>3400</v>
      </c>
      <c r="M1331">
        <v>95200</v>
      </c>
      <c r="N1331" t="s">
        <v>108</v>
      </c>
      <c r="O1331" t="s">
        <v>96</v>
      </c>
    </row>
    <row r="1332" spans="1:15" x14ac:dyDescent="0.25">
      <c r="A1332">
        <v>509</v>
      </c>
      <c r="B1332" s="10">
        <v>45863</v>
      </c>
      <c r="C1332">
        <v>25</v>
      </c>
      <c r="D1332" t="s">
        <v>145</v>
      </c>
      <c r="E1332" t="s">
        <v>142</v>
      </c>
      <c r="F1332" t="s">
        <v>151</v>
      </c>
      <c r="G1332" t="s">
        <v>111</v>
      </c>
      <c r="H1332" t="s">
        <v>37</v>
      </c>
      <c r="I1332" t="s">
        <v>156</v>
      </c>
      <c r="J1332" t="s">
        <v>103</v>
      </c>
      <c r="K1332">
        <v>31</v>
      </c>
      <c r="L1332">
        <v>3400</v>
      </c>
      <c r="M1332">
        <v>105400</v>
      </c>
      <c r="N1332" t="s">
        <v>95</v>
      </c>
      <c r="O1332" t="s">
        <v>104</v>
      </c>
    </row>
    <row r="1333" spans="1:15" x14ac:dyDescent="0.25">
      <c r="A1333">
        <v>1129</v>
      </c>
      <c r="B1333" s="10">
        <v>45811</v>
      </c>
      <c r="C1333">
        <v>3</v>
      </c>
      <c r="D1333" t="s">
        <v>153</v>
      </c>
      <c r="E1333" t="s">
        <v>116</v>
      </c>
      <c r="F1333" t="s">
        <v>141</v>
      </c>
      <c r="G1333" t="s">
        <v>100</v>
      </c>
      <c r="H1333" t="s">
        <v>37</v>
      </c>
      <c r="I1333" t="s">
        <v>156</v>
      </c>
      <c r="J1333" t="s">
        <v>103</v>
      </c>
      <c r="K1333">
        <v>42</v>
      </c>
      <c r="L1333">
        <v>3400</v>
      </c>
      <c r="M1333">
        <v>142800</v>
      </c>
      <c r="N1333" t="s">
        <v>95</v>
      </c>
      <c r="O1333" t="s">
        <v>115</v>
      </c>
    </row>
    <row r="1334" spans="1:15" x14ac:dyDescent="0.25">
      <c r="A1334">
        <v>1217</v>
      </c>
      <c r="B1334" s="10">
        <v>45874</v>
      </c>
      <c r="C1334">
        <v>5</v>
      </c>
      <c r="D1334" t="s">
        <v>109</v>
      </c>
      <c r="E1334" t="s">
        <v>150</v>
      </c>
      <c r="F1334" t="s">
        <v>117</v>
      </c>
      <c r="G1334" t="s">
        <v>118</v>
      </c>
      <c r="H1334" t="s">
        <v>37</v>
      </c>
      <c r="I1334" t="s">
        <v>146</v>
      </c>
      <c r="J1334" t="s">
        <v>94</v>
      </c>
      <c r="K1334">
        <v>2</v>
      </c>
      <c r="L1334">
        <v>3400</v>
      </c>
      <c r="M1334">
        <v>6800</v>
      </c>
      <c r="N1334" t="s">
        <v>108</v>
      </c>
      <c r="O1334" t="s">
        <v>104</v>
      </c>
    </row>
    <row r="1335" spans="1:15" x14ac:dyDescent="0.25">
      <c r="A1335">
        <v>1219</v>
      </c>
      <c r="B1335" s="10">
        <v>45891</v>
      </c>
      <c r="C1335">
        <v>22</v>
      </c>
      <c r="D1335" t="s">
        <v>109</v>
      </c>
      <c r="E1335" t="s">
        <v>138</v>
      </c>
      <c r="F1335" t="s">
        <v>148</v>
      </c>
      <c r="G1335" t="s">
        <v>118</v>
      </c>
      <c r="H1335" t="s">
        <v>37</v>
      </c>
      <c r="I1335" t="s">
        <v>146</v>
      </c>
      <c r="J1335" t="s">
        <v>94</v>
      </c>
      <c r="K1335">
        <v>10</v>
      </c>
      <c r="L1335">
        <v>3400</v>
      </c>
      <c r="M1335">
        <v>34000</v>
      </c>
      <c r="N1335" t="s">
        <v>108</v>
      </c>
      <c r="O1335" t="s">
        <v>115</v>
      </c>
    </row>
    <row r="1336" spans="1:15" x14ac:dyDescent="0.25">
      <c r="A1336">
        <v>1366</v>
      </c>
      <c r="B1336" s="10">
        <v>45810</v>
      </c>
      <c r="C1336">
        <v>2</v>
      </c>
      <c r="D1336" t="s">
        <v>153</v>
      </c>
      <c r="E1336" t="s">
        <v>138</v>
      </c>
      <c r="F1336" t="s">
        <v>49</v>
      </c>
      <c r="G1336" t="s">
        <v>118</v>
      </c>
      <c r="H1336" t="s">
        <v>37</v>
      </c>
      <c r="I1336" t="s">
        <v>156</v>
      </c>
      <c r="J1336" t="s">
        <v>103</v>
      </c>
      <c r="K1336">
        <v>35</v>
      </c>
      <c r="L1336">
        <v>3400</v>
      </c>
      <c r="M1336">
        <v>119000</v>
      </c>
      <c r="N1336" t="s">
        <v>95</v>
      </c>
      <c r="O1336" t="s">
        <v>96</v>
      </c>
    </row>
    <row r="1337" spans="1:15" x14ac:dyDescent="0.25">
      <c r="A1337">
        <v>1615</v>
      </c>
      <c r="B1337" s="10">
        <v>45836</v>
      </c>
      <c r="C1337">
        <v>28</v>
      </c>
      <c r="D1337" t="s">
        <v>153</v>
      </c>
      <c r="E1337" t="s">
        <v>138</v>
      </c>
      <c r="F1337" t="s">
        <v>22</v>
      </c>
      <c r="G1337" t="s">
        <v>91</v>
      </c>
      <c r="H1337" t="s">
        <v>37</v>
      </c>
      <c r="I1337" t="s">
        <v>156</v>
      </c>
      <c r="J1337" t="s">
        <v>103</v>
      </c>
      <c r="K1337">
        <v>32</v>
      </c>
      <c r="L1337">
        <v>3400</v>
      </c>
      <c r="M1337">
        <v>108800</v>
      </c>
      <c r="N1337" t="s">
        <v>95</v>
      </c>
      <c r="O1337" t="s">
        <v>96</v>
      </c>
    </row>
    <row r="1338" spans="1:15" x14ac:dyDescent="0.25">
      <c r="A1338">
        <v>1765</v>
      </c>
      <c r="B1338" s="10">
        <v>45673</v>
      </c>
      <c r="C1338">
        <v>16</v>
      </c>
      <c r="D1338" t="s">
        <v>130</v>
      </c>
      <c r="E1338" t="s">
        <v>133</v>
      </c>
      <c r="F1338" t="s">
        <v>49</v>
      </c>
      <c r="G1338" t="s">
        <v>118</v>
      </c>
      <c r="H1338" t="s">
        <v>37</v>
      </c>
      <c r="I1338" t="s">
        <v>156</v>
      </c>
      <c r="J1338" t="s">
        <v>103</v>
      </c>
      <c r="K1338">
        <v>21</v>
      </c>
      <c r="L1338">
        <v>3400</v>
      </c>
      <c r="M1338">
        <v>71400</v>
      </c>
      <c r="N1338" t="s">
        <v>108</v>
      </c>
      <c r="O1338" t="s">
        <v>104</v>
      </c>
    </row>
    <row r="1339" spans="1:15" x14ac:dyDescent="0.25">
      <c r="A1339">
        <v>1841</v>
      </c>
      <c r="B1339" s="10">
        <v>45966</v>
      </c>
      <c r="C1339">
        <v>5</v>
      </c>
      <c r="D1339" t="s">
        <v>90</v>
      </c>
      <c r="E1339" t="s">
        <v>138</v>
      </c>
      <c r="F1339" t="s">
        <v>148</v>
      </c>
      <c r="G1339" t="s">
        <v>118</v>
      </c>
      <c r="H1339" t="s">
        <v>37</v>
      </c>
      <c r="I1339" t="s">
        <v>156</v>
      </c>
      <c r="J1339" t="s">
        <v>103</v>
      </c>
      <c r="K1339">
        <v>33</v>
      </c>
      <c r="L1339">
        <v>3400</v>
      </c>
      <c r="M1339">
        <v>112200</v>
      </c>
      <c r="N1339" t="s">
        <v>95</v>
      </c>
      <c r="O1339" t="s">
        <v>96</v>
      </c>
    </row>
    <row r="1340" spans="1:15" x14ac:dyDescent="0.25">
      <c r="A1340">
        <v>1873</v>
      </c>
      <c r="B1340" s="10">
        <v>45736</v>
      </c>
      <c r="C1340">
        <v>20</v>
      </c>
      <c r="D1340" t="s">
        <v>140</v>
      </c>
      <c r="E1340" t="s">
        <v>133</v>
      </c>
      <c r="F1340" t="s">
        <v>107</v>
      </c>
      <c r="G1340" t="s">
        <v>100</v>
      </c>
      <c r="H1340" t="s">
        <v>37</v>
      </c>
      <c r="I1340" t="s">
        <v>146</v>
      </c>
      <c r="J1340" t="s">
        <v>94</v>
      </c>
      <c r="K1340">
        <v>5</v>
      </c>
      <c r="L1340">
        <v>3400</v>
      </c>
      <c r="M1340">
        <v>17000</v>
      </c>
      <c r="N1340" t="s">
        <v>95</v>
      </c>
      <c r="O1340" t="s">
        <v>115</v>
      </c>
    </row>
    <row r="1341" spans="1:15" x14ac:dyDescent="0.25">
      <c r="A1341">
        <v>1975</v>
      </c>
      <c r="B1341" s="10">
        <v>45747</v>
      </c>
      <c r="C1341">
        <v>31</v>
      </c>
      <c r="D1341" t="s">
        <v>140</v>
      </c>
      <c r="E1341" t="s">
        <v>110</v>
      </c>
      <c r="F1341" t="s">
        <v>134</v>
      </c>
      <c r="G1341" t="s">
        <v>100</v>
      </c>
      <c r="H1341" t="s">
        <v>37</v>
      </c>
      <c r="I1341" t="s">
        <v>156</v>
      </c>
      <c r="J1341" t="s">
        <v>103</v>
      </c>
      <c r="K1341">
        <v>23</v>
      </c>
      <c r="L1341">
        <v>3400</v>
      </c>
      <c r="M1341">
        <v>78200</v>
      </c>
      <c r="N1341" t="s">
        <v>95</v>
      </c>
      <c r="O1341" t="s">
        <v>96</v>
      </c>
    </row>
    <row r="1342" spans="1:15" x14ac:dyDescent="0.25">
      <c r="A1342">
        <v>2030</v>
      </c>
      <c r="B1342" s="10">
        <v>45713</v>
      </c>
      <c r="C1342">
        <v>25</v>
      </c>
      <c r="D1342" t="s">
        <v>97</v>
      </c>
      <c r="E1342" t="s">
        <v>137</v>
      </c>
      <c r="F1342" t="s">
        <v>107</v>
      </c>
      <c r="G1342" t="s">
        <v>100</v>
      </c>
      <c r="H1342" t="s">
        <v>37</v>
      </c>
      <c r="I1342" t="s">
        <v>146</v>
      </c>
      <c r="J1342" t="s">
        <v>94</v>
      </c>
      <c r="K1342">
        <v>7</v>
      </c>
      <c r="L1342">
        <v>3400</v>
      </c>
      <c r="M1342">
        <v>23800</v>
      </c>
      <c r="N1342" t="s">
        <v>95</v>
      </c>
      <c r="O1342" t="s">
        <v>104</v>
      </c>
    </row>
    <row r="1343" spans="1:15" x14ac:dyDescent="0.25">
      <c r="A1343">
        <v>2215</v>
      </c>
      <c r="B1343" s="10">
        <v>45985</v>
      </c>
      <c r="C1343">
        <v>24</v>
      </c>
      <c r="D1343" t="s">
        <v>90</v>
      </c>
      <c r="E1343" t="s">
        <v>25</v>
      </c>
      <c r="F1343" t="s">
        <v>141</v>
      </c>
      <c r="G1343" t="s">
        <v>100</v>
      </c>
      <c r="H1343" t="s">
        <v>37</v>
      </c>
      <c r="I1343" t="s">
        <v>146</v>
      </c>
      <c r="J1343" t="s">
        <v>94</v>
      </c>
      <c r="K1343">
        <v>4</v>
      </c>
      <c r="L1343">
        <v>3400</v>
      </c>
      <c r="M1343">
        <v>13600</v>
      </c>
      <c r="N1343" t="s">
        <v>95</v>
      </c>
      <c r="O1343" t="s">
        <v>115</v>
      </c>
    </row>
    <row r="1344" spans="1:15" x14ac:dyDescent="0.25">
      <c r="A1344">
        <v>2306</v>
      </c>
      <c r="B1344" s="10">
        <v>45698</v>
      </c>
      <c r="C1344">
        <v>10</v>
      </c>
      <c r="D1344" t="s">
        <v>97</v>
      </c>
      <c r="E1344" t="s">
        <v>98</v>
      </c>
      <c r="F1344" t="s">
        <v>122</v>
      </c>
      <c r="G1344" t="s">
        <v>114</v>
      </c>
      <c r="H1344" t="s">
        <v>37</v>
      </c>
      <c r="I1344" t="s">
        <v>146</v>
      </c>
      <c r="J1344" t="s">
        <v>103</v>
      </c>
      <c r="K1344">
        <v>35</v>
      </c>
      <c r="L1344">
        <v>3400</v>
      </c>
      <c r="M1344">
        <v>119000</v>
      </c>
      <c r="N1344" t="s">
        <v>95</v>
      </c>
      <c r="O1344" t="s">
        <v>115</v>
      </c>
    </row>
    <row r="1345" spans="1:15" x14ac:dyDescent="0.25">
      <c r="A1345">
        <v>2454</v>
      </c>
      <c r="B1345" s="10">
        <v>45829</v>
      </c>
      <c r="C1345">
        <v>21</v>
      </c>
      <c r="D1345" t="s">
        <v>153</v>
      </c>
      <c r="E1345" t="s">
        <v>110</v>
      </c>
      <c r="F1345" t="s">
        <v>148</v>
      </c>
      <c r="G1345" t="s">
        <v>118</v>
      </c>
      <c r="H1345" t="s">
        <v>37</v>
      </c>
      <c r="I1345" t="s">
        <v>146</v>
      </c>
      <c r="J1345" t="s">
        <v>94</v>
      </c>
      <c r="K1345">
        <v>1</v>
      </c>
      <c r="L1345">
        <v>3400</v>
      </c>
      <c r="M1345">
        <v>3400</v>
      </c>
      <c r="N1345" t="s">
        <v>108</v>
      </c>
      <c r="O1345" t="s">
        <v>104</v>
      </c>
    </row>
    <row r="1346" spans="1:15" x14ac:dyDescent="0.25">
      <c r="A1346">
        <v>2961</v>
      </c>
      <c r="B1346" s="10">
        <v>45789</v>
      </c>
      <c r="C1346">
        <v>12</v>
      </c>
      <c r="D1346" t="s">
        <v>120</v>
      </c>
      <c r="E1346" t="s">
        <v>98</v>
      </c>
      <c r="F1346" t="s">
        <v>141</v>
      </c>
      <c r="G1346" t="s">
        <v>100</v>
      </c>
      <c r="H1346" t="s">
        <v>37</v>
      </c>
      <c r="I1346" t="s">
        <v>146</v>
      </c>
      <c r="J1346" t="s">
        <v>94</v>
      </c>
      <c r="K1346">
        <v>4</v>
      </c>
      <c r="L1346">
        <v>3400</v>
      </c>
      <c r="M1346">
        <v>13600</v>
      </c>
      <c r="N1346" t="s">
        <v>108</v>
      </c>
      <c r="O1346" t="s">
        <v>104</v>
      </c>
    </row>
    <row r="1347" spans="1:15" x14ac:dyDescent="0.25">
      <c r="A1347">
        <v>3075</v>
      </c>
      <c r="B1347" s="10">
        <v>45818</v>
      </c>
      <c r="C1347">
        <v>10</v>
      </c>
      <c r="D1347" t="s">
        <v>153</v>
      </c>
      <c r="E1347" t="s">
        <v>133</v>
      </c>
      <c r="F1347" t="s">
        <v>99</v>
      </c>
      <c r="G1347" t="s">
        <v>100</v>
      </c>
      <c r="H1347" t="s">
        <v>37</v>
      </c>
      <c r="I1347" t="s">
        <v>146</v>
      </c>
      <c r="J1347" t="s">
        <v>94</v>
      </c>
      <c r="K1347">
        <v>7</v>
      </c>
      <c r="L1347">
        <v>3400</v>
      </c>
      <c r="M1347">
        <v>23800</v>
      </c>
      <c r="N1347" t="s">
        <v>108</v>
      </c>
      <c r="O1347" t="s">
        <v>104</v>
      </c>
    </row>
    <row r="1348" spans="1:15" x14ac:dyDescent="0.25">
      <c r="A1348">
        <v>3080</v>
      </c>
      <c r="B1348" s="10">
        <v>45837</v>
      </c>
      <c r="C1348">
        <v>29</v>
      </c>
      <c r="D1348" t="s">
        <v>153</v>
      </c>
      <c r="E1348" t="s">
        <v>128</v>
      </c>
      <c r="F1348" t="s">
        <v>134</v>
      </c>
      <c r="G1348" t="s">
        <v>100</v>
      </c>
      <c r="H1348" t="s">
        <v>37</v>
      </c>
      <c r="I1348" t="s">
        <v>156</v>
      </c>
      <c r="J1348" t="s">
        <v>103</v>
      </c>
      <c r="K1348">
        <v>13</v>
      </c>
      <c r="L1348">
        <v>3400</v>
      </c>
      <c r="M1348">
        <v>44200</v>
      </c>
      <c r="N1348" t="s">
        <v>108</v>
      </c>
      <c r="O1348" t="s">
        <v>104</v>
      </c>
    </row>
    <row r="1349" spans="1:15" x14ac:dyDescent="0.25">
      <c r="A1349">
        <v>3239</v>
      </c>
      <c r="B1349" s="10">
        <v>45929</v>
      </c>
      <c r="C1349">
        <v>29</v>
      </c>
      <c r="D1349" t="s">
        <v>147</v>
      </c>
      <c r="E1349" t="s">
        <v>161</v>
      </c>
      <c r="F1349" t="s">
        <v>144</v>
      </c>
      <c r="G1349" t="s">
        <v>91</v>
      </c>
      <c r="H1349" t="s">
        <v>37</v>
      </c>
      <c r="I1349" t="s">
        <v>156</v>
      </c>
      <c r="J1349" t="s">
        <v>103</v>
      </c>
      <c r="K1349">
        <v>16</v>
      </c>
      <c r="L1349">
        <v>3400</v>
      </c>
      <c r="M1349">
        <v>54400</v>
      </c>
      <c r="N1349" t="s">
        <v>95</v>
      </c>
      <c r="O1349" t="s">
        <v>115</v>
      </c>
    </row>
    <row r="1350" spans="1:15" x14ac:dyDescent="0.25">
      <c r="A1350">
        <v>3409</v>
      </c>
      <c r="B1350" s="10">
        <v>45927</v>
      </c>
      <c r="C1350">
        <v>27</v>
      </c>
      <c r="D1350" t="s">
        <v>147</v>
      </c>
      <c r="E1350" t="s">
        <v>128</v>
      </c>
      <c r="F1350" t="s">
        <v>144</v>
      </c>
      <c r="G1350" t="s">
        <v>91</v>
      </c>
      <c r="H1350" t="s">
        <v>37</v>
      </c>
      <c r="I1350" t="s">
        <v>156</v>
      </c>
      <c r="J1350" t="s">
        <v>103</v>
      </c>
      <c r="K1350">
        <v>43</v>
      </c>
      <c r="L1350">
        <v>3400</v>
      </c>
      <c r="M1350">
        <v>146200</v>
      </c>
      <c r="N1350" t="s">
        <v>108</v>
      </c>
      <c r="O1350" t="s">
        <v>96</v>
      </c>
    </row>
    <row r="1351" spans="1:15" x14ac:dyDescent="0.25">
      <c r="A1351">
        <v>3746</v>
      </c>
      <c r="B1351" s="10">
        <v>45735</v>
      </c>
      <c r="C1351">
        <v>19</v>
      </c>
      <c r="D1351" t="s">
        <v>140</v>
      </c>
      <c r="E1351" t="s">
        <v>106</v>
      </c>
      <c r="F1351" t="s">
        <v>49</v>
      </c>
      <c r="G1351" t="s">
        <v>118</v>
      </c>
      <c r="H1351" t="s">
        <v>37</v>
      </c>
      <c r="I1351" t="s">
        <v>156</v>
      </c>
      <c r="J1351" t="s">
        <v>103</v>
      </c>
      <c r="K1351">
        <v>10</v>
      </c>
      <c r="L1351">
        <v>3400</v>
      </c>
      <c r="M1351">
        <v>34000</v>
      </c>
      <c r="N1351" t="s">
        <v>108</v>
      </c>
      <c r="O1351" t="s">
        <v>96</v>
      </c>
    </row>
    <row r="1352" spans="1:15" x14ac:dyDescent="0.25">
      <c r="A1352">
        <v>3862</v>
      </c>
      <c r="B1352" s="10">
        <v>45767</v>
      </c>
      <c r="C1352">
        <v>20</v>
      </c>
      <c r="D1352" t="s">
        <v>105</v>
      </c>
      <c r="E1352" t="s">
        <v>110</v>
      </c>
      <c r="F1352" t="s">
        <v>122</v>
      </c>
      <c r="G1352" t="s">
        <v>114</v>
      </c>
      <c r="H1352" t="s">
        <v>37</v>
      </c>
      <c r="I1352" t="s">
        <v>146</v>
      </c>
      <c r="J1352" t="s">
        <v>94</v>
      </c>
      <c r="K1352">
        <v>3</v>
      </c>
      <c r="L1352">
        <v>3400</v>
      </c>
      <c r="M1352">
        <v>10200</v>
      </c>
      <c r="N1352" t="s">
        <v>108</v>
      </c>
      <c r="O1352" t="s">
        <v>115</v>
      </c>
    </row>
    <row r="1353" spans="1:15" x14ac:dyDescent="0.25">
      <c r="A1353">
        <v>3930</v>
      </c>
      <c r="B1353" s="10">
        <v>45806</v>
      </c>
      <c r="C1353">
        <v>29</v>
      </c>
      <c r="D1353" t="s">
        <v>120</v>
      </c>
      <c r="E1353" t="s">
        <v>98</v>
      </c>
      <c r="F1353" t="s">
        <v>99</v>
      </c>
      <c r="G1353" t="s">
        <v>100</v>
      </c>
      <c r="H1353" t="s">
        <v>37</v>
      </c>
      <c r="I1353" t="s">
        <v>156</v>
      </c>
      <c r="J1353" t="s">
        <v>103</v>
      </c>
      <c r="K1353">
        <v>34</v>
      </c>
      <c r="L1353">
        <v>3400</v>
      </c>
      <c r="M1353">
        <v>115600</v>
      </c>
      <c r="N1353" t="s">
        <v>95</v>
      </c>
      <c r="O1353" t="s">
        <v>96</v>
      </c>
    </row>
    <row r="1354" spans="1:15" x14ac:dyDescent="0.25">
      <c r="A1354">
        <v>3988</v>
      </c>
      <c r="B1354" s="10">
        <v>45982</v>
      </c>
      <c r="C1354">
        <v>21</v>
      </c>
      <c r="D1354" t="s">
        <v>90</v>
      </c>
      <c r="E1354" t="s">
        <v>31</v>
      </c>
      <c r="F1354" t="s">
        <v>107</v>
      </c>
      <c r="G1354" t="s">
        <v>100</v>
      </c>
      <c r="H1354" t="s">
        <v>37</v>
      </c>
      <c r="I1354" t="s">
        <v>146</v>
      </c>
      <c r="J1354" t="s">
        <v>94</v>
      </c>
      <c r="K1354">
        <v>4</v>
      </c>
      <c r="L1354">
        <v>3400</v>
      </c>
      <c r="M1354">
        <v>13600</v>
      </c>
      <c r="N1354" t="s">
        <v>108</v>
      </c>
      <c r="O1354" t="s">
        <v>96</v>
      </c>
    </row>
    <row r="1355" spans="1:15" x14ac:dyDescent="0.25">
      <c r="A1355">
        <v>4264</v>
      </c>
      <c r="B1355" s="10">
        <v>45682</v>
      </c>
      <c r="C1355">
        <v>25</v>
      </c>
      <c r="D1355" t="s">
        <v>130</v>
      </c>
      <c r="E1355" t="s">
        <v>112</v>
      </c>
      <c r="F1355" t="s">
        <v>44</v>
      </c>
      <c r="G1355" t="s">
        <v>111</v>
      </c>
      <c r="H1355" t="s">
        <v>37</v>
      </c>
      <c r="I1355" t="s">
        <v>146</v>
      </c>
      <c r="J1355" t="s">
        <v>94</v>
      </c>
      <c r="K1355">
        <v>7</v>
      </c>
      <c r="L1355">
        <v>3400</v>
      </c>
      <c r="M1355">
        <v>23800</v>
      </c>
      <c r="N1355" t="s">
        <v>108</v>
      </c>
      <c r="O1355" t="s">
        <v>115</v>
      </c>
    </row>
    <row r="1356" spans="1:15" x14ac:dyDescent="0.25">
      <c r="A1356">
        <v>4276</v>
      </c>
      <c r="B1356" s="10">
        <v>45990</v>
      </c>
      <c r="C1356">
        <v>29</v>
      </c>
      <c r="D1356" t="s">
        <v>90</v>
      </c>
      <c r="E1356" t="s">
        <v>138</v>
      </c>
      <c r="F1356" t="s">
        <v>44</v>
      </c>
      <c r="G1356" t="s">
        <v>111</v>
      </c>
      <c r="H1356" t="s">
        <v>37</v>
      </c>
      <c r="I1356" t="s">
        <v>156</v>
      </c>
      <c r="J1356" t="s">
        <v>103</v>
      </c>
      <c r="K1356">
        <v>31</v>
      </c>
      <c r="L1356">
        <v>3400</v>
      </c>
      <c r="M1356">
        <v>105400</v>
      </c>
      <c r="N1356" t="s">
        <v>95</v>
      </c>
      <c r="O1356" t="s">
        <v>104</v>
      </c>
    </row>
    <row r="1357" spans="1:15" x14ac:dyDescent="0.25">
      <c r="A1357">
        <v>4368</v>
      </c>
      <c r="B1357" s="10">
        <v>45831</v>
      </c>
      <c r="C1357">
        <v>23</v>
      </c>
      <c r="D1357" t="s">
        <v>153</v>
      </c>
      <c r="E1357" t="s">
        <v>121</v>
      </c>
      <c r="F1357" t="s">
        <v>148</v>
      </c>
      <c r="G1357" t="s">
        <v>118</v>
      </c>
      <c r="H1357" t="s">
        <v>37</v>
      </c>
      <c r="I1357" t="s">
        <v>156</v>
      </c>
      <c r="J1357" t="s">
        <v>103</v>
      </c>
      <c r="K1357">
        <v>6</v>
      </c>
      <c r="L1357">
        <v>3400</v>
      </c>
      <c r="M1357">
        <v>20400</v>
      </c>
      <c r="N1357" t="s">
        <v>95</v>
      </c>
      <c r="O1357" t="s">
        <v>104</v>
      </c>
    </row>
    <row r="1358" spans="1:15" x14ac:dyDescent="0.25">
      <c r="A1358">
        <v>4386</v>
      </c>
      <c r="B1358" s="10">
        <v>45802</v>
      </c>
      <c r="C1358">
        <v>25</v>
      </c>
      <c r="D1358" t="s">
        <v>120</v>
      </c>
      <c r="E1358" t="s">
        <v>31</v>
      </c>
      <c r="F1358" t="s">
        <v>99</v>
      </c>
      <c r="G1358" t="s">
        <v>100</v>
      </c>
      <c r="H1358" t="s">
        <v>37</v>
      </c>
      <c r="I1358" t="s">
        <v>146</v>
      </c>
      <c r="J1358" t="s">
        <v>94</v>
      </c>
      <c r="K1358">
        <v>6</v>
      </c>
      <c r="L1358">
        <v>3400</v>
      </c>
      <c r="M1358">
        <v>20400</v>
      </c>
      <c r="N1358" t="s">
        <v>108</v>
      </c>
      <c r="O1358" t="s">
        <v>104</v>
      </c>
    </row>
    <row r="1359" spans="1:15" x14ac:dyDescent="0.25">
      <c r="A1359">
        <v>4682</v>
      </c>
      <c r="B1359" s="10">
        <v>45756</v>
      </c>
      <c r="C1359">
        <v>9</v>
      </c>
      <c r="D1359" t="s">
        <v>105</v>
      </c>
      <c r="E1359" t="s">
        <v>128</v>
      </c>
      <c r="F1359" t="s">
        <v>44</v>
      </c>
      <c r="G1359" t="s">
        <v>111</v>
      </c>
      <c r="H1359" t="s">
        <v>37</v>
      </c>
      <c r="I1359" t="s">
        <v>146</v>
      </c>
      <c r="J1359" t="s">
        <v>94</v>
      </c>
      <c r="K1359">
        <v>1</v>
      </c>
      <c r="L1359">
        <v>3400</v>
      </c>
      <c r="M1359">
        <v>3400</v>
      </c>
      <c r="N1359" t="s">
        <v>108</v>
      </c>
      <c r="O1359" t="s">
        <v>104</v>
      </c>
    </row>
    <row r="1360" spans="1:15" x14ac:dyDescent="0.25">
      <c r="A1360">
        <v>4759</v>
      </c>
      <c r="B1360" s="10">
        <v>45753</v>
      </c>
      <c r="C1360">
        <v>6</v>
      </c>
      <c r="D1360" t="s">
        <v>105</v>
      </c>
      <c r="E1360" t="s">
        <v>128</v>
      </c>
      <c r="F1360" t="s">
        <v>148</v>
      </c>
      <c r="G1360" t="s">
        <v>118</v>
      </c>
      <c r="H1360" t="s">
        <v>37</v>
      </c>
      <c r="I1360" t="s">
        <v>146</v>
      </c>
      <c r="J1360" t="s">
        <v>94</v>
      </c>
      <c r="K1360">
        <v>10</v>
      </c>
      <c r="L1360">
        <v>3400</v>
      </c>
      <c r="M1360">
        <v>34000</v>
      </c>
      <c r="N1360" t="s">
        <v>95</v>
      </c>
      <c r="O1360" t="s">
        <v>115</v>
      </c>
    </row>
    <row r="1361" spans="1:15" x14ac:dyDescent="0.25">
      <c r="A1361">
        <v>4771</v>
      </c>
      <c r="B1361" s="10">
        <v>45999</v>
      </c>
      <c r="C1361">
        <v>8</v>
      </c>
      <c r="D1361" t="s">
        <v>125</v>
      </c>
      <c r="E1361" t="s">
        <v>116</v>
      </c>
      <c r="F1361" t="s">
        <v>49</v>
      </c>
      <c r="G1361" t="s">
        <v>118</v>
      </c>
      <c r="H1361" t="s">
        <v>37</v>
      </c>
      <c r="I1361" t="s">
        <v>156</v>
      </c>
      <c r="J1361" t="s">
        <v>103</v>
      </c>
      <c r="K1361">
        <v>8</v>
      </c>
      <c r="L1361">
        <v>3400</v>
      </c>
      <c r="M1361">
        <v>27200</v>
      </c>
      <c r="N1361" t="s">
        <v>108</v>
      </c>
      <c r="O1361" t="s">
        <v>115</v>
      </c>
    </row>
    <row r="1362" spans="1:15" x14ac:dyDescent="0.25">
      <c r="A1362">
        <v>4823</v>
      </c>
      <c r="B1362" s="10">
        <v>46007</v>
      </c>
      <c r="C1362">
        <v>16</v>
      </c>
      <c r="D1362" t="s">
        <v>125</v>
      </c>
      <c r="E1362" t="s">
        <v>121</v>
      </c>
      <c r="F1362" t="s">
        <v>99</v>
      </c>
      <c r="G1362" t="s">
        <v>100</v>
      </c>
      <c r="H1362" t="s">
        <v>37</v>
      </c>
      <c r="I1362" t="s">
        <v>146</v>
      </c>
      <c r="J1362" t="s">
        <v>94</v>
      </c>
      <c r="K1362">
        <v>2</v>
      </c>
      <c r="L1362">
        <v>3400</v>
      </c>
      <c r="M1362">
        <v>6800</v>
      </c>
      <c r="N1362" t="s">
        <v>95</v>
      </c>
      <c r="O1362" t="s">
        <v>115</v>
      </c>
    </row>
    <row r="1363" spans="1:15" x14ac:dyDescent="0.25">
      <c r="A1363">
        <v>151</v>
      </c>
      <c r="B1363" s="10">
        <v>45732</v>
      </c>
      <c r="C1363">
        <v>16</v>
      </c>
      <c r="D1363" t="s">
        <v>140</v>
      </c>
      <c r="E1363" t="s">
        <v>138</v>
      </c>
      <c r="F1363" t="s">
        <v>107</v>
      </c>
      <c r="G1363" t="s">
        <v>100</v>
      </c>
      <c r="H1363" t="s">
        <v>37</v>
      </c>
      <c r="I1363" t="s">
        <v>146</v>
      </c>
      <c r="J1363" t="s">
        <v>94</v>
      </c>
      <c r="K1363">
        <v>1</v>
      </c>
      <c r="L1363">
        <v>3500</v>
      </c>
      <c r="M1363">
        <v>3500</v>
      </c>
      <c r="N1363" t="s">
        <v>95</v>
      </c>
      <c r="O1363" t="s">
        <v>104</v>
      </c>
    </row>
    <row r="1364" spans="1:15" x14ac:dyDescent="0.25">
      <c r="A1364">
        <v>330</v>
      </c>
      <c r="B1364" s="10">
        <v>45712</v>
      </c>
      <c r="C1364">
        <v>24</v>
      </c>
      <c r="D1364" t="s">
        <v>97</v>
      </c>
      <c r="E1364" t="s">
        <v>31</v>
      </c>
      <c r="F1364" t="s">
        <v>22</v>
      </c>
      <c r="G1364" t="s">
        <v>91</v>
      </c>
      <c r="H1364" t="s">
        <v>37</v>
      </c>
      <c r="I1364" t="s">
        <v>156</v>
      </c>
      <c r="J1364" t="s">
        <v>103</v>
      </c>
      <c r="K1364">
        <v>22</v>
      </c>
      <c r="L1364">
        <v>3500</v>
      </c>
      <c r="M1364">
        <v>77000</v>
      </c>
      <c r="N1364" t="s">
        <v>95</v>
      </c>
      <c r="O1364" t="s">
        <v>104</v>
      </c>
    </row>
    <row r="1365" spans="1:15" x14ac:dyDescent="0.25">
      <c r="A1365">
        <v>440</v>
      </c>
      <c r="B1365" s="10">
        <v>45697</v>
      </c>
      <c r="C1365">
        <v>9</v>
      </c>
      <c r="D1365" t="s">
        <v>97</v>
      </c>
      <c r="E1365" t="s">
        <v>106</v>
      </c>
      <c r="F1365" t="s">
        <v>113</v>
      </c>
      <c r="G1365" t="s">
        <v>114</v>
      </c>
      <c r="H1365" t="s">
        <v>37</v>
      </c>
      <c r="I1365" t="s">
        <v>146</v>
      </c>
      <c r="J1365" t="s">
        <v>94</v>
      </c>
      <c r="K1365">
        <v>6</v>
      </c>
      <c r="L1365">
        <v>3500</v>
      </c>
      <c r="M1365">
        <v>21000</v>
      </c>
      <c r="N1365" t="s">
        <v>108</v>
      </c>
      <c r="O1365" t="s">
        <v>104</v>
      </c>
    </row>
    <row r="1366" spans="1:15" x14ac:dyDescent="0.25">
      <c r="A1366">
        <v>543</v>
      </c>
      <c r="B1366" s="10">
        <v>45973</v>
      </c>
      <c r="C1366">
        <v>12</v>
      </c>
      <c r="D1366" t="s">
        <v>90</v>
      </c>
      <c r="E1366" t="s">
        <v>121</v>
      </c>
      <c r="F1366" t="s">
        <v>122</v>
      </c>
      <c r="G1366" t="s">
        <v>114</v>
      </c>
      <c r="H1366" t="s">
        <v>37</v>
      </c>
      <c r="I1366" t="s">
        <v>156</v>
      </c>
      <c r="J1366" t="s">
        <v>103</v>
      </c>
      <c r="K1366">
        <v>9</v>
      </c>
      <c r="L1366">
        <v>3500</v>
      </c>
      <c r="M1366">
        <v>31500</v>
      </c>
      <c r="N1366" t="s">
        <v>108</v>
      </c>
      <c r="O1366" t="s">
        <v>96</v>
      </c>
    </row>
    <row r="1367" spans="1:15" x14ac:dyDescent="0.25">
      <c r="A1367">
        <v>578</v>
      </c>
      <c r="B1367" s="10">
        <v>45865</v>
      </c>
      <c r="C1367">
        <v>27</v>
      </c>
      <c r="D1367" t="s">
        <v>145</v>
      </c>
      <c r="E1367" t="s">
        <v>150</v>
      </c>
      <c r="F1367" t="s">
        <v>141</v>
      </c>
      <c r="G1367" t="s">
        <v>100</v>
      </c>
      <c r="H1367" t="s">
        <v>37</v>
      </c>
      <c r="I1367" t="s">
        <v>156</v>
      </c>
      <c r="J1367" t="s">
        <v>103</v>
      </c>
      <c r="K1367">
        <v>43</v>
      </c>
      <c r="L1367">
        <v>3500</v>
      </c>
      <c r="M1367">
        <v>150500</v>
      </c>
      <c r="N1367" t="s">
        <v>95</v>
      </c>
      <c r="O1367" t="s">
        <v>96</v>
      </c>
    </row>
    <row r="1368" spans="1:15" x14ac:dyDescent="0.25">
      <c r="A1368">
        <v>611</v>
      </c>
      <c r="B1368" s="10">
        <v>46017</v>
      </c>
      <c r="C1368">
        <v>26</v>
      </c>
      <c r="D1368" t="s">
        <v>125</v>
      </c>
      <c r="E1368" t="s">
        <v>106</v>
      </c>
      <c r="F1368" t="s">
        <v>117</v>
      </c>
      <c r="G1368" t="s">
        <v>118</v>
      </c>
      <c r="H1368" t="s">
        <v>37</v>
      </c>
      <c r="I1368" t="s">
        <v>156</v>
      </c>
      <c r="J1368" t="s">
        <v>103</v>
      </c>
      <c r="K1368">
        <v>38</v>
      </c>
      <c r="L1368">
        <v>3500</v>
      </c>
      <c r="M1368">
        <v>133000</v>
      </c>
      <c r="N1368" t="s">
        <v>95</v>
      </c>
      <c r="O1368" t="s">
        <v>96</v>
      </c>
    </row>
    <row r="1369" spans="1:15" x14ac:dyDescent="0.25">
      <c r="A1369">
        <v>841</v>
      </c>
      <c r="B1369" s="10">
        <v>45759</v>
      </c>
      <c r="C1369">
        <v>12</v>
      </c>
      <c r="D1369" t="s">
        <v>105</v>
      </c>
      <c r="E1369" t="s">
        <v>161</v>
      </c>
      <c r="F1369" t="s">
        <v>122</v>
      </c>
      <c r="G1369" t="s">
        <v>114</v>
      </c>
      <c r="H1369" t="s">
        <v>37</v>
      </c>
      <c r="I1369" t="s">
        <v>146</v>
      </c>
      <c r="J1369" t="s">
        <v>94</v>
      </c>
      <c r="K1369">
        <v>6</v>
      </c>
      <c r="L1369">
        <v>3500</v>
      </c>
      <c r="M1369">
        <v>21000</v>
      </c>
      <c r="N1369" t="s">
        <v>95</v>
      </c>
      <c r="O1369" t="s">
        <v>104</v>
      </c>
    </row>
    <row r="1370" spans="1:15" x14ac:dyDescent="0.25">
      <c r="A1370">
        <v>1086</v>
      </c>
      <c r="B1370" s="10">
        <v>46002</v>
      </c>
      <c r="C1370">
        <v>11</v>
      </c>
      <c r="D1370" t="s">
        <v>125</v>
      </c>
      <c r="E1370" t="s">
        <v>98</v>
      </c>
      <c r="F1370" t="s">
        <v>22</v>
      </c>
      <c r="G1370" t="s">
        <v>91</v>
      </c>
      <c r="H1370" t="s">
        <v>37</v>
      </c>
      <c r="I1370" t="s">
        <v>156</v>
      </c>
      <c r="J1370" t="s">
        <v>103</v>
      </c>
      <c r="K1370">
        <v>22</v>
      </c>
      <c r="L1370">
        <v>3500</v>
      </c>
      <c r="M1370">
        <v>77000</v>
      </c>
      <c r="N1370" t="s">
        <v>95</v>
      </c>
      <c r="O1370" t="s">
        <v>96</v>
      </c>
    </row>
    <row r="1371" spans="1:15" x14ac:dyDescent="0.25">
      <c r="A1371">
        <v>1140</v>
      </c>
      <c r="B1371" s="10">
        <v>45923</v>
      </c>
      <c r="C1371">
        <v>23</v>
      </c>
      <c r="D1371" t="s">
        <v>147</v>
      </c>
      <c r="E1371" t="s">
        <v>25</v>
      </c>
      <c r="F1371" t="s">
        <v>36</v>
      </c>
      <c r="G1371" t="s">
        <v>100</v>
      </c>
      <c r="H1371" t="s">
        <v>37</v>
      </c>
      <c r="I1371" t="s">
        <v>156</v>
      </c>
      <c r="J1371" t="s">
        <v>103</v>
      </c>
      <c r="K1371">
        <v>15</v>
      </c>
      <c r="L1371">
        <v>3500</v>
      </c>
      <c r="M1371">
        <v>52500</v>
      </c>
      <c r="N1371" t="s">
        <v>95</v>
      </c>
      <c r="O1371" t="s">
        <v>104</v>
      </c>
    </row>
    <row r="1372" spans="1:15" x14ac:dyDescent="0.25">
      <c r="A1372">
        <v>1188</v>
      </c>
      <c r="B1372" s="10">
        <v>45891</v>
      </c>
      <c r="C1372">
        <v>22</v>
      </c>
      <c r="D1372" t="s">
        <v>109</v>
      </c>
      <c r="E1372" t="s">
        <v>98</v>
      </c>
      <c r="F1372" t="s">
        <v>36</v>
      </c>
      <c r="G1372" t="s">
        <v>100</v>
      </c>
      <c r="H1372" t="s">
        <v>37</v>
      </c>
      <c r="I1372" t="s">
        <v>146</v>
      </c>
      <c r="J1372" t="s">
        <v>94</v>
      </c>
      <c r="K1372">
        <v>1</v>
      </c>
      <c r="L1372">
        <v>3500</v>
      </c>
      <c r="M1372">
        <v>3500</v>
      </c>
      <c r="N1372" t="s">
        <v>95</v>
      </c>
      <c r="O1372" t="s">
        <v>104</v>
      </c>
    </row>
    <row r="1373" spans="1:15" x14ac:dyDescent="0.25">
      <c r="A1373">
        <v>1242</v>
      </c>
      <c r="B1373" s="10">
        <v>45676</v>
      </c>
      <c r="C1373">
        <v>19</v>
      </c>
      <c r="D1373" t="s">
        <v>130</v>
      </c>
      <c r="E1373" t="s">
        <v>106</v>
      </c>
      <c r="F1373" t="s">
        <v>36</v>
      </c>
      <c r="G1373" t="s">
        <v>100</v>
      </c>
      <c r="H1373" t="s">
        <v>37</v>
      </c>
      <c r="I1373" t="s">
        <v>146</v>
      </c>
      <c r="J1373" t="s">
        <v>94</v>
      </c>
      <c r="K1373">
        <v>10</v>
      </c>
      <c r="L1373">
        <v>3500</v>
      </c>
      <c r="M1373">
        <v>35000</v>
      </c>
      <c r="N1373" t="s">
        <v>95</v>
      </c>
      <c r="O1373" t="s">
        <v>96</v>
      </c>
    </row>
    <row r="1374" spans="1:15" x14ac:dyDescent="0.25">
      <c r="A1374">
        <v>1283</v>
      </c>
      <c r="B1374" s="10">
        <v>45982</v>
      </c>
      <c r="C1374">
        <v>21</v>
      </c>
      <c r="D1374" t="s">
        <v>90</v>
      </c>
      <c r="E1374" t="s">
        <v>106</v>
      </c>
      <c r="F1374" t="s">
        <v>49</v>
      </c>
      <c r="G1374" t="s">
        <v>118</v>
      </c>
      <c r="H1374" t="s">
        <v>37</v>
      </c>
      <c r="I1374" t="s">
        <v>156</v>
      </c>
      <c r="J1374" t="s">
        <v>103</v>
      </c>
      <c r="K1374">
        <v>8</v>
      </c>
      <c r="L1374">
        <v>3500</v>
      </c>
      <c r="M1374">
        <v>28000</v>
      </c>
      <c r="N1374" t="s">
        <v>108</v>
      </c>
      <c r="O1374" t="s">
        <v>96</v>
      </c>
    </row>
    <row r="1375" spans="1:15" x14ac:dyDescent="0.25">
      <c r="A1375">
        <v>1323</v>
      </c>
      <c r="B1375" s="10">
        <v>45800</v>
      </c>
      <c r="C1375">
        <v>23</v>
      </c>
      <c r="D1375" t="s">
        <v>120</v>
      </c>
      <c r="E1375" t="s">
        <v>138</v>
      </c>
      <c r="F1375" t="s">
        <v>28</v>
      </c>
      <c r="G1375" t="s">
        <v>126</v>
      </c>
      <c r="H1375" t="s">
        <v>37</v>
      </c>
      <c r="I1375" t="s">
        <v>146</v>
      </c>
      <c r="J1375" t="s">
        <v>94</v>
      </c>
      <c r="K1375">
        <v>7</v>
      </c>
      <c r="L1375">
        <v>3500</v>
      </c>
      <c r="M1375">
        <v>24500</v>
      </c>
      <c r="N1375" t="s">
        <v>108</v>
      </c>
      <c r="O1375" t="s">
        <v>115</v>
      </c>
    </row>
    <row r="1376" spans="1:15" x14ac:dyDescent="0.25">
      <c r="A1376">
        <v>1340</v>
      </c>
      <c r="B1376" s="10">
        <v>45829</v>
      </c>
      <c r="C1376">
        <v>21</v>
      </c>
      <c r="D1376" t="s">
        <v>153</v>
      </c>
      <c r="E1376" t="s">
        <v>25</v>
      </c>
      <c r="F1376" t="s">
        <v>49</v>
      </c>
      <c r="G1376" t="s">
        <v>118</v>
      </c>
      <c r="H1376" t="s">
        <v>37</v>
      </c>
      <c r="I1376" t="s">
        <v>146</v>
      </c>
      <c r="J1376" t="s">
        <v>94</v>
      </c>
      <c r="K1376">
        <v>2</v>
      </c>
      <c r="L1376">
        <v>3500</v>
      </c>
      <c r="M1376">
        <v>7000</v>
      </c>
      <c r="N1376" t="s">
        <v>95</v>
      </c>
      <c r="O1376" t="s">
        <v>96</v>
      </c>
    </row>
    <row r="1377" spans="1:15" x14ac:dyDescent="0.25">
      <c r="A1377">
        <v>1341</v>
      </c>
      <c r="B1377" s="10">
        <v>45663</v>
      </c>
      <c r="C1377">
        <v>6</v>
      </c>
      <c r="D1377" t="s">
        <v>130</v>
      </c>
      <c r="E1377" t="s">
        <v>112</v>
      </c>
      <c r="F1377" t="s">
        <v>144</v>
      </c>
      <c r="G1377" t="s">
        <v>91</v>
      </c>
      <c r="H1377" t="s">
        <v>37</v>
      </c>
      <c r="I1377" t="s">
        <v>146</v>
      </c>
      <c r="J1377" t="s">
        <v>94</v>
      </c>
      <c r="K1377">
        <v>1</v>
      </c>
      <c r="L1377">
        <v>3500</v>
      </c>
      <c r="M1377">
        <v>3500</v>
      </c>
      <c r="N1377" t="s">
        <v>95</v>
      </c>
      <c r="O1377" t="s">
        <v>115</v>
      </c>
    </row>
    <row r="1378" spans="1:15" x14ac:dyDescent="0.25">
      <c r="A1378">
        <v>1362</v>
      </c>
      <c r="B1378" s="10">
        <v>45852</v>
      </c>
      <c r="C1378">
        <v>14</v>
      </c>
      <c r="D1378" t="s">
        <v>145</v>
      </c>
      <c r="E1378" t="s">
        <v>25</v>
      </c>
      <c r="F1378" t="s">
        <v>144</v>
      </c>
      <c r="G1378" t="s">
        <v>91</v>
      </c>
      <c r="H1378" t="s">
        <v>37</v>
      </c>
      <c r="I1378" t="s">
        <v>156</v>
      </c>
      <c r="J1378" t="s">
        <v>103</v>
      </c>
      <c r="K1378">
        <v>18</v>
      </c>
      <c r="L1378">
        <v>3500</v>
      </c>
      <c r="M1378">
        <v>63000</v>
      </c>
      <c r="N1378" t="s">
        <v>95</v>
      </c>
      <c r="O1378" t="s">
        <v>104</v>
      </c>
    </row>
    <row r="1379" spans="1:15" x14ac:dyDescent="0.25">
      <c r="A1379">
        <v>1566</v>
      </c>
      <c r="B1379" s="10">
        <v>45753</v>
      </c>
      <c r="C1379">
        <v>6</v>
      </c>
      <c r="D1379" t="s">
        <v>105</v>
      </c>
      <c r="E1379" t="s">
        <v>161</v>
      </c>
      <c r="F1379" t="s">
        <v>151</v>
      </c>
      <c r="G1379" t="s">
        <v>111</v>
      </c>
      <c r="H1379" t="s">
        <v>37</v>
      </c>
      <c r="I1379" t="s">
        <v>146</v>
      </c>
      <c r="J1379" t="s">
        <v>94</v>
      </c>
      <c r="K1379">
        <v>2</v>
      </c>
      <c r="L1379">
        <v>3500</v>
      </c>
      <c r="M1379">
        <v>7000</v>
      </c>
      <c r="N1379" t="s">
        <v>95</v>
      </c>
      <c r="O1379" t="s">
        <v>104</v>
      </c>
    </row>
    <row r="1380" spans="1:15" x14ac:dyDescent="0.25">
      <c r="A1380">
        <v>1601</v>
      </c>
      <c r="B1380" s="10">
        <v>45894</v>
      </c>
      <c r="C1380">
        <v>25</v>
      </c>
      <c r="D1380" t="s">
        <v>109</v>
      </c>
      <c r="E1380" t="s">
        <v>106</v>
      </c>
      <c r="F1380" t="s">
        <v>144</v>
      </c>
      <c r="G1380" t="s">
        <v>91</v>
      </c>
      <c r="H1380" t="s">
        <v>37</v>
      </c>
      <c r="I1380" t="s">
        <v>146</v>
      </c>
      <c r="J1380" t="s">
        <v>94</v>
      </c>
      <c r="K1380">
        <v>9</v>
      </c>
      <c r="L1380">
        <v>3500</v>
      </c>
      <c r="M1380">
        <v>31500</v>
      </c>
      <c r="N1380" t="s">
        <v>108</v>
      </c>
      <c r="O1380" t="s">
        <v>104</v>
      </c>
    </row>
    <row r="1381" spans="1:15" x14ac:dyDescent="0.25">
      <c r="A1381">
        <v>1709</v>
      </c>
      <c r="B1381" s="10">
        <v>45691</v>
      </c>
      <c r="C1381">
        <v>3</v>
      </c>
      <c r="D1381" t="s">
        <v>97</v>
      </c>
      <c r="E1381" t="s">
        <v>150</v>
      </c>
      <c r="F1381" t="s">
        <v>49</v>
      </c>
      <c r="G1381" t="s">
        <v>118</v>
      </c>
      <c r="H1381" t="s">
        <v>37</v>
      </c>
      <c r="I1381" t="s">
        <v>146</v>
      </c>
      <c r="J1381" t="s">
        <v>94</v>
      </c>
      <c r="K1381">
        <v>3</v>
      </c>
      <c r="L1381">
        <v>3500</v>
      </c>
      <c r="M1381">
        <v>10500</v>
      </c>
      <c r="N1381" t="s">
        <v>108</v>
      </c>
      <c r="O1381" t="s">
        <v>96</v>
      </c>
    </row>
    <row r="1382" spans="1:15" x14ac:dyDescent="0.25">
      <c r="A1382">
        <v>1885</v>
      </c>
      <c r="B1382" s="10">
        <v>45818</v>
      </c>
      <c r="C1382">
        <v>10</v>
      </c>
      <c r="D1382" t="s">
        <v>153</v>
      </c>
      <c r="E1382" t="s">
        <v>128</v>
      </c>
      <c r="F1382" t="s">
        <v>144</v>
      </c>
      <c r="G1382" t="s">
        <v>91</v>
      </c>
      <c r="H1382" t="s">
        <v>37</v>
      </c>
      <c r="I1382" t="s">
        <v>146</v>
      </c>
      <c r="J1382" t="s">
        <v>94</v>
      </c>
      <c r="K1382">
        <v>4</v>
      </c>
      <c r="L1382">
        <v>3500</v>
      </c>
      <c r="M1382">
        <v>14000</v>
      </c>
      <c r="N1382" t="s">
        <v>108</v>
      </c>
      <c r="O1382" t="s">
        <v>104</v>
      </c>
    </row>
    <row r="1383" spans="1:15" x14ac:dyDescent="0.25">
      <c r="A1383">
        <v>1948</v>
      </c>
      <c r="B1383" s="10">
        <v>45717</v>
      </c>
      <c r="C1383">
        <v>1</v>
      </c>
      <c r="D1383" t="s">
        <v>140</v>
      </c>
      <c r="E1383" t="s">
        <v>112</v>
      </c>
      <c r="F1383" t="s">
        <v>144</v>
      </c>
      <c r="G1383" t="s">
        <v>91</v>
      </c>
      <c r="H1383" t="s">
        <v>37</v>
      </c>
      <c r="I1383" t="s">
        <v>146</v>
      </c>
      <c r="J1383" t="s">
        <v>94</v>
      </c>
      <c r="K1383">
        <v>1</v>
      </c>
      <c r="L1383">
        <v>3500</v>
      </c>
      <c r="M1383">
        <v>3500</v>
      </c>
      <c r="N1383" t="s">
        <v>95</v>
      </c>
      <c r="O1383" t="s">
        <v>104</v>
      </c>
    </row>
    <row r="1384" spans="1:15" x14ac:dyDescent="0.25">
      <c r="A1384">
        <v>1963</v>
      </c>
      <c r="B1384" s="10">
        <v>45798</v>
      </c>
      <c r="C1384">
        <v>21</v>
      </c>
      <c r="D1384" t="s">
        <v>120</v>
      </c>
      <c r="E1384" t="s">
        <v>128</v>
      </c>
      <c r="F1384" t="s">
        <v>22</v>
      </c>
      <c r="G1384" t="s">
        <v>91</v>
      </c>
      <c r="H1384" t="s">
        <v>37</v>
      </c>
      <c r="I1384" t="s">
        <v>156</v>
      </c>
      <c r="J1384" t="s">
        <v>103</v>
      </c>
      <c r="K1384">
        <v>41</v>
      </c>
      <c r="L1384">
        <v>3500</v>
      </c>
      <c r="M1384">
        <v>143500</v>
      </c>
      <c r="N1384" t="s">
        <v>95</v>
      </c>
      <c r="O1384" t="s">
        <v>104</v>
      </c>
    </row>
    <row r="1385" spans="1:15" x14ac:dyDescent="0.25">
      <c r="A1385">
        <v>2583</v>
      </c>
      <c r="B1385" s="10">
        <v>45982</v>
      </c>
      <c r="C1385">
        <v>21</v>
      </c>
      <c r="D1385" t="s">
        <v>90</v>
      </c>
      <c r="E1385" t="s">
        <v>106</v>
      </c>
      <c r="F1385" t="s">
        <v>22</v>
      </c>
      <c r="G1385" t="s">
        <v>91</v>
      </c>
      <c r="H1385" t="s">
        <v>37</v>
      </c>
      <c r="I1385" t="s">
        <v>146</v>
      </c>
      <c r="J1385" t="s">
        <v>94</v>
      </c>
      <c r="K1385">
        <v>3</v>
      </c>
      <c r="L1385">
        <v>3500</v>
      </c>
      <c r="M1385">
        <v>10500</v>
      </c>
      <c r="N1385" t="s">
        <v>95</v>
      </c>
      <c r="O1385" t="s">
        <v>96</v>
      </c>
    </row>
    <row r="1386" spans="1:15" x14ac:dyDescent="0.25">
      <c r="A1386">
        <v>2811</v>
      </c>
      <c r="B1386" s="10">
        <v>45819</v>
      </c>
      <c r="C1386">
        <v>11</v>
      </c>
      <c r="D1386" t="s">
        <v>153</v>
      </c>
      <c r="E1386" t="s">
        <v>98</v>
      </c>
      <c r="F1386" t="s">
        <v>28</v>
      </c>
      <c r="G1386" t="s">
        <v>126</v>
      </c>
      <c r="H1386" t="s">
        <v>37</v>
      </c>
      <c r="I1386" t="s">
        <v>146</v>
      </c>
      <c r="J1386" t="s">
        <v>94</v>
      </c>
      <c r="K1386">
        <v>8</v>
      </c>
      <c r="L1386">
        <v>3500</v>
      </c>
      <c r="M1386">
        <v>28000</v>
      </c>
      <c r="N1386" t="s">
        <v>108</v>
      </c>
      <c r="O1386" t="s">
        <v>115</v>
      </c>
    </row>
    <row r="1387" spans="1:15" x14ac:dyDescent="0.25">
      <c r="A1387">
        <v>2822</v>
      </c>
      <c r="B1387" s="10">
        <v>45745</v>
      </c>
      <c r="C1387">
        <v>29</v>
      </c>
      <c r="D1387" t="s">
        <v>140</v>
      </c>
      <c r="E1387" t="s">
        <v>137</v>
      </c>
      <c r="F1387" t="s">
        <v>144</v>
      </c>
      <c r="G1387" t="s">
        <v>91</v>
      </c>
      <c r="H1387" t="s">
        <v>37</v>
      </c>
      <c r="I1387" t="s">
        <v>156</v>
      </c>
      <c r="J1387" t="s">
        <v>103</v>
      </c>
      <c r="K1387">
        <v>45</v>
      </c>
      <c r="L1387">
        <v>3500</v>
      </c>
      <c r="M1387">
        <v>157500</v>
      </c>
      <c r="N1387" t="s">
        <v>108</v>
      </c>
      <c r="O1387" t="s">
        <v>96</v>
      </c>
    </row>
    <row r="1388" spans="1:15" x14ac:dyDescent="0.25">
      <c r="A1388">
        <v>3197</v>
      </c>
      <c r="B1388" s="10">
        <v>45973</v>
      </c>
      <c r="C1388">
        <v>12</v>
      </c>
      <c r="D1388" t="s">
        <v>90</v>
      </c>
      <c r="E1388" t="s">
        <v>133</v>
      </c>
      <c r="F1388" t="s">
        <v>22</v>
      </c>
      <c r="G1388" t="s">
        <v>91</v>
      </c>
      <c r="H1388" t="s">
        <v>37</v>
      </c>
      <c r="I1388" t="s">
        <v>156</v>
      </c>
      <c r="J1388" t="s">
        <v>103</v>
      </c>
      <c r="K1388">
        <v>5</v>
      </c>
      <c r="L1388">
        <v>3500</v>
      </c>
      <c r="M1388">
        <v>17500</v>
      </c>
      <c r="N1388" t="s">
        <v>95</v>
      </c>
      <c r="O1388" t="s">
        <v>115</v>
      </c>
    </row>
    <row r="1389" spans="1:15" x14ac:dyDescent="0.25">
      <c r="A1389">
        <v>3324</v>
      </c>
      <c r="B1389" s="10">
        <v>45859</v>
      </c>
      <c r="C1389">
        <v>21</v>
      </c>
      <c r="D1389" t="s">
        <v>145</v>
      </c>
      <c r="E1389" t="s">
        <v>128</v>
      </c>
      <c r="F1389" t="s">
        <v>49</v>
      </c>
      <c r="G1389" t="s">
        <v>118</v>
      </c>
      <c r="H1389" t="s">
        <v>37</v>
      </c>
      <c r="I1389" t="s">
        <v>146</v>
      </c>
      <c r="J1389" t="s">
        <v>94</v>
      </c>
      <c r="K1389">
        <v>3</v>
      </c>
      <c r="L1389">
        <v>3500</v>
      </c>
      <c r="M1389">
        <v>10500</v>
      </c>
      <c r="N1389" t="s">
        <v>95</v>
      </c>
      <c r="O1389" t="s">
        <v>104</v>
      </c>
    </row>
    <row r="1390" spans="1:15" x14ac:dyDescent="0.25">
      <c r="A1390">
        <v>3521</v>
      </c>
      <c r="B1390" s="10">
        <v>46006</v>
      </c>
      <c r="C1390">
        <v>15</v>
      </c>
      <c r="D1390" t="s">
        <v>125</v>
      </c>
      <c r="E1390" t="s">
        <v>150</v>
      </c>
      <c r="F1390" t="s">
        <v>107</v>
      </c>
      <c r="G1390" t="s">
        <v>100</v>
      </c>
      <c r="H1390" t="s">
        <v>37</v>
      </c>
      <c r="I1390" t="s">
        <v>156</v>
      </c>
      <c r="J1390" t="s">
        <v>103</v>
      </c>
      <c r="K1390">
        <v>40</v>
      </c>
      <c r="L1390">
        <v>3500</v>
      </c>
      <c r="M1390">
        <v>140000</v>
      </c>
      <c r="N1390" t="s">
        <v>108</v>
      </c>
      <c r="O1390" t="s">
        <v>96</v>
      </c>
    </row>
    <row r="1391" spans="1:15" x14ac:dyDescent="0.25">
      <c r="A1391">
        <v>3604</v>
      </c>
      <c r="B1391" s="10">
        <v>45909</v>
      </c>
      <c r="C1391">
        <v>9</v>
      </c>
      <c r="D1391" t="s">
        <v>147</v>
      </c>
      <c r="E1391" t="s">
        <v>110</v>
      </c>
      <c r="F1391" t="s">
        <v>141</v>
      </c>
      <c r="G1391" t="s">
        <v>100</v>
      </c>
      <c r="H1391" t="s">
        <v>37</v>
      </c>
      <c r="I1391" t="s">
        <v>146</v>
      </c>
      <c r="J1391" t="s">
        <v>94</v>
      </c>
      <c r="K1391">
        <v>2</v>
      </c>
      <c r="L1391">
        <v>3500</v>
      </c>
      <c r="M1391">
        <v>7000</v>
      </c>
      <c r="N1391" t="s">
        <v>95</v>
      </c>
      <c r="O1391" t="s">
        <v>104</v>
      </c>
    </row>
    <row r="1392" spans="1:15" x14ac:dyDescent="0.25">
      <c r="A1392">
        <v>3642</v>
      </c>
      <c r="B1392" s="10">
        <v>45688</v>
      </c>
      <c r="C1392">
        <v>31</v>
      </c>
      <c r="D1392" t="s">
        <v>130</v>
      </c>
      <c r="E1392" t="s">
        <v>31</v>
      </c>
      <c r="F1392" t="s">
        <v>107</v>
      </c>
      <c r="G1392" t="s">
        <v>100</v>
      </c>
      <c r="H1392" t="s">
        <v>37</v>
      </c>
      <c r="I1392" t="s">
        <v>146</v>
      </c>
      <c r="J1392" t="s">
        <v>94</v>
      </c>
      <c r="K1392">
        <v>1</v>
      </c>
      <c r="L1392">
        <v>3500</v>
      </c>
      <c r="M1392">
        <v>3500</v>
      </c>
      <c r="N1392" t="s">
        <v>95</v>
      </c>
      <c r="O1392" t="s">
        <v>104</v>
      </c>
    </row>
    <row r="1393" spans="1:15" x14ac:dyDescent="0.25">
      <c r="A1393">
        <v>3852</v>
      </c>
      <c r="B1393" s="10">
        <v>45883</v>
      </c>
      <c r="C1393">
        <v>14</v>
      </c>
      <c r="D1393" t="s">
        <v>109</v>
      </c>
      <c r="E1393" t="s">
        <v>133</v>
      </c>
      <c r="F1393" t="s">
        <v>134</v>
      </c>
      <c r="G1393" t="s">
        <v>100</v>
      </c>
      <c r="H1393" t="s">
        <v>37</v>
      </c>
      <c r="I1393" t="s">
        <v>156</v>
      </c>
      <c r="J1393" t="s">
        <v>103</v>
      </c>
      <c r="K1393">
        <v>42</v>
      </c>
      <c r="L1393">
        <v>3500</v>
      </c>
      <c r="M1393">
        <v>147000</v>
      </c>
      <c r="N1393" t="s">
        <v>95</v>
      </c>
      <c r="O1393" t="s">
        <v>115</v>
      </c>
    </row>
    <row r="1394" spans="1:15" x14ac:dyDescent="0.25">
      <c r="A1394">
        <v>3987</v>
      </c>
      <c r="B1394" s="10">
        <v>45817</v>
      </c>
      <c r="C1394">
        <v>9</v>
      </c>
      <c r="D1394" t="s">
        <v>153</v>
      </c>
      <c r="E1394" t="s">
        <v>128</v>
      </c>
      <c r="F1394" t="s">
        <v>28</v>
      </c>
      <c r="G1394" t="s">
        <v>126</v>
      </c>
      <c r="H1394" t="s">
        <v>37</v>
      </c>
      <c r="I1394" t="s">
        <v>156</v>
      </c>
      <c r="J1394" t="s">
        <v>103</v>
      </c>
      <c r="K1394">
        <v>31</v>
      </c>
      <c r="L1394">
        <v>3500</v>
      </c>
      <c r="M1394">
        <v>108500</v>
      </c>
      <c r="N1394" t="s">
        <v>95</v>
      </c>
      <c r="O1394" t="s">
        <v>104</v>
      </c>
    </row>
    <row r="1395" spans="1:15" x14ac:dyDescent="0.25">
      <c r="A1395">
        <v>4100</v>
      </c>
      <c r="B1395" s="10">
        <v>45956</v>
      </c>
      <c r="C1395">
        <v>26</v>
      </c>
      <c r="D1395" t="s">
        <v>136</v>
      </c>
      <c r="E1395" t="s">
        <v>138</v>
      </c>
      <c r="F1395" t="s">
        <v>113</v>
      </c>
      <c r="G1395" t="s">
        <v>114</v>
      </c>
      <c r="H1395" t="s">
        <v>37</v>
      </c>
      <c r="I1395" t="s">
        <v>146</v>
      </c>
      <c r="J1395" t="s">
        <v>94</v>
      </c>
      <c r="K1395">
        <v>6</v>
      </c>
      <c r="L1395">
        <v>3500</v>
      </c>
      <c r="M1395">
        <v>21000</v>
      </c>
      <c r="N1395" t="s">
        <v>95</v>
      </c>
      <c r="O1395" t="s">
        <v>96</v>
      </c>
    </row>
    <row r="1396" spans="1:15" x14ac:dyDescent="0.25">
      <c r="A1396">
        <v>4140</v>
      </c>
      <c r="B1396" s="10">
        <v>45813</v>
      </c>
      <c r="C1396">
        <v>5</v>
      </c>
      <c r="D1396" t="s">
        <v>153</v>
      </c>
      <c r="E1396" t="s">
        <v>161</v>
      </c>
      <c r="F1396" t="s">
        <v>107</v>
      </c>
      <c r="G1396" t="s">
        <v>100</v>
      </c>
      <c r="H1396" t="s">
        <v>37</v>
      </c>
      <c r="I1396" t="s">
        <v>146</v>
      </c>
      <c r="J1396" t="s">
        <v>94</v>
      </c>
      <c r="K1396">
        <v>7</v>
      </c>
      <c r="L1396">
        <v>3500</v>
      </c>
      <c r="M1396">
        <v>24500</v>
      </c>
      <c r="N1396" t="s">
        <v>95</v>
      </c>
      <c r="O1396" t="s">
        <v>104</v>
      </c>
    </row>
    <row r="1397" spans="1:15" x14ac:dyDescent="0.25">
      <c r="A1397">
        <v>4161</v>
      </c>
      <c r="B1397" s="10">
        <v>45936</v>
      </c>
      <c r="C1397">
        <v>6</v>
      </c>
      <c r="D1397" t="s">
        <v>136</v>
      </c>
      <c r="E1397" t="s">
        <v>142</v>
      </c>
      <c r="F1397" t="s">
        <v>28</v>
      </c>
      <c r="G1397" t="s">
        <v>126</v>
      </c>
      <c r="H1397" t="s">
        <v>37</v>
      </c>
      <c r="I1397" t="s">
        <v>146</v>
      </c>
      <c r="J1397" t="s">
        <v>94</v>
      </c>
      <c r="K1397">
        <v>10</v>
      </c>
      <c r="L1397">
        <v>3500</v>
      </c>
      <c r="M1397">
        <v>35000</v>
      </c>
      <c r="N1397" t="s">
        <v>95</v>
      </c>
      <c r="O1397" t="s">
        <v>115</v>
      </c>
    </row>
    <row r="1398" spans="1:15" x14ac:dyDescent="0.25">
      <c r="A1398">
        <v>4194</v>
      </c>
      <c r="B1398" s="10">
        <v>45840</v>
      </c>
      <c r="C1398">
        <v>2</v>
      </c>
      <c r="D1398" t="s">
        <v>145</v>
      </c>
      <c r="E1398" t="s">
        <v>150</v>
      </c>
      <c r="F1398" t="s">
        <v>113</v>
      </c>
      <c r="G1398" t="s">
        <v>114</v>
      </c>
      <c r="H1398" t="s">
        <v>37</v>
      </c>
      <c r="I1398" t="s">
        <v>156</v>
      </c>
      <c r="J1398" t="s">
        <v>94</v>
      </c>
      <c r="K1398">
        <v>3</v>
      </c>
      <c r="L1398">
        <v>3500</v>
      </c>
      <c r="M1398">
        <v>10500</v>
      </c>
      <c r="N1398" t="s">
        <v>95</v>
      </c>
      <c r="O1398" t="s">
        <v>104</v>
      </c>
    </row>
    <row r="1399" spans="1:15" x14ac:dyDescent="0.25">
      <c r="A1399">
        <v>4222</v>
      </c>
      <c r="B1399" s="10">
        <v>45939</v>
      </c>
      <c r="C1399">
        <v>9</v>
      </c>
      <c r="D1399" t="s">
        <v>136</v>
      </c>
      <c r="E1399" t="s">
        <v>133</v>
      </c>
      <c r="F1399" t="s">
        <v>99</v>
      </c>
      <c r="G1399" t="s">
        <v>100</v>
      </c>
      <c r="H1399" t="s">
        <v>37</v>
      </c>
      <c r="I1399" t="s">
        <v>156</v>
      </c>
      <c r="J1399" t="s">
        <v>103</v>
      </c>
      <c r="K1399">
        <v>40</v>
      </c>
      <c r="L1399">
        <v>3500</v>
      </c>
      <c r="M1399">
        <v>140000</v>
      </c>
      <c r="N1399" t="s">
        <v>108</v>
      </c>
      <c r="O1399" t="s">
        <v>104</v>
      </c>
    </row>
    <row r="1400" spans="1:15" x14ac:dyDescent="0.25">
      <c r="A1400">
        <v>4508</v>
      </c>
      <c r="B1400" s="10">
        <v>45733</v>
      </c>
      <c r="C1400">
        <v>17</v>
      </c>
      <c r="D1400" t="s">
        <v>140</v>
      </c>
      <c r="E1400" t="s">
        <v>150</v>
      </c>
      <c r="F1400" t="s">
        <v>36</v>
      </c>
      <c r="G1400" t="s">
        <v>100</v>
      </c>
      <c r="H1400" t="s">
        <v>37</v>
      </c>
      <c r="I1400" t="s">
        <v>146</v>
      </c>
      <c r="J1400" t="s">
        <v>94</v>
      </c>
      <c r="K1400">
        <v>6</v>
      </c>
      <c r="L1400">
        <v>3500</v>
      </c>
      <c r="M1400">
        <v>21000</v>
      </c>
      <c r="N1400" t="s">
        <v>95</v>
      </c>
      <c r="O1400" t="s">
        <v>115</v>
      </c>
    </row>
    <row r="1401" spans="1:15" x14ac:dyDescent="0.25">
      <c r="A1401">
        <v>4654</v>
      </c>
      <c r="B1401" s="10">
        <v>45703</v>
      </c>
      <c r="C1401">
        <v>15</v>
      </c>
      <c r="D1401" t="s">
        <v>97</v>
      </c>
      <c r="E1401" t="s">
        <v>150</v>
      </c>
      <c r="F1401" t="s">
        <v>144</v>
      </c>
      <c r="G1401" t="s">
        <v>91</v>
      </c>
      <c r="H1401" t="s">
        <v>37</v>
      </c>
      <c r="I1401" t="s">
        <v>156</v>
      </c>
      <c r="J1401" t="s">
        <v>103</v>
      </c>
      <c r="K1401">
        <v>15</v>
      </c>
      <c r="L1401">
        <v>3500</v>
      </c>
      <c r="M1401">
        <v>52500</v>
      </c>
      <c r="N1401" t="s">
        <v>95</v>
      </c>
      <c r="O1401" t="s">
        <v>96</v>
      </c>
    </row>
    <row r="1402" spans="1:15" x14ac:dyDescent="0.25">
      <c r="A1402">
        <v>4776</v>
      </c>
      <c r="B1402" s="10">
        <v>45679</v>
      </c>
      <c r="C1402">
        <v>22</v>
      </c>
      <c r="D1402" t="s">
        <v>130</v>
      </c>
      <c r="E1402" t="s">
        <v>128</v>
      </c>
      <c r="F1402" t="s">
        <v>148</v>
      </c>
      <c r="G1402" t="s">
        <v>118</v>
      </c>
      <c r="H1402" t="s">
        <v>37</v>
      </c>
      <c r="I1402" t="s">
        <v>156</v>
      </c>
      <c r="J1402" t="s">
        <v>103</v>
      </c>
      <c r="K1402">
        <v>47</v>
      </c>
      <c r="L1402">
        <v>3500</v>
      </c>
      <c r="M1402">
        <v>164500</v>
      </c>
      <c r="N1402" t="s">
        <v>95</v>
      </c>
      <c r="O1402" t="s">
        <v>96</v>
      </c>
    </row>
    <row r="1403" spans="1:15" x14ac:dyDescent="0.25">
      <c r="A1403">
        <v>4794</v>
      </c>
      <c r="B1403" s="10">
        <v>45784</v>
      </c>
      <c r="C1403">
        <v>7</v>
      </c>
      <c r="D1403" t="s">
        <v>120</v>
      </c>
      <c r="E1403" t="s">
        <v>128</v>
      </c>
      <c r="F1403" t="s">
        <v>141</v>
      </c>
      <c r="G1403" t="s">
        <v>100</v>
      </c>
      <c r="H1403" t="s">
        <v>37</v>
      </c>
      <c r="I1403" t="s">
        <v>146</v>
      </c>
      <c r="J1403" t="s">
        <v>94</v>
      </c>
      <c r="K1403">
        <v>9</v>
      </c>
      <c r="L1403">
        <v>3500</v>
      </c>
      <c r="M1403">
        <v>31500</v>
      </c>
      <c r="N1403" t="s">
        <v>108</v>
      </c>
      <c r="O1403" t="s">
        <v>115</v>
      </c>
    </row>
    <row r="1404" spans="1:15" x14ac:dyDescent="0.25">
      <c r="A1404">
        <v>4867</v>
      </c>
      <c r="B1404" s="10">
        <v>45705</v>
      </c>
      <c r="C1404">
        <v>17</v>
      </c>
      <c r="D1404" t="s">
        <v>97</v>
      </c>
      <c r="E1404" t="s">
        <v>137</v>
      </c>
      <c r="F1404" t="s">
        <v>134</v>
      </c>
      <c r="G1404" t="s">
        <v>100</v>
      </c>
      <c r="H1404" t="s">
        <v>37</v>
      </c>
      <c r="I1404" t="s">
        <v>146</v>
      </c>
      <c r="J1404" t="s">
        <v>94</v>
      </c>
      <c r="K1404">
        <v>4</v>
      </c>
      <c r="L1404">
        <v>3500</v>
      </c>
      <c r="M1404">
        <v>14000</v>
      </c>
      <c r="N1404" t="s">
        <v>95</v>
      </c>
      <c r="O1404" t="s">
        <v>115</v>
      </c>
    </row>
    <row r="1405" spans="1:15" x14ac:dyDescent="0.25">
      <c r="A1405">
        <v>4885</v>
      </c>
      <c r="B1405" s="10">
        <v>45725</v>
      </c>
      <c r="C1405">
        <v>9</v>
      </c>
      <c r="D1405" t="s">
        <v>140</v>
      </c>
      <c r="E1405" t="s">
        <v>150</v>
      </c>
      <c r="F1405" t="s">
        <v>36</v>
      </c>
      <c r="G1405" t="s">
        <v>100</v>
      </c>
      <c r="H1405" t="s">
        <v>37</v>
      </c>
      <c r="I1405" t="s">
        <v>156</v>
      </c>
      <c r="J1405" t="s">
        <v>103</v>
      </c>
      <c r="K1405">
        <v>36</v>
      </c>
      <c r="L1405">
        <v>3500</v>
      </c>
      <c r="M1405">
        <v>126000</v>
      </c>
      <c r="N1405" t="s">
        <v>108</v>
      </c>
      <c r="O1405" t="s">
        <v>115</v>
      </c>
    </row>
    <row r="1406" spans="1:15" x14ac:dyDescent="0.25">
      <c r="A1406">
        <v>4955</v>
      </c>
      <c r="B1406" s="10">
        <v>45753</v>
      </c>
      <c r="C1406">
        <v>6</v>
      </c>
      <c r="D1406" t="s">
        <v>105</v>
      </c>
      <c r="E1406" t="s">
        <v>121</v>
      </c>
      <c r="F1406" t="s">
        <v>28</v>
      </c>
      <c r="G1406" t="s">
        <v>126</v>
      </c>
      <c r="H1406" t="s">
        <v>37</v>
      </c>
      <c r="I1406" t="s">
        <v>156</v>
      </c>
      <c r="J1406" t="s">
        <v>103</v>
      </c>
      <c r="K1406">
        <v>24</v>
      </c>
      <c r="L1406">
        <v>3500</v>
      </c>
      <c r="M1406">
        <v>84000</v>
      </c>
      <c r="N1406" t="s">
        <v>95</v>
      </c>
      <c r="O1406" t="s">
        <v>96</v>
      </c>
    </row>
    <row r="1407" spans="1:15" x14ac:dyDescent="0.25">
      <c r="A1407">
        <v>4985</v>
      </c>
      <c r="B1407" s="10">
        <v>45875</v>
      </c>
      <c r="C1407">
        <v>6</v>
      </c>
      <c r="D1407" t="s">
        <v>109</v>
      </c>
      <c r="E1407" t="s">
        <v>128</v>
      </c>
      <c r="F1407" t="s">
        <v>148</v>
      </c>
      <c r="G1407" t="s">
        <v>118</v>
      </c>
      <c r="H1407" t="s">
        <v>37</v>
      </c>
      <c r="I1407" t="s">
        <v>156</v>
      </c>
      <c r="J1407" t="s">
        <v>103</v>
      </c>
      <c r="K1407">
        <v>50</v>
      </c>
      <c r="L1407">
        <v>3500</v>
      </c>
      <c r="M1407">
        <v>175000</v>
      </c>
      <c r="N1407" t="s">
        <v>95</v>
      </c>
      <c r="O1407" t="s">
        <v>96</v>
      </c>
    </row>
    <row r="1408" spans="1:15" x14ac:dyDescent="0.25">
      <c r="A1408">
        <v>561</v>
      </c>
      <c r="B1408" s="10">
        <v>45752</v>
      </c>
      <c r="C1408">
        <v>5</v>
      </c>
      <c r="D1408" t="s">
        <v>105</v>
      </c>
      <c r="E1408" t="s">
        <v>106</v>
      </c>
      <c r="F1408" t="s">
        <v>148</v>
      </c>
      <c r="G1408" t="s">
        <v>118</v>
      </c>
      <c r="H1408" t="s">
        <v>37</v>
      </c>
      <c r="I1408" t="s">
        <v>146</v>
      </c>
      <c r="J1408" t="s">
        <v>94</v>
      </c>
      <c r="K1408">
        <v>3</v>
      </c>
      <c r="L1408">
        <v>3600</v>
      </c>
      <c r="M1408">
        <v>10800</v>
      </c>
      <c r="N1408" t="s">
        <v>95</v>
      </c>
      <c r="O1408" t="s">
        <v>96</v>
      </c>
    </row>
    <row r="1409" spans="1:15" x14ac:dyDescent="0.25">
      <c r="A1409">
        <v>894</v>
      </c>
      <c r="B1409" s="10">
        <v>45741</v>
      </c>
      <c r="C1409">
        <v>25</v>
      </c>
      <c r="D1409" t="s">
        <v>140</v>
      </c>
      <c r="E1409" t="s">
        <v>25</v>
      </c>
      <c r="F1409" t="s">
        <v>44</v>
      </c>
      <c r="G1409" t="s">
        <v>111</v>
      </c>
      <c r="H1409" t="s">
        <v>37</v>
      </c>
      <c r="I1409" t="s">
        <v>156</v>
      </c>
      <c r="J1409" t="s">
        <v>103</v>
      </c>
      <c r="K1409">
        <v>8</v>
      </c>
      <c r="L1409">
        <v>3600</v>
      </c>
      <c r="M1409">
        <v>28800</v>
      </c>
      <c r="N1409" t="s">
        <v>108</v>
      </c>
      <c r="O1409" t="s">
        <v>115</v>
      </c>
    </row>
    <row r="1410" spans="1:15" x14ac:dyDescent="0.25">
      <c r="A1410">
        <v>1116</v>
      </c>
      <c r="B1410" s="10">
        <v>45808</v>
      </c>
      <c r="C1410">
        <v>31</v>
      </c>
      <c r="D1410" t="s">
        <v>120</v>
      </c>
      <c r="E1410" t="s">
        <v>112</v>
      </c>
      <c r="F1410" t="s">
        <v>36</v>
      </c>
      <c r="G1410" t="s">
        <v>100</v>
      </c>
      <c r="H1410" t="s">
        <v>37</v>
      </c>
      <c r="I1410" t="s">
        <v>146</v>
      </c>
      <c r="J1410" t="s">
        <v>94</v>
      </c>
      <c r="K1410">
        <v>5</v>
      </c>
      <c r="L1410">
        <v>3600</v>
      </c>
      <c r="M1410">
        <v>18000</v>
      </c>
      <c r="N1410" t="s">
        <v>95</v>
      </c>
      <c r="O1410" t="s">
        <v>96</v>
      </c>
    </row>
    <row r="1411" spans="1:15" x14ac:dyDescent="0.25">
      <c r="A1411">
        <v>1121</v>
      </c>
      <c r="B1411" s="10">
        <v>45778</v>
      </c>
      <c r="C1411">
        <v>1</v>
      </c>
      <c r="D1411" t="s">
        <v>120</v>
      </c>
      <c r="E1411" t="s">
        <v>142</v>
      </c>
      <c r="F1411" t="s">
        <v>49</v>
      </c>
      <c r="G1411" t="s">
        <v>118</v>
      </c>
      <c r="H1411" t="s">
        <v>37</v>
      </c>
      <c r="I1411" t="s">
        <v>156</v>
      </c>
      <c r="J1411" t="s">
        <v>103</v>
      </c>
      <c r="K1411">
        <v>41</v>
      </c>
      <c r="L1411">
        <v>3600</v>
      </c>
      <c r="M1411">
        <v>147600</v>
      </c>
      <c r="N1411" t="s">
        <v>95</v>
      </c>
      <c r="O1411" t="s">
        <v>115</v>
      </c>
    </row>
    <row r="1412" spans="1:15" x14ac:dyDescent="0.25">
      <c r="A1412">
        <v>1170</v>
      </c>
      <c r="B1412" s="10">
        <v>45728</v>
      </c>
      <c r="C1412">
        <v>12</v>
      </c>
      <c r="D1412" t="s">
        <v>140</v>
      </c>
      <c r="E1412" t="s">
        <v>150</v>
      </c>
      <c r="F1412" t="s">
        <v>151</v>
      </c>
      <c r="G1412" t="s">
        <v>111</v>
      </c>
      <c r="H1412" t="s">
        <v>37</v>
      </c>
      <c r="I1412" t="s">
        <v>146</v>
      </c>
      <c r="J1412" t="s">
        <v>94</v>
      </c>
      <c r="K1412">
        <v>7</v>
      </c>
      <c r="L1412">
        <v>3600</v>
      </c>
      <c r="M1412">
        <v>25200</v>
      </c>
      <c r="N1412" t="s">
        <v>95</v>
      </c>
      <c r="O1412" t="s">
        <v>96</v>
      </c>
    </row>
    <row r="1413" spans="1:15" x14ac:dyDescent="0.25">
      <c r="A1413">
        <v>1194</v>
      </c>
      <c r="B1413" s="10">
        <v>45878</v>
      </c>
      <c r="C1413">
        <v>9</v>
      </c>
      <c r="D1413" t="s">
        <v>109</v>
      </c>
      <c r="E1413" t="s">
        <v>138</v>
      </c>
      <c r="F1413" t="s">
        <v>36</v>
      </c>
      <c r="G1413" t="s">
        <v>100</v>
      </c>
      <c r="H1413" t="s">
        <v>37</v>
      </c>
      <c r="I1413" t="s">
        <v>146</v>
      </c>
      <c r="J1413" t="s">
        <v>94</v>
      </c>
      <c r="K1413">
        <v>4</v>
      </c>
      <c r="L1413">
        <v>3600</v>
      </c>
      <c r="M1413">
        <v>14400</v>
      </c>
      <c r="N1413" t="s">
        <v>108</v>
      </c>
      <c r="O1413" t="s">
        <v>104</v>
      </c>
    </row>
    <row r="1414" spans="1:15" x14ac:dyDescent="0.25">
      <c r="A1414">
        <v>1200</v>
      </c>
      <c r="B1414" s="10">
        <v>45966</v>
      </c>
      <c r="C1414">
        <v>5</v>
      </c>
      <c r="D1414" t="s">
        <v>90</v>
      </c>
      <c r="E1414" t="s">
        <v>137</v>
      </c>
      <c r="F1414" t="s">
        <v>117</v>
      </c>
      <c r="G1414" t="s">
        <v>118</v>
      </c>
      <c r="H1414" t="s">
        <v>37</v>
      </c>
      <c r="I1414" t="s">
        <v>156</v>
      </c>
      <c r="J1414" t="s">
        <v>103</v>
      </c>
      <c r="K1414">
        <v>26</v>
      </c>
      <c r="L1414">
        <v>3600</v>
      </c>
      <c r="M1414">
        <v>93600</v>
      </c>
      <c r="N1414" t="s">
        <v>108</v>
      </c>
      <c r="O1414" t="s">
        <v>115</v>
      </c>
    </row>
    <row r="1415" spans="1:15" x14ac:dyDescent="0.25">
      <c r="A1415">
        <v>1255</v>
      </c>
      <c r="B1415" s="10">
        <v>45892</v>
      </c>
      <c r="C1415">
        <v>23</v>
      </c>
      <c r="D1415" t="s">
        <v>109</v>
      </c>
      <c r="E1415" t="s">
        <v>138</v>
      </c>
      <c r="F1415" t="s">
        <v>151</v>
      </c>
      <c r="G1415" t="s">
        <v>111</v>
      </c>
      <c r="H1415" t="s">
        <v>37</v>
      </c>
      <c r="I1415" t="s">
        <v>156</v>
      </c>
      <c r="J1415" t="s">
        <v>103</v>
      </c>
      <c r="K1415">
        <v>22</v>
      </c>
      <c r="L1415">
        <v>3600</v>
      </c>
      <c r="M1415">
        <v>79200</v>
      </c>
      <c r="N1415" t="s">
        <v>108</v>
      </c>
      <c r="O1415" t="s">
        <v>96</v>
      </c>
    </row>
    <row r="1416" spans="1:15" x14ac:dyDescent="0.25">
      <c r="A1416">
        <v>1449</v>
      </c>
      <c r="B1416" s="10">
        <v>46005</v>
      </c>
      <c r="C1416">
        <v>14</v>
      </c>
      <c r="D1416" t="s">
        <v>125</v>
      </c>
      <c r="E1416" t="s">
        <v>150</v>
      </c>
      <c r="F1416" t="s">
        <v>144</v>
      </c>
      <c r="G1416" t="s">
        <v>91</v>
      </c>
      <c r="H1416" t="s">
        <v>37</v>
      </c>
      <c r="I1416" t="s">
        <v>156</v>
      </c>
      <c r="J1416" t="s">
        <v>103</v>
      </c>
      <c r="K1416">
        <v>22</v>
      </c>
      <c r="L1416">
        <v>3600</v>
      </c>
      <c r="M1416">
        <v>79200</v>
      </c>
      <c r="N1416" t="s">
        <v>108</v>
      </c>
      <c r="O1416" t="s">
        <v>104</v>
      </c>
    </row>
    <row r="1417" spans="1:15" x14ac:dyDescent="0.25">
      <c r="A1417">
        <v>2133</v>
      </c>
      <c r="B1417" s="10">
        <v>45669</v>
      </c>
      <c r="C1417">
        <v>12</v>
      </c>
      <c r="D1417" t="s">
        <v>130</v>
      </c>
      <c r="E1417" t="s">
        <v>25</v>
      </c>
      <c r="F1417" t="s">
        <v>44</v>
      </c>
      <c r="G1417" t="s">
        <v>111</v>
      </c>
      <c r="H1417" t="s">
        <v>37</v>
      </c>
      <c r="I1417" t="s">
        <v>146</v>
      </c>
      <c r="J1417" t="s">
        <v>94</v>
      </c>
      <c r="K1417">
        <v>3</v>
      </c>
      <c r="L1417">
        <v>3600</v>
      </c>
      <c r="M1417">
        <v>10800</v>
      </c>
      <c r="N1417" t="s">
        <v>95</v>
      </c>
      <c r="O1417" t="s">
        <v>115</v>
      </c>
    </row>
    <row r="1418" spans="1:15" x14ac:dyDescent="0.25">
      <c r="A1418">
        <v>2322</v>
      </c>
      <c r="B1418" s="10">
        <v>45933</v>
      </c>
      <c r="C1418">
        <v>3</v>
      </c>
      <c r="D1418" t="s">
        <v>136</v>
      </c>
      <c r="E1418" t="s">
        <v>133</v>
      </c>
      <c r="F1418" t="s">
        <v>44</v>
      </c>
      <c r="G1418" t="s">
        <v>111</v>
      </c>
      <c r="H1418" t="s">
        <v>37</v>
      </c>
      <c r="I1418" t="s">
        <v>146</v>
      </c>
      <c r="J1418" t="s">
        <v>94</v>
      </c>
      <c r="K1418">
        <v>8</v>
      </c>
      <c r="L1418">
        <v>3600</v>
      </c>
      <c r="M1418">
        <v>28800</v>
      </c>
      <c r="N1418" t="s">
        <v>108</v>
      </c>
      <c r="O1418" t="s">
        <v>96</v>
      </c>
    </row>
    <row r="1419" spans="1:15" x14ac:dyDescent="0.25">
      <c r="A1419">
        <v>2556</v>
      </c>
      <c r="B1419" s="10">
        <v>45781</v>
      </c>
      <c r="C1419">
        <v>4</v>
      </c>
      <c r="D1419" t="s">
        <v>120</v>
      </c>
      <c r="E1419" t="s">
        <v>133</v>
      </c>
      <c r="F1419" t="s">
        <v>107</v>
      </c>
      <c r="G1419" t="s">
        <v>100</v>
      </c>
      <c r="H1419" t="s">
        <v>37</v>
      </c>
      <c r="I1419" t="s">
        <v>146</v>
      </c>
      <c r="J1419" t="s">
        <v>94</v>
      </c>
      <c r="K1419">
        <v>4</v>
      </c>
      <c r="L1419">
        <v>3600</v>
      </c>
      <c r="M1419">
        <v>14400</v>
      </c>
      <c r="N1419" t="s">
        <v>108</v>
      </c>
      <c r="O1419" t="s">
        <v>115</v>
      </c>
    </row>
    <row r="1420" spans="1:15" x14ac:dyDescent="0.25">
      <c r="A1420">
        <v>2884</v>
      </c>
      <c r="B1420" s="10">
        <v>45861</v>
      </c>
      <c r="C1420">
        <v>23</v>
      </c>
      <c r="D1420" t="s">
        <v>145</v>
      </c>
      <c r="E1420" t="s">
        <v>25</v>
      </c>
      <c r="F1420" t="s">
        <v>36</v>
      </c>
      <c r="G1420" t="s">
        <v>100</v>
      </c>
      <c r="H1420" t="s">
        <v>37</v>
      </c>
      <c r="I1420" t="s">
        <v>146</v>
      </c>
      <c r="J1420" t="s">
        <v>94</v>
      </c>
      <c r="K1420">
        <v>10</v>
      </c>
      <c r="L1420">
        <v>3600</v>
      </c>
      <c r="M1420">
        <v>36000</v>
      </c>
      <c r="N1420" t="s">
        <v>108</v>
      </c>
      <c r="O1420" t="s">
        <v>104</v>
      </c>
    </row>
    <row r="1421" spans="1:15" x14ac:dyDescent="0.25">
      <c r="A1421">
        <v>2971</v>
      </c>
      <c r="B1421" s="10">
        <v>45939</v>
      </c>
      <c r="C1421">
        <v>9</v>
      </c>
      <c r="D1421" t="s">
        <v>136</v>
      </c>
      <c r="E1421" t="s">
        <v>142</v>
      </c>
      <c r="F1421" t="s">
        <v>99</v>
      </c>
      <c r="G1421" t="s">
        <v>100</v>
      </c>
      <c r="H1421" t="s">
        <v>37</v>
      </c>
      <c r="I1421" t="s">
        <v>156</v>
      </c>
      <c r="J1421" t="s">
        <v>94</v>
      </c>
      <c r="K1421">
        <v>4</v>
      </c>
      <c r="L1421">
        <v>3600</v>
      </c>
      <c r="M1421">
        <v>14400</v>
      </c>
      <c r="N1421" t="s">
        <v>108</v>
      </c>
      <c r="O1421" t="s">
        <v>104</v>
      </c>
    </row>
    <row r="1422" spans="1:15" x14ac:dyDescent="0.25">
      <c r="A1422">
        <v>3049</v>
      </c>
      <c r="B1422" s="10">
        <v>45868</v>
      </c>
      <c r="C1422">
        <v>30</v>
      </c>
      <c r="D1422" t="s">
        <v>145</v>
      </c>
      <c r="E1422" t="s">
        <v>106</v>
      </c>
      <c r="F1422" t="s">
        <v>148</v>
      </c>
      <c r="G1422" t="s">
        <v>118</v>
      </c>
      <c r="H1422" t="s">
        <v>37</v>
      </c>
      <c r="I1422" t="s">
        <v>146</v>
      </c>
      <c r="J1422" t="s">
        <v>94</v>
      </c>
      <c r="K1422">
        <v>2</v>
      </c>
      <c r="L1422">
        <v>3600</v>
      </c>
      <c r="M1422">
        <v>7200</v>
      </c>
      <c r="N1422" t="s">
        <v>95</v>
      </c>
      <c r="O1422" t="s">
        <v>104</v>
      </c>
    </row>
    <row r="1423" spans="1:15" x14ac:dyDescent="0.25">
      <c r="A1423">
        <v>3331</v>
      </c>
      <c r="B1423" s="10">
        <v>45692</v>
      </c>
      <c r="C1423">
        <v>4</v>
      </c>
      <c r="D1423" t="s">
        <v>97</v>
      </c>
      <c r="E1423" t="s">
        <v>110</v>
      </c>
      <c r="F1423" t="s">
        <v>148</v>
      </c>
      <c r="G1423" t="s">
        <v>118</v>
      </c>
      <c r="H1423" t="s">
        <v>37</v>
      </c>
      <c r="I1423" t="s">
        <v>156</v>
      </c>
      <c r="J1423" t="s">
        <v>103</v>
      </c>
      <c r="K1423">
        <v>27</v>
      </c>
      <c r="L1423">
        <v>3600</v>
      </c>
      <c r="M1423">
        <v>97200</v>
      </c>
      <c r="N1423" t="s">
        <v>95</v>
      </c>
      <c r="O1423" t="s">
        <v>96</v>
      </c>
    </row>
    <row r="1424" spans="1:15" x14ac:dyDescent="0.25">
      <c r="A1424">
        <v>3353</v>
      </c>
      <c r="B1424" s="10">
        <v>45800</v>
      </c>
      <c r="C1424">
        <v>23</v>
      </c>
      <c r="D1424" t="s">
        <v>120</v>
      </c>
      <c r="E1424" t="s">
        <v>25</v>
      </c>
      <c r="F1424" t="s">
        <v>22</v>
      </c>
      <c r="G1424" t="s">
        <v>91</v>
      </c>
      <c r="H1424" t="s">
        <v>37</v>
      </c>
      <c r="I1424" t="s">
        <v>146</v>
      </c>
      <c r="J1424" t="s">
        <v>94</v>
      </c>
      <c r="K1424">
        <v>3</v>
      </c>
      <c r="L1424">
        <v>3600</v>
      </c>
      <c r="M1424">
        <v>10800</v>
      </c>
      <c r="N1424" t="s">
        <v>95</v>
      </c>
      <c r="O1424" t="s">
        <v>104</v>
      </c>
    </row>
    <row r="1425" spans="1:15" x14ac:dyDescent="0.25">
      <c r="A1425">
        <v>3511</v>
      </c>
      <c r="B1425" s="10">
        <v>45864</v>
      </c>
      <c r="C1425">
        <v>26</v>
      </c>
      <c r="D1425" t="s">
        <v>145</v>
      </c>
      <c r="E1425" t="s">
        <v>137</v>
      </c>
      <c r="F1425" t="s">
        <v>144</v>
      </c>
      <c r="G1425" t="s">
        <v>91</v>
      </c>
      <c r="H1425" t="s">
        <v>37</v>
      </c>
      <c r="I1425" t="s">
        <v>156</v>
      </c>
      <c r="J1425" t="s">
        <v>103</v>
      </c>
      <c r="K1425">
        <v>33</v>
      </c>
      <c r="L1425">
        <v>3600</v>
      </c>
      <c r="M1425">
        <v>118800</v>
      </c>
      <c r="N1425" t="s">
        <v>95</v>
      </c>
      <c r="O1425" t="s">
        <v>115</v>
      </c>
    </row>
    <row r="1426" spans="1:15" x14ac:dyDescent="0.25">
      <c r="A1426">
        <v>3816</v>
      </c>
      <c r="B1426" s="10">
        <v>45682</v>
      </c>
      <c r="C1426">
        <v>25</v>
      </c>
      <c r="D1426" t="s">
        <v>130</v>
      </c>
      <c r="E1426" t="s">
        <v>150</v>
      </c>
      <c r="F1426" t="s">
        <v>49</v>
      </c>
      <c r="G1426" t="s">
        <v>118</v>
      </c>
      <c r="H1426" t="s">
        <v>37</v>
      </c>
      <c r="I1426" t="s">
        <v>156</v>
      </c>
      <c r="J1426" t="s">
        <v>94</v>
      </c>
      <c r="K1426">
        <v>9</v>
      </c>
      <c r="L1426">
        <v>3600</v>
      </c>
      <c r="M1426">
        <v>32400</v>
      </c>
      <c r="N1426" t="s">
        <v>95</v>
      </c>
      <c r="O1426" t="s">
        <v>96</v>
      </c>
    </row>
    <row r="1427" spans="1:15" x14ac:dyDescent="0.25">
      <c r="A1427">
        <v>4193</v>
      </c>
      <c r="B1427" s="10">
        <v>45904</v>
      </c>
      <c r="C1427">
        <v>4</v>
      </c>
      <c r="D1427" t="s">
        <v>147</v>
      </c>
      <c r="E1427" t="s">
        <v>133</v>
      </c>
      <c r="F1427" t="s">
        <v>28</v>
      </c>
      <c r="G1427" t="s">
        <v>126</v>
      </c>
      <c r="H1427" t="s">
        <v>37</v>
      </c>
      <c r="I1427" t="s">
        <v>156</v>
      </c>
      <c r="J1427" t="s">
        <v>103</v>
      </c>
      <c r="K1427">
        <v>7</v>
      </c>
      <c r="L1427">
        <v>3600</v>
      </c>
      <c r="M1427">
        <v>25200</v>
      </c>
      <c r="N1427" t="s">
        <v>95</v>
      </c>
      <c r="O1427" t="s">
        <v>96</v>
      </c>
    </row>
    <row r="1428" spans="1:15" x14ac:dyDescent="0.25">
      <c r="A1428">
        <v>4526</v>
      </c>
      <c r="B1428" s="10">
        <v>45899</v>
      </c>
      <c r="C1428">
        <v>30</v>
      </c>
      <c r="D1428" t="s">
        <v>109</v>
      </c>
      <c r="E1428" t="s">
        <v>138</v>
      </c>
      <c r="F1428" t="s">
        <v>22</v>
      </c>
      <c r="G1428" t="s">
        <v>91</v>
      </c>
      <c r="H1428" t="s">
        <v>37</v>
      </c>
      <c r="I1428" t="s">
        <v>156</v>
      </c>
      <c r="J1428" t="s">
        <v>103</v>
      </c>
      <c r="K1428">
        <v>35</v>
      </c>
      <c r="L1428">
        <v>3600</v>
      </c>
      <c r="M1428">
        <v>126000</v>
      </c>
      <c r="N1428" t="s">
        <v>108</v>
      </c>
      <c r="O1428" t="s">
        <v>115</v>
      </c>
    </row>
    <row r="1429" spans="1:15" x14ac:dyDescent="0.25">
      <c r="A1429">
        <v>4713</v>
      </c>
      <c r="B1429" s="10">
        <v>45803</v>
      </c>
      <c r="C1429">
        <v>26</v>
      </c>
      <c r="D1429" t="s">
        <v>120</v>
      </c>
      <c r="E1429" t="s">
        <v>142</v>
      </c>
      <c r="F1429" t="s">
        <v>117</v>
      </c>
      <c r="G1429" t="s">
        <v>118</v>
      </c>
      <c r="H1429" t="s">
        <v>37</v>
      </c>
      <c r="I1429" t="s">
        <v>146</v>
      </c>
      <c r="J1429" t="s">
        <v>94</v>
      </c>
      <c r="K1429">
        <v>7</v>
      </c>
      <c r="L1429">
        <v>3600</v>
      </c>
      <c r="M1429">
        <v>25200</v>
      </c>
      <c r="N1429" t="s">
        <v>95</v>
      </c>
      <c r="O1429" t="s">
        <v>104</v>
      </c>
    </row>
    <row r="1430" spans="1:15" x14ac:dyDescent="0.25">
      <c r="A1430">
        <v>4946</v>
      </c>
      <c r="B1430" s="10">
        <v>46019</v>
      </c>
      <c r="C1430">
        <v>28</v>
      </c>
      <c r="D1430" t="s">
        <v>125</v>
      </c>
      <c r="E1430" t="s">
        <v>116</v>
      </c>
      <c r="F1430" t="s">
        <v>36</v>
      </c>
      <c r="G1430" t="s">
        <v>100</v>
      </c>
      <c r="H1430" t="s">
        <v>37</v>
      </c>
      <c r="I1430" t="s">
        <v>156</v>
      </c>
      <c r="J1430" t="s">
        <v>103</v>
      </c>
      <c r="K1430">
        <v>6</v>
      </c>
      <c r="L1430">
        <v>3600</v>
      </c>
      <c r="M1430">
        <v>21600</v>
      </c>
      <c r="N1430" t="s">
        <v>95</v>
      </c>
      <c r="O1430" t="s">
        <v>96</v>
      </c>
    </row>
    <row r="1431" spans="1:15" x14ac:dyDescent="0.25">
      <c r="A1431">
        <v>4991</v>
      </c>
      <c r="B1431" s="10">
        <v>45679</v>
      </c>
      <c r="C1431">
        <v>22</v>
      </c>
      <c r="D1431" t="s">
        <v>130</v>
      </c>
      <c r="E1431" t="s">
        <v>98</v>
      </c>
      <c r="F1431" t="s">
        <v>44</v>
      </c>
      <c r="G1431" t="s">
        <v>111</v>
      </c>
      <c r="H1431" t="s">
        <v>37</v>
      </c>
      <c r="I1431" t="s">
        <v>156</v>
      </c>
      <c r="J1431" t="s">
        <v>94</v>
      </c>
      <c r="K1431">
        <v>5</v>
      </c>
      <c r="L1431">
        <v>3600</v>
      </c>
      <c r="M1431">
        <v>18000</v>
      </c>
      <c r="N1431" t="s">
        <v>108</v>
      </c>
      <c r="O1431" t="s">
        <v>115</v>
      </c>
    </row>
    <row r="1432" spans="1:15" x14ac:dyDescent="0.25">
      <c r="A1432">
        <v>563</v>
      </c>
      <c r="B1432" s="10">
        <v>45955</v>
      </c>
      <c r="C1432">
        <v>25</v>
      </c>
      <c r="D1432" t="s">
        <v>136</v>
      </c>
      <c r="E1432" t="s">
        <v>133</v>
      </c>
      <c r="F1432" t="s">
        <v>113</v>
      </c>
      <c r="G1432" t="s">
        <v>114</v>
      </c>
      <c r="H1432" t="s">
        <v>37</v>
      </c>
      <c r="I1432" t="s">
        <v>146</v>
      </c>
      <c r="J1432" t="s">
        <v>94</v>
      </c>
      <c r="K1432">
        <v>2</v>
      </c>
      <c r="L1432">
        <v>3700</v>
      </c>
      <c r="M1432">
        <v>7400</v>
      </c>
      <c r="N1432" t="s">
        <v>108</v>
      </c>
      <c r="O1432" t="s">
        <v>96</v>
      </c>
    </row>
    <row r="1433" spans="1:15" x14ac:dyDescent="0.25">
      <c r="A1433">
        <v>818</v>
      </c>
      <c r="B1433" s="10">
        <v>45893</v>
      </c>
      <c r="C1433">
        <v>24</v>
      </c>
      <c r="D1433" t="s">
        <v>109</v>
      </c>
      <c r="E1433" t="s">
        <v>112</v>
      </c>
      <c r="F1433" t="s">
        <v>117</v>
      </c>
      <c r="G1433" t="s">
        <v>118</v>
      </c>
      <c r="H1433" t="s">
        <v>37</v>
      </c>
      <c r="I1433" t="s">
        <v>146</v>
      </c>
      <c r="J1433" t="s">
        <v>94</v>
      </c>
      <c r="K1433">
        <v>9</v>
      </c>
      <c r="L1433">
        <v>3700</v>
      </c>
      <c r="M1433">
        <v>33300</v>
      </c>
      <c r="N1433" t="s">
        <v>95</v>
      </c>
      <c r="O1433" t="s">
        <v>115</v>
      </c>
    </row>
    <row r="1434" spans="1:15" x14ac:dyDescent="0.25">
      <c r="A1434">
        <v>1365</v>
      </c>
      <c r="B1434" s="10">
        <v>45926</v>
      </c>
      <c r="C1434">
        <v>26</v>
      </c>
      <c r="D1434" t="s">
        <v>147</v>
      </c>
      <c r="E1434" t="s">
        <v>106</v>
      </c>
      <c r="F1434" t="s">
        <v>122</v>
      </c>
      <c r="G1434" t="s">
        <v>114</v>
      </c>
      <c r="H1434" t="s">
        <v>37</v>
      </c>
      <c r="I1434" t="s">
        <v>146</v>
      </c>
      <c r="J1434" t="s">
        <v>94</v>
      </c>
      <c r="K1434">
        <v>2</v>
      </c>
      <c r="L1434">
        <v>3700</v>
      </c>
      <c r="M1434">
        <v>7400</v>
      </c>
      <c r="N1434" t="s">
        <v>108</v>
      </c>
      <c r="O1434" t="s">
        <v>115</v>
      </c>
    </row>
    <row r="1435" spans="1:15" x14ac:dyDescent="0.25">
      <c r="A1435">
        <v>1866</v>
      </c>
      <c r="B1435" s="10">
        <v>45752</v>
      </c>
      <c r="C1435">
        <v>5</v>
      </c>
      <c r="D1435" t="s">
        <v>105</v>
      </c>
      <c r="E1435" t="s">
        <v>98</v>
      </c>
      <c r="F1435" t="s">
        <v>49</v>
      </c>
      <c r="G1435" t="s">
        <v>118</v>
      </c>
      <c r="H1435" t="s">
        <v>37</v>
      </c>
      <c r="I1435" t="s">
        <v>156</v>
      </c>
      <c r="J1435" t="s">
        <v>94</v>
      </c>
      <c r="K1435">
        <v>8</v>
      </c>
      <c r="L1435">
        <v>3700</v>
      </c>
      <c r="M1435">
        <v>29600</v>
      </c>
      <c r="N1435" t="s">
        <v>95</v>
      </c>
      <c r="O1435" t="s">
        <v>104</v>
      </c>
    </row>
    <row r="1436" spans="1:15" x14ac:dyDescent="0.25">
      <c r="A1436">
        <v>2104</v>
      </c>
      <c r="B1436" s="10">
        <v>45705</v>
      </c>
      <c r="C1436">
        <v>17</v>
      </c>
      <c r="D1436" t="s">
        <v>97</v>
      </c>
      <c r="E1436" t="s">
        <v>133</v>
      </c>
      <c r="F1436" t="s">
        <v>144</v>
      </c>
      <c r="G1436" t="s">
        <v>91</v>
      </c>
      <c r="H1436" t="s">
        <v>37</v>
      </c>
      <c r="I1436" t="s">
        <v>146</v>
      </c>
      <c r="J1436" t="s">
        <v>94</v>
      </c>
      <c r="K1436">
        <v>3</v>
      </c>
      <c r="L1436">
        <v>3700</v>
      </c>
      <c r="M1436">
        <v>11100</v>
      </c>
      <c r="N1436" t="s">
        <v>95</v>
      </c>
      <c r="O1436" t="s">
        <v>96</v>
      </c>
    </row>
    <row r="1437" spans="1:15" x14ac:dyDescent="0.25">
      <c r="A1437">
        <v>2702</v>
      </c>
      <c r="B1437" s="10">
        <v>45970</v>
      </c>
      <c r="C1437">
        <v>9</v>
      </c>
      <c r="D1437" t="s">
        <v>90</v>
      </c>
      <c r="E1437" t="s">
        <v>150</v>
      </c>
      <c r="F1437" t="s">
        <v>117</v>
      </c>
      <c r="G1437" t="s">
        <v>118</v>
      </c>
      <c r="H1437" t="s">
        <v>37</v>
      </c>
      <c r="I1437" t="s">
        <v>146</v>
      </c>
      <c r="J1437" t="s">
        <v>94</v>
      </c>
      <c r="K1437">
        <v>3</v>
      </c>
      <c r="L1437">
        <v>3700</v>
      </c>
      <c r="M1437">
        <v>11100</v>
      </c>
      <c r="N1437" t="s">
        <v>108</v>
      </c>
      <c r="O1437" t="s">
        <v>96</v>
      </c>
    </row>
    <row r="1438" spans="1:15" x14ac:dyDescent="0.25">
      <c r="A1438">
        <v>2842</v>
      </c>
      <c r="B1438" s="10">
        <v>45704</v>
      </c>
      <c r="C1438">
        <v>16</v>
      </c>
      <c r="D1438" t="s">
        <v>97</v>
      </c>
      <c r="E1438" t="s">
        <v>150</v>
      </c>
      <c r="F1438" t="s">
        <v>122</v>
      </c>
      <c r="G1438" t="s">
        <v>114</v>
      </c>
      <c r="H1438" t="s">
        <v>37</v>
      </c>
      <c r="I1438" t="s">
        <v>156</v>
      </c>
      <c r="J1438" t="s">
        <v>94</v>
      </c>
      <c r="K1438">
        <v>2</v>
      </c>
      <c r="L1438">
        <v>3700</v>
      </c>
      <c r="M1438">
        <v>7400</v>
      </c>
      <c r="N1438" t="s">
        <v>108</v>
      </c>
      <c r="O1438" t="s">
        <v>115</v>
      </c>
    </row>
    <row r="1439" spans="1:15" x14ac:dyDescent="0.25">
      <c r="A1439">
        <v>2982</v>
      </c>
      <c r="B1439" s="10">
        <v>45708</v>
      </c>
      <c r="C1439">
        <v>20</v>
      </c>
      <c r="D1439" t="s">
        <v>97</v>
      </c>
      <c r="E1439" t="s">
        <v>133</v>
      </c>
      <c r="F1439" t="s">
        <v>113</v>
      </c>
      <c r="G1439" t="s">
        <v>114</v>
      </c>
      <c r="H1439" t="s">
        <v>37</v>
      </c>
      <c r="I1439" t="s">
        <v>146</v>
      </c>
      <c r="J1439" t="s">
        <v>94</v>
      </c>
      <c r="K1439">
        <v>3</v>
      </c>
      <c r="L1439">
        <v>3700</v>
      </c>
      <c r="M1439">
        <v>11100</v>
      </c>
      <c r="N1439" t="s">
        <v>108</v>
      </c>
      <c r="O1439" t="s">
        <v>115</v>
      </c>
    </row>
    <row r="1440" spans="1:15" x14ac:dyDescent="0.25">
      <c r="A1440">
        <v>3366</v>
      </c>
      <c r="B1440" s="10">
        <v>46015</v>
      </c>
      <c r="C1440">
        <v>24</v>
      </c>
      <c r="D1440" t="s">
        <v>125</v>
      </c>
      <c r="E1440" t="s">
        <v>150</v>
      </c>
      <c r="F1440" t="s">
        <v>36</v>
      </c>
      <c r="G1440" t="s">
        <v>100</v>
      </c>
      <c r="H1440" t="s">
        <v>37</v>
      </c>
      <c r="I1440" t="s">
        <v>156</v>
      </c>
      <c r="J1440" t="s">
        <v>103</v>
      </c>
      <c r="K1440">
        <v>30</v>
      </c>
      <c r="L1440">
        <v>3700</v>
      </c>
      <c r="M1440">
        <v>111000</v>
      </c>
      <c r="N1440" t="s">
        <v>108</v>
      </c>
      <c r="O1440" t="s">
        <v>96</v>
      </c>
    </row>
    <row r="1441" spans="1:15" x14ac:dyDescent="0.25">
      <c r="A1441">
        <v>3413</v>
      </c>
      <c r="B1441" s="10">
        <v>45726</v>
      </c>
      <c r="C1441">
        <v>10</v>
      </c>
      <c r="D1441" t="s">
        <v>140</v>
      </c>
      <c r="E1441" t="s">
        <v>112</v>
      </c>
      <c r="F1441" t="s">
        <v>122</v>
      </c>
      <c r="G1441" t="s">
        <v>114</v>
      </c>
      <c r="H1441" t="s">
        <v>37</v>
      </c>
      <c r="I1441" t="s">
        <v>156</v>
      </c>
      <c r="J1441" t="s">
        <v>103</v>
      </c>
      <c r="K1441">
        <v>6</v>
      </c>
      <c r="L1441">
        <v>3700</v>
      </c>
      <c r="M1441">
        <v>22200</v>
      </c>
      <c r="N1441" t="s">
        <v>108</v>
      </c>
      <c r="O1441" t="s">
        <v>115</v>
      </c>
    </row>
    <row r="1442" spans="1:15" x14ac:dyDescent="0.25">
      <c r="A1442">
        <v>4498</v>
      </c>
      <c r="B1442" s="10">
        <v>45969</v>
      </c>
      <c r="C1442">
        <v>8</v>
      </c>
      <c r="D1442" t="s">
        <v>90</v>
      </c>
      <c r="E1442" t="s">
        <v>116</v>
      </c>
      <c r="F1442" t="s">
        <v>28</v>
      </c>
      <c r="G1442" t="s">
        <v>126</v>
      </c>
      <c r="H1442" t="s">
        <v>37</v>
      </c>
      <c r="I1442" t="s">
        <v>146</v>
      </c>
      <c r="J1442" t="s">
        <v>94</v>
      </c>
      <c r="K1442">
        <v>5</v>
      </c>
      <c r="L1442">
        <v>3700</v>
      </c>
      <c r="M1442">
        <v>18500</v>
      </c>
      <c r="N1442" t="s">
        <v>108</v>
      </c>
      <c r="O1442" t="s">
        <v>115</v>
      </c>
    </row>
    <row r="1443" spans="1:15" x14ac:dyDescent="0.25">
      <c r="A1443">
        <v>4668</v>
      </c>
      <c r="B1443" s="10">
        <v>45970</v>
      </c>
      <c r="C1443">
        <v>9</v>
      </c>
      <c r="D1443" t="s">
        <v>90</v>
      </c>
      <c r="E1443" t="s">
        <v>110</v>
      </c>
      <c r="F1443" t="s">
        <v>36</v>
      </c>
      <c r="G1443" t="s">
        <v>100</v>
      </c>
      <c r="H1443" t="s">
        <v>37</v>
      </c>
      <c r="I1443" t="s">
        <v>156</v>
      </c>
      <c r="J1443" t="s">
        <v>103</v>
      </c>
      <c r="K1443">
        <v>47</v>
      </c>
      <c r="L1443">
        <v>3700</v>
      </c>
      <c r="M1443">
        <v>173900</v>
      </c>
      <c r="N1443" t="s">
        <v>95</v>
      </c>
      <c r="O1443" t="s">
        <v>115</v>
      </c>
    </row>
    <row r="1444" spans="1:15" x14ac:dyDescent="0.25">
      <c r="A1444">
        <v>21</v>
      </c>
      <c r="B1444" s="10">
        <v>45843</v>
      </c>
      <c r="C1444">
        <v>5</v>
      </c>
      <c r="D1444" t="s">
        <v>145</v>
      </c>
      <c r="E1444" t="s">
        <v>128</v>
      </c>
      <c r="F1444" t="s">
        <v>141</v>
      </c>
      <c r="G1444" t="s">
        <v>100</v>
      </c>
      <c r="H1444" t="s">
        <v>37</v>
      </c>
      <c r="I1444" t="s">
        <v>146</v>
      </c>
      <c r="J1444" t="s">
        <v>94</v>
      </c>
      <c r="K1444">
        <v>4</v>
      </c>
      <c r="L1444">
        <v>3800</v>
      </c>
      <c r="M1444">
        <v>15200</v>
      </c>
      <c r="N1444" t="s">
        <v>95</v>
      </c>
      <c r="O1444" t="s">
        <v>104</v>
      </c>
    </row>
    <row r="1445" spans="1:15" x14ac:dyDescent="0.25">
      <c r="A1445">
        <v>422</v>
      </c>
      <c r="B1445" s="10">
        <v>46007</v>
      </c>
      <c r="C1445">
        <v>16</v>
      </c>
      <c r="D1445" t="s">
        <v>125</v>
      </c>
      <c r="E1445" t="s">
        <v>142</v>
      </c>
      <c r="F1445" t="s">
        <v>36</v>
      </c>
      <c r="G1445" t="s">
        <v>100</v>
      </c>
      <c r="H1445" t="s">
        <v>37</v>
      </c>
      <c r="I1445" t="s">
        <v>146</v>
      </c>
      <c r="J1445" t="s">
        <v>94</v>
      </c>
      <c r="K1445">
        <v>5</v>
      </c>
      <c r="L1445">
        <v>3800</v>
      </c>
      <c r="M1445">
        <v>19000</v>
      </c>
      <c r="N1445" t="s">
        <v>108</v>
      </c>
      <c r="O1445" t="s">
        <v>115</v>
      </c>
    </row>
    <row r="1446" spans="1:15" x14ac:dyDescent="0.25">
      <c r="A1446">
        <v>910</v>
      </c>
      <c r="B1446" s="10">
        <v>46002</v>
      </c>
      <c r="C1446">
        <v>11</v>
      </c>
      <c r="D1446" t="s">
        <v>125</v>
      </c>
      <c r="E1446" t="s">
        <v>31</v>
      </c>
      <c r="F1446" t="s">
        <v>36</v>
      </c>
      <c r="G1446" t="s">
        <v>100</v>
      </c>
      <c r="H1446" t="s">
        <v>37</v>
      </c>
      <c r="I1446" t="s">
        <v>156</v>
      </c>
      <c r="J1446" t="s">
        <v>103</v>
      </c>
      <c r="K1446">
        <v>18</v>
      </c>
      <c r="L1446">
        <v>3800</v>
      </c>
      <c r="M1446">
        <v>68400</v>
      </c>
      <c r="N1446" t="s">
        <v>95</v>
      </c>
      <c r="O1446" t="s">
        <v>115</v>
      </c>
    </row>
    <row r="1447" spans="1:15" x14ac:dyDescent="0.25">
      <c r="A1447">
        <v>1110</v>
      </c>
      <c r="B1447" s="10">
        <v>45673</v>
      </c>
      <c r="C1447">
        <v>16</v>
      </c>
      <c r="D1447" t="s">
        <v>130</v>
      </c>
      <c r="E1447" t="s">
        <v>106</v>
      </c>
      <c r="F1447" t="s">
        <v>49</v>
      </c>
      <c r="G1447" t="s">
        <v>118</v>
      </c>
      <c r="H1447" t="s">
        <v>37</v>
      </c>
      <c r="I1447" t="s">
        <v>146</v>
      </c>
      <c r="J1447" t="s">
        <v>94</v>
      </c>
      <c r="K1447">
        <v>5</v>
      </c>
      <c r="L1447">
        <v>3800</v>
      </c>
      <c r="M1447">
        <v>19000</v>
      </c>
      <c r="N1447" t="s">
        <v>95</v>
      </c>
      <c r="O1447" t="s">
        <v>115</v>
      </c>
    </row>
    <row r="1448" spans="1:15" x14ac:dyDescent="0.25">
      <c r="A1448">
        <v>1497</v>
      </c>
      <c r="B1448" s="10">
        <v>45992</v>
      </c>
      <c r="C1448">
        <v>1</v>
      </c>
      <c r="D1448" t="s">
        <v>125</v>
      </c>
      <c r="E1448" t="s">
        <v>25</v>
      </c>
      <c r="F1448" t="s">
        <v>22</v>
      </c>
      <c r="G1448" t="s">
        <v>91</v>
      </c>
      <c r="H1448" t="s">
        <v>37</v>
      </c>
      <c r="I1448" t="s">
        <v>156</v>
      </c>
      <c r="J1448" t="s">
        <v>103</v>
      </c>
      <c r="K1448">
        <v>17</v>
      </c>
      <c r="L1448">
        <v>3800</v>
      </c>
      <c r="M1448">
        <v>64600</v>
      </c>
      <c r="N1448" t="s">
        <v>108</v>
      </c>
      <c r="O1448" t="s">
        <v>104</v>
      </c>
    </row>
    <row r="1449" spans="1:15" x14ac:dyDescent="0.25">
      <c r="A1449">
        <v>1981</v>
      </c>
      <c r="B1449" s="10">
        <v>45774</v>
      </c>
      <c r="C1449">
        <v>27</v>
      </c>
      <c r="D1449" t="s">
        <v>105</v>
      </c>
      <c r="E1449" t="s">
        <v>98</v>
      </c>
      <c r="F1449" t="s">
        <v>99</v>
      </c>
      <c r="G1449" t="s">
        <v>100</v>
      </c>
      <c r="H1449" t="s">
        <v>37</v>
      </c>
      <c r="I1449" t="s">
        <v>156</v>
      </c>
      <c r="J1449" t="s">
        <v>94</v>
      </c>
      <c r="K1449">
        <v>6</v>
      </c>
      <c r="L1449">
        <v>3800</v>
      </c>
      <c r="M1449">
        <v>22800</v>
      </c>
      <c r="N1449" t="s">
        <v>108</v>
      </c>
      <c r="O1449" t="s">
        <v>96</v>
      </c>
    </row>
    <row r="1450" spans="1:15" x14ac:dyDescent="0.25">
      <c r="A1450">
        <v>2012</v>
      </c>
      <c r="B1450" s="10">
        <v>45879</v>
      </c>
      <c r="C1450">
        <v>10</v>
      </c>
      <c r="D1450" t="s">
        <v>109</v>
      </c>
      <c r="E1450" t="s">
        <v>25</v>
      </c>
      <c r="F1450" t="s">
        <v>141</v>
      </c>
      <c r="G1450" t="s">
        <v>100</v>
      </c>
      <c r="H1450" t="s">
        <v>37</v>
      </c>
      <c r="I1450" t="s">
        <v>156</v>
      </c>
      <c r="J1450" t="s">
        <v>94</v>
      </c>
      <c r="K1450">
        <v>4</v>
      </c>
      <c r="L1450">
        <v>3800</v>
      </c>
      <c r="M1450">
        <v>15200</v>
      </c>
      <c r="N1450" t="s">
        <v>108</v>
      </c>
      <c r="O1450" t="s">
        <v>115</v>
      </c>
    </row>
    <row r="1451" spans="1:15" x14ac:dyDescent="0.25">
      <c r="A1451">
        <v>2102</v>
      </c>
      <c r="B1451" s="10">
        <v>45861</v>
      </c>
      <c r="C1451">
        <v>23</v>
      </c>
      <c r="D1451" t="s">
        <v>145</v>
      </c>
      <c r="E1451" t="s">
        <v>112</v>
      </c>
      <c r="F1451" t="s">
        <v>99</v>
      </c>
      <c r="G1451" t="s">
        <v>100</v>
      </c>
      <c r="H1451" t="s">
        <v>37</v>
      </c>
      <c r="I1451" t="s">
        <v>156</v>
      </c>
      <c r="J1451" t="s">
        <v>94</v>
      </c>
      <c r="K1451">
        <v>6</v>
      </c>
      <c r="L1451">
        <v>3800</v>
      </c>
      <c r="M1451">
        <v>22800</v>
      </c>
      <c r="N1451" t="s">
        <v>108</v>
      </c>
      <c r="O1451" t="s">
        <v>96</v>
      </c>
    </row>
    <row r="1452" spans="1:15" x14ac:dyDescent="0.25">
      <c r="A1452">
        <v>2804</v>
      </c>
      <c r="B1452" s="10">
        <v>45887</v>
      </c>
      <c r="C1452">
        <v>18</v>
      </c>
      <c r="D1452" t="s">
        <v>109</v>
      </c>
      <c r="E1452" t="s">
        <v>133</v>
      </c>
      <c r="F1452" t="s">
        <v>44</v>
      </c>
      <c r="G1452" t="s">
        <v>111</v>
      </c>
      <c r="H1452" t="s">
        <v>37</v>
      </c>
      <c r="I1452" t="s">
        <v>156</v>
      </c>
      <c r="J1452" t="s">
        <v>94</v>
      </c>
      <c r="K1452">
        <v>6</v>
      </c>
      <c r="L1452">
        <v>3800</v>
      </c>
      <c r="M1452">
        <v>22800</v>
      </c>
      <c r="N1452" t="s">
        <v>95</v>
      </c>
      <c r="O1452" t="s">
        <v>115</v>
      </c>
    </row>
    <row r="1453" spans="1:15" x14ac:dyDescent="0.25">
      <c r="A1453">
        <v>2960</v>
      </c>
      <c r="B1453" s="10">
        <v>45939</v>
      </c>
      <c r="C1453">
        <v>9</v>
      </c>
      <c r="D1453" t="s">
        <v>136</v>
      </c>
      <c r="E1453" t="s">
        <v>150</v>
      </c>
      <c r="F1453" t="s">
        <v>117</v>
      </c>
      <c r="G1453" t="s">
        <v>118</v>
      </c>
      <c r="H1453" t="s">
        <v>37</v>
      </c>
      <c r="I1453" t="s">
        <v>156</v>
      </c>
      <c r="J1453" t="s">
        <v>94</v>
      </c>
      <c r="K1453">
        <v>1</v>
      </c>
      <c r="L1453">
        <v>3800</v>
      </c>
      <c r="M1453">
        <v>3800</v>
      </c>
      <c r="N1453" t="s">
        <v>95</v>
      </c>
      <c r="O1453" t="s">
        <v>96</v>
      </c>
    </row>
    <row r="1454" spans="1:15" x14ac:dyDescent="0.25">
      <c r="A1454">
        <v>3213</v>
      </c>
      <c r="B1454" s="10">
        <v>45945</v>
      </c>
      <c r="C1454">
        <v>15</v>
      </c>
      <c r="D1454" t="s">
        <v>136</v>
      </c>
      <c r="E1454" t="s">
        <v>128</v>
      </c>
      <c r="F1454" t="s">
        <v>36</v>
      </c>
      <c r="G1454" t="s">
        <v>100</v>
      </c>
      <c r="H1454" t="s">
        <v>37</v>
      </c>
      <c r="I1454" t="s">
        <v>146</v>
      </c>
      <c r="J1454" t="s">
        <v>94</v>
      </c>
      <c r="K1454">
        <v>7</v>
      </c>
      <c r="L1454">
        <v>3800</v>
      </c>
      <c r="M1454">
        <v>26600</v>
      </c>
      <c r="N1454" t="s">
        <v>108</v>
      </c>
      <c r="O1454" t="s">
        <v>115</v>
      </c>
    </row>
    <row r="1455" spans="1:15" x14ac:dyDescent="0.25">
      <c r="A1455">
        <v>3544</v>
      </c>
      <c r="B1455" s="10">
        <v>45914</v>
      </c>
      <c r="C1455">
        <v>14</v>
      </c>
      <c r="D1455" t="s">
        <v>147</v>
      </c>
      <c r="E1455" t="s">
        <v>161</v>
      </c>
      <c r="F1455" t="s">
        <v>49</v>
      </c>
      <c r="G1455" t="s">
        <v>118</v>
      </c>
      <c r="H1455" t="s">
        <v>37</v>
      </c>
      <c r="I1455" t="s">
        <v>156</v>
      </c>
      <c r="J1455" t="s">
        <v>94</v>
      </c>
      <c r="K1455">
        <v>10</v>
      </c>
      <c r="L1455">
        <v>3800</v>
      </c>
      <c r="M1455">
        <v>38000</v>
      </c>
      <c r="N1455" t="s">
        <v>95</v>
      </c>
      <c r="O1455" t="s">
        <v>104</v>
      </c>
    </row>
    <row r="1456" spans="1:15" x14ac:dyDescent="0.25">
      <c r="A1456">
        <v>4130</v>
      </c>
      <c r="B1456" s="10">
        <v>45740</v>
      </c>
      <c r="C1456">
        <v>24</v>
      </c>
      <c r="D1456" t="s">
        <v>140</v>
      </c>
      <c r="E1456" t="s">
        <v>150</v>
      </c>
      <c r="F1456" t="s">
        <v>107</v>
      </c>
      <c r="G1456" t="s">
        <v>100</v>
      </c>
      <c r="H1456" t="s">
        <v>37</v>
      </c>
      <c r="I1456" t="s">
        <v>146</v>
      </c>
      <c r="J1456" t="s">
        <v>94</v>
      </c>
      <c r="K1456">
        <v>4</v>
      </c>
      <c r="L1456">
        <v>3800</v>
      </c>
      <c r="M1456">
        <v>15200</v>
      </c>
      <c r="N1456" t="s">
        <v>95</v>
      </c>
      <c r="O1456" t="s">
        <v>104</v>
      </c>
    </row>
    <row r="1457" spans="1:15" x14ac:dyDescent="0.25">
      <c r="A1457">
        <v>4236</v>
      </c>
      <c r="B1457" s="10">
        <v>46016</v>
      </c>
      <c r="C1457">
        <v>25</v>
      </c>
      <c r="D1457" t="s">
        <v>125</v>
      </c>
      <c r="E1457" t="s">
        <v>138</v>
      </c>
      <c r="F1457" t="s">
        <v>122</v>
      </c>
      <c r="G1457" t="s">
        <v>114</v>
      </c>
      <c r="H1457" t="s">
        <v>37</v>
      </c>
      <c r="I1457" t="s">
        <v>156</v>
      </c>
      <c r="J1457" t="s">
        <v>94</v>
      </c>
      <c r="K1457">
        <v>1</v>
      </c>
      <c r="L1457">
        <v>3800</v>
      </c>
      <c r="M1457">
        <v>3800</v>
      </c>
      <c r="N1457" t="s">
        <v>108</v>
      </c>
      <c r="O1457" t="s">
        <v>104</v>
      </c>
    </row>
    <row r="1458" spans="1:15" x14ac:dyDescent="0.25">
      <c r="A1458">
        <v>4830</v>
      </c>
      <c r="B1458" s="10">
        <v>45681</v>
      </c>
      <c r="C1458">
        <v>24</v>
      </c>
      <c r="D1458" t="s">
        <v>130</v>
      </c>
      <c r="E1458" t="s">
        <v>138</v>
      </c>
      <c r="F1458" t="s">
        <v>107</v>
      </c>
      <c r="G1458" t="s">
        <v>100</v>
      </c>
      <c r="H1458" t="s">
        <v>37</v>
      </c>
      <c r="I1458" t="s">
        <v>156</v>
      </c>
      <c r="J1458" t="s">
        <v>94</v>
      </c>
      <c r="K1458">
        <v>7</v>
      </c>
      <c r="L1458">
        <v>3800</v>
      </c>
      <c r="M1458">
        <v>26600</v>
      </c>
      <c r="N1458" t="s">
        <v>108</v>
      </c>
      <c r="O1458" t="s">
        <v>96</v>
      </c>
    </row>
    <row r="1459" spans="1:15" x14ac:dyDescent="0.25">
      <c r="A1459">
        <v>247</v>
      </c>
      <c r="B1459" s="10">
        <v>45897</v>
      </c>
      <c r="C1459">
        <v>28</v>
      </c>
      <c r="D1459" t="s">
        <v>109</v>
      </c>
      <c r="E1459" t="s">
        <v>133</v>
      </c>
      <c r="F1459" t="s">
        <v>144</v>
      </c>
      <c r="G1459" t="s">
        <v>91</v>
      </c>
      <c r="H1459" t="s">
        <v>37</v>
      </c>
      <c r="I1459" t="s">
        <v>156</v>
      </c>
      <c r="J1459" t="s">
        <v>94</v>
      </c>
      <c r="K1459">
        <v>2</v>
      </c>
      <c r="L1459">
        <v>3900</v>
      </c>
      <c r="M1459">
        <v>7800</v>
      </c>
      <c r="N1459" t="s">
        <v>108</v>
      </c>
      <c r="O1459" t="s">
        <v>96</v>
      </c>
    </row>
    <row r="1460" spans="1:15" x14ac:dyDescent="0.25">
      <c r="A1460">
        <v>653</v>
      </c>
      <c r="B1460" s="10">
        <v>45898</v>
      </c>
      <c r="C1460">
        <v>29</v>
      </c>
      <c r="D1460" t="s">
        <v>109</v>
      </c>
      <c r="E1460" t="s">
        <v>138</v>
      </c>
      <c r="F1460" t="s">
        <v>49</v>
      </c>
      <c r="G1460" t="s">
        <v>118</v>
      </c>
      <c r="H1460" t="s">
        <v>37</v>
      </c>
      <c r="I1460" t="s">
        <v>156</v>
      </c>
      <c r="J1460" t="s">
        <v>94</v>
      </c>
      <c r="K1460">
        <v>2</v>
      </c>
      <c r="L1460">
        <v>3900</v>
      </c>
      <c r="M1460">
        <v>7800</v>
      </c>
      <c r="N1460" t="s">
        <v>95</v>
      </c>
      <c r="O1460" t="s">
        <v>115</v>
      </c>
    </row>
    <row r="1461" spans="1:15" x14ac:dyDescent="0.25">
      <c r="A1461">
        <v>808</v>
      </c>
      <c r="B1461" s="10">
        <v>46014</v>
      </c>
      <c r="C1461">
        <v>23</v>
      </c>
      <c r="D1461" t="s">
        <v>125</v>
      </c>
      <c r="E1461" t="s">
        <v>138</v>
      </c>
      <c r="F1461" t="s">
        <v>44</v>
      </c>
      <c r="G1461" t="s">
        <v>111</v>
      </c>
      <c r="H1461" t="s">
        <v>37</v>
      </c>
      <c r="I1461" t="s">
        <v>156</v>
      </c>
      <c r="J1461" t="s">
        <v>94</v>
      </c>
      <c r="K1461">
        <v>8</v>
      </c>
      <c r="L1461">
        <v>3900</v>
      </c>
      <c r="M1461">
        <v>31200</v>
      </c>
      <c r="N1461" t="s">
        <v>108</v>
      </c>
      <c r="O1461" t="s">
        <v>115</v>
      </c>
    </row>
    <row r="1462" spans="1:15" x14ac:dyDescent="0.25">
      <c r="A1462">
        <v>1415</v>
      </c>
      <c r="B1462" s="10">
        <v>45698</v>
      </c>
      <c r="C1462">
        <v>10</v>
      </c>
      <c r="D1462" t="s">
        <v>97</v>
      </c>
      <c r="E1462" t="s">
        <v>137</v>
      </c>
      <c r="F1462" t="s">
        <v>117</v>
      </c>
      <c r="G1462" t="s">
        <v>118</v>
      </c>
      <c r="H1462" t="s">
        <v>37</v>
      </c>
      <c r="I1462" t="s">
        <v>156</v>
      </c>
      <c r="J1462" t="s">
        <v>94</v>
      </c>
      <c r="K1462">
        <v>7</v>
      </c>
      <c r="L1462">
        <v>3900</v>
      </c>
      <c r="M1462">
        <v>27300</v>
      </c>
      <c r="N1462" t="s">
        <v>108</v>
      </c>
      <c r="O1462" t="s">
        <v>96</v>
      </c>
    </row>
    <row r="1463" spans="1:15" x14ac:dyDescent="0.25">
      <c r="A1463">
        <v>1525</v>
      </c>
      <c r="B1463" s="10">
        <v>45662</v>
      </c>
      <c r="C1463">
        <v>5</v>
      </c>
      <c r="D1463" t="s">
        <v>130</v>
      </c>
      <c r="E1463" t="s">
        <v>133</v>
      </c>
      <c r="F1463" t="s">
        <v>22</v>
      </c>
      <c r="G1463" t="s">
        <v>91</v>
      </c>
      <c r="H1463" t="s">
        <v>37</v>
      </c>
      <c r="I1463" t="s">
        <v>156</v>
      </c>
      <c r="J1463" t="s">
        <v>94</v>
      </c>
      <c r="K1463">
        <v>7</v>
      </c>
      <c r="L1463">
        <v>3900</v>
      </c>
      <c r="M1463">
        <v>27300</v>
      </c>
      <c r="N1463" t="s">
        <v>95</v>
      </c>
      <c r="O1463" t="s">
        <v>96</v>
      </c>
    </row>
    <row r="1464" spans="1:15" x14ac:dyDescent="0.25">
      <c r="A1464">
        <v>1687</v>
      </c>
      <c r="B1464" s="10">
        <v>45805</v>
      </c>
      <c r="C1464">
        <v>28</v>
      </c>
      <c r="D1464" t="s">
        <v>120</v>
      </c>
      <c r="E1464" t="s">
        <v>25</v>
      </c>
      <c r="F1464" t="s">
        <v>107</v>
      </c>
      <c r="G1464" t="s">
        <v>100</v>
      </c>
      <c r="H1464" t="s">
        <v>37</v>
      </c>
      <c r="I1464" t="s">
        <v>156</v>
      </c>
      <c r="J1464" t="s">
        <v>94</v>
      </c>
      <c r="K1464">
        <v>2</v>
      </c>
      <c r="L1464">
        <v>3900</v>
      </c>
      <c r="M1464">
        <v>7800</v>
      </c>
      <c r="N1464" t="s">
        <v>108</v>
      </c>
      <c r="O1464" t="s">
        <v>96</v>
      </c>
    </row>
    <row r="1465" spans="1:15" x14ac:dyDescent="0.25">
      <c r="A1465">
        <v>1912</v>
      </c>
      <c r="B1465" s="10">
        <v>45876</v>
      </c>
      <c r="C1465">
        <v>7</v>
      </c>
      <c r="D1465" t="s">
        <v>109</v>
      </c>
      <c r="E1465" t="s">
        <v>116</v>
      </c>
      <c r="F1465" t="s">
        <v>141</v>
      </c>
      <c r="G1465" t="s">
        <v>100</v>
      </c>
      <c r="H1465" t="s">
        <v>37</v>
      </c>
      <c r="I1465" t="s">
        <v>146</v>
      </c>
      <c r="J1465" t="s">
        <v>94</v>
      </c>
      <c r="K1465">
        <v>5</v>
      </c>
      <c r="L1465">
        <v>3900</v>
      </c>
      <c r="M1465">
        <v>19500</v>
      </c>
      <c r="N1465" t="s">
        <v>108</v>
      </c>
      <c r="O1465" t="s">
        <v>104</v>
      </c>
    </row>
    <row r="1466" spans="1:15" x14ac:dyDescent="0.25">
      <c r="A1466">
        <v>2221</v>
      </c>
      <c r="B1466" s="10">
        <v>45916</v>
      </c>
      <c r="C1466">
        <v>16</v>
      </c>
      <c r="D1466" t="s">
        <v>147</v>
      </c>
      <c r="E1466" t="s">
        <v>133</v>
      </c>
      <c r="F1466" t="s">
        <v>117</v>
      </c>
      <c r="G1466" t="s">
        <v>118</v>
      </c>
      <c r="H1466" t="s">
        <v>37</v>
      </c>
      <c r="I1466" t="s">
        <v>156</v>
      </c>
      <c r="J1466" t="s">
        <v>94</v>
      </c>
      <c r="K1466">
        <v>8</v>
      </c>
      <c r="L1466">
        <v>3900</v>
      </c>
      <c r="M1466">
        <v>31200</v>
      </c>
      <c r="N1466" t="s">
        <v>108</v>
      </c>
      <c r="O1466" t="s">
        <v>96</v>
      </c>
    </row>
    <row r="1467" spans="1:15" x14ac:dyDescent="0.25">
      <c r="A1467">
        <v>2503</v>
      </c>
      <c r="B1467" s="10">
        <v>45960</v>
      </c>
      <c r="C1467">
        <v>30</v>
      </c>
      <c r="D1467" t="s">
        <v>136</v>
      </c>
      <c r="E1467" t="s">
        <v>142</v>
      </c>
      <c r="F1467" t="s">
        <v>36</v>
      </c>
      <c r="G1467" t="s">
        <v>100</v>
      </c>
      <c r="H1467" t="s">
        <v>37</v>
      </c>
      <c r="I1467" t="s">
        <v>156</v>
      </c>
      <c r="J1467" t="s">
        <v>94</v>
      </c>
      <c r="K1467">
        <v>10</v>
      </c>
      <c r="L1467">
        <v>3900</v>
      </c>
      <c r="M1467">
        <v>39000</v>
      </c>
      <c r="N1467" t="s">
        <v>108</v>
      </c>
      <c r="O1467" t="s">
        <v>115</v>
      </c>
    </row>
    <row r="1468" spans="1:15" x14ac:dyDescent="0.25">
      <c r="A1468">
        <v>2514</v>
      </c>
      <c r="B1468" s="10">
        <v>45953</v>
      </c>
      <c r="C1468">
        <v>23</v>
      </c>
      <c r="D1468" t="s">
        <v>136</v>
      </c>
      <c r="E1468" t="s">
        <v>138</v>
      </c>
      <c r="F1468" t="s">
        <v>36</v>
      </c>
      <c r="G1468" t="s">
        <v>100</v>
      </c>
      <c r="H1468" t="s">
        <v>37</v>
      </c>
      <c r="I1468" t="s">
        <v>156</v>
      </c>
      <c r="J1468" t="s">
        <v>94</v>
      </c>
      <c r="K1468">
        <v>10</v>
      </c>
      <c r="L1468">
        <v>3900</v>
      </c>
      <c r="M1468">
        <v>39000</v>
      </c>
      <c r="N1468" t="s">
        <v>95</v>
      </c>
      <c r="O1468" t="s">
        <v>96</v>
      </c>
    </row>
    <row r="1469" spans="1:15" x14ac:dyDescent="0.25">
      <c r="A1469">
        <v>2536</v>
      </c>
      <c r="B1469" s="10">
        <v>45829</v>
      </c>
      <c r="C1469">
        <v>21</v>
      </c>
      <c r="D1469" t="s">
        <v>153</v>
      </c>
      <c r="E1469" t="s">
        <v>150</v>
      </c>
      <c r="F1469" t="s">
        <v>28</v>
      </c>
      <c r="G1469" t="s">
        <v>126</v>
      </c>
      <c r="H1469" t="s">
        <v>37</v>
      </c>
      <c r="I1469" t="s">
        <v>156</v>
      </c>
      <c r="J1469" t="s">
        <v>94</v>
      </c>
      <c r="K1469">
        <v>4</v>
      </c>
      <c r="L1469">
        <v>3900</v>
      </c>
      <c r="M1469">
        <v>15600</v>
      </c>
      <c r="N1469" t="s">
        <v>95</v>
      </c>
      <c r="O1469" t="s">
        <v>96</v>
      </c>
    </row>
    <row r="1470" spans="1:15" x14ac:dyDescent="0.25">
      <c r="A1470">
        <v>2647</v>
      </c>
      <c r="B1470" s="10">
        <v>45687</v>
      </c>
      <c r="C1470">
        <v>30</v>
      </c>
      <c r="D1470" t="s">
        <v>130</v>
      </c>
      <c r="E1470" t="s">
        <v>137</v>
      </c>
      <c r="F1470" t="s">
        <v>117</v>
      </c>
      <c r="G1470" t="s">
        <v>118</v>
      </c>
      <c r="H1470" t="s">
        <v>37</v>
      </c>
      <c r="I1470" t="s">
        <v>156</v>
      </c>
      <c r="J1470" t="s">
        <v>94</v>
      </c>
      <c r="K1470">
        <v>10</v>
      </c>
      <c r="L1470">
        <v>3900</v>
      </c>
      <c r="M1470">
        <v>39000</v>
      </c>
      <c r="N1470" t="s">
        <v>108</v>
      </c>
      <c r="O1470" t="s">
        <v>96</v>
      </c>
    </row>
    <row r="1471" spans="1:15" x14ac:dyDescent="0.25">
      <c r="A1471">
        <v>2746</v>
      </c>
      <c r="B1471" s="10">
        <v>45769</v>
      </c>
      <c r="C1471">
        <v>22</v>
      </c>
      <c r="D1471" t="s">
        <v>105</v>
      </c>
      <c r="E1471" t="s">
        <v>112</v>
      </c>
      <c r="F1471" t="s">
        <v>28</v>
      </c>
      <c r="G1471" t="s">
        <v>126</v>
      </c>
      <c r="H1471" t="s">
        <v>37</v>
      </c>
      <c r="I1471" t="s">
        <v>156</v>
      </c>
      <c r="J1471" t="s">
        <v>94</v>
      </c>
      <c r="K1471">
        <v>2</v>
      </c>
      <c r="L1471">
        <v>3900</v>
      </c>
      <c r="M1471">
        <v>7800</v>
      </c>
      <c r="N1471" t="s">
        <v>108</v>
      </c>
      <c r="O1471" t="s">
        <v>96</v>
      </c>
    </row>
    <row r="1472" spans="1:15" x14ac:dyDescent="0.25">
      <c r="A1472">
        <v>3060</v>
      </c>
      <c r="B1472" s="10">
        <v>45895</v>
      </c>
      <c r="C1472">
        <v>26</v>
      </c>
      <c r="D1472" t="s">
        <v>109</v>
      </c>
      <c r="E1472" t="s">
        <v>138</v>
      </c>
      <c r="F1472" t="s">
        <v>49</v>
      </c>
      <c r="G1472" t="s">
        <v>118</v>
      </c>
      <c r="H1472" t="s">
        <v>37</v>
      </c>
      <c r="I1472" t="s">
        <v>156</v>
      </c>
      <c r="J1472" t="s">
        <v>94</v>
      </c>
      <c r="K1472">
        <v>8</v>
      </c>
      <c r="L1472">
        <v>3900</v>
      </c>
      <c r="M1472">
        <v>31200</v>
      </c>
      <c r="N1472" t="s">
        <v>108</v>
      </c>
      <c r="O1472" t="s">
        <v>96</v>
      </c>
    </row>
    <row r="1473" spans="1:15" x14ac:dyDescent="0.25">
      <c r="A1473">
        <v>3840</v>
      </c>
      <c r="B1473" s="10">
        <v>45881</v>
      </c>
      <c r="C1473">
        <v>12</v>
      </c>
      <c r="D1473" t="s">
        <v>109</v>
      </c>
      <c r="E1473" t="s">
        <v>133</v>
      </c>
      <c r="F1473" t="s">
        <v>141</v>
      </c>
      <c r="G1473" t="s">
        <v>100</v>
      </c>
      <c r="H1473" t="s">
        <v>37</v>
      </c>
      <c r="I1473" t="s">
        <v>156</v>
      </c>
      <c r="J1473" t="s">
        <v>94</v>
      </c>
      <c r="K1473">
        <v>8</v>
      </c>
      <c r="L1473">
        <v>3900</v>
      </c>
      <c r="M1473">
        <v>31200</v>
      </c>
      <c r="N1473" t="s">
        <v>95</v>
      </c>
      <c r="O1473" t="s">
        <v>104</v>
      </c>
    </row>
    <row r="1474" spans="1:15" x14ac:dyDescent="0.25">
      <c r="A1474">
        <v>3866</v>
      </c>
      <c r="B1474" s="10">
        <v>45993</v>
      </c>
      <c r="C1474">
        <v>2</v>
      </c>
      <c r="D1474" t="s">
        <v>125</v>
      </c>
      <c r="E1474" t="s">
        <v>112</v>
      </c>
      <c r="F1474" t="s">
        <v>122</v>
      </c>
      <c r="G1474" t="s">
        <v>114</v>
      </c>
      <c r="H1474" t="s">
        <v>37</v>
      </c>
      <c r="I1474" t="s">
        <v>156</v>
      </c>
      <c r="J1474" t="s">
        <v>94</v>
      </c>
      <c r="K1474">
        <v>5</v>
      </c>
      <c r="L1474">
        <v>3900</v>
      </c>
      <c r="M1474">
        <v>19500</v>
      </c>
      <c r="N1474" t="s">
        <v>95</v>
      </c>
      <c r="O1474" t="s">
        <v>115</v>
      </c>
    </row>
    <row r="1475" spans="1:15" x14ac:dyDescent="0.25">
      <c r="A1475">
        <v>4170</v>
      </c>
      <c r="B1475" s="10">
        <v>46009</v>
      </c>
      <c r="C1475">
        <v>18</v>
      </c>
      <c r="D1475" t="s">
        <v>125</v>
      </c>
      <c r="E1475" t="s">
        <v>128</v>
      </c>
      <c r="F1475" t="s">
        <v>151</v>
      </c>
      <c r="G1475" t="s">
        <v>111</v>
      </c>
      <c r="H1475" t="s">
        <v>37</v>
      </c>
      <c r="I1475" t="s">
        <v>156</v>
      </c>
      <c r="J1475" t="s">
        <v>94</v>
      </c>
      <c r="K1475">
        <v>2</v>
      </c>
      <c r="L1475">
        <v>3900</v>
      </c>
      <c r="M1475">
        <v>7800</v>
      </c>
      <c r="N1475" t="s">
        <v>95</v>
      </c>
      <c r="O1475" t="s">
        <v>96</v>
      </c>
    </row>
    <row r="1476" spans="1:15" x14ac:dyDescent="0.25">
      <c r="A1476">
        <v>144</v>
      </c>
      <c r="B1476" s="10">
        <v>45729</v>
      </c>
      <c r="C1476">
        <v>13</v>
      </c>
      <c r="D1476" t="s">
        <v>140</v>
      </c>
      <c r="E1476" t="s">
        <v>25</v>
      </c>
      <c r="F1476" t="s">
        <v>22</v>
      </c>
      <c r="G1476" t="s">
        <v>91</v>
      </c>
      <c r="H1476" t="s">
        <v>37</v>
      </c>
      <c r="I1476" t="s">
        <v>156</v>
      </c>
      <c r="J1476" t="s">
        <v>94</v>
      </c>
      <c r="K1476">
        <v>2</v>
      </c>
      <c r="L1476">
        <v>4000</v>
      </c>
      <c r="M1476">
        <v>8000</v>
      </c>
      <c r="N1476" t="s">
        <v>95</v>
      </c>
      <c r="O1476" t="s">
        <v>96</v>
      </c>
    </row>
    <row r="1477" spans="1:15" x14ac:dyDescent="0.25">
      <c r="A1477">
        <v>655</v>
      </c>
      <c r="B1477" s="10">
        <v>45857</v>
      </c>
      <c r="C1477">
        <v>19</v>
      </c>
      <c r="D1477" t="s">
        <v>145</v>
      </c>
      <c r="E1477" t="s">
        <v>98</v>
      </c>
      <c r="F1477" t="s">
        <v>44</v>
      </c>
      <c r="G1477" t="s">
        <v>111</v>
      </c>
      <c r="H1477" t="s">
        <v>37</v>
      </c>
      <c r="I1477" t="s">
        <v>146</v>
      </c>
      <c r="J1477" t="s">
        <v>94</v>
      </c>
      <c r="K1477">
        <v>9</v>
      </c>
      <c r="L1477">
        <v>4000</v>
      </c>
      <c r="M1477">
        <v>36000</v>
      </c>
      <c r="N1477" t="s">
        <v>95</v>
      </c>
      <c r="O1477" t="s">
        <v>115</v>
      </c>
    </row>
    <row r="1478" spans="1:15" x14ac:dyDescent="0.25">
      <c r="A1478">
        <v>781</v>
      </c>
      <c r="B1478" s="10">
        <v>45854</v>
      </c>
      <c r="C1478">
        <v>16</v>
      </c>
      <c r="D1478" t="s">
        <v>145</v>
      </c>
      <c r="E1478" t="s">
        <v>121</v>
      </c>
      <c r="F1478" t="s">
        <v>144</v>
      </c>
      <c r="G1478" t="s">
        <v>91</v>
      </c>
      <c r="H1478" t="s">
        <v>37</v>
      </c>
      <c r="I1478" t="s">
        <v>156</v>
      </c>
      <c r="J1478" t="s">
        <v>94</v>
      </c>
      <c r="K1478">
        <v>5</v>
      </c>
      <c r="L1478">
        <v>4000</v>
      </c>
      <c r="M1478">
        <v>20000</v>
      </c>
      <c r="N1478" t="s">
        <v>95</v>
      </c>
      <c r="O1478" t="s">
        <v>104</v>
      </c>
    </row>
    <row r="1479" spans="1:15" x14ac:dyDescent="0.25">
      <c r="A1479">
        <v>1146</v>
      </c>
      <c r="B1479" s="10">
        <v>46016</v>
      </c>
      <c r="C1479">
        <v>25</v>
      </c>
      <c r="D1479" t="s">
        <v>125</v>
      </c>
      <c r="E1479" t="s">
        <v>121</v>
      </c>
      <c r="F1479" t="s">
        <v>99</v>
      </c>
      <c r="G1479" t="s">
        <v>100</v>
      </c>
      <c r="H1479" t="s">
        <v>37</v>
      </c>
      <c r="I1479" t="s">
        <v>156</v>
      </c>
      <c r="J1479" t="s">
        <v>94</v>
      </c>
      <c r="K1479">
        <v>7</v>
      </c>
      <c r="L1479">
        <v>4000</v>
      </c>
      <c r="M1479">
        <v>28000</v>
      </c>
      <c r="N1479" t="s">
        <v>95</v>
      </c>
      <c r="O1479" t="s">
        <v>104</v>
      </c>
    </row>
    <row r="1480" spans="1:15" x14ac:dyDescent="0.25">
      <c r="A1480">
        <v>1394</v>
      </c>
      <c r="B1480" s="10">
        <v>46009</v>
      </c>
      <c r="C1480">
        <v>18</v>
      </c>
      <c r="D1480" t="s">
        <v>125</v>
      </c>
      <c r="E1480" t="s">
        <v>142</v>
      </c>
      <c r="F1480" t="s">
        <v>134</v>
      </c>
      <c r="G1480" t="s">
        <v>100</v>
      </c>
      <c r="H1480" t="s">
        <v>37</v>
      </c>
      <c r="I1480" t="s">
        <v>156</v>
      </c>
      <c r="J1480" t="s">
        <v>94</v>
      </c>
      <c r="K1480">
        <v>3</v>
      </c>
      <c r="L1480">
        <v>4000</v>
      </c>
      <c r="M1480">
        <v>12000</v>
      </c>
      <c r="N1480" t="s">
        <v>108</v>
      </c>
      <c r="O1480" t="s">
        <v>104</v>
      </c>
    </row>
    <row r="1481" spans="1:15" x14ac:dyDescent="0.25">
      <c r="A1481">
        <v>1541</v>
      </c>
      <c r="B1481" s="10">
        <v>45916</v>
      </c>
      <c r="C1481">
        <v>16</v>
      </c>
      <c r="D1481" t="s">
        <v>147</v>
      </c>
      <c r="E1481" t="s">
        <v>31</v>
      </c>
      <c r="F1481" t="s">
        <v>144</v>
      </c>
      <c r="G1481" t="s">
        <v>91</v>
      </c>
      <c r="H1481" t="s">
        <v>37</v>
      </c>
      <c r="I1481" t="s">
        <v>156</v>
      </c>
      <c r="J1481" t="s">
        <v>94</v>
      </c>
      <c r="K1481">
        <v>8</v>
      </c>
      <c r="L1481">
        <v>4000</v>
      </c>
      <c r="M1481">
        <v>32000</v>
      </c>
      <c r="N1481" t="s">
        <v>108</v>
      </c>
      <c r="O1481" t="s">
        <v>104</v>
      </c>
    </row>
    <row r="1482" spans="1:15" x14ac:dyDescent="0.25">
      <c r="A1482">
        <v>1919</v>
      </c>
      <c r="B1482" s="10">
        <v>45670</v>
      </c>
      <c r="C1482">
        <v>13</v>
      </c>
      <c r="D1482" t="s">
        <v>130</v>
      </c>
      <c r="E1482" t="s">
        <v>121</v>
      </c>
      <c r="F1482" t="s">
        <v>36</v>
      </c>
      <c r="G1482" t="s">
        <v>100</v>
      </c>
      <c r="H1482" t="s">
        <v>37</v>
      </c>
      <c r="I1482" t="s">
        <v>156</v>
      </c>
      <c r="J1482" t="s">
        <v>94</v>
      </c>
      <c r="K1482">
        <v>7</v>
      </c>
      <c r="L1482">
        <v>4000</v>
      </c>
      <c r="M1482">
        <v>28000</v>
      </c>
      <c r="N1482" t="s">
        <v>108</v>
      </c>
      <c r="O1482" t="s">
        <v>104</v>
      </c>
    </row>
    <row r="1483" spans="1:15" x14ac:dyDescent="0.25">
      <c r="A1483">
        <v>2047</v>
      </c>
      <c r="B1483" s="10">
        <v>45698</v>
      </c>
      <c r="C1483">
        <v>10</v>
      </c>
      <c r="D1483" t="s">
        <v>97</v>
      </c>
      <c r="E1483" t="s">
        <v>137</v>
      </c>
      <c r="F1483" t="s">
        <v>144</v>
      </c>
      <c r="G1483" t="s">
        <v>91</v>
      </c>
      <c r="H1483" t="s">
        <v>37</v>
      </c>
      <c r="I1483" t="s">
        <v>156</v>
      </c>
      <c r="J1483" t="s">
        <v>94</v>
      </c>
      <c r="K1483">
        <v>5</v>
      </c>
      <c r="L1483">
        <v>4000</v>
      </c>
      <c r="M1483">
        <v>20000</v>
      </c>
      <c r="N1483" t="s">
        <v>95</v>
      </c>
      <c r="O1483" t="s">
        <v>115</v>
      </c>
    </row>
    <row r="1484" spans="1:15" x14ac:dyDescent="0.25">
      <c r="A1484">
        <v>2117</v>
      </c>
      <c r="B1484" s="10">
        <v>45994</v>
      </c>
      <c r="C1484">
        <v>3</v>
      </c>
      <c r="D1484" t="s">
        <v>125</v>
      </c>
      <c r="E1484" t="s">
        <v>116</v>
      </c>
      <c r="F1484" t="s">
        <v>122</v>
      </c>
      <c r="G1484" t="s">
        <v>114</v>
      </c>
      <c r="H1484" t="s">
        <v>37</v>
      </c>
      <c r="I1484" t="s">
        <v>156</v>
      </c>
      <c r="J1484" t="s">
        <v>94</v>
      </c>
      <c r="K1484">
        <v>7</v>
      </c>
      <c r="L1484">
        <v>4000</v>
      </c>
      <c r="M1484">
        <v>28000</v>
      </c>
      <c r="N1484" t="s">
        <v>95</v>
      </c>
      <c r="O1484" t="s">
        <v>96</v>
      </c>
    </row>
    <row r="1485" spans="1:15" x14ac:dyDescent="0.25">
      <c r="A1485">
        <v>3230</v>
      </c>
      <c r="B1485" s="10">
        <v>45864</v>
      </c>
      <c r="C1485">
        <v>26</v>
      </c>
      <c r="D1485" t="s">
        <v>145</v>
      </c>
      <c r="E1485" t="s">
        <v>128</v>
      </c>
      <c r="F1485" t="s">
        <v>117</v>
      </c>
      <c r="G1485" t="s">
        <v>118</v>
      </c>
      <c r="H1485" t="s">
        <v>37</v>
      </c>
      <c r="I1485" t="s">
        <v>156</v>
      </c>
      <c r="J1485" t="s">
        <v>94</v>
      </c>
      <c r="K1485">
        <v>5</v>
      </c>
      <c r="L1485">
        <v>4000</v>
      </c>
      <c r="M1485">
        <v>20000</v>
      </c>
      <c r="N1485" t="s">
        <v>108</v>
      </c>
      <c r="O1485" t="s">
        <v>115</v>
      </c>
    </row>
    <row r="1486" spans="1:15" x14ac:dyDescent="0.25">
      <c r="A1486">
        <v>3540</v>
      </c>
      <c r="B1486" s="10">
        <v>45683</v>
      </c>
      <c r="C1486">
        <v>26</v>
      </c>
      <c r="D1486" t="s">
        <v>130</v>
      </c>
      <c r="E1486" t="s">
        <v>112</v>
      </c>
      <c r="F1486" t="s">
        <v>28</v>
      </c>
      <c r="G1486" t="s">
        <v>126</v>
      </c>
      <c r="H1486" t="s">
        <v>37</v>
      </c>
      <c r="I1486" t="s">
        <v>156</v>
      </c>
      <c r="J1486" t="s">
        <v>94</v>
      </c>
      <c r="K1486">
        <v>2</v>
      </c>
      <c r="L1486">
        <v>4000</v>
      </c>
      <c r="M1486">
        <v>8000</v>
      </c>
      <c r="N1486" t="s">
        <v>108</v>
      </c>
      <c r="O1486" t="s">
        <v>104</v>
      </c>
    </row>
    <row r="1487" spans="1:15" x14ac:dyDescent="0.25">
      <c r="A1487">
        <v>4020</v>
      </c>
      <c r="B1487" s="10">
        <v>45680</v>
      </c>
      <c r="C1487">
        <v>23</v>
      </c>
      <c r="D1487" t="s">
        <v>130</v>
      </c>
      <c r="E1487" t="s">
        <v>31</v>
      </c>
      <c r="F1487" t="s">
        <v>144</v>
      </c>
      <c r="G1487" t="s">
        <v>91</v>
      </c>
      <c r="H1487" t="s">
        <v>37</v>
      </c>
      <c r="I1487" t="s">
        <v>156</v>
      </c>
      <c r="J1487" t="s">
        <v>94</v>
      </c>
      <c r="K1487">
        <v>1</v>
      </c>
      <c r="L1487">
        <v>4000</v>
      </c>
      <c r="M1487">
        <v>4000</v>
      </c>
      <c r="N1487" t="s">
        <v>95</v>
      </c>
      <c r="O1487" t="s">
        <v>96</v>
      </c>
    </row>
    <row r="1488" spans="1:15" x14ac:dyDescent="0.25">
      <c r="A1488">
        <v>4681</v>
      </c>
      <c r="B1488" s="10">
        <v>45742</v>
      </c>
      <c r="C1488">
        <v>26</v>
      </c>
      <c r="D1488" t="s">
        <v>140</v>
      </c>
      <c r="E1488" t="s">
        <v>133</v>
      </c>
      <c r="F1488" t="s">
        <v>22</v>
      </c>
      <c r="G1488" t="s">
        <v>91</v>
      </c>
      <c r="H1488" t="s">
        <v>37</v>
      </c>
      <c r="I1488" t="s">
        <v>156</v>
      </c>
      <c r="J1488" t="s">
        <v>94</v>
      </c>
      <c r="K1488">
        <v>5</v>
      </c>
      <c r="L1488">
        <v>4000</v>
      </c>
      <c r="M1488">
        <v>20000</v>
      </c>
      <c r="N1488" t="s">
        <v>108</v>
      </c>
      <c r="O1488" t="s">
        <v>115</v>
      </c>
    </row>
    <row r="1489" spans="1:15" x14ac:dyDescent="0.25">
      <c r="A1489">
        <v>4725</v>
      </c>
      <c r="B1489" s="10">
        <v>45761</v>
      </c>
      <c r="C1489">
        <v>14</v>
      </c>
      <c r="D1489" t="s">
        <v>105</v>
      </c>
      <c r="E1489" t="s">
        <v>128</v>
      </c>
      <c r="F1489" t="s">
        <v>141</v>
      </c>
      <c r="G1489" t="s">
        <v>100</v>
      </c>
      <c r="H1489" t="s">
        <v>37</v>
      </c>
      <c r="I1489" t="s">
        <v>156</v>
      </c>
      <c r="J1489" t="s">
        <v>94</v>
      </c>
      <c r="K1489">
        <v>8</v>
      </c>
      <c r="L1489">
        <v>4000</v>
      </c>
      <c r="M1489">
        <v>32000</v>
      </c>
      <c r="N1489" t="s">
        <v>108</v>
      </c>
      <c r="O1489" t="s">
        <v>115</v>
      </c>
    </row>
    <row r="1490" spans="1:15" x14ac:dyDescent="0.25">
      <c r="A1490">
        <v>54</v>
      </c>
      <c r="B1490" s="10">
        <v>45880</v>
      </c>
      <c r="C1490">
        <v>11</v>
      </c>
      <c r="D1490" t="s">
        <v>109</v>
      </c>
      <c r="E1490" t="s">
        <v>150</v>
      </c>
      <c r="F1490" t="s">
        <v>99</v>
      </c>
      <c r="G1490" t="s">
        <v>100</v>
      </c>
      <c r="H1490" t="s">
        <v>37</v>
      </c>
      <c r="I1490" t="s">
        <v>156</v>
      </c>
      <c r="J1490" t="s">
        <v>94</v>
      </c>
      <c r="K1490">
        <v>7</v>
      </c>
      <c r="L1490">
        <v>4100</v>
      </c>
      <c r="M1490">
        <v>28700</v>
      </c>
      <c r="N1490" t="s">
        <v>95</v>
      </c>
      <c r="O1490" t="s">
        <v>115</v>
      </c>
    </row>
    <row r="1491" spans="1:15" x14ac:dyDescent="0.25">
      <c r="A1491">
        <v>2101</v>
      </c>
      <c r="B1491" s="10">
        <v>45674</v>
      </c>
      <c r="C1491">
        <v>17</v>
      </c>
      <c r="D1491" t="s">
        <v>130</v>
      </c>
      <c r="E1491" t="s">
        <v>121</v>
      </c>
      <c r="F1491" t="s">
        <v>141</v>
      </c>
      <c r="G1491" t="s">
        <v>100</v>
      </c>
      <c r="H1491" t="s">
        <v>37</v>
      </c>
      <c r="I1491" t="s">
        <v>156</v>
      </c>
      <c r="J1491" t="s">
        <v>94</v>
      </c>
      <c r="K1491">
        <v>8</v>
      </c>
      <c r="L1491">
        <v>4100</v>
      </c>
      <c r="M1491">
        <v>32800</v>
      </c>
      <c r="N1491" t="s">
        <v>108</v>
      </c>
      <c r="O1491" t="s">
        <v>96</v>
      </c>
    </row>
    <row r="1492" spans="1:15" x14ac:dyDescent="0.25">
      <c r="A1492">
        <v>2684</v>
      </c>
      <c r="B1492" s="10">
        <v>45800</v>
      </c>
      <c r="C1492">
        <v>23</v>
      </c>
      <c r="D1492" t="s">
        <v>120</v>
      </c>
      <c r="E1492" t="s">
        <v>110</v>
      </c>
      <c r="F1492" t="s">
        <v>134</v>
      </c>
      <c r="G1492" t="s">
        <v>100</v>
      </c>
      <c r="H1492" t="s">
        <v>37</v>
      </c>
      <c r="I1492" t="s">
        <v>156</v>
      </c>
      <c r="J1492" t="s">
        <v>94</v>
      </c>
      <c r="K1492">
        <v>3</v>
      </c>
      <c r="L1492">
        <v>4100</v>
      </c>
      <c r="M1492">
        <v>12300</v>
      </c>
      <c r="N1492" t="s">
        <v>95</v>
      </c>
      <c r="O1492" t="s">
        <v>96</v>
      </c>
    </row>
    <row r="1493" spans="1:15" x14ac:dyDescent="0.25">
      <c r="A1493">
        <v>2768</v>
      </c>
      <c r="B1493" s="10">
        <v>45824</v>
      </c>
      <c r="C1493">
        <v>16</v>
      </c>
      <c r="D1493" t="s">
        <v>153</v>
      </c>
      <c r="E1493" t="s">
        <v>106</v>
      </c>
      <c r="F1493" t="s">
        <v>148</v>
      </c>
      <c r="G1493" t="s">
        <v>118</v>
      </c>
      <c r="H1493" t="s">
        <v>37</v>
      </c>
      <c r="I1493" t="s">
        <v>156</v>
      </c>
      <c r="J1493" t="s">
        <v>94</v>
      </c>
      <c r="K1493">
        <v>8</v>
      </c>
      <c r="L1493">
        <v>4100</v>
      </c>
      <c r="M1493">
        <v>32800</v>
      </c>
      <c r="N1493" t="s">
        <v>108</v>
      </c>
      <c r="O1493" t="s">
        <v>104</v>
      </c>
    </row>
    <row r="1494" spans="1:15" x14ac:dyDescent="0.25">
      <c r="A1494">
        <v>2818</v>
      </c>
      <c r="B1494" s="10">
        <v>45930</v>
      </c>
      <c r="C1494">
        <v>30</v>
      </c>
      <c r="D1494" t="s">
        <v>147</v>
      </c>
      <c r="E1494" t="s">
        <v>110</v>
      </c>
      <c r="F1494" t="s">
        <v>107</v>
      </c>
      <c r="G1494" t="s">
        <v>100</v>
      </c>
      <c r="H1494" t="s">
        <v>37</v>
      </c>
      <c r="I1494" t="s">
        <v>156</v>
      </c>
      <c r="J1494" t="s">
        <v>94</v>
      </c>
      <c r="K1494">
        <v>10</v>
      </c>
      <c r="L1494">
        <v>4100</v>
      </c>
      <c r="M1494">
        <v>41000</v>
      </c>
      <c r="N1494" t="s">
        <v>95</v>
      </c>
      <c r="O1494" t="s">
        <v>96</v>
      </c>
    </row>
    <row r="1495" spans="1:15" x14ac:dyDescent="0.25">
      <c r="A1495">
        <v>3255</v>
      </c>
      <c r="B1495" s="10">
        <v>45920</v>
      </c>
      <c r="C1495">
        <v>20</v>
      </c>
      <c r="D1495" t="s">
        <v>147</v>
      </c>
      <c r="E1495" t="s">
        <v>112</v>
      </c>
      <c r="F1495" t="s">
        <v>49</v>
      </c>
      <c r="G1495" t="s">
        <v>118</v>
      </c>
      <c r="H1495" t="s">
        <v>37</v>
      </c>
      <c r="I1495" t="s">
        <v>156</v>
      </c>
      <c r="J1495" t="s">
        <v>94</v>
      </c>
      <c r="K1495">
        <v>2</v>
      </c>
      <c r="L1495">
        <v>4100</v>
      </c>
      <c r="M1495">
        <v>8200</v>
      </c>
      <c r="N1495" t="s">
        <v>108</v>
      </c>
      <c r="O1495" t="s">
        <v>104</v>
      </c>
    </row>
    <row r="1496" spans="1:15" x14ac:dyDescent="0.25">
      <c r="A1496">
        <v>3656</v>
      </c>
      <c r="B1496" s="10">
        <v>45770</v>
      </c>
      <c r="C1496">
        <v>23</v>
      </c>
      <c r="D1496" t="s">
        <v>105</v>
      </c>
      <c r="E1496" t="s">
        <v>25</v>
      </c>
      <c r="F1496" t="s">
        <v>113</v>
      </c>
      <c r="G1496" t="s">
        <v>114</v>
      </c>
      <c r="H1496" t="s">
        <v>37</v>
      </c>
      <c r="I1496" t="s">
        <v>156</v>
      </c>
      <c r="J1496" t="s">
        <v>94</v>
      </c>
      <c r="K1496">
        <v>8</v>
      </c>
      <c r="L1496">
        <v>4100</v>
      </c>
      <c r="M1496">
        <v>32800</v>
      </c>
      <c r="N1496" t="s">
        <v>95</v>
      </c>
      <c r="O1496" t="s">
        <v>104</v>
      </c>
    </row>
    <row r="1497" spans="1:15" x14ac:dyDescent="0.25">
      <c r="A1497">
        <v>3726</v>
      </c>
      <c r="B1497" s="10">
        <v>45933</v>
      </c>
      <c r="C1497">
        <v>3</v>
      </c>
      <c r="D1497" t="s">
        <v>136</v>
      </c>
      <c r="E1497" t="s">
        <v>110</v>
      </c>
      <c r="F1497" t="s">
        <v>148</v>
      </c>
      <c r="G1497" t="s">
        <v>118</v>
      </c>
      <c r="H1497" t="s">
        <v>37</v>
      </c>
      <c r="I1497" t="s">
        <v>156</v>
      </c>
      <c r="J1497" t="s">
        <v>94</v>
      </c>
      <c r="K1497">
        <v>7</v>
      </c>
      <c r="L1497">
        <v>4100</v>
      </c>
      <c r="M1497">
        <v>28700</v>
      </c>
      <c r="N1497" t="s">
        <v>95</v>
      </c>
      <c r="O1497" t="s">
        <v>115</v>
      </c>
    </row>
    <row r="1498" spans="1:15" x14ac:dyDescent="0.25">
      <c r="A1498">
        <v>4507</v>
      </c>
      <c r="B1498" s="10">
        <v>45738</v>
      </c>
      <c r="C1498">
        <v>22</v>
      </c>
      <c r="D1498" t="s">
        <v>140</v>
      </c>
      <c r="E1498" t="s">
        <v>31</v>
      </c>
      <c r="F1498" t="s">
        <v>144</v>
      </c>
      <c r="G1498" t="s">
        <v>91</v>
      </c>
      <c r="H1498" t="s">
        <v>37</v>
      </c>
      <c r="I1498" t="s">
        <v>156</v>
      </c>
      <c r="J1498" t="s">
        <v>94</v>
      </c>
      <c r="K1498">
        <v>4</v>
      </c>
      <c r="L1498">
        <v>4100</v>
      </c>
      <c r="M1498">
        <v>16400</v>
      </c>
      <c r="N1498" t="s">
        <v>95</v>
      </c>
      <c r="O1498" t="s">
        <v>96</v>
      </c>
    </row>
    <row r="1499" spans="1:15" x14ac:dyDescent="0.25">
      <c r="A1499">
        <v>4890</v>
      </c>
      <c r="B1499" s="10">
        <v>45838</v>
      </c>
      <c r="C1499">
        <v>30</v>
      </c>
      <c r="D1499" t="s">
        <v>153</v>
      </c>
      <c r="E1499" t="s">
        <v>128</v>
      </c>
      <c r="F1499" t="s">
        <v>122</v>
      </c>
      <c r="G1499" t="s">
        <v>114</v>
      </c>
      <c r="H1499" t="s">
        <v>37</v>
      </c>
      <c r="I1499" t="s">
        <v>156</v>
      </c>
      <c r="J1499" t="s">
        <v>94</v>
      </c>
      <c r="K1499">
        <v>10</v>
      </c>
      <c r="L1499">
        <v>4100</v>
      </c>
      <c r="M1499">
        <v>41000</v>
      </c>
      <c r="N1499" t="s">
        <v>95</v>
      </c>
      <c r="O1499" t="s">
        <v>104</v>
      </c>
    </row>
    <row r="1500" spans="1:15" x14ac:dyDescent="0.25">
      <c r="A1500">
        <v>765</v>
      </c>
      <c r="B1500" s="10">
        <v>45973</v>
      </c>
      <c r="C1500">
        <v>12</v>
      </c>
      <c r="D1500" t="s">
        <v>90</v>
      </c>
      <c r="E1500" t="s">
        <v>116</v>
      </c>
      <c r="F1500" t="s">
        <v>144</v>
      </c>
      <c r="G1500" t="s">
        <v>91</v>
      </c>
      <c r="H1500" t="s">
        <v>37</v>
      </c>
      <c r="I1500" t="s">
        <v>156</v>
      </c>
      <c r="J1500" t="s">
        <v>94</v>
      </c>
      <c r="K1500">
        <v>6</v>
      </c>
      <c r="L1500">
        <v>4200</v>
      </c>
      <c r="M1500">
        <v>25200</v>
      </c>
      <c r="N1500" t="s">
        <v>108</v>
      </c>
      <c r="O1500" t="s">
        <v>115</v>
      </c>
    </row>
    <row r="1501" spans="1:15" x14ac:dyDescent="0.25">
      <c r="A1501">
        <v>1405</v>
      </c>
      <c r="B1501" s="10">
        <v>45673</v>
      </c>
      <c r="C1501">
        <v>16</v>
      </c>
      <c r="D1501" t="s">
        <v>130</v>
      </c>
      <c r="E1501" t="s">
        <v>31</v>
      </c>
      <c r="F1501" t="s">
        <v>36</v>
      </c>
      <c r="G1501" t="s">
        <v>100</v>
      </c>
      <c r="H1501" t="s">
        <v>37</v>
      </c>
      <c r="I1501" t="s">
        <v>156</v>
      </c>
      <c r="J1501" t="s">
        <v>94</v>
      </c>
      <c r="K1501">
        <v>6</v>
      </c>
      <c r="L1501">
        <v>4200</v>
      </c>
      <c r="M1501">
        <v>25200</v>
      </c>
      <c r="N1501" t="s">
        <v>95</v>
      </c>
      <c r="O1501" t="s">
        <v>104</v>
      </c>
    </row>
    <row r="1502" spans="1:15" x14ac:dyDescent="0.25">
      <c r="A1502">
        <v>2301</v>
      </c>
      <c r="B1502" s="10">
        <v>45853</v>
      </c>
      <c r="C1502">
        <v>15</v>
      </c>
      <c r="D1502" t="s">
        <v>145</v>
      </c>
      <c r="E1502" t="s">
        <v>161</v>
      </c>
      <c r="F1502" t="s">
        <v>148</v>
      </c>
      <c r="G1502" t="s">
        <v>118</v>
      </c>
      <c r="H1502" t="s">
        <v>37</v>
      </c>
      <c r="I1502" t="s">
        <v>156</v>
      </c>
      <c r="J1502" t="s">
        <v>94</v>
      </c>
      <c r="K1502">
        <v>1</v>
      </c>
      <c r="L1502">
        <v>4200</v>
      </c>
      <c r="M1502">
        <v>4200</v>
      </c>
      <c r="N1502" t="s">
        <v>95</v>
      </c>
      <c r="O1502" t="s">
        <v>104</v>
      </c>
    </row>
    <row r="1503" spans="1:15" x14ac:dyDescent="0.25">
      <c r="A1503">
        <v>2335</v>
      </c>
      <c r="B1503" s="10">
        <v>45924</v>
      </c>
      <c r="C1503">
        <v>24</v>
      </c>
      <c r="D1503" t="s">
        <v>147</v>
      </c>
      <c r="E1503" t="s">
        <v>106</v>
      </c>
      <c r="F1503" t="s">
        <v>134</v>
      </c>
      <c r="G1503" t="s">
        <v>100</v>
      </c>
      <c r="H1503" t="s">
        <v>37</v>
      </c>
      <c r="I1503" t="s">
        <v>156</v>
      </c>
      <c r="J1503" t="s">
        <v>94</v>
      </c>
      <c r="K1503">
        <v>4</v>
      </c>
      <c r="L1503">
        <v>4200</v>
      </c>
      <c r="M1503">
        <v>16800</v>
      </c>
      <c r="N1503" t="s">
        <v>108</v>
      </c>
      <c r="O1503" t="s">
        <v>115</v>
      </c>
    </row>
    <row r="1504" spans="1:15" x14ac:dyDescent="0.25">
      <c r="A1504">
        <v>3244</v>
      </c>
      <c r="B1504" s="10">
        <v>45952</v>
      </c>
      <c r="C1504">
        <v>22</v>
      </c>
      <c r="D1504" t="s">
        <v>136</v>
      </c>
      <c r="E1504" t="s">
        <v>110</v>
      </c>
      <c r="F1504" t="s">
        <v>107</v>
      </c>
      <c r="G1504" t="s">
        <v>100</v>
      </c>
      <c r="H1504" t="s">
        <v>37</v>
      </c>
      <c r="I1504" t="s">
        <v>156</v>
      </c>
      <c r="J1504" t="s">
        <v>94</v>
      </c>
      <c r="K1504">
        <v>6</v>
      </c>
      <c r="L1504">
        <v>4200</v>
      </c>
      <c r="M1504">
        <v>25200</v>
      </c>
      <c r="N1504" t="s">
        <v>108</v>
      </c>
      <c r="O1504" t="s">
        <v>96</v>
      </c>
    </row>
    <row r="1505" spans="1:15" x14ac:dyDescent="0.25">
      <c r="A1505">
        <v>3771</v>
      </c>
      <c r="B1505" s="10">
        <v>45674</v>
      </c>
      <c r="C1505">
        <v>17</v>
      </c>
      <c r="D1505" t="s">
        <v>130</v>
      </c>
      <c r="E1505" t="s">
        <v>116</v>
      </c>
      <c r="F1505" t="s">
        <v>151</v>
      </c>
      <c r="G1505" t="s">
        <v>111</v>
      </c>
      <c r="H1505" t="s">
        <v>37</v>
      </c>
      <c r="I1505" t="s">
        <v>156</v>
      </c>
      <c r="J1505" t="s">
        <v>94</v>
      </c>
      <c r="K1505">
        <v>4</v>
      </c>
      <c r="L1505">
        <v>4200</v>
      </c>
      <c r="M1505">
        <v>16800</v>
      </c>
      <c r="N1505" t="s">
        <v>95</v>
      </c>
      <c r="O1505" t="s">
        <v>115</v>
      </c>
    </row>
    <row r="1506" spans="1:15" x14ac:dyDescent="0.25">
      <c r="A1506">
        <v>4261</v>
      </c>
      <c r="B1506" s="10">
        <v>45934</v>
      </c>
      <c r="C1506">
        <v>4</v>
      </c>
      <c r="D1506" t="s">
        <v>136</v>
      </c>
      <c r="E1506" t="s">
        <v>116</v>
      </c>
      <c r="F1506" t="s">
        <v>151</v>
      </c>
      <c r="G1506" t="s">
        <v>111</v>
      </c>
      <c r="H1506" t="s">
        <v>37</v>
      </c>
      <c r="I1506" t="s">
        <v>156</v>
      </c>
      <c r="J1506" t="s">
        <v>94</v>
      </c>
      <c r="K1506">
        <v>5</v>
      </c>
      <c r="L1506">
        <v>4200</v>
      </c>
      <c r="M1506">
        <v>21000</v>
      </c>
      <c r="N1506" t="s">
        <v>95</v>
      </c>
      <c r="O1506" t="s">
        <v>96</v>
      </c>
    </row>
    <row r="1507" spans="1:15" x14ac:dyDescent="0.25">
      <c r="A1507">
        <v>4424</v>
      </c>
      <c r="B1507" s="10">
        <v>45978</v>
      </c>
      <c r="C1507">
        <v>17</v>
      </c>
      <c r="D1507" t="s">
        <v>90</v>
      </c>
      <c r="E1507" t="s">
        <v>128</v>
      </c>
      <c r="F1507" t="s">
        <v>22</v>
      </c>
      <c r="G1507" t="s">
        <v>91</v>
      </c>
      <c r="H1507" t="s">
        <v>37</v>
      </c>
      <c r="I1507" t="s">
        <v>156</v>
      </c>
      <c r="J1507" t="s">
        <v>94</v>
      </c>
      <c r="K1507">
        <v>8</v>
      </c>
      <c r="L1507">
        <v>4200</v>
      </c>
      <c r="M1507">
        <v>33600</v>
      </c>
      <c r="N1507" t="s">
        <v>95</v>
      </c>
      <c r="O1507" t="s">
        <v>96</v>
      </c>
    </row>
    <row r="1508" spans="1:15" x14ac:dyDescent="0.25">
      <c r="A1508">
        <v>4512</v>
      </c>
      <c r="B1508" s="10">
        <v>45718</v>
      </c>
      <c r="C1508">
        <v>2</v>
      </c>
      <c r="D1508" t="s">
        <v>140</v>
      </c>
      <c r="E1508" t="s">
        <v>137</v>
      </c>
      <c r="F1508" t="s">
        <v>44</v>
      </c>
      <c r="G1508" t="s">
        <v>111</v>
      </c>
      <c r="H1508" t="s">
        <v>37</v>
      </c>
      <c r="I1508" t="s">
        <v>156</v>
      </c>
      <c r="J1508" t="s">
        <v>94</v>
      </c>
      <c r="K1508">
        <v>6</v>
      </c>
      <c r="L1508">
        <v>4200</v>
      </c>
      <c r="M1508">
        <v>25200</v>
      </c>
      <c r="N1508" t="s">
        <v>95</v>
      </c>
      <c r="O1508" t="s">
        <v>115</v>
      </c>
    </row>
    <row r="1509" spans="1:15" x14ac:dyDescent="0.25">
      <c r="A1509">
        <v>855</v>
      </c>
      <c r="B1509" s="10">
        <v>46018</v>
      </c>
      <c r="C1509">
        <v>27</v>
      </c>
      <c r="D1509" t="s">
        <v>125</v>
      </c>
      <c r="E1509" t="s">
        <v>142</v>
      </c>
      <c r="F1509" t="s">
        <v>36</v>
      </c>
      <c r="G1509" t="s">
        <v>100</v>
      </c>
      <c r="H1509" t="s">
        <v>37</v>
      </c>
      <c r="I1509" t="s">
        <v>156</v>
      </c>
      <c r="J1509" t="s">
        <v>94</v>
      </c>
      <c r="K1509">
        <v>2</v>
      </c>
      <c r="L1509">
        <v>4300</v>
      </c>
      <c r="M1509">
        <v>8600</v>
      </c>
      <c r="N1509" t="s">
        <v>108</v>
      </c>
      <c r="O1509" t="s">
        <v>96</v>
      </c>
    </row>
    <row r="1510" spans="1:15" x14ac:dyDescent="0.25">
      <c r="A1510">
        <v>2138</v>
      </c>
      <c r="B1510" s="10">
        <v>45902</v>
      </c>
      <c r="C1510">
        <v>2</v>
      </c>
      <c r="D1510" t="s">
        <v>147</v>
      </c>
      <c r="E1510" t="s">
        <v>25</v>
      </c>
      <c r="F1510" t="s">
        <v>151</v>
      </c>
      <c r="G1510" t="s">
        <v>111</v>
      </c>
      <c r="H1510" t="s">
        <v>37</v>
      </c>
      <c r="I1510" t="s">
        <v>156</v>
      </c>
      <c r="J1510" t="s">
        <v>94</v>
      </c>
      <c r="K1510">
        <v>5</v>
      </c>
      <c r="L1510">
        <v>4300</v>
      </c>
      <c r="M1510">
        <v>21500</v>
      </c>
      <c r="N1510" t="s">
        <v>95</v>
      </c>
      <c r="O1510" t="s">
        <v>96</v>
      </c>
    </row>
    <row r="1511" spans="1:15" x14ac:dyDescent="0.25">
      <c r="A1511">
        <v>2405</v>
      </c>
      <c r="B1511" s="10">
        <v>45777</v>
      </c>
      <c r="C1511">
        <v>30</v>
      </c>
      <c r="D1511" t="s">
        <v>105</v>
      </c>
      <c r="E1511" t="s">
        <v>121</v>
      </c>
      <c r="F1511" t="s">
        <v>36</v>
      </c>
      <c r="G1511" t="s">
        <v>100</v>
      </c>
      <c r="H1511" t="s">
        <v>37</v>
      </c>
      <c r="I1511" t="s">
        <v>156</v>
      </c>
      <c r="J1511" t="s">
        <v>94</v>
      </c>
      <c r="K1511">
        <v>4</v>
      </c>
      <c r="L1511">
        <v>4300</v>
      </c>
      <c r="M1511">
        <v>17200</v>
      </c>
      <c r="N1511" t="s">
        <v>108</v>
      </c>
      <c r="O1511" t="s">
        <v>96</v>
      </c>
    </row>
    <row r="1512" spans="1:15" x14ac:dyDescent="0.25">
      <c r="A1512">
        <v>2456</v>
      </c>
      <c r="B1512" s="10">
        <v>46013</v>
      </c>
      <c r="C1512">
        <v>22</v>
      </c>
      <c r="D1512" t="s">
        <v>125</v>
      </c>
      <c r="E1512" t="s">
        <v>98</v>
      </c>
      <c r="F1512" t="s">
        <v>151</v>
      </c>
      <c r="G1512" t="s">
        <v>111</v>
      </c>
      <c r="H1512" t="s">
        <v>37</v>
      </c>
      <c r="I1512" t="s">
        <v>156</v>
      </c>
      <c r="J1512" t="s">
        <v>94</v>
      </c>
      <c r="K1512">
        <v>6</v>
      </c>
      <c r="L1512">
        <v>4300</v>
      </c>
      <c r="M1512">
        <v>25800</v>
      </c>
      <c r="N1512" t="s">
        <v>95</v>
      </c>
      <c r="O1512" t="s">
        <v>115</v>
      </c>
    </row>
    <row r="1513" spans="1:15" x14ac:dyDescent="0.25">
      <c r="A1513">
        <v>4289</v>
      </c>
      <c r="B1513" s="10">
        <v>45945</v>
      </c>
      <c r="C1513">
        <v>15</v>
      </c>
      <c r="D1513" t="s">
        <v>136</v>
      </c>
      <c r="E1513" t="s">
        <v>106</v>
      </c>
      <c r="F1513" t="s">
        <v>141</v>
      </c>
      <c r="G1513" t="s">
        <v>100</v>
      </c>
      <c r="H1513" t="s">
        <v>37</v>
      </c>
      <c r="I1513" t="s">
        <v>156</v>
      </c>
      <c r="J1513" t="s">
        <v>94</v>
      </c>
      <c r="K1513">
        <v>1</v>
      </c>
      <c r="L1513">
        <v>4300</v>
      </c>
      <c r="M1513">
        <v>4300</v>
      </c>
      <c r="N1513" t="s">
        <v>108</v>
      </c>
      <c r="O1513" t="s">
        <v>104</v>
      </c>
    </row>
    <row r="1514" spans="1:15" x14ac:dyDescent="0.25">
      <c r="A1514">
        <v>708</v>
      </c>
      <c r="B1514" s="10">
        <v>45817</v>
      </c>
      <c r="C1514">
        <v>9</v>
      </c>
      <c r="D1514" t="s">
        <v>153</v>
      </c>
      <c r="E1514" t="s">
        <v>128</v>
      </c>
      <c r="F1514" t="s">
        <v>148</v>
      </c>
      <c r="G1514" t="s">
        <v>118</v>
      </c>
      <c r="H1514" t="s">
        <v>37</v>
      </c>
      <c r="I1514" t="s">
        <v>156</v>
      </c>
      <c r="J1514" t="s">
        <v>94</v>
      </c>
      <c r="K1514">
        <v>4</v>
      </c>
      <c r="L1514">
        <v>4400</v>
      </c>
      <c r="M1514">
        <v>17600</v>
      </c>
      <c r="N1514" t="s">
        <v>95</v>
      </c>
      <c r="O1514" t="s">
        <v>96</v>
      </c>
    </row>
    <row r="1515" spans="1:15" x14ac:dyDescent="0.25">
      <c r="A1515">
        <v>1277</v>
      </c>
      <c r="B1515" s="10">
        <v>45779</v>
      </c>
      <c r="C1515">
        <v>2</v>
      </c>
      <c r="D1515" t="s">
        <v>120</v>
      </c>
      <c r="E1515" t="s">
        <v>25</v>
      </c>
      <c r="F1515" t="s">
        <v>122</v>
      </c>
      <c r="G1515" t="s">
        <v>114</v>
      </c>
      <c r="H1515" t="s">
        <v>37</v>
      </c>
      <c r="I1515" t="s">
        <v>156</v>
      </c>
      <c r="J1515" t="s">
        <v>94</v>
      </c>
      <c r="K1515">
        <v>7</v>
      </c>
      <c r="L1515">
        <v>4500</v>
      </c>
      <c r="M1515">
        <v>31500</v>
      </c>
      <c r="N1515" t="s">
        <v>108</v>
      </c>
      <c r="O1515" t="s">
        <v>115</v>
      </c>
    </row>
    <row r="1516" spans="1:15" x14ac:dyDescent="0.25">
      <c r="A1516">
        <v>978</v>
      </c>
      <c r="B1516" s="10">
        <v>45820</v>
      </c>
      <c r="C1516">
        <v>12</v>
      </c>
      <c r="D1516" t="s">
        <v>153</v>
      </c>
      <c r="E1516" t="s">
        <v>161</v>
      </c>
      <c r="F1516" t="s">
        <v>107</v>
      </c>
      <c r="G1516" t="s">
        <v>100</v>
      </c>
      <c r="H1516" t="s">
        <v>131</v>
      </c>
      <c r="I1516" t="s">
        <v>149</v>
      </c>
      <c r="J1516" t="s">
        <v>103</v>
      </c>
      <c r="K1516">
        <v>12</v>
      </c>
      <c r="L1516">
        <v>5200</v>
      </c>
      <c r="M1516">
        <v>62400</v>
      </c>
      <c r="N1516" t="s">
        <v>108</v>
      </c>
      <c r="O1516" t="s">
        <v>104</v>
      </c>
    </row>
    <row r="1517" spans="1:15" x14ac:dyDescent="0.25">
      <c r="A1517">
        <v>4499</v>
      </c>
      <c r="B1517" s="10">
        <v>45991</v>
      </c>
      <c r="C1517">
        <v>30</v>
      </c>
      <c r="D1517" t="s">
        <v>90</v>
      </c>
      <c r="E1517" t="s">
        <v>133</v>
      </c>
      <c r="F1517" t="s">
        <v>144</v>
      </c>
      <c r="G1517" t="s">
        <v>91</v>
      </c>
      <c r="H1517" t="s">
        <v>131</v>
      </c>
      <c r="I1517" t="s">
        <v>149</v>
      </c>
      <c r="J1517" t="s">
        <v>103</v>
      </c>
      <c r="K1517">
        <v>17</v>
      </c>
      <c r="L1517">
        <v>5300</v>
      </c>
      <c r="M1517">
        <v>90100</v>
      </c>
      <c r="N1517" t="s">
        <v>108</v>
      </c>
      <c r="O1517" t="s">
        <v>115</v>
      </c>
    </row>
    <row r="1518" spans="1:15" x14ac:dyDescent="0.25">
      <c r="A1518">
        <v>38</v>
      </c>
      <c r="B1518" s="10">
        <v>45818</v>
      </c>
      <c r="C1518">
        <v>10</v>
      </c>
      <c r="D1518" t="s">
        <v>153</v>
      </c>
      <c r="E1518" t="s">
        <v>106</v>
      </c>
      <c r="F1518" t="s">
        <v>44</v>
      </c>
      <c r="G1518" t="s">
        <v>111</v>
      </c>
      <c r="H1518" t="s">
        <v>131</v>
      </c>
      <c r="I1518" t="s">
        <v>149</v>
      </c>
      <c r="J1518" t="s">
        <v>103</v>
      </c>
      <c r="K1518">
        <v>34</v>
      </c>
      <c r="L1518">
        <v>5400</v>
      </c>
      <c r="M1518">
        <v>183600</v>
      </c>
      <c r="N1518" t="s">
        <v>108</v>
      </c>
      <c r="O1518" t="s">
        <v>104</v>
      </c>
    </row>
    <row r="1519" spans="1:15" x14ac:dyDescent="0.25">
      <c r="A1519">
        <v>609</v>
      </c>
      <c r="B1519" s="10">
        <v>45884</v>
      </c>
      <c r="C1519">
        <v>15</v>
      </c>
      <c r="D1519" t="s">
        <v>109</v>
      </c>
      <c r="E1519" t="s">
        <v>142</v>
      </c>
      <c r="F1519" t="s">
        <v>148</v>
      </c>
      <c r="G1519" t="s">
        <v>118</v>
      </c>
      <c r="H1519" t="s">
        <v>131</v>
      </c>
      <c r="I1519" t="s">
        <v>149</v>
      </c>
      <c r="J1519" t="s">
        <v>103</v>
      </c>
      <c r="K1519">
        <v>34</v>
      </c>
      <c r="L1519">
        <v>5400</v>
      </c>
      <c r="M1519">
        <v>183600</v>
      </c>
      <c r="N1519" t="s">
        <v>108</v>
      </c>
      <c r="O1519" t="s">
        <v>96</v>
      </c>
    </row>
    <row r="1520" spans="1:15" x14ac:dyDescent="0.25">
      <c r="A1520">
        <v>1879</v>
      </c>
      <c r="B1520" s="10">
        <v>45987</v>
      </c>
      <c r="C1520">
        <v>26</v>
      </c>
      <c r="D1520" t="s">
        <v>90</v>
      </c>
      <c r="E1520" t="s">
        <v>116</v>
      </c>
      <c r="F1520" t="s">
        <v>49</v>
      </c>
      <c r="G1520" t="s">
        <v>118</v>
      </c>
      <c r="H1520" t="s">
        <v>131</v>
      </c>
      <c r="I1520" t="s">
        <v>149</v>
      </c>
      <c r="J1520" t="s">
        <v>103</v>
      </c>
      <c r="K1520">
        <v>11</v>
      </c>
      <c r="L1520">
        <v>5400</v>
      </c>
      <c r="M1520">
        <v>59400</v>
      </c>
      <c r="N1520" t="s">
        <v>108</v>
      </c>
      <c r="O1520" t="s">
        <v>115</v>
      </c>
    </row>
    <row r="1521" spans="1:15" x14ac:dyDescent="0.25">
      <c r="A1521">
        <v>1921</v>
      </c>
      <c r="B1521" s="10">
        <v>45706</v>
      </c>
      <c r="C1521">
        <v>18</v>
      </c>
      <c r="D1521" t="s">
        <v>97</v>
      </c>
      <c r="E1521" t="s">
        <v>25</v>
      </c>
      <c r="F1521" t="s">
        <v>134</v>
      </c>
      <c r="G1521" t="s">
        <v>100</v>
      </c>
      <c r="H1521" t="s">
        <v>131</v>
      </c>
      <c r="I1521" t="s">
        <v>149</v>
      </c>
      <c r="J1521" t="s">
        <v>103</v>
      </c>
      <c r="K1521">
        <v>26</v>
      </c>
      <c r="L1521">
        <v>5400</v>
      </c>
      <c r="M1521">
        <v>140400</v>
      </c>
      <c r="N1521" t="s">
        <v>95</v>
      </c>
      <c r="O1521" t="s">
        <v>104</v>
      </c>
    </row>
    <row r="1522" spans="1:15" x14ac:dyDescent="0.25">
      <c r="A1522">
        <v>1982</v>
      </c>
      <c r="B1522" s="10">
        <v>45860</v>
      </c>
      <c r="C1522">
        <v>22</v>
      </c>
      <c r="D1522" t="s">
        <v>145</v>
      </c>
      <c r="E1522" t="s">
        <v>137</v>
      </c>
      <c r="F1522" t="s">
        <v>122</v>
      </c>
      <c r="G1522" t="s">
        <v>114</v>
      </c>
      <c r="H1522" t="s">
        <v>131</v>
      </c>
      <c r="I1522" t="s">
        <v>149</v>
      </c>
      <c r="J1522" t="s">
        <v>103</v>
      </c>
      <c r="K1522">
        <v>31</v>
      </c>
      <c r="L1522">
        <v>5500</v>
      </c>
      <c r="M1522">
        <v>170500</v>
      </c>
      <c r="N1522" t="s">
        <v>95</v>
      </c>
      <c r="O1522" t="s">
        <v>104</v>
      </c>
    </row>
    <row r="1523" spans="1:15" x14ac:dyDescent="0.25">
      <c r="A1523">
        <v>4296</v>
      </c>
      <c r="B1523" s="10">
        <v>45830</v>
      </c>
      <c r="C1523">
        <v>22</v>
      </c>
      <c r="D1523" t="s">
        <v>153</v>
      </c>
      <c r="E1523" t="s">
        <v>116</v>
      </c>
      <c r="F1523" t="s">
        <v>144</v>
      </c>
      <c r="G1523" t="s">
        <v>91</v>
      </c>
      <c r="H1523" t="s">
        <v>131</v>
      </c>
      <c r="I1523" t="s">
        <v>149</v>
      </c>
      <c r="J1523" t="s">
        <v>103</v>
      </c>
      <c r="K1523">
        <v>34</v>
      </c>
      <c r="L1523">
        <v>5500</v>
      </c>
      <c r="M1523">
        <v>187000</v>
      </c>
      <c r="N1523" t="s">
        <v>95</v>
      </c>
      <c r="O1523" t="s">
        <v>115</v>
      </c>
    </row>
    <row r="1524" spans="1:15" x14ac:dyDescent="0.25">
      <c r="A1524">
        <v>4739</v>
      </c>
      <c r="B1524" s="10">
        <v>45926</v>
      </c>
      <c r="C1524">
        <v>26</v>
      </c>
      <c r="D1524" t="s">
        <v>147</v>
      </c>
      <c r="E1524" t="s">
        <v>142</v>
      </c>
      <c r="F1524" t="s">
        <v>122</v>
      </c>
      <c r="G1524" t="s">
        <v>114</v>
      </c>
      <c r="H1524" t="s">
        <v>131</v>
      </c>
      <c r="I1524" t="s">
        <v>149</v>
      </c>
      <c r="J1524" t="s">
        <v>103</v>
      </c>
      <c r="K1524">
        <v>39</v>
      </c>
      <c r="L1524">
        <v>5500</v>
      </c>
      <c r="M1524">
        <v>214500</v>
      </c>
      <c r="N1524" t="s">
        <v>95</v>
      </c>
      <c r="O1524" t="s">
        <v>96</v>
      </c>
    </row>
    <row r="1525" spans="1:15" x14ac:dyDescent="0.25">
      <c r="A1525">
        <v>2276</v>
      </c>
      <c r="B1525" s="10">
        <v>45803</v>
      </c>
      <c r="C1525">
        <v>26</v>
      </c>
      <c r="D1525" t="s">
        <v>120</v>
      </c>
      <c r="E1525" t="s">
        <v>25</v>
      </c>
      <c r="F1525" t="s">
        <v>49</v>
      </c>
      <c r="G1525" t="s">
        <v>118</v>
      </c>
      <c r="H1525" t="s">
        <v>131</v>
      </c>
      <c r="I1525" t="s">
        <v>149</v>
      </c>
      <c r="J1525" t="s">
        <v>103</v>
      </c>
      <c r="K1525">
        <v>11</v>
      </c>
      <c r="L1525">
        <v>5600</v>
      </c>
      <c r="M1525">
        <v>61600</v>
      </c>
      <c r="N1525" t="s">
        <v>108</v>
      </c>
      <c r="O1525" t="s">
        <v>115</v>
      </c>
    </row>
    <row r="1526" spans="1:15" x14ac:dyDescent="0.25">
      <c r="A1526">
        <v>2505</v>
      </c>
      <c r="B1526" s="10">
        <v>46017</v>
      </c>
      <c r="C1526">
        <v>26</v>
      </c>
      <c r="D1526" t="s">
        <v>125</v>
      </c>
      <c r="E1526" t="s">
        <v>112</v>
      </c>
      <c r="F1526" t="s">
        <v>113</v>
      </c>
      <c r="G1526" t="s">
        <v>114</v>
      </c>
      <c r="H1526" t="s">
        <v>131</v>
      </c>
      <c r="I1526" t="s">
        <v>149</v>
      </c>
      <c r="J1526" t="s">
        <v>103</v>
      </c>
      <c r="K1526">
        <v>5</v>
      </c>
      <c r="L1526">
        <v>5600</v>
      </c>
      <c r="M1526">
        <v>28000</v>
      </c>
      <c r="N1526" t="s">
        <v>108</v>
      </c>
      <c r="O1526" t="s">
        <v>104</v>
      </c>
    </row>
    <row r="1527" spans="1:15" x14ac:dyDescent="0.25">
      <c r="A1527">
        <v>3006</v>
      </c>
      <c r="B1527" s="10">
        <v>45752</v>
      </c>
      <c r="C1527">
        <v>5</v>
      </c>
      <c r="D1527" t="s">
        <v>105</v>
      </c>
      <c r="E1527" t="s">
        <v>142</v>
      </c>
      <c r="F1527" t="s">
        <v>141</v>
      </c>
      <c r="G1527" t="s">
        <v>100</v>
      </c>
      <c r="H1527" t="s">
        <v>131</v>
      </c>
      <c r="I1527" t="s">
        <v>149</v>
      </c>
      <c r="J1527" t="s">
        <v>103</v>
      </c>
      <c r="K1527">
        <v>22</v>
      </c>
      <c r="L1527">
        <v>5600</v>
      </c>
      <c r="M1527">
        <v>123200</v>
      </c>
      <c r="N1527" t="s">
        <v>108</v>
      </c>
      <c r="O1527" t="s">
        <v>96</v>
      </c>
    </row>
    <row r="1528" spans="1:15" x14ac:dyDescent="0.25">
      <c r="A1528">
        <v>380</v>
      </c>
      <c r="B1528" s="10">
        <v>45833</v>
      </c>
      <c r="C1528">
        <v>25</v>
      </c>
      <c r="D1528" t="s">
        <v>153</v>
      </c>
      <c r="E1528" t="s">
        <v>121</v>
      </c>
      <c r="F1528" t="s">
        <v>28</v>
      </c>
      <c r="G1528" t="s">
        <v>126</v>
      </c>
      <c r="H1528" t="s">
        <v>131</v>
      </c>
      <c r="I1528" t="s">
        <v>149</v>
      </c>
      <c r="J1528" t="s">
        <v>103</v>
      </c>
      <c r="K1528">
        <v>9</v>
      </c>
      <c r="L1528">
        <v>5700</v>
      </c>
      <c r="M1528">
        <v>51300</v>
      </c>
      <c r="N1528" t="s">
        <v>95</v>
      </c>
      <c r="O1528" t="s">
        <v>115</v>
      </c>
    </row>
    <row r="1529" spans="1:15" x14ac:dyDescent="0.25">
      <c r="A1529">
        <v>590</v>
      </c>
      <c r="B1529" s="10">
        <v>45680</v>
      </c>
      <c r="C1529">
        <v>23</v>
      </c>
      <c r="D1529" t="s">
        <v>130</v>
      </c>
      <c r="E1529" t="s">
        <v>161</v>
      </c>
      <c r="F1529" t="s">
        <v>107</v>
      </c>
      <c r="G1529" t="s">
        <v>100</v>
      </c>
      <c r="H1529" t="s">
        <v>131</v>
      </c>
      <c r="I1529" t="s">
        <v>149</v>
      </c>
      <c r="J1529" t="s">
        <v>103</v>
      </c>
      <c r="K1529">
        <v>29</v>
      </c>
      <c r="L1529">
        <v>5700</v>
      </c>
      <c r="M1529">
        <v>165300</v>
      </c>
      <c r="N1529" t="s">
        <v>108</v>
      </c>
      <c r="O1529" t="s">
        <v>96</v>
      </c>
    </row>
    <row r="1530" spans="1:15" x14ac:dyDescent="0.25">
      <c r="A1530">
        <v>1503</v>
      </c>
      <c r="B1530" s="10">
        <v>45904</v>
      </c>
      <c r="C1530">
        <v>4</v>
      </c>
      <c r="D1530" t="s">
        <v>147</v>
      </c>
      <c r="E1530" t="s">
        <v>25</v>
      </c>
      <c r="F1530" t="s">
        <v>134</v>
      </c>
      <c r="G1530" t="s">
        <v>100</v>
      </c>
      <c r="H1530" t="s">
        <v>131</v>
      </c>
      <c r="I1530" t="s">
        <v>149</v>
      </c>
      <c r="J1530" t="s">
        <v>103</v>
      </c>
      <c r="K1530">
        <v>49</v>
      </c>
      <c r="L1530">
        <v>5700</v>
      </c>
      <c r="M1530">
        <v>279300</v>
      </c>
      <c r="N1530" t="s">
        <v>108</v>
      </c>
      <c r="O1530" t="s">
        <v>96</v>
      </c>
    </row>
    <row r="1531" spans="1:15" x14ac:dyDescent="0.25">
      <c r="A1531">
        <v>1818</v>
      </c>
      <c r="B1531" s="10">
        <v>45940</v>
      </c>
      <c r="C1531">
        <v>10</v>
      </c>
      <c r="D1531" t="s">
        <v>136</v>
      </c>
      <c r="E1531" t="s">
        <v>110</v>
      </c>
      <c r="F1531" t="s">
        <v>49</v>
      </c>
      <c r="G1531" t="s">
        <v>118</v>
      </c>
      <c r="H1531" t="s">
        <v>131</v>
      </c>
      <c r="I1531" t="s">
        <v>149</v>
      </c>
      <c r="J1531" t="s">
        <v>103</v>
      </c>
      <c r="K1531">
        <v>45</v>
      </c>
      <c r="L1531">
        <v>5700</v>
      </c>
      <c r="M1531">
        <v>256500</v>
      </c>
      <c r="N1531" t="s">
        <v>108</v>
      </c>
      <c r="O1531" t="s">
        <v>96</v>
      </c>
    </row>
    <row r="1532" spans="1:15" x14ac:dyDescent="0.25">
      <c r="A1532">
        <v>3411</v>
      </c>
      <c r="B1532" s="10">
        <v>45889</v>
      </c>
      <c r="C1532">
        <v>20</v>
      </c>
      <c r="D1532" t="s">
        <v>109</v>
      </c>
      <c r="E1532" t="s">
        <v>150</v>
      </c>
      <c r="F1532" t="s">
        <v>122</v>
      </c>
      <c r="G1532" t="s">
        <v>114</v>
      </c>
      <c r="H1532" t="s">
        <v>131</v>
      </c>
      <c r="I1532" t="s">
        <v>149</v>
      </c>
      <c r="J1532" t="s">
        <v>103</v>
      </c>
      <c r="K1532">
        <v>28</v>
      </c>
      <c r="L1532">
        <v>5700</v>
      </c>
      <c r="M1532">
        <v>159600</v>
      </c>
      <c r="N1532" t="s">
        <v>108</v>
      </c>
      <c r="O1532" t="s">
        <v>104</v>
      </c>
    </row>
    <row r="1533" spans="1:15" x14ac:dyDescent="0.25">
      <c r="A1533">
        <v>3523</v>
      </c>
      <c r="B1533" s="10">
        <v>45738</v>
      </c>
      <c r="C1533">
        <v>22</v>
      </c>
      <c r="D1533" t="s">
        <v>140</v>
      </c>
      <c r="E1533" t="s">
        <v>128</v>
      </c>
      <c r="F1533" t="s">
        <v>141</v>
      </c>
      <c r="G1533" t="s">
        <v>100</v>
      </c>
      <c r="H1533" t="s">
        <v>131</v>
      </c>
      <c r="I1533" t="s">
        <v>149</v>
      </c>
      <c r="J1533" t="s">
        <v>103</v>
      </c>
      <c r="K1533">
        <v>29</v>
      </c>
      <c r="L1533">
        <v>5700</v>
      </c>
      <c r="M1533">
        <v>165300</v>
      </c>
      <c r="N1533" t="s">
        <v>108</v>
      </c>
      <c r="O1533" t="s">
        <v>96</v>
      </c>
    </row>
    <row r="1534" spans="1:15" x14ac:dyDescent="0.25">
      <c r="A1534">
        <v>4183</v>
      </c>
      <c r="B1534" s="10">
        <v>45917</v>
      </c>
      <c r="C1534">
        <v>17</v>
      </c>
      <c r="D1534" t="s">
        <v>147</v>
      </c>
      <c r="E1534" t="s">
        <v>121</v>
      </c>
      <c r="F1534" t="s">
        <v>113</v>
      </c>
      <c r="G1534" t="s">
        <v>114</v>
      </c>
      <c r="H1534" t="s">
        <v>131</v>
      </c>
      <c r="I1534" t="s">
        <v>149</v>
      </c>
      <c r="J1534" t="s">
        <v>103</v>
      </c>
      <c r="K1534">
        <v>26</v>
      </c>
      <c r="L1534">
        <v>5700</v>
      </c>
      <c r="M1534">
        <v>148200</v>
      </c>
      <c r="N1534" t="s">
        <v>108</v>
      </c>
      <c r="O1534" t="s">
        <v>96</v>
      </c>
    </row>
    <row r="1535" spans="1:15" x14ac:dyDescent="0.25">
      <c r="A1535">
        <v>4501</v>
      </c>
      <c r="B1535" s="10">
        <v>45858</v>
      </c>
      <c r="C1535">
        <v>20</v>
      </c>
      <c r="D1535" t="s">
        <v>145</v>
      </c>
      <c r="E1535" t="s">
        <v>121</v>
      </c>
      <c r="F1535" t="s">
        <v>44</v>
      </c>
      <c r="G1535" t="s">
        <v>111</v>
      </c>
      <c r="H1535" t="s">
        <v>131</v>
      </c>
      <c r="I1535" t="s">
        <v>149</v>
      </c>
      <c r="J1535" t="s">
        <v>103</v>
      </c>
      <c r="K1535">
        <v>12</v>
      </c>
      <c r="L1535">
        <v>5700</v>
      </c>
      <c r="M1535">
        <v>68400</v>
      </c>
      <c r="N1535" t="s">
        <v>108</v>
      </c>
      <c r="O1535" t="s">
        <v>115</v>
      </c>
    </row>
    <row r="1536" spans="1:15" x14ac:dyDescent="0.25">
      <c r="A1536">
        <v>4516</v>
      </c>
      <c r="B1536" s="10">
        <v>45983</v>
      </c>
      <c r="C1536">
        <v>22</v>
      </c>
      <c r="D1536" t="s">
        <v>90</v>
      </c>
      <c r="E1536" t="s">
        <v>133</v>
      </c>
      <c r="F1536" t="s">
        <v>144</v>
      </c>
      <c r="G1536" t="s">
        <v>91</v>
      </c>
      <c r="H1536" t="s">
        <v>131</v>
      </c>
      <c r="I1536" t="s">
        <v>149</v>
      </c>
      <c r="J1536" t="s">
        <v>103</v>
      </c>
      <c r="K1536">
        <v>7</v>
      </c>
      <c r="L1536">
        <v>5700</v>
      </c>
      <c r="M1536">
        <v>39900</v>
      </c>
      <c r="N1536" t="s">
        <v>95</v>
      </c>
      <c r="O1536" t="s">
        <v>104</v>
      </c>
    </row>
    <row r="1537" spans="1:15" x14ac:dyDescent="0.25">
      <c r="A1537">
        <v>4610</v>
      </c>
      <c r="B1537" s="10">
        <v>45678</v>
      </c>
      <c r="C1537">
        <v>21</v>
      </c>
      <c r="D1537" t="s">
        <v>130</v>
      </c>
      <c r="E1537" t="s">
        <v>133</v>
      </c>
      <c r="F1537" t="s">
        <v>22</v>
      </c>
      <c r="G1537" t="s">
        <v>91</v>
      </c>
      <c r="H1537" t="s">
        <v>131</v>
      </c>
      <c r="I1537" t="s">
        <v>149</v>
      </c>
      <c r="J1537" t="s">
        <v>103</v>
      </c>
      <c r="K1537">
        <v>33</v>
      </c>
      <c r="L1537">
        <v>5700</v>
      </c>
      <c r="M1537">
        <v>188100</v>
      </c>
      <c r="N1537" t="s">
        <v>108</v>
      </c>
      <c r="O1537" t="s">
        <v>96</v>
      </c>
    </row>
    <row r="1538" spans="1:15" x14ac:dyDescent="0.25">
      <c r="A1538">
        <v>4737</v>
      </c>
      <c r="B1538" s="10">
        <v>45719</v>
      </c>
      <c r="C1538">
        <v>3</v>
      </c>
      <c r="D1538" t="s">
        <v>140</v>
      </c>
      <c r="E1538" t="s">
        <v>106</v>
      </c>
      <c r="F1538" t="s">
        <v>113</v>
      </c>
      <c r="G1538" t="s">
        <v>114</v>
      </c>
      <c r="H1538" t="s">
        <v>131</v>
      </c>
      <c r="I1538" t="s">
        <v>149</v>
      </c>
      <c r="J1538" t="s">
        <v>103</v>
      </c>
      <c r="K1538">
        <v>23</v>
      </c>
      <c r="L1538">
        <v>5700</v>
      </c>
      <c r="M1538">
        <v>131100</v>
      </c>
      <c r="N1538" t="s">
        <v>95</v>
      </c>
      <c r="O1538" t="s">
        <v>115</v>
      </c>
    </row>
    <row r="1539" spans="1:15" x14ac:dyDescent="0.25">
      <c r="A1539">
        <v>772</v>
      </c>
      <c r="B1539" s="10">
        <v>45942</v>
      </c>
      <c r="C1539">
        <v>12</v>
      </c>
      <c r="D1539" t="s">
        <v>136</v>
      </c>
      <c r="E1539" t="s">
        <v>31</v>
      </c>
      <c r="F1539" t="s">
        <v>141</v>
      </c>
      <c r="G1539" t="s">
        <v>100</v>
      </c>
      <c r="H1539" t="s">
        <v>131</v>
      </c>
      <c r="I1539" t="s">
        <v>149</v>
      </c>
      <c r="J1539" t="s">
        <v>103</v>
      </c>
      <c r="K1539">
        <v>30</v>
      </c>
      <c r="L1539">
        <v>5800</v>
      </c>
      <c r="M1539">
        <v>174000</v>
      </c>
      <c r="N1539" t="s">
        <v>95</v>
      </c>
      <c r="O1539" t="s">
        <v>96</v>
      </c>
    </row>
    <row r="1540" spans="1:15" x14ac:dyDescent="0.25">
      <c r="A1540">
        <v>2239</v>
      </c>
      <c r="B1540" s="10">
        <v>45833</v>
      </c>
      <c r="C1540">
        <v>25</v>
      </c>
      <c r="D1540" t="s">
        <v>153</v>
      </c>
      <c r="E1540" t="s">
        <v>116</v>
      </c>
      <c r="F1540" t="s">
        <v>49</v>
      </c>
      <c r="G1540" t="s">
        <v>118</v>
      </c>
      <c r="H1540" t="s">
        <v>131</v>
      </c>
      <c r="I1540" t="s">
        <v>149</v>
      </c>
      <c r="J1540" t="s">
        <v>103</v>
      </c>
      <c r="K1540">
        <v>7</v>
      </c>
      <c r="L1540">
        <v>5800</v>
      </c>
      <c r="M1540">
        <v>40600</v>
      </c>
      <c r="N1540" t="s">
        <v>95</v>
      </c>
      <c r="O1540" t="s">
        <v>104</v>
      </c>
    </row>
    <row r="1541" spans="1:15" x14ac:dyDescent="0.25">
      <c r="A1541">
        <v>3010</v>
      </c>
      <c r="B1541" s="10">
        <v>45967</v>
      </c>
      <c r="C1541">
        <v>6</v>
      </c>
      <c r="D1541" t="s">
        <v>90</v>
      </c>
      <c r="E1541" t="s">
        <v>106</v>
      </c>
      <c r="F1541" t="s">
        <v>36</v>
      </c>
      <c r="G1541" t="s">
        <v>100</v>
      </c>
      <c r="H1541" t="s">
        <v>131</v>
      </c>
      <c r="I1541" t="s">
        <v>149</v>
      </c>
      <c r="J1541" t="s">
        <v>103</v>
      </c>
      <c r="K1541">
        <v>16</v>
      </c>
      <c r="L1541">
        <v>5800</v>
      </c>
      <c r="M1541">
        <v>92800</v>
      </c>
      <c r="N1541" t="s">
        <v>95</v>
      </c>
      <c r="O1541" t="s">
        <v>104</v>
      </c>
    </row>
    <row r="1542" spans="1:15" x14ac:dyDescent="0.25">
      <c r="A1542">
        <v>3048</v>
      </c>
      <c r="B1542" s="10">
        <v>45997</v>
      </c>
      <c r="C1542">
        <v>6</v>
      </c>
      <c r="D1542" t="s">
        <v>125</v>
      </c>
      <c r="E1542" t="s">
        <v>128</v>
      </c>
      <c r="F1542" t="s">
        <v>122</v>
      </c>
      <c r="G1542" t="s">
        <v>114</v>
      </c>
      <c r="H1542" t="s">
        <v>131</v>
      </c>
      <c r="I1542" t="s">
        <v>149</v>
      </c>
      <c r="J1542" t="s">
        <v>103</v>
      </c>
      <c r="K1542">
        <v>33</v>
      </c>
      <c r="L1542">
        <v>5800</v>
      </c>
      <c r="M1542">
        <v>191400</v>
      </c>
      <c r="N1542" t="s">
        <v>95</v>
      </c>
      <c r="O1542" t="s">
        <v>96</v>
      </c>
    </row>
    <row r="1543" spans="1:15" x14ac:dyDescent="0.25">
      <c r="A1543">
        <v>3442</v>
      </c>
      <c r="B1543" s="10">
        <v>45795</v>
      </c>
      <c r="C1543">
        <v>18</v>
      </c>
      <c r="D1543" t="s">
        <v>120</v>
      </c>
      <c r="E1543" t="s">
        <v>116</v>
      </c>
      <c r="F1543" t="s">
        <v>151</v>
      </c>
      <c r="G1543" t="s">
        <v>111</v>
      </c>
      <c r="H1543" t="s">
        <v>131</v>
      </c>
      <c r="I1543" t="s">
        <v>149</v>
      </c>
      <c r="J1543" t="s">
        <v>103</v>
      </c>
      <c r="K1543">
        <v>5</v>
      </c>
      <c r="L1543">
        <v>5800</v>
      </c>
      <c r="M1543">
        <v>29000</v>
      </c>
      <c r="N1543" t="s">
        <v>108</v>
      </c>
      <c r="O1543" t="s">
        <v>96</v>
      </c>
    </row>
    <row r="1544" spans="1:15" x14ac:dyDescent="0.25">
      <c r="A1544">
        <v>3454</v>
      </c>
      <c r="B1544" s="10">
        <v>45748</v>
      </c>
      <c r="C1544">
        <v>1</v>
      </c>
      <c r="D1544" t="s">
        <v>105</v>
      </c>
      <c r="E1544" t="s">
        <v>128</v>
      </c>
      <c r="F1544" t="s">
        <v>134</v>
      </c>
      <c r="G1544" t="s">
        <v>100</v>
      </c>
      <c r="H1544" t="s">
        <v>131</v>
      </c>
      <c r="I1544" t="s">
        <v>149</v>
      </c>
      <c r="J1544" t="s">
        <v>103</v>
      </c>
      <c r="K1544">
        <v>5</v>
      </c>
      <c r="L1544">
        <v>5800</v>
      </c>
      <c r="M1544">
        <v>29000</v>
      </c>
      <c r="N1544" t="s">
        <v>108</v>
      </c>
      <c r="O1544" t="s">
        <v>104</v>
      </c>
    </row>
    <row r="1545" spans="1:15" x14ac:dyDescent="0.25">
      <c r="A1545">
        <v>4439</v>
      </c>
      <c r="B1545" s="10">
        <v>45824</v>
      </c>
      <c r="C1545">
        <v>16</v>
      </c>
      <c r="D1545" t="s">
        <v>153</v>
      </c>
      <c r="E1545" t="s">
        <v>150</v>
      </c>
      <c r="F1545" t="s">
        <v>148</v>
      </c>
      <c r="G1545" t="s">
        <v>118</v>
      </c>
      <c r="H1545" t="s">
        <v>131</v>
      </c>
      <c r="I1545" t="s">
        <v>149</v>
      </c>
      <c r="J1545" t="s">
        <v>103</v>
      </c>
      <c r="K1545">
        <v>23</v>
      </c>
      <c r="L1545">
        <v>5800</v>
      </c>
      <c r="M1545">
        <v>133400</v>
      </c>
      <c r="N1545" t="s">
        <v>95</v>
      </c>
      <c r="O1545" t="s">
        <v>96</v>
      </c>
    </row>
    <row r="1546" spans="1:15" x14ac:dyDescent="0.25">
      <c r="A1546">
        <v>117</v>
      </c>
      <c r="B1546" s="10">
        <v>45905</v>
      </c>
      <c r="C1546">
        <v>5</v>
      </c>
      <c r="D1546" t="s">
        <v>147</v>
      </c>
      <c r="E1546" t="s">
        <v>133</v>
      </c>
      <c r="F1546" t="s">
        <v>49</v>
      </c>
      <c r="G1546" t="s">
        <v>118</v>
      </c>
      <c r="H1546" t="s">
        <v>131</v>
      </c>
      <c r="I1546" t="s">
        <v>149</v>
      </c>
      <c r="J1546" t="s">
        <v>103</v>
      </c>
      <c r="K1546">
        <v>17</v>
      </c>
      <c r="L1546">
        <v>5900</v>
      </c>
      <c r="M1546">
        <v>100300</v>
      </c>
      <c r="N1546" t="s">
        <v>95</v>
      </c>
      <c r="O1546" t="s">
        <v>104</v>
      </c>
    </row>
    <row r="1547" spans="1:15" x14ac:dyDescent="0.25">
      <c r="A1547">
        <v>336</v>
      </c>
      <c r="B1547" s="10">
        <v>45784</v>
      </c>
      <c r="C1547">
        <v>7</v>
      </c>
      <c r="D1547" t="s">
        <v>120</v>
      </c>
      <c r="E1547" t="s">
        <v>161</v>
      </c>
      <c r="F1547" t="s">
        <v>122</v>
      </c>
      <c r="G1547" t="s">
        <v>114</v>
      </c>
      <c r="H1547" t="s">
        <v>131</v>
      </c>
      <c r="I1547" t="s">
        <v>149</v>
      </c>
      <c r="J1547" t="s">
        <v>103</v>
      </c>
      <c r="K1547">
        <v>11</v>
      </c>
      <c r="L1547">
        <v>5900</v>
      </c>
      <c r="M1547">
        <v>64900</v>
      </c>
      <c r="N1547" t="s">
        <v>95</v>
      </c>
      <c r="O1547" t="s">
        <v>115</v>
      </c>
    </row>
    <row r="1548" spans="1:15" x14ac:dyDescent="0.25">
      <c r="A1548">
        <v>1429</v>
      </c>
      <c r="B1548" s="10">
        <v>45714</v>
      </c>
      <c r="C1548">
        <v>26</v>
      </c>
      <c r="D1548" t="s">
        <v>97</v>
      </c>
      <c r="E1548" t="s">
        <v>106</v>
      </c>
      <c r="F1548" t="s">
        <v>22</v>
      </c>
      <c r="G1548" t="s">
        <v>91</v>
      </c>
      <c r="H1548" t="s">
        <v>131</v>
      </c>
      <c r="I1548" t="s">
        <v>149</v>
      </c>
      <c r="J1548" t="s">
        <v>103</v>
      </c>
      <c r="K1548">
        <v>6</v>
      </c>
      <c r="L1548">
        <v>5900</v>
      </c>
      <c r="M1548">
        <v>35400</v>
      </c>
      <c r="N1548" t="s">
        <v>108</v>
      </c>
      <c r="O1548" t="s">
        <v>96</v>
      </c>
    </row>
    <row r="1549" spans="1:15" x14ac:dyDescent="0.25">
      <c r="A1549">
        <v>2017</v>
      </c>
      <c r="B1549" s="10">
        <v>45898</v>
      </c>
      <c r="C1549">
        <v>29</v>
      </c>
      <c r="D1549" t="s">
        <v>109</v>
      </c>
      <c r="E1549" t="s">
        <v>137</v>
      </c>
      <c r="F1549" t="s">
        <v>151</v>
      </c>
      <c r="G1549" t="s">
        <v>111</v>
      </c>
      <c r="H1549" t="s">
        <v>131</v>
      </c>
      <c r="I1549" t="s">
        <v>149</v>
      </c>
      <c r="J1549" t="s">
        <v>103</v>
      </c>
      <c r="K1549">
        <v>26</v>
      </c>
      <c r="L1549">
        <v>5900</v>
      </c>
      <c r="M1549">
        <v>153400</v>
      </c>
      <c r="N1549" t="s">
        <v>95</v>
      </c>
      <c r="O1549" t="s">
        <v>96</v>
      </c>
    </row>
    <row r="1550" spans="1:15" x14ac:dyDescent="0.25">
      <c r="A1550">
        <v>2515</v>
      </c>
      <c r="B1550" s="10">
        <v>45683</v>
      </c>
      <c r="C1550">
        <v>26</v>
      </c>
      <c r="D1550" t="s">
        <v>130</v>
      </c>
      <c r="E1550" t="s">
        <v>31</v>
      </c>
      <c r="F1550" t="s">
        <v>122</v>
      </c>
      <c r="G1550" t="s">
        <v>114</v>
      </c>
      <c r="H1550" t="s">
        <v>131</v>
      </c>
      <c r="I1550" t="s">
        <v>149</v>
      </c>
      <c r="J1550" t="s">
        <v>103</v>
      </c>
      <c r="K1550">
        <v>31</v>
      </c>
      <c r="L1550">
        <v>5900</v>
      </c>
      <c r="M1550">
        <v>182900</v>
      </c>
      <c r="N1550" t="s">
        <v>108</v>
      </c>
      <c r="O1550" t="s">
        <v>104</v>
      </c>
    </row>
    <row r="1551" spans="1:15" x14ac:dyDescent="0.25">
      <c r="A1551">
        <v>2642</v>
      </c>
      <c r="B1551" s="10">
        <v>45839</v>
      </c>
      <c r="C1551">
        <v>1</v>
      </c>
      <c r="D1551" t="s">
        <v>145</v>
      </c>
      <c r="E1551" t="s">
        <v>142</v>
      </c>
      <c r="F1551" t="s">
        <v>22</v>
      </c>
      <c r="G1551" t="s">
        <v>91</v>
      </c>
      <c r="H1551" t="s">
        <v>131</v>
      </c>
      <c r="I1551" t="s">
        <v>149</v>
      </c>
      <c r="J1551" t="s">
        <v>103</v>
      </c>
      <c r="K1551">
        <v>18</v>
      </c>
      <c r="L1551">
        <v>5900</v>
      </c>
      <c r="M1551">
        <v>106200</v>
      </c>
      <c r="N1551" t="s">
        <v>108</v>
      </c>
      <c r="O1551" t="s">
        <v>96</v>
      </c>
    </row>
    <row r="1552" spans="1:15" x14ac:dyDescent="0.25">
      <c r="A1552">
        <v>2767</v>
      </c>
      <c r="B1552" s="10">
        <v>45706</v>
      </c>
      <c r="C1552">
        <v>18</v>
      </c>
      <c r="D1552" t="s">
        <v>97</v>
      </c>
      <c r="E1552" t="s">
        <v>138</v>
      </c>
      <c r="F1552" t="s">
        <v>113</v>
      </c>
      <c r="G1552" t="s">
        <v>114</v>
      </c>
      <c r="H1552" t="s">
        <v>131</v>
      </c>
      <c r="I1552" t="s">
        <v>149</v>
      </c>
      <c r="J1552" t="s">
        <v>103</v>
      </c>
      <c r="K1552">
        <v>44</v>
      </c>
      <c r="L1552">
        <v>5900</v>
      </c>
      <c r="M1552">
        <v>259600</v>
      </c>
      <c r="N1552" t="s">
        <v>95</v>
      </c>
      <c r="O1552" t="s">
        <v>115</v>
      </c>
    </row>
    <row r="1553" spans="1:15" x14ac:dyDescent="0.25">
      <c r="A1553">
        <v>3011</v>
      </c>
      <c r="B1553" s="10">
        <v>45951</v>
      </c>
      <c r="C1553">
        <v>21</v>
      </c>
      <c r="D1553" t="s">
        <v>136</v>
      </c>
      <c r="E1553" t="s">
        <v>31</v>
      </c>
      <c r="F1553" t="s">
        <v>141</v>
      </c>
      <c r="G1553" t="s">
        <v>100</v>
      </c>
      <c r="H1553" t="s">
        <v>131</v>
      </c>
      <c r="I1553" t="s">
        <v>149</v>
      </c>
      <c r="J1553" t="s">
        <v>103</v>
      </c>
      <c r="K1553">
        <v>46</v>
      </c>
      <c r="L1553">
        <v>5900</v>
      </c>
      <c r="M1553">
        <v>271400</v>
      </c>
      <c r="N1553" t="s">
        <v>95</v>
      </c>
      <c r="O1553" t="s">
        <v>115</v>
      </c>
    </row>
    <row r="1554" spans="1:15" x14ac:dyDescent="0.25">
      <c r="A1554">
        <v>3112</v>
      </c>
      <c r="B1554" s="10">
        <v>45996</v>
      </c>
      <c r="C1554">
        <v>5</v>
      </c>
      <c r="D1554" t="s">
        <v>125</v>
      </c>
      <c r="E1554" t="s">
        <v>121</v>
      </c>
      <c r="F1554" t="s">
        <v>22</v>
      </c>
      <c r="G1554" t="s">
        <v>91</v>
      </c>
      <c r="H1554" t="s">
        <v>131</v>
      </c>
      <c r="I1554" t="s">
        <v>149</v>
      </c>
      <c r="J1554" t="s">
        <v>103</v>
      </c>
      <c r="K1554">
        <v>41</v>
      </c>
      <c r="L1554">
        <v>5900</v>
      </c>
      <c r="M1554">
        <v>241900</v>
      </c>
      <c r="N1554" t="s">
        <v>95</v>
      </c>
      <c r="O1554" t="s">
        <v>96</v>
      </c>
    </row>
    <row r="1555" spans="1:15" x14ac:dyDescent="0.25">
      <c r="A1555">
        <v>4107</v>
      </c>
      <c r="B1555" s="10">
        <v>45721</v>
      </c>
      <c r="C1555">
        <v>5</v>
      </c>
      <c r="D1555" t="s">
        <v>140</v>
      </c>
      <c r="E1555" t="s">
        <v>133</v>
      </c>
      <c r="F1555" t="s">
        <v>122</v>
      </c>
      <c r="G1555" t="s">
        <v>114</v>
      </c>
      <c r="H1555" t="s">
        <v>131</v>
      </c>
      <c r="I1555" t="s">
        <v>149</v>
      </c>
      <c r="J1555" t="s">
        <v>103</v>
      </c>
      <c r="K1555">
        <v>28</v>
      </c>
      <c r="L1555">
        <v>5900</v>
      </c>
      <c r="M1555">
        <v>165200</v>
      </c>
      <c r="N1555" t="s">
        <v>108</v>
      </c>
      <c r="O1555" t="s">
        <v>96</v>
      </c>
    </row>
    <row r="1556" spans="1:15" x14ac:dyDescent="0.25">
      <c r="A1556">
        <v>4726</v>
      </c>
      <c r="B1556" s="10">
        <v>45661</v>
      </c>
      <c r="C1556">
        <v>4</v>
      </c>
      <c r="D1556" t="s">
        <v>130</v>
      </c>
      <c r="E1556" t="s">
        <v>110</v>
      </c>
      <c r="F1556" t="s">
        <v>44</v>
      </c>
      <c r="G1556" t="s">
        <v>111</v>
      </c>
      <c r="H1556" t="s">
        <v>131</v>
      </c>
      <c r="I1556" t="s">
        <v>149</v>
      </c>
      <c r="J1556" t="s">
        <v>94</v>
      </c>
      <c r="K1556">
        <v>8</v>
      </c>
      <c r="L1556">
        <v>5900</v>
      </c>
      <c r="M1556">
        <v>47200</v>
      </c>
      <c r="N1556" t="s">
        <v>108</v>
      </c>
      <c r="O1556" t="s">
        <v>115</v>
      </c>
    </row>
    <row r="1557" spans="1:15" x14ac:dyDescent="0.25">
      <c r="A1557">
        <v>98</v>
      </c>
      <c r="B1557" s="10">
        <v>45785</v>
      </c>
      <c r="C1557">
        <v>8</v>
      </c>
      <c r="D1557" t="s">
        <v>120</v>
      </c>
      <c r="E1557" t="s">
        <v>31</v>
      </c>
      <c r="F1557" t="s">
        <v>107</v>
      </c>
      <c r="G1557" t="s">
        <v>100</v>
      </c>
      <c r="H1557" t="s">
        <v>131</v>
      </c>
      <c r="I1557" t="s">
        <v>149</v>
      </c>
      <c r="J1557" t="s">
        <v>103</v>
      </c>
      <c r="K1557">
        <v>33</v>
      </c>
      <c r="L1557">
        <v>6000</v>
      </c>
      <c r="M1557">
        <v>198000</v>
      </c>
      <c r="N1557" t="s">
        <v>108</v>
      </c>
      <c r="O1557" t="s">
        <v>115</v>
      </c>
    </row>
    <row r="1558" spans="1:15" x14ac:dyDescent="0.25">
      <c r="A1558">
        <v>198</v>
      </c>
      <c r="B1558" s="10">
        <v>45780</v>
      </c>
      <c r="C1558">
        <v>3</v>
      </c>
      <c r="D1558" t="s">
        <v>120</v>
      </c>
      <c r="E1558" t="s">
        <v>116</v>
      </c>
      <c r="F1558" t="s">
        <v>117</v>
      </c>
      <c r="G1558" t="s">
        <v>118</v>
      </c>
      <c r="H1558" t="s">
        <v>131</v>
      </c>
      <c r="I1558" t="s">
        <v>149</v>
      </c>
      <c r="J1558" t="s">
        <v>103</v>
      </c>
      <c r="K1558">
        <v>48</v>
      </c>
      <c r="L1558">
        <v>6000</v>
      </c>
      <c r="M1558">
        <v>288000</v>
      </c>
      <c r="N1558" t="s">
        <v>108</v>
      </c>
      <c r="O1558" t="s">
        <v>115</v>
      </c>
    </row>
    <row r="1559" spans="1:15" x14ac:dyDescent="0.25">
      <c r="A1559">
        <v>591</v>
      </c>
      <c r="B1559" s="10">
        <v>46014</v>
      </c>
      <c r="C1559">
        <v>23</v>
      </c>
      <c r="D1559" t="s">
        <v>125</v>
      </c>
      <c r="E1559" t="s">
        <v>110</v>
      </c>
      <c r="F1559" t="s">
        <v>28</v>
      </c>
      <c r="G1559" t="s">
        <v>126</v>
      </c>
      <c r="H1559" t="s">
        <v>131</v>
      </c>
      <c r="I1559" t="s">
        <v>149</v>
      </c>
      <c r="J1559" t="s">
        <v>103</v>
      </c>
      <c r="K1559">
        <v>35</v>
      </c>
      <c r="L1559">
        <v>6000</v>
      </c>
      <c r="M1559">
        <v>210000</v>
      </c>
      <c r="N1559" t="s">
        <v>95</v>
      </c>
      <c r="O1559" t="s">
        <v>104</v>
      </c>
    </row>
    <row r="1560" spans="1:15" x14ac:dyDescent="0.25">
      <c r="A1560">
        <v>718</v>
      </c>
      <c r="B1560" s="10">
        <v>45908</v>
      </c>
      <c r="C1560">
        <v>8</v>
      </c>
      <c r="D1560" t="s">
        <v>147</v>
      </c>
      <c r="E1560" t="s">
        <v>161</v>
      </c>
      <c r="F1560" t="s">
        <v>113</v>
      </c>
      <c r="G1560" t="s">
        <v>114</v>
      </c>
      <c r="H1560" t="s">
        <v>131</v>
      </c>
      <c r="I1560" t="s">
        <v>149</v>
      </c>
      <c r="J1560" t="s">
        <v>103</v>
      </c>
      <c r="K1560">
        <v>30</v>
      </c>
      <c r="L1560">
        <v>6000</v>
      </c>
      <c r="M1560">
        <v>180000</v>
      </c>
      <c r="N1560" t="s">
        <v>95</v>
      </c>
      <c r="O1560" t="s">
        <v>96</v>
      </c>
    </row>
    <row r="1561" spans="1:15" x14ac:dyDescent="0.25">
      <c r="A1561">
        <v>1144</v>
      </c>
      <c r="B1561" s="10">
        <v>45886</v>
      </c>
      <c r="C1561">
        <v>17</v>
      </c>
      <c r="D1561" t="s">
        <v>109</v>
      </c>
      <c r="E1561" t="s">
        <v>31</v>
      </c>
      <c r="F1561" t="s">
        <v>141</v>
      </c>
      <c r="G1561" t="s">
        <v>100</v>
      </c>
      <c r="H1561" t="s">
        <v>131</v>
      </c>
      <c r="I1561" t="s">
        <v>149</v>
      </c>
      <c r="J1561" t="s">
        <v>103</v>
      </c>
      <c r="K1561">
        <v>41</v>
      </c>
      <c r="L1561">
        <v>6000</v>
      </c>
      <c r="M1561">
        <v>246000</v>
      </c>
      <c r="N1561" t="s">
        <v>108</v>
      </c>
      <c r="O1561" t="s">
        <v>115</v>
      </c>
    </row>
    <row r="1562" spans="1:15" x14ac:dyDescent="0.25">
      <c r="A1562">
        <v>1360</v>
      </c>
      <c r="B1562" s="10">
        <v>45820</v>
      </c>
      <c r="C1562">
        <v>12</v>
      </c>
      <c r="D1562" t="s">
        <v>153</v>
      </c>
      <c r="E1562" t="s">
        <v>150</v>
      </c>
      <c r="F1562" t="s">
        <v>148</v>
      </c>
      <c r="G1562" t="s">
        <v>118</v>
      </c>
      <c r="H1562" t="s">
        <v>131</v>
      </c>
      <c r="I1562" t="s">
        <v>149</v>
      </c>
      <c r="J1562" t="s">
        <v>103</v>
      </c>
      <c r="K1562">
        <v>12</v>
      </c>
      <c r="L1562">
        <v>6000</v>
      </c>
      <c r="M1562">
        <v>72000</v>
      </c>
      <c r="N1562" t="s">
        <v>108</v>
      </c>
      <c r="O1562" t="s">
        <v>115</v>
      </c>
    </row>
    <row r="1563" spans="1:15" x14ac:dyDescent="0.25">
      <c r="A1563">
        <v>2142</v>
      </c>
      <c r="B1563" s="10">
        <v>45938</v>
      </c>
      <c r="C1563">
        <v>8</v>
      </c>
      <c r="D1563" t="s">
        <v>136</v>
      </c>
      <c r="E1563" t="s">
        <v>106</v>
      </c>
      <c r="F1563" t="s">
        <v>22</v>
      </c>
      <c r="G1563" t="s">
        <v>91</v>
      </c>
      <c r="H1563" t="s">
        <v>131</v>
      </c>
      <c r="I1563" t="s">
        <v>149</v>
      </c>
      <c r="J1563" t="s">
        <v>103</v>
      </c>
      <c r="K1563">
        <v>17</v>
      </c>
      <c r="L1563">
        <v>6000</v>
      </c>
      <c r="M1563">
        <v>102000</v>
      </c>
      <c r="N1563" t="s">
        <v>108</v>
      </c>
      <c r="O1563" t="s">
        <v>115</v>
      </c>
    </row>
    <row r="1564" spans="1:15" x14ac:dyDescent="0.25">
      <c r="A1564">
        <v>2679</v>
      </c>
      <c r="B1564" s="10">
        <v>45961</v>
      </c>
      <c r="C1564">
        <v>31</v>
      </c>
      <c r="D1564" t="s">
        <v>136</v>
      </c>
      <c r="E1564" t="s">
        <v>150</v>
      </c>
      <c r="F1564" t="s">
        <v>107</v>
      </c>
      <c r="G1564" t="s">
        <v>100</v>
      </c>
      <c r="H1564" t="s">
        <v>131</v>
      </c>
      <c r="I1564" t="s">
        <v>149</v>
      </c>
      <c r="J1564" t="s">
        <v>103</v>
      </c>
      <c r="K1564">
        <v>18</v>
      </c>
      <c r="L1564">
        <v>6000</v>
      </c>
      <c r="M1564">
        <v>108000</v>
      </c>
      <c r="N1564" t="s">
        <v>108</v>
      </c>
      <c r="O1564" t="s">
        <v>104</v>
      </c>
    </row>
    <row r="1565" spans="1:15" x14ac:dyDescent="0.25">
      <c r="A1565">
        <v>2996</v>
      </c>
      <c r="B1565" s="10">
        <v>45750</v>
      </c>
      <c r="C1565">
        <v>3</v>
      </c>
      <c r="D1565" t="s">
        <v>105</v>
      </c>
      <c r="E1565" t="s">
        <v>133</v>
      </c>
      <c r="F1565" t="s">
        <v>49</v>
      </c>
      <c r="G1565" t="s">
        <v>118</v>
      </c>
      <c r="H1565" t="s">
        <v>131</v>
      </c>
      <c r="I1565" t="s">
        <v>149</v>
      </c>
      <c r="J1565" t="s">
        <v>103</v>
      </c>
      <c r="K1565">
        <v>18</v>
      </c>
      <c r="L1565">
        <v>6000</v>
      </c>
      <c r="M1565">
        <v>108000</v>
      </c>
      <c r="N1565" t="s">
        <v>95</v>
      </c>
      <c r="O1565" t="s">
        <v>104</v>
      </c>
    </row>
    <row r="1566" spans="1:15" x14ac:dyDescent="0.25">
      <c r="A1566">
        <v>3044</v>
      </c>
      <c r="B1566" s="10">
        <v>46016</v>
      </c>
      <c r="C1566">
        <v>25</v>
      </c>
      <c r="D1566" t="s">
        <v>125</v>
      </c>
      <c r="E1566" t="s">
        <v>142</v>
      </c>
      <c r="F1566" t="s">
        <v>99</v>
      </c>
      <c r="G1566" t="s">
        <v>100</v>
      </c>
      <c r="H1566" t="s">
        <v>131</v>
      </c>
      <c r="I1566" t="s">
        <v>149</v>
      </c>
      <c r="J1566" t="s">
        <v>103</v>
      </c>
      <c r="K1566">
        <v>16</v>
      </c>
      <c r="L1566">
        <v>6000</v>
      </c>
      <c r="M1566">
        <v>96000</v>
      </c>
      <c r="N1566" t="s">
        <v>95</v>
      </c>
      <c r="O1566" t="s">
        <v>96</v>
      </c>
    </row>
    <row r="1567" spans="1:15" x14ac:dyDescent="0.25">
      <c r="A1567">
        <v>3573</v>
      </c>
      <c r="B1567" s="10">
        <v>45976</v>
      </c>
      <c r="C1567">
        <v>15</v>
      </c>
      <c r="D1567" t="s">
        <v>90</v>
      </c>
      <c r="E1567" t="s">
        <v>133</v>
      </c>
      <c r="F1567" t="s">
        <v>151</v>
      </c>
      <c r="G1567" t="s">
        <v>111</v>
      </c>
      <c r="H1567" t="s">
        <v>131</v>
      </c>
      <c r="I1567" t="s">
        <v>149</v>
      </c>
      <c r="J1567" t="s">
        <v>103</v>
      </c>
      <c r="K1567">
        <v>25</v>
      </c>
      <c r="L1567">
        <v>6000</v>
      </c>
      <c r="M1567">
        <v>150000</v>
      </c>
      <c r="N1567" t="s">
        <v>108</v>
      </c>
      <c r="O1567" t="s">
        <v>115</v>
      </c>
    </row>
    <row r="1568" spans="1:15" x14ac:dyDescent="0.25">
      <c r="A1568">
        <v>3748</v>
      </c>
      <c r="B1568" s="10">
        <v>45894</v>
      </c>
      <c r="C1568">
        <v>25</v>
      </c>
      <c r="D1568" t="s">
        <v>109</v>
      </c>
      <c r="E1568" t="s">
        <v>133</v>
      </c>
      <c r="F1568" t="s">
        <v>144</v>
      </c>
      <c r="G1568" t="s">
        <v>91</v>
      </c>
      <c r="H1568" t="s">
        <v>131</v>
      </c>
      <c r="I1568" t="s">
        <v>149</v>
      </c>
      <c r="J1568" t="s">
        <v>103</v>
      </c>
      <c r="K1568">
        <v>13</v>
      </c>
      <c r="L1568">
        <v>6000</v>
      </c>
      <c r="M1568">
        <v>78000</v>
      </c>
      <c r="N1568" t="s">
        <v>108</v>
      </c>
      <c r="O1568" t="s">
        <v>104</v>
      </c>
    </row>
    <row r="1569" spans="1:15" x14ac:dyDescent="0.25">
      <c r="A1569">
        <v>3974</v>
      </c>
      <c r="B1569" s="10">
        <v>45751</v>
      </c>
      <c r="C1569">
        <v>4</v>
      </c>
      <c r="D1569" t="s">
        <v>105</v>
      </c>
      <c r="E1569" t="s">
        <v>116</v>
      </c>
      <c r="F1569" t="s">
        <v>107</v>
      </c>
      <c r="G1569" t="s">
        <v>100</v>
      </c>
      <c r="H1569" t="s">
        <v>131</v>
      </c>
      <c r="I1569" t="s">
        <v>149</v>
      </c>
      <c r="J1569" t="s">
        <v>103</v>
      </c>
      <c r="K1569">
        <v>15</v>
      </c>
      <c r="L1569">
        <v>6000</v>
      </c>
      <c r="M1569">
        <v>90000</v>
      </c>
      <c r="N1569" t="s">
        <v>108</v>
      </c>
      <c r="O1569" t="s">
        <v>104</v>
      </c>
    </row>
    <row r="1570" spans="1:15" x14ac:dyDescent="0.25">
      <c r="A1570">
        <v>4379</v>
      </c>
      <c r="B1570" s="10">
        <v>46015</v>
      </c>
      <c r="C1570">
        <v>24</v>
      </c>
      <c r="D1570" t="s">
        <v>125</v>
      </c>
      <c r="E1570" t="s">
        <v>150</v>
      </c>
      <c r="F1570" t="s">
        <v>141</v>
      </c>
      <c r="G1570" t="s">
        <v>100</v>
      </c>
      <c r="H1570" t="s">
        <v>131</v>
      </c>
      <c r="I1570" t="s">
        <v>149</v>
      </c>
      <c r="J1570" t="s">
        <v>103</v>
      </c>
      <c r="K1570">
        <v>26</v>
      </c>
      <c r="L1570">
        <v>6000</v>
      </c>
      <c r="M1570">
        <v>156000</v>
      </c>
      <c r="N1570" t="s">
        <v>95</v>
      </c>
      <c r="O1570" t="s">
        <v>96</v>
      </c>
    </row>
    <row r="1571" spans="1:15" x14ac:dyDescent="0.25">
      <c r="A1571">
        <v>4482</v>
      </c>
      <c r="B1571" s="10">
        <v>45925</v>
      </c>
      <c r="C1571">
        <v>25</v>
      </c>
      <c r="D1571" t="s">
        <v>147</v>
      </c>
      <c r="E1571" t="s">
        <v>137</v>
      </c>
      <c r="F1571" t="s">
        <v>113</v>
      </c>
      <c r="G1571" t="s">
        <v>114</v>
      </c>
      <c r="H1571" t="s">
        <v>131</v>
      </c>
      <c r="I1571" t="s">
        <v>149</v>
      </c>
      <c r="J1571" t="s">
        <v>103</v>
      </c>
      <c r="K1571">
        <v>21</v>
      </c>
      <c r="L1571">
        <v>6000</v>
      </c>
      <c r="M1571">
        <v>126000</v>
      </c>
      <c r="N1571" t="s">
        <v>95</v>
      </c>
      <c r="O1571" t="s">
        <v>115</v>
      </c>
    </row>
    <row r="1572" spans="1:15" x14ac:dyDescent="0.25">
      <c r="A1572">
        <v>4735</v>
      </c>
      <c r="B1572" s="10">
        <v>45880</v>
      </c>
      <c r="C1572">
        <v>11</v>
      </c>
      <c r="D1572" t="s">
        <v>109</v>
      </c>
      <c r="E1572" t="s">
        <v>25</v>
      </c>
      <c r="F1572" t="s">
        <v>151</v>
      </c>
      <c r="G1572" t="s">
        <v>111</v>
      </c>
      <c r="H1572" t="s">
        <v>131</v>
      </c>
      <c r="I1572" t="s">
        <v>149</v>
      </c>
      <c r="J1572" t="s">
        <v>103</v>
      </c>
      <c r="K1572">
        <v>43</v>
      </c>
      <c r="L1572">
        <v>6000</v>
      </c>
      <c r="M1572">
        <v>258000</v>
      </c>
      <c r="N1572" t="s">
        <v>108</v>
      </c>
      <c r="O1572" t="s">
        <v>115</v>
      </c>
    </row>
    <row r="1573" spans="1:15" x14ac:dyDescent="0.25">
      <c r="A1573">
        <v>282</v>
      </c>
      <c r="B1573" s="10">
        <v>45771</v>
      </c>
      <c r="C1573">
        <v>24</v>
      </c>
      <c r="D1573" t="s">
        <v>105</v>
      </c>
      <c r="E1573" t="s">
        <v>106</v>
      </c>
      <c r="F1573" t="s">
        <v>36</v>
      </c>
      <c r="G1573" t="s">
        <v>100</v>
      </c>
      <c r="H1573" t="s">
        <v>131</v>
      </c>
      <c r="I1573" t="s">
        <v>149</v>
      </c>
      <c r="J1573" t="s">
        <v>103</v>
      </c>
      <c r="K1573">
        <v>43</v>
      </c>
      <c r="L1573">
        <v>6100</v>
      </c>
      <c r="M1573">
        <v>262300</v>
      </c>
      <c r="N1573" t="s">
        <v>108</v>
      </c>
      <c r="O1573" t="s">
        <v>115</v>
      </c>
    </row>
    <row r="1574" spans="1:15" x14ac:dyDescent="0.25">
      <c r="A1574">
        <v>364</v>
      </c>
      <c r="B1574" s="10">
        <v>45679</v>
      </c>
      <c r="C1574">
        <v>22</v>
      </c>
      <c r="D1574" t="s">
        <v>130</v>
      </c>
      <c r="E1574" t="s">
        <v>112</v>
      </c>
      <c r="F1574" t="s">
        <v>99</v>
      </c>
      <c r="G1574" t="s">
        <v>100</v>
      </c>
      <c r="H1574" t="s">
        <v>131</v>
      </c>
      <c r="I1574" t="s">
        <v>149</v>
      </c>
      <c r="J1574" t="s">
        <v>103</v>
      </c>
      <c r="K1574">
        <v>11</v>
      </c>
      <c r="L1574">
        <v>6100</v>
      </c>
      <c r="M1574">
        <v>67100</v>
      </c>
      <c r="N1574" t="s">
        <v>95</v>
      </c>
      <c r="O1574" t="s">
        <v>115</v>
      </c>
    </row>
    <row r="1575" spans="1:15" x14ac:dyDescent="0.25">
      <c r="A1575">
        <v>524</v>
      </c>
      <c r="B1575" s="10">
        <v>45719</v>
      </c>
      <c r="C1575">
        <v>3</v>
      </c>
      <c r="D1575" t="s">
        <v>140</v>
      </c>
      <c r="E1575" t="s">
        <v>128</v>
      </c>
      <c r="F1575" t="s">
        <v>141</v>
      </c>
      <c r="G1575" t="s">
        <v>100</v>
      </c>
      <c r="H1575" t="s">
        <v>131</v>
      </c>
      <c r="I1575" t="s">
        <v>149</v>
      </c>
      <c r="J1575" t="s">
        <v>103</v>
      </c>
      <c r="K1575">
        <v>17</v>
      </c>
      <c r="L1575">
        <v>6100</v>
      </c>
      <c r="M1575">
        <v>103700</v>
      </c>
      <c r="N1575" t="s">
        <v>108</v>
      </c>
      <c r="O1575" t="s">
        <v>104</v>
      </c>
    </row>
    <row r="1576" spans="1:15" x14ac:dyDescent="0.25">
      <c r="A1576">
        <v>684</v>
      </c>
      <c r="B1576" s="10">
        <v>45697</v>
      </c>
      <c r="C1576">
        <v>9</v>
      </c>
      <c r="D1576" t="s">
        <v>97</v>
      </c>
      <c r="E1576" t="s">
        <v>161</v>
      </c>
      <c r="F1576" t="s">
        <v>113</v>
      </c>
      <c r="G1576" t="s">
        <v>114</v>
      </c>
      <c r="H1576" t="s">
        <v>131</v>
      </c>
      <c r="I1576" t="s">
        <v>149</v>
      </c>
      <c r="J1576" t="s">
        <v>103</v>
      </c>
      <c r="K1576">
        <v>49</v>
      </c>
      <c r="L1576">
        <v>6100</v>
      </c>
      <c r="M1576">
        <v>298900</v>
      </c>
      <c r="N1576" t="s">
        <v>95</v>
      </c>
      <c r="O1576" t="s">
        <v>96</v>
      </c>
    </row>
    <row r="1577" spans="1:15" x14ac:dyDescent="0.25">
      <c r="A1577">
        <v>695</v>
      </c>
      <c r="B1577" s="10">
        <v>45973</v>
      </c>
      <c r="C1577">
        <v>12</v>
      </c>
      <c r="D1577" t="s">
        <v>90</v>
      </c>
      <c r="E1577" t="s">
        <v>121</v>
      </c>
      <c r="F1577" t="s">
        <v>117</v>
      </c>
      <c r="G1577" t="s">
        <v>118</v>
      </c>
      <c r="H1577" t="s">
        <v>131</v>
      </c>
      <c r="I1577" t="s">
        <v>149</v>
      </c>
      <c r="J1577" t="s">
        <v>103</v>
      </c>
      <c r="K1577">
        <v>7</v>
      </c>
      <c r="L1577">
        <v>6100</v>
      </c>
      <c r="M1577">
        <v>42700</v>
      </c>
      <c r="N1577" t="s">
        <v>95</v>
      </c>
      <c r="O1577" t="s">
        <v>104</v>
      </c>
    </row>
    <row r="1578" spans="1:15" x14ac:dyDescent="0.25">
      <c r="A1578">
        <v>785</v>
      </c>
      <c r="B1578" s="10">
        <v>45967</v>
      </c>
      <c r="C1578">
        <v>6</v>
      </c>
      <c r="D1578" t="s">
        <v>90</v>
      </c>
      <c r="E1578" t="s">
        <v>25</v>
      </c>
      <c r="F1578" t="s">
        <v>148</v>
      </c>
      <c r="G1578" t="s">
        <v>118</v>
      </c>
      <c r="H1578" t="s">
        <v>131</v>
      </c>
      <c r="I1578" t="s">
        <v>149</v>
      </c>
      <c r="J1578" t="s">
        <v>103</v>
      </c>
      <c r="K1578">
        <v>31</v>
      </c>
      <c r="L1578">
        <v>6100</v>
      </c>
      <c r="M1578">
        <v>189100</v>
      </c>
      <c r="N1578" t="s">
        <v>108</v>
      </c>
      <c r="O1578" t="s">
        <v>104</v>
      </c>
    </row>
    <row r="1579" spans="1:15" x14ac:dyDescent="0.25">
      <c r="A1579">
        <v>844</v>
      </c>
      <c r="B1579" s="10">
        <v>45856</v>
      </c>
      <c r="C1579">
        <v>18</v>
      </c>
      <c r="D1579" t="s">
        <v>145</v>
      </c>
      <c r="E1579" t="s">
        <v>150</v>
      </c>
      <c r="F1579" t="s">
        <v>36</v>
      </c>
      <c r="G1579" t="s">
        <v>100</v>
      </c>
      <c r="H1579" t="s">
        <v>131</v>
      </c>
      <c r="I1579" t="s">
        <v>149</v>
      </c>
      <c r="J1579" t="s">
        <v>103</v>
      </c>
      <c r="K1579">
        <v>22</v>
      </c>
      <c r="L1579">
        <v>6100</v>
      </c>
      <c r="M1579">
        <v>134200</v>
      </c>
      <c r="N1579" t="s">
        <v>95</v>
      </c>
      <c r="O1579" t="s">
        <v>115</v>
      </c>
    </row>
    <row r="1580" spans="1:15" x14ac:dyDescent="0.25">
      <c r="A1580">
        <v>1305</v>
      </c>
      <c r="B1580" s="10">
        <v>45955</v>
      </c>
      <c r="C1580">
        <v>25</v>
      </c>
      <c r="D1580" t="s">
        <v>136</v>
      </c>
      <c r="E1580" t="s">
        <v>98</v>
      </c>
      <c r="F1580" t="s">
        <v>117</v>
      </c>
      <c r="G1580" t="s">
        <v>118</v>
      </c>
      <c r="H1580" t="s">
        <v>131</v>
      </c>
      <c r="I1580" t="s">
        <v>149</v>
      </c>
      <c r="J1580" t="s">
        <v>103</v>
      </c>
      <c r="K1580">
        <v>19</v>
      </c>
      <c r="L1580">
        <v>6100</v>
      </c>
      <c r="M1580">
        <v>115900</v>
      </c>
      <c r="N1580" t="s">
        <v>108</v>
      </c>
      <c r="O1580" t="s">
        <v>115</v>
      </c>
    </row>
    <row r="1581" spans="1:15" x14ac:dyDescent="0.25">
      <c r="A1581">
        <v>1568</v>
      </c>
      <c r="B1581" s="10">
        <v>46010</v>
      </c>
      <c r="C1581">
        <v>19</v>
      </c>
      <c r="D1581" t="s">
        <v>125</v>
      </c>
      <c r="E1581" t="s">
        <v>116</v>
      </c>
      <c r="F1581" t="s">
        <v>148</v>
      </c>
      <c r="G1581" t="s">
        <v>118</v>
      </c>
      <c r="H1581" t="s">
        <v>131</v>
      </c>
      <c r="I1581" t="s">
        <v>149</v>
      </c>
      <c r="J1581" t="s">
        <v>103</v>
      </c>
      <c r="K1581">
        <v>35</v>
      </c>
      <c r="L1581">
        <v>6100</v>
      </c>
      <c r="M1581">
        <v>213500</v>
      </c>
      <c r="N1581" t="s">
        <v>95</v>
      </c>
      <c r="O1581" t="s">
        <v>115</v>
      </c>
    </row>
    <row r="1582" spans="1:15" x14ac:dyDescent="0.25">
      <c r="A1582">
        <v>1826</v>
      </c>
      <c r="B1582" s="10">
        <v>46018</v>
      </c>
      <c r="C1582">
        <v>27</v>
      </c>
      <c r="D1582" t="s">
        <v>125</v>
      </c>
      <c r="E1582" t="s">
        <v>112</v>
      </c>
      <c r="F1582" t="s">
        <v>36</v>
      </c>
      <c r="G1582" t="s">
        <v>100</v>
      </c>
      <c r="H1582" t="s">
        <v>131</v>
      </c>
      <c r="I1582" t="s">
        <v>149</v>
      </c>
      <c r="J1582" t="s">
        <v>103</v>
      </c>
      <c r="K1582">
        <v>24</v>
      </c>
      <c r="L1582">
        <v>6100</v>
      </c>
      <c r="M1582">
        <v>146400</v>
      </c>
      <c r="N1582" t="s">
        <v>108</v>
      </c>
      <c r="O1582" t="s">
        <v>115</v>
      </c>
    </row>
    <row r="1583" spans="1:15" x14ac:dyDescent="0.25">
      <c r="A1583">
        <v>1891</v>
      </c>
      <c r="B1583" s="10">
        <v>46010</v>
      </c>
      <c r="C1583">
        <v>19</v>
      </c>
      <c r="D1583" t="s">
        <v>125</v>
      </c>
      <c r="E1583" t="s">
        <v>121</v>
      </c>
      <c r="F1583" t="s">
        <v>113</v>
      </c>
      <c r="G1583" t="s">
        <v>114</v>
      </c>
      <c r="H1583" t="s">
        <v>131</v>
      </c>
      <c r="I1583" t="s">
        <v>149</v>
      </c>
      <c r="J1583" t="s">
        <v>103</v>
      </c>
      <c r="K1583">
        <v>6</v>
      </c>
      <c r="L1583">
        <v>6100</v>
      </c>
      <c r="M1583">
        <v>36600</v>
      </c>
      <c r="N1583" t="s">
        <v>108</v>
      </c>
      <c r="O1583" t="s">
        <v>96</v>
      </c>
    </row>
    <row r="1584" spans="1:15" x14ac:dyDescent="0.25">
      <c r="A1584">
        <v>2615</v>
      </c>
      <c r="B1584" s="10">
        <v>45686</v>
      </c>
      <c r="C1584">
        <v>29</v>
      </c>
      <c r="D1584" t="s">
        <v>130</v>
      </c>
      <c r="E1584" t="s">
        <v>133</v>
      </c>
      <c r="F1584" t="s">
        <v>148</v>
      </c>
      <c r="G1584" t="s">
        <v>118</v>
      </c>
      <c r="H1584" t="s">
        <v>131</v>
      </c>
      <c r="I1584" t="s">
        <v>149</v>
      </c>
      <c r="J1584" t="s">
        <v>103</v>
      </c>
      <c r="K1584">
        <v>19</v>
      </c>
      <c r="L1584">
        <v>6100</v>
      </c>
      <c r="M1584">
        <v>115900</v>
      </c>
      <c r="N1584" t="s">
        <v>95</v>
      </c>
      <c r="O1584" t="s">
        <v>96</v>
      </c>
    </row>
    <row r="1585" spans="1:15" x14ac:dyDescent="0.25">
      <c r="A1585">
        <v>3007</v>
      </c>
      <c r="B1585" s="10">
        <v>45772</v>
      </c>
      <c r="C1585">
        <v>25</v>
      </c>
      <c r="D1585" t="s">
        <v>105</v>
      </c>
      <c r="E1585" t="s">
        <v>121</v>
      </c>
      <c r="F1585" t="s">
        <v>28</v>
      </c>
      <c r="G1585" t="s">
        <v>126</v>
      </c>
      <c r="H1585" t="s">
        <v>131</v>
      </c>
      <c r="I1585" t="s">
        <v>149</v>
      </c>
      <c r="J1585" t="s">
        <v>103</v>
      </c>
      <c r="K1585">
        <v>33</v>
      </c>
      <c r="L1585">
        <v>6100</v>
      </c>
      <c r="M1585">
        <v>201300</v>
      </c>
      <c r="N1585" t="s">
        <v>108</v>
      </c>
      <c r="O1585" t="s">
        <v>104</v>
      </c>
    </row>
    <row r="1586" spans="1:15" x14ac:dyDescent="0.25">
      <c r="A1586">
        <v>3518</v>
      </c>
      <c r="B1586" s="10">
        <v>45836</v>
      </c>
      <c r="C1586">
        <v>28</v>
      </c>
      <c r="D1586" t="s">
        <v>153</v>
      </c>
      <c r="E1586" t="s">
        <v>142</v>
      </c>
      <c r="F1586" t="s">
        <v>113</v>
      </c>
      <c r="G1586" t="s">
        <v>114</v>
      </c>
      <c r="H1586" t="s">
        <v>131</v>
      </c>
      <c r="I1586" t="s">
        <v>149</v>
      </c>
      <c r="J1586" t="s">
        <v>103</v>
      </c>
      <c r="K1586">
        <v>20</v>
      </c>
      <c r="L1586">
        <v>6100</v>
      </c>
      <c r="M1586">
        <v>122000</v>
      </c>
      <c r="N1586" t="s">
        <v>108</v>
      </c>
      <c r="O1586" t="s">
        <v>104</v>
      </c>
    </row>
    <row r="1587" spans="1:15" x14ac:dyDescent="0.25">
      <c r="A1587">
        <v>3592</v>
      </c>
      <c r="B1587" s="10">
        <v>45739</v>
      </c>
      <c r="C1587">
        <v>23</v>
      </c>
      <c r="D1587" t="s">
        <v>140</v>
      </c>
      <c r="E1587" t="s">
        <v>121</v>
      </c>
      <c r="F1587" t="s">
        <v>134</v>
      </c>
      <c r="G1587" t="s">
        <v>100</v>
      </c>
      <c r="H1587" t="s">
        <v>131</v>
      </c>
      <c r="I1587" t="s">
        <v>149</v>
      </c>
      <c r="J1587" t="s">
        <v>103</v>
      </c>
      <c r="K1587">
        <v>30</v>
      </c>
      <c r="L1587">
        <v>6100</v>
      </c>
      <c r="M1587">
        <v>183000</v>
      </c>
      <c r="N1587" t="s">
        <v>108</v>
      </c>
      <c r="O1587" t="s">
        <v>96</v>
      </c>
    </row>
    <row r="1588" spans="1:15" x14ac:dyDescent="0.25">
      <c r="A1588">
        <v>3769</v>
      </c>
      <c r="B1588" s="10">
        <v>45666</v>
      </c>
      <c r="C1588">
        <v>9</v>
      </c>
      <c r="D1588" t="s">
        <v>130</v>
      </c>
      <c r="E1588" t="s">
        <v>150</v>
      </c>
      <c r="F1588" t="s">
        <v>44</v>
      </c>
      <c r="G1588" t="s">
        <v>111</v>
      </c>
      <c r="H1588" t="s">
        <v>131</v>
      </c>
      <c r="I1588" t="s">
        <v>149</v>
      </c>
      <c r="J1588" t="s">
        <v>103</v>
      </c>
      <c r="K1588">
        <v>16</v>
      </c>
      <c r="L1588">
        <v>6100</v>
      </c>
      <c r="M1588">
        <v>97600</v>
      </c>
      <c r="N1588" t="s">
        <v>95</v>
      </c>
      <c r="O1588" t="s">
        <v>104</v>
      </c>
    </row>
    <row r="1589" spans="1:15" x14ac:dyDescent="0.25">
      <c r="A1589">
        <v>4558</v>
      </c>
      <c r="B1589" s="10">
        <v>45764</v>
      </c>
      <c r="C1589">
        <v>17</v>
      </c>
      <c r="D1589" t="s">
        <v>105</v>
      </c>
      <c r="E1589" t="s">
        <v>112</v>
      </c>
      <c r="F1589" t="s">
        <v>141</v>
      </c>
      <c r="G1589" t="s">
        <v>100</v>
      </c>
      <c r="H1589" t="s">
        <v>131</v>
      </c>
      <c r="I1589" t="s">
        <v>149</v>
      </c>
      <c r="J1589" t="s">
        <v>103</v>
      </c>
      <c r="K1589">
        <v>26</v>
      </c>
      <c r="L1589">
        <v>6100</v>
      </c>
      <c r="M1589">
        <v>158600</v>
      </c>
      <c r="N1589" t="s">
        <v>108</v>
      </c>
      <c r="O1589" t="s">
        <v>104</v>
      </c>
    </row>
    <row r="1590" spans="1:15" x14ac:dyDescent="0.25">
      <c r="A1590">
        <v>724</v>
      </c>
      <c r="B1590" s="10">
        <v>45888</v>
      </c>
      <c r="C1590">
        <v>19</v>
      </c>
      <c r="D1590" t="s">
        <v>109</v>
      </c>
      <c r="E1590" t="s">
        <v>25</v>
      </c>
      <c r="F1590" t="s">
        <v>36</v>
      </c>
      <c r="G1590" t="s">
        <v>100</v>
      </c>
      <c r="H1590" t="s">
        <v>131</v>
      </c>
      <c r="I1590" t="s">
        <v>149</v>
      </c>
      <c r="J1590" t="s">
        <v>103</v>
      </c>
      <c r="K1590">
        <v>10</v>
      </c>
      <c r="L1590">
        <v>6200</v>
      </c>
      <c r="M1590">
        <v>62000</v>
      </c>
      <c r="N1590" t="s">
        <v>108</v>
      </c>
      <c r="O1590" t="s">
        <v>115</v>
      </c>
    </row>
    <row r="1591" spans="1:15" x14ac:dyDescent="0.25">
      <c r="A1591">
        <v>980</v>
      </c>
      <c r="B1591" s="10">
        <v>45793</v>
      </c>
      <c r="C1591">
        <v>16</v>
      </c>
      <c r="D1591" t="s">
        <v>120</v>
      </c>
      <c r="E1591" t="s">
        <v>137</v>
      </c>
      <c r="F1591" t="s">
        <v>113</v>
      </c>
      <c r="G1591" t="s">
        <v>114</v>
      </c>
      <c r="H1591" t="s">
        <v>131</v>
      </c>
      <c r="I1591" t="s">
        <v>149</v>
      </c>
      <c r="J1591" t="s">
        <v>103</v>
      </c>
      <c r="K1591">
        <v>36</v>
      </c>
      <c r="L1591">
        <v>6200</v>
      </c>
      <c r="M1591">
        <v>223200</v>
      </c>
      <c r="N1591" t="s">
        <v>95</v>
      </c>
      <c r="O1591" t="s">
        <v>96</v>
      </c>
    </row>
    <row r="1592" spans="1:15" x14ac:dyDescent="0.25">
      <c r="A1592">
        <v>1252</v>
      </c>
      <c r="B1592" s="10">
        <v>45745</v>
      </c>
      <c r="C1592">
        <v>29</v>
      </c>
      <c r="D1592" t="s">
        <v>140</v>
      </c>
      <c r="E1592" t="s">
        <v>150</v>
      </c>
      <c r="F1592" t="s">
        <v>117</v>
      </c>
      <c r="G1592" t="s">
        <v>118</v>
      </c>
      <c r="H1592" t="s">
        <v>131</v>
      </c>
      <c r="I1592" t="s">
        <v>149</v>
      </c>
      <c r="J1592" t="s">
        <v>103</v>
      </c>
      <c r="K1592">
        <v>48</v>
      </c>
      <c r="L1592">
        <v>6200</v>
      </c>
      <c r="M1592">
        <v>297600</v>
      </c>
      <c r="N1592" t="s">
        <v>108</v>
      </c>
      <c r="O1592" t="s">
        <v>115</v>
      </c>
    </row>
    <row r="1593" spans="1:15" x14ac:dyDescent="0.25">
      <c r="A1593">
        <v>1507</v>
      </c>
      <c r="B1593" s="10">
        <v>45697</v>
      </c>
      <c r="C1593">
        <v>9</v>
      </c>
      <c r="D1593" t="s">
        <v>97</v>
      </c>
      <c r="E1593" t="s">
        <v>25</v>
      </c>
      <c r="F1593" t="s">
        <v>36</v>
      </c>
      <c r="G1593" t="s">
        <v>100</v>
      </c>
      <c r="H1593" t="s">
        <v>131</v>
      </c>
      <c r="I1593" t="s">
        <v>149</v>
      </c>
      <c r="J1593" t="s">
        <v>103</v>
      </c>
      <c r="K1593">
        <v>7</v>
      </c>
      <c r="L1593">
        <v>6200</v>
      </c>
      <c r="M1593">
        <v>43400</v>
      </c>
      <c r="N1593" t="s">
        <v>108</v>
      </c>
      <c r="O1593" t="s">
        <v>115</v>
      </c>
    </row>
    <row r="1594" spans="1:15" x14ac:dyDescent="0.25">
      <c r="A1594">
        <v>1849</v>
      </c>
      <c r="B1594" s="10">
        <v>45672</v>
      </c>
      <c r="C1594">
        <v>15</v>
      </c>
      <c r="D1594" t="s">
        <v>130</v>
      </c>
      <c r="E1594" t="s">
        <v>25</v>
      </c>
      <c r="F1594" t="s">
        <v>44</v>
      </c>
      <c r="G1594" t="s">
        <v>111</v>
      </c>
      <c r="H1594" t="s">
        <v>131</v>
      </c>
      <c r="I1594" t="s">
        <v>149</v>
      </c>
      <c r="J1594" t="s">
        <v>103</v>
      </c>
      <c r="K1594">
        <v>39</v>
      </c>
      <c r="L1594">
        <v>6200</v>
      </c>
      <c r="M1594">
        <v>241800</v>
      </c>
      <c r="N1594" t="s">
        <v>95</v>
      </c>
      <c r="O1594" t="s">
        <v>96</v>
      </c>
    </row>
    <row r="1595" spans="1:15" x14ac:dyDescent="0.25">
      <c r="A1595">
        <v>1881</v>
      </c>
      <c r="B1595" s="10">
        <v>45854</v>
      </c>
      <c r="C1595">
        <v>16</v>
      </c>
      <c r="D1595" t="s">
        <v>145</v>
      </c>
      <c r="E1595" t="s">
        <v>128</v>
      </c>
      <c r="F1595" t="s">
        <v>107</v>
      </c>
      <c r="G1595" t="s">
        <v>100</v>
      </c>
      <c r="H1595" t="s">
        <v>131</v>
      </c>
      <c r="I1595" t="s">
        <v>149</v>
      </c>
      <c r="J1595" t="s">
        <v>103</v>
      </c>
      <c r="K1595">
        <v>6</v>
      </c>
      <c r="L1595">
        <v>6200</v>
      </c>
      <c r="M1595">
        <v>37200</v>
      </c>
      <c r="N1595" t="s">
        <v>95</v>
      </c>
      <c r="O1595" t="s">
        <v>115</v>
      </c>
    </row>
    <row r="1596" spans="1:15" x14ac:dyDescent="0.25">
      <c r="A1596">
        <v>2560</v>
      </c>
      <c r="B1596" s="10">
        <v>45788</v>
      </c>
      <c r="C1596">
        <v>11</v>
      </c>
      <c r="D1596" t="s">
        <v>120</v>
      </c>
      <c r="E1596" t="s">
        <v>138</v>
      </c>
      <c r="F1596" t="s">
        <v>144</v>
      </c>
      <c r="G1596" t="s">
        <v>91</v>
      </c>
      <c r="H1596" t="s">
        <v>131</v>
      </c>
      <c r="I1596" t="s">
        <v>149</v>
      </c>
      <c r="J1596" t="s">
        <v>103</v>
      </c>
      <c r="K1596">
        <v>11</v>
      </c>
      <c r="L1596">
        <v>6200</v>
      </c>
      <c r="M1596">
        <v>68200</v>
      </c>
      <c r="N1596" t="s">
        <v>108</v>
      </c>
      <c r="O1596" t="s">
        <v>96</v>
      </c>
    </row>
    <row r="1597" spans="1:15" x14ac:dyDescent="0.25">
      <c r="A1597">
        <v>3181</v>
      </c>
      <c r="B1597" s="10">
        <v>45906</v>
      </c>
      <c r="C1597">
        <v>6</v>
      </c>
      <c r="D1597" t="s">
        <v>147</v>
      </c>
      <c r="E1597" t="s">
        <v>112</v>
      </c>
      <c r="F1597" t="s">
        <v>134</v>
      </c>
      <c r="G1597" t="s">
        <v>100</v>
      </c>
      <c r="H1597" t="s">
        <v>131</v>
      </c>
      <c r="I1597" t="s">
        <v>149</v>
      </c>
      <c r="J1597" t="s">
        <v>103</v>
      </c>
      <c r="K1597">
        <v>16</v>
      </c>
      <c r="L1597">
        <v>6200</v>
      </c>
      <c r="M1597">
        <v>99200</v>
      </c>
      <c r="N1597" t="s">
        <v>95</v>
      </c>
      <c r="O1597" t="s">
        <v>115</v>
      </c>
    </row>
    <row r="1598" spans="1:15" x14ac:dyDescent="0.25">
      <c r="A1598">
        <v>3330</v>
      </c>
      <c r="B1598" s="10">
        <v>45684</v>
      </c>
      <c r="C1598">
        <v>27</v>
      </c>
      <c r="D1598" t="s">
        <v>130</v>
      </c>
      <c r="E1598" t="s">
        <v>31</v>
      </c>
      <c r="F1598" t="s">
        <v>107</v>
      </c>
      <c r="G1598" t="s">
        <v>100</v>
      </c>
      <c r="H1598" t="s">
        <v>131</v>
      </c>
      <c r="I1598" t="s">
        <v>149</v>
      </c>
      <c r="J1598" t="s">
        <v>103</v>
      </c>
      <c r="K1598">
        <v>13</v>
      </c>
      <c r="L1598">
        <v>6200</v>
      </c>
      <c r="M1598">
        <v>80600</v>
      </c>
      <c r="N1598" t="s">
        <v>108</v>
      </c>
      <c r="O1598" t="s">
        <v>104</v>
      </c>
    </row>
    <row r="1599" spans="1:15" x14ac:dyDescent="0.25">
      <c r="A1599">
        <v>3628</v>
      </c>
      <c r="B1599" s="10">
        <v>45957</v>
      </c>
      <c r="C1599">
        <v>27</v>
      </c>
      <c r="D1599" t="s">
        <v>136</v>
      </c>
      <c r="E1599" t="s">
        <v>31</v>
      </c>
      <c r="F1599" t="s">
        <v>122</v>
      </c>
      <c r="G1599" t="s">
        <v>114</v>
      </c>
      <c r="H1599" t="s">
        <v>131</v>
      </c>
      <c r="I1599" t="s">
        <v>149</v>
      </c>
      <c r="J1599" t="s">
        <v>103</v>
      </c>
      <c r="K1599">
        <v>26</v>
      </c>
      <c r="L1599">
        <v>6200</v>
      </c>
      <c r="M1599">
        <v>161200</v>
      </c>
      <c r="N1599" t="s">
        <v>95</v>
      </c>
      <c r="O1599" t="s">
        <v>115</v>
      </c>
    </row>
    <row r="1600" spans="1:15" x14ac:dyDescent="0.25">
      <c r="A1600">
        <v>4047</v>
      </c>
      <c r="B1600" s="10">
        <v>45736</v>
      </c>
      <c r="C1600">
        <v>20</v>
      </c>
      <c r="D1600" t="s">
        <v>140</v>
      </c>
      <c r="E1600" t="s">
        <v>137</v>
      </c>
      <c r="F1600" t="s">
        <v>148</v>
      </c>
      <c r="G1600" t="s">
        <v>118</v>
      </c>
      <c r="H1600" t="s">
        <v>131</v>
      </c>
      <c r="I1600" t="s">
        <v>149</v>
      </c>
      <c r="J1600" t="s">
        <v>103</v>
      </c>
      <c r="K1600">
        <v>11</v>
      </c>
      <c r="L1600">
        <v>6200</v>
      </c>
      <c r="M1600">
        <v>68200</v>
      </c>
      <c r="N1600" t="s">
        <v>108</v>
      </c>
      <c r="O1600" t="s">
        <v>104</v>
      </c>
    </row>
    <row r="1601" spans="1:15" x14ac:dyDescent="0.25">
      <c r="A1601">
        <v>4444</v>
      </c>
      <c r="B1601" s="10">
        <v>45732</v>
      </c>
      <c r="C1601">
        <v>16</v>
      </c>
      <c r="D1601" t="s">
        <v>140</v>
      </c>
      <c r="E1601" t="s">
        <v>161</v>
      </c>
      <c r="F1601" t="s">
        <v>117</v>
      </c>
      <c r="G1601" t="s">
        <v>118</v>
      </c>
      <c r="H1601" t="s">
        <v>131</v>
      </c>
      <c r="I1601" t="s">
        <v>149</v>
      </c>
      <c r="J1601" t="s">
        <v>103</v>
      </c>
      <c r="K1601">
        <v>47</v>
      </c>
      <c r="L1601">
        <v>6200</v>
      </c>
      <c r="M1601">
        <v>291400</v>
      </c>
      <c r="N1601" t="s">
        <v>108</v>
      </c>
      <c r="O1601" t="s">
        <v>104</v>
      </c>
    </row>
    <row r="1602" spans="1:15" x14ac:dyDescent="0.25">
      <c r="A1602">
        <v>4811</v>
      </c>
      <c r="B1602" s="10">
        <v>45953</v>
      </c>
      <c r="C1602">
        <v>23</v>
      </c>
      <c r="D1602" t="s">
        <v>136</v>
      </c>
      <c r="E1602" t="s">
        <v>110</v>
      </c>
      <c r="F1602" t="s">
        <v>148</v>
      </c>
      <c r="G1602" t="s">
        <v>118</v>
      </c>
      <c r="H1602" t="s">
        <v>131</v>
      </c>
      <c r="I1602" t="s">
        <v>149</v>
      </c>
      <c r="J1602" t="s">
        <v>103</v>
      </c>
      <c r="K1602">
        <v>34</v>
      </c>
      <c r="L1602">
        <v>6200</v>
      </c>
      <c r="M1602">
        <v>210800</v>
      </c>
      <c r="N1602" t="s">
        <v>108</v>
      </c>
      <c r="O1602" t="s">
        <v>96</v>
      </c>
    </row>
    <row r="1603" spans="1:15" x14ac:dyDescent="0.25">
      <c r="A1603">
        <v>312</v>
      </c>
      <c r="B1603" s="10">
        <v>45986</v>
      </c>
      <c r="C1603">
        <v>25</v>
      </c>
      <c r="D1603" t="s">
        <v>90</v>
      </c>
      <c r="E1603" t="s">
        <v>161</v>
      </c>
      <c r="F1603" t="s">
        <v>151</v>
      </c>
      <c r="G1603" t="s">
        <v>111</v>
      </c>
      <c r="H1603" t="s">
        <v>131</v>
      </c>
      <c r="I1603" t="s">
        <v>149</v>
      </c>
      <c r="J1603" t="s">
        <v>103</v>
      </c>
      <c r="K1603">
        <v>15</v>
      </c>
      <c r="L1603">
        <v>6300</v>
      </c>
      <c r="M1603">
        <v>94500</v>
      </c>
      <c r="N1603" t="s">
        <v>95</v>
      </c>
      <c r="O1603" t="s">
        <v>96</v>
      </c>
    </row>
    <row r="1604" spans="1:15" x14ac:dyDescent="0.25">
      <c r="A1604">
        <v>1326</v>
      </c>
      <c r="B1604" s="10">
        <v>45700</v>
      </c>
      <c r="C1604">
        <v>12</v>
      </c>
      <c r="D1604" t="s">
        <v>97</v>
      </c>
      <c r="E1604" t="s">
        <v>110</v>
      </c>
      <c r="F1604" t="s">
        <v>99</v>
      </c>
      <c r="G1604" t="s">
        <v>100</v>
      </c>
      <c r="H1604" t="s">
        <v>131</v>
      </c>
      <c r="I1604" t="s">
        <v>149</v>
      </c>
      <c r="J1604" t="s">
        <v>94</v>
      </c>
      <c r="K1604">
        <v>4</v>
      </c>
      <c r="L1604">
        <v>6300</v>
      </c>
      <c r="M1604">
        <v>25200</v>
      </c>
      <c r="N1604" t="s">
        <v>108</v>
      </c>
      <c r="O1604" t="s">
        <v>104</v>
      </c>
    </row>
    <row r="1605" spans="1:15" x14ac:dyDescent="0.25">
      <c r="A1605">
        <v>1649</v>
      </c>
      <c r="B1605" s="10">
        <v>45899</v>
      </c>
      <c r="C1605">
        <v>30</v>
      </c>
      <c r="D1605" t="s">
        <v>109</v>
      </c>
      <c r="E1605" t="s">
        <v>137</v>
      </c>
      <c r="F1605" t="s">
        <v>122</v>
      </c>
      <c r="G1605" t="s">
        <v>114</v>
      </c>
      <c r="H1605" t="s">
        <v>131</v>
      </c>
      <c r="I1605" t="s">
        <v>149</v>
      </c>
      <c r="J1605" t="s">
        <v>103</v>
      </c>
      <c r="K1605">
        <v>47</v>
      </c>
      <c r="L1605">
        <v>6300</v>
      </c>
      <c r="M1605">
        <v>296100</v>
      </c>
      <c r="N1605" t="s">
        <v>108</v>
      </c>
      <c r="O1605" t="s">
        <v>115</v>
      </c>
    </row>
    <row r="1606" spans="1:15" x14ac:dyDescent="0.25">
      <c r="A1606">
        <v>1865</v>
      </c>
      <c r="B1606" s="10">
        <v>45987</v>
      </c>
      <c r="C1606">
        <v>26</v>
      </c>
      <c r="D1606" t="s">
        <v>90</v>
      </c>
      <c r="E1606" t="s">
        <v>25</v>
      </c>
      <c r="F1606" t="s">
        <v>134</v>
      </c>
      <c r="G1606" t="s">
        <v>100</v>
      </c>
      <c r="H1606" t="s">
        <v>131</v>
      </c>
      <c r="I1606" t="s">
        <v>149</v>
      </c>
      <c r="J1606" t="s">
        <v>103</v>
      </c>
      <c r="K1606">
        <v>37</v>
      </c>
      <c r="L1606">
        <v>6300</v>
      </c>
      <c r="M1606">
        <v>233100</v>
      </c>
      <c r="N1606" t="s">
        <v>95</v>
      </c>
      <c r="O1606" t="s">
        <v>104</v>
      </c>
    </row>
    <row r="1607" spans="1:15" x14ac:dyDescent="0.25">
      <c r="A1607">
        <v>1957</v>
      </c>
      <c r="B1607" s="10">
        <v>45991</v>
      </c>
      <c r="C1607">
        <v>30</v>
      </c>
      <c r="D1607" t="s">
        <v>90</v>
      </c>
      <c r="E1607" t="s">
        <v>98</v>
      </c>
      <c r="F1607" t="s">
        <v>107</v>
      </c>
      <c r="G1607" t="s">
        <v>100</v>
      </c>
      <c r="H1607" t="s">
        <v>131</v>
      </c>
      <c r="I1607" t="s">
        <v>149</v>
      </c>
      <c r="J1607" t="s">
        <v>94</v>
      </c>
      <c r="K1607">
        <v>2</v>
      </c>
      <c r="L1607">
        <v>6300</v>
      </c>
      <c r="M1607">
        <v>12600</v>
      </c>
      <c r="N1607" t="s">
        <v>95</v>
      </c>
      <c r="O1607" t="s">
        <v>115</v>
      </c>
    </row>
    <row r="1608" spans="1:15" x14ac:dyDescent="0.25">
      <c r="A1608">
        <v>2676</v>
      </c>
      <c r="B1608" s="10">
        <v>45814</v>
      </c>
      <c r="C1608">
        <v>6</v>
      </c>
      <c r="D1608" t="s">
        <v>153</v>
      </c>
      <c r="E1608" t="s">
        <v>110</v>
      </c>
      <c r="F1608" t="s">
        <v>28</v>
      </c>
      <c r="G1608" t="s">
        <v>126</v>
      </c>
      <c r="H1608" t="s">
        <v>131</v>
      </c>
      <c r="I1608" t="s">
        <v>149</v>
      </c>
      <c r="J1608" t="s">
        <v>94</v>
      </c>
      <c r="K1608">
        <v>5</v>
      </c>
      <c r="L1608">
        <v>6300</v>
      </c>
      <c r="M1608">
        <v>31500</v>
      </c>
      <c r="N1608" t="s">
        <v>108</v>
      </c>
      <c r="O1608" t="s">
        <v>96</v>
      </c>
    </row>
    <row r="1609" spans="1:15" x14ac:dyDescent="0.25">
      <c r="A1609">
        <v>2873</v>
      </c>
      <c r="B1609" s="10">
        <v>45734</v>
      </c>
      <c r="C1609">
        <v>18</v>
      </c>
      <c r="D1609" t="s">
        <v>140</v>
      </c>
      <c r="E1609" t="s">
        <v>137</v>
      </c>
      <c r="F1609" t="s">
        <v>134</v>
      </c>
      <c r="G1609" t="s">
        <v>100</v>
      </c>
      <c r="H1609" t="s">
        <v>131</v>
      </c>
      <c r="I1609" t="s">
        <v>149</v>
      </c>
      <c r="J1609" t="s">
        <v>94</v>
      </c>
      <c r="K1609">
        <v>3</v>
      </c>
      <c r="L1609">
        <v>6300</v>
      </c>
      <c r="M1609">
        <v>18900</v>
      </c>
      <c r="N1609" t="s">
        <v>95</v>
      </c>
      <c r="O1609" t="s">
        <v>104</v>
      </c>
    </row>
    <row r="1610" spans="1:15" x14ac:dyDescent="0.25">
      <c r="A1610">
        <v>3568</v>
      </c>
      <c r="B1610" s="10">
        <v>45702</v>
      </c>
      <c r="C1610">
        <v>14</v>
      </c>
      <c r="D1610" t="s">
        <v>97</v>
      </c>
      <c r="E1610" t="s">
        <v>161</v>
      </c>
      <c r="F1610" t="s">
        <v>122</v>
      </c>
      <c r="G1610" t="s">
        <v>114</v>
      </c>
      <c r="H1610" t="s">
        <v>131</v>
      </c>
      <c r="I1610" t="s">
        <v>149</v>
      </c>
      <c r="J1610" t="s">
        <v>103</v>
      </c>
      <c r="K1610">
        <v>30</v>
      </c>
      <c r="L1610">
        <v>6300</v>
      </c>
      <c r="M1610">
        <v>189000</v>
      </c>
      <c r="N1610" t="s">
        <v>95</v>
      </c>
      <c r="O1610" t="s">
        <v>96</v>
      </c>
    </row>
    <row r="1611" spans="1:15" x14ac:dyDescent="0.25">
      <c r="A1611">
        <v>4089</v>
      </c>
      <c r="B1611" s="10">
        <v>45891</v>
      </c>
      <c r="C1611">
        <v>22</v>
      </c>
      <c r="D1611" t="s">
        <v>109</v>
      </c>
      <c r="E1611" t="s">
        <v>106</v>
      </c>
      <c r="F1611" t="s">
        <v>28</v>
      </c>
      <c r="G1611" t="s">
        <v>126</v>
      </c>
      <c r="H1611" t="s">
        <v>131</v>
      </c>
      <c r="I1611" t="s">
        <v>149</v>
      </c>
      <c r="J1611" t="s">
        <v>103</v>
      </c>
      <c r="K1611">
        <v>32</v>
      </c>
      <c r="L1611">
        <v>6300</v>
      </c>
      <c r="M1611">
        <v>201600</v>
      </c>
      <c r="N1611" t="s">
        <v>95</v>
      </c>
      <c r="O1611" t="s">
        <v>115</v>
      </c>
    </row>
    <row r="1612" spans="1:15" x14ac:dyDescent="0.25">
      <c r="A1612">
        <v>4453</v>
      </c>
      <c r="B1612" s="10">
        <v>45804</v>
      </c>
      <c r="C1612">
        <v>27</v>
      </c>
      <c r="D1612" t="s">
        <v>120</v>
      </c>
      <c r="E1612" t="s">
        <v>150</v>
      </c>
      <c r="F1612" t="s">
        <v>117</v>
      </c>
      <c r="G1612" t="s">
        <v>118</v>
      </c>
      <c r="H1612" t="s">
        <v>131</v>
      </c>
      <c r="I1612" t="s">
        <v>149</v>
      </c>
      <c r="J1612" t="s">
        <v>103</v>
      </c>
      <c r="K1612">
        <v>31</v>
      </c>
      <c r="L1612">
        <v>6300</v>
      </c>
      <c r="M1612">
        <v>195300</v>
      </c>
      <c r="N1612" t="s">
        <v>108</v>
      </c>
      <c r="O1612" t="s">
        <v>96</v>
      </c>
    </row>
    <row r="1613" spans="1:15" x14ac:dyDescent="0.25">
      <c r="A1613">
        <v>4626</v>
      </c>
      <c r="B1613" s="10">
        <v>45929</v>
      </c>
      <c r="C1613">
        <v>29</v>
      </c>
      <c r="D1613" t="s">
        <v>147</v>
      </c>
      <c r="E1613" t="s">
        <v>116</v>
      </c>
      <c r="F1613" t="s">
        <v>99</v>
      </c>
      <c r="G1613" t="s">
        <v>100</v>
      </c>
      <c r="H1613" t="s">
        <v>131</v>
      </c>
      <c r="I1613" t="s">
        <v>149</v>
      </c>
      <c r="J1613" t="s">
        <v>103</v>
      </c>
      <c r="K1613">
        <v>33</v>
      </c>
      <c r="L1613">
        <v>6300</v>
      </c>
      <c r="M1613">
        <v>207900</v>
      </c>
      <c r="N1613" t="s">
        <v>108</v>
      </c>
      <c r="O1613" t="s">
        <v>96</v>
      </c>
    </row>
    <row r="1614" spans="1:15" x14ac:dyDescent="0.25">
      <c r="A1614">
        <v>373</v>
      </c>
      <c r="B1614" s="10">
        <v>45931</v>
      </c>
      <c r="C1614">
        <v>1</v>
      </c>
      <c r="D1614" t="s">
        <v>136</v>
      </c>
      <c r="E1614" t="s">
        <v>142</v>
      </c>
      <c r="F1614" t="s">
        <v>49</v>
      </c>
      <c r="G1614" t="s">
        <v>118</v>
      </c>
      <c r="H1614" t="s">
        <v>131</v>
      </c>
      <c r="I1614" t="s">
        <v>149</v>
      </c>
      <c r="J1614" t="s">
        <v>103</v>
      </c>
      <c r="K1614">
        <v>22</v>
      </c>
      <c r="L1614">
        <v>6400</v>
      </c>
      <c r="M1614">
        <v>140800</v>
      </c>
      <c r="N1614" t="s">
        <v>108</v>
      </c>
      <c r="O1614" t="s">
        <v>115</v>
      </c>
    </row>
    <row r="1615" spans="1:15" x14ac:dyDescent="0.25">
      <c r="A1615">
        <v>401</v>
      </c>
      <c r="B1615" s="10">
        <v>45681</v>
      </c>
      <c r="C1615">
        <v>24</v>
      </c>
      <c r="D1615" t="s">
        <v>130</v>
      </c>
      <c r="E1615" t="s">
        <v>133</v>
      </c>
      <c r="F1615" t="s">
        <v>113</v>
      </c>
      <c r="G1615" t="s">
        <v>114</v>
      </c>
      <c r="H1615" t="s">
        <v>131</v>
      </c>
      <c r="I1615" t="s">
        <v>149</v>
      </c>
      <c r="J1615" t="s">
        <v>94</v>
      </c>
      <c r="K1615">
        <v>1</v>
      </c>
      <c r="L1615">
        <v>6400</v>
      </c>
      <c r="M1615">
        <v>6400</v>
      </c>
      <c r="N1615" t="s">
        <v>108</v>
      </c>
      <c r="O1615" t="s">
        <v>104</v>
      </c>
    </row>
    <row r="1616" spans="1:15" x14ac:dyDescent="0.25">
      <c r="A1616">
        <v>1559</v>
      </c>
      <c r="B1616" s="10">
        <v>45950</v>
      </c>
      <c r="C1616">
        <v>20</v>
      </c>
      <c r="D1616" t="s">
        <v>136</v>
      </c>
      <c r="E1616" t="s">
        <v>142</v>
      </c>
      <c r="F1616" t="s">
        <v>99</v>
      </c>
      <c r="G1616" t="s">
        <v>100</v>
      </c>
      <c r="H1616" t="s">
        <v>131</v>
      </c>
      <c r="I1616" t="s">
        <v>149</v>
      </c>
      <c r="J1616" t="s">
        <v>103</v>
      </c>
      <c r="K1616">
        <v>23</v>
      </c>
      <c r="L1616">
        <v>6400</v>
      </c>
      <c r="M1616">
        <v>147200</v>
      </c>
      <c r="N1616" t="s">
        <v>95</v>
      </c>
      <c r="O1616" t="s">
        <v>96</v>
      </c>
    </row>
    <row r="1617" spans="1:15" x14ac:dyDescent="0.25">
      <c r="A1617">
        <v>2843</v>
      </c>
      <c r="B1617" s="10">
        <v>45850</v>
      </c>
      <c r="C1617">
        <v>12</v>
      </c>
      <c r="D1617" t="s">
        <v>145</v>
      </c>
      <c r="E1617" t="s">
        <v>106</v>
      </c>
      <c r="F1617" t="s">
        <v>148</v>
      </c>
      <c r="G1617" t="s">
        <v>118</v>
      </c>
      <c r="H1617" t="s">
        <v>131</v>
      </c>
      <c r="I1617" t="s">
        <v>149</v>
      </c>
      <c r="J1617" t="s">
        <v>103</v>
      </c>
      <c r="K1617">
        <v>27</v>
      </c>
      <c r="L1617">
        <v>6400</v>
      </c>
      <c r="M1617">
        <v>172800</v>
      </c>
      <c r="N1617" t="s">
        <v>95</v>
      </c>
      <c r="O1617" t="s">
        <v>104</v>
      </c>
    </row>
    <row r="1618" spans="1:15" x14ac:dyDescent="0.25">
      <c r="A1618">
        <v>3156</v>
      </c>
      <c r="B1618" s="10">
        <v>45885</v>
      </c>
      <c r="C1618">
        <v>16</v>
      </c>
      <c r="D1618" t="s">
        <v>109</v>
      </c>
      <c r="E1618" t="s">
        <v>161</v>
      </c>
      <c r="F1618" t="s">
        <v>107</v>
      </c>
      <c r="G1618" t="s">
        <v>100</v>
      </c>
      <c r="H1618" t="s">
        <v>131</v>
      </c>
      <c r="I1618" t="s">
        <v>149</v>
      </c>
      <c r="J1618" t="s">
        <v>94</v>
      </c>
      <c r="K1618">
        <v>6</v>
      </c>
      <c r="L1618">
        <v>6400</v>
      </c>
      <c r="M1618">
        <v>38400</v>
      </c>
      <c r="N1618" t="s">
        <v>95</v>
      </c>
      <c r="O1618" t="s">
        <v>104</v>
      </c>
    </row>
    <row r="1619" spans="1:15" x14ac:dyDescent="0.25">
      <c r="A1619">
        <v>3217</v>
      </c>
      <c r="B1619" s="10">
        <v>46010</v>
      </c>
      <c r="C1619">
        <v>19</v>
      </c>
      <c r="D1619" t="s">
        <v>125</v>
      </c>
      <c r="E1619" t="s">
        <v>25</v>
      </c>
      <c r="F1619" t="s">
        <v>28</v>
      </c>
      <c r="G1619" t="s">
        <v>126</v>
      </c>
      <c r="H1619" t="s">
        <v>131</v>
      </c>
      <c r="I1619" t="s">
        <v>149</v>
      </c>
      <c r="J1619" t="s">
        <v>94</v>
      </c>
      <c r="K1619">
        <v>3</v>
      </c>
      <c r="L1619">
        <v>6400</v>
      </c>
      <c r="M1619">
        <v>19200</v>
      </c>
      <c r="N1619" t="s">
        <v>108</v>
      </c>
      <c r="O1619" t="s">
        <v>115</v>
      </c>
    </row>
    <row r="1620" spans="1:15" x14ac:dyDescent="0.25">
      <c r="A1620">
        <v>4057</v>
      </c>
      <c r="B1620" s="10">
        <v>45694</v>
      </c>
      <c r="C1620">
        <v>6</v>
      </c>
      <c r="D1620" t="s">
        <v>97</v>
      </c>
      <c r="E1620" t="s">
        <v>106</v>
      </c>
      <c r="F1620" t="s">
        <v>141</v>
      </c>
      <c r="G1620" t="s">
        <v>100</v>
      </c>
      <c r="H1620" t="s">
        <v>131</v>
      </c>
      <c r="I1620" t="s">
        <v>149</v>
      </c>
      <c r="J1620" t="s">
        <v>103</v>
      </c>
      <c r="K1620">
        <v>9</v>
      </c>
      <c r="L1620">
        <v>6400</v>
      </c>
      <c r="M1620">
        <v>57600</v>
      </c>
      <c r="N1620" t="s">
        <v>108</v>
      </c>
      <c r="O1620" t="s">
        <v>115</v>
      </c>
    </row>
    <row r="1621" spans="1:15" x14ac:dyDescent="0.25">
      <c r="A1621">
        <v>4164</v>
      </c>
      <c r="B1621" s="10">
        <v>46006</v>
      </c>
      <c r="C1621">
        <v>15</v>
      </c>
      <c r="D1621" t="s">
        <v>125</v>
      </c>
      <c r="E1621" t="s">
        <v>106</v>
      </c>
      <c r="F1621" t="s">
        <v>117</v>
      </c>
      <c r="G1621" t="s">
        <v>118</v>
      </c>
      <c r="H1621" t="s">
        <v>131</v>
      </c>
      <c r="I1621" t="s">
        <v>149</v>
      </c>
      <c r="J1621" t="s">
        <v>94</v>
      </c>
      <c r="K1621">
        <v>5</v>
      </c>
      <c r="L1621">
        <v>6400</v>
      </c>
      <c r="M1621">
        <v>32000</v>
      </c>
      <c r="N1621" t="s">
        <v>108</v>
      </c>
      <c r="O1621" t="s">
        <v>115</v>
      </c>
    </row>
    <row r="1622" spans="1:15" x14ac:dyDescent="0.25">
      <c r="A1622">
        <v>752</v>
      </c>
      <c r="B1622" s="10">
        <v>45885</v>
      </c>
      <c r="C1622">
        <v>16</v>
      </c>
      <c r="D1622" t="s">
        <v>109</v>
      </c>
      <c r="E1622" t="s">
        <v>137</v>
      </c>
      <c r="F1622" t="s">
        <v>22</v>
      </c>
      <c r="G1622" t="s">
        <v>91</v>
      </c>
      <c r="H1622" t="s">
        <v>131</v>
      </c>
      <c r="I1622" t="s">
        <v>149</v>
      </c>
      <c r="J1622" t="s">
        <v>94</v>
      </c>
      <c r="K1622">
        <v>6</v>
      </c>
      <c r="L1622">
        <v>6500</v>
      </c>
      <c r="M1622">
        <v>39000</v>
      </c>
      <c r="N1622" t="s">
        <v>108</v>
      </c>
      <c r="O1622" t="s">
        <v>96</v>
      </c>
    </row>
    <row r="1623" spans="1:15" x14ac:dyDescent="0.25">
      <c r="A1623">
        <v>886</v>
      </c>
      <c r="B1623" s="10">
        <v>45985</v>
      </c>
      <c r="C1623">
        <v>24</v>
      </c>
      <c r="D1623" t="s">
        <v>90</v>
      </c>
      <c r="E1623" t="s">
        <v>128</v>
      </c>
      <c r="F1623" t="s">
        <v>44</v>
      </c>
      <c r="G1623" t="s">
        <v>111</v>
      </c>
      <c r="H1623" t="s">
        <v>131</v>
      </c>
      <c r="I1623" t="s">
        <v>149</v>
      </c>
      <c r="J1623" t="s">
        <v>103</v>
      </c>
      <c r="K1623">
        <v>50</v>
      </c>
      <c r="L1623">
        <v>6500</v>
      </c>
      <c r="M1623">
        <v>325000</v>
      </c>
      <c r="N1623" t="s">
        <v>95</v>
      </c>
      <c r="O1623" t="s">
        <v>104</v>
      </c>
    </row>
    <row r="1624" spans="1:15" x14ac:dyDescent="0.25">
      <c r="A1624">
        <v>1708</v>
      </c>
      <c r="B1624" s="10">
        <v>45744</v>
      </c>
      <c r="C1624">
        <v>28</v>
      </c>
      <c r="D1624" t="s">
        <v>140</v>
      </c>
      <c r="E1624" t="s">
        <v>121</v>
      </c>
      <c r="F1624" t="s">
        <v>107</v>
      </c>
      <c r="G1624" t="s">
        <v>100</v>
      </c>
      <c r="H1624" t="s">
        <v>131</v>
      </c>
      <c r="I1624" t="s">
        <v>149</v>
      </c>
      <c r="J1624" t="s">
        <v>103</v>
      </c>
      <c r="K1624">
        <v>29</v>
      </c>
      <c r="L1624">
        <v>6500</v>
      </c>
      <c r="M1624">
        <v>188500</v>
      </c>
      <c r="N1624" t="s">
        <v>95</v>
      </c>
      <c r="O1624" t="s">
        <v>96</v>
      </c>
    </row>
    <row r="1625" spans="1:15" x14ac:dyDescent="0.25">
      <c r="A1625">
        <v>3072</v>
      </c>
      <c r="B1625" s="10">
        <v>45847</v>
      </c>
      <c r="C1625">
        <v>9</v>
      </c>
      <c r="D1625" t="s">
        <v>145</v>
      </c>
      <c r="E1625" t="s">
        <v>161</v>
      </c>
      <c r="F1625" t="s">
        <v>49</v>
      </c>
      <c r="G1625" t="s">
        <v>118</v>
      </c>
      <c r="H1625" t="s">
        <v>131</v>
      </c>
      <c r="I1625" t="s">
        <v>149</v>
      </c>
      <c r="J1625" t="s">
        <v>103</v>
      </c>
      <c r="K1625">
        <v>40</v>
      </c>
      <c r="L1625">
        <v>6500</v>
      </c>
      <c r="M1625">
        <v>260000</v>
      </c>
      <c r="N1625" t="s">
        <v>95</v>
      </c>
      <c r="O1625" t="s">
        <v>115</v>
      </c>
    </row>
    <row r="1626" spans="1:15" x14ac:dyDescent="0.25">
      <c r="A1626">
        <v>4329</v>
      </c>
      <c r="B1626" s="10">
        <v>45870</v>
      </c>
      <c r="C1626">
        <v>1</v>
      </c>
      <c r="D1626" t="s">
        <v>109</v>
      </c>
      <c r="E1626" t="s">
        <v>31</v>
      </c>
      <c r="F1626" t="s">
        <v>36</v>
      </c>
      <c r="G1626" t="s">
        <v>100</v>
      </c>
      <c r="H1626" t="s">
        <v>131</v>
      </c>
      <c r="I1626" t="s">
        <v>149</v>
      </c>
      <c r="J1626" t="s">
        <v>103</v>
      </c>
      <c r="K1626">
        <v>13</v>
      </c>
      <c r="L1626">
        <v>6500</v>
      </c>
      <c r="M1626">
        <v>84500</v>
      </c>
      <c r="N1626" t="s">
        <v>95</v>
      </c>
      <c r="O1626" t="s">
        <v>104</v>
      </c>
    </row>
    <row r="1627" spans="1:15" x14ac:dyDescent="0.25">
      <c r="A1627">
        <v>4578</v>
      </c>
      <c r="B1627" s="10">
        <v>45833</v>
      </c>
      <c r="C1627">
        <v>25</v>
      </c>
      <c r="D1627" t="s">
        <v>153</v>
      </c>
      <c r="E1627" t="s">
        <v>98</v>
      </c>
      <c r="F1627" t="s">
        <v>148</v>
      </c>
      <c r="G1627" t="s">
        <v>118</v>
      </c>
      <c r="H1627" t="s">
        <v>131</v>
      </c>
      <c r="I1627" t="s">
        <v>149</v>
      </c>
      <c r="J1627" t="s">
        <v>103</v>
      </c>
      <c r="K1627">
        <v>37</v>
      </c>
      <c r="L1627">
        <v>6500</v>
      </c>
      <c r="M1627">
        <v>240500</v>
      </c>
      <c r="N1627" t="s">
        <v>108</v>
      </c>
      <c r="O1627" t="s">
        <v>115</v>
      </c>
    </row>
    <row r="1628" spans="1:15" x14ac:dyDescent="0.25">
      <c r="A1628">
        <v>4757</v>
      </c>
      <c r="B1628" s="10">
        <v>45958</v>
      </c>
      <c r="C1628">
        <v>28</v>
      </c>
      <c r="D1628" t="s">
        <v>136</v>
      </c>
      <c r="E1628" t="s">
        <v>138</v>
      </c>
      <c r="F1628" t="s">
        <v>144</v>
      </c>
      <c r="G1628" t="s">
        <v>91</v>
      </c>
      <c r="H1628" t="s">
        <v>131</v>
      </c>
      <c r="I1628" t="s">
        <v>149</v>
      </c>
      <c r="J1628" t="s">
        <v>94</v>
      </c>
      <c r="K1628">
        <v>10</v>
      </c>
      <c r="L1628">
        <v>6500</v>
      </c>
      <c r="M1628">
        <v>65000</v>
      </c>
      <c r="N1628" t="s">
        <v>108</v>
      </c>
      <c r="O1628" t="s">
        <v>96</v>
      </c>
    </row>
    <row r="1629" spans="1:15" x14ac:dyDescent="0.25">
      <c r="A1629">
        <v>63</v>
      </c>
      <c r="B1629" s="10">
        <v>46014</v>
      </c>
      <c r="C1629">
        <v>23</v>
      </c>
      <c r="D1629" t="s">
        <v>125</v>
      </c>
      <c r="E1629" t="s">
        <v>142</v>
      </c>
      <c r="F1629" t="s">
        <v>151</v>
      </c>
      <c r="G1629" t="s">
        <v>111</v>
      </c>
      <c r="H1629" t="s">
        <v>131</v>
      </c>
      <c r="I1629" t="s">
        <v>149</v>
      </c>
      <c r="J1629" t="s">
        <v>94</v>
      </c>
      <c r="K1629">
        <v>1</v>
      </c>
      <c r="L1629">
        <v>6600</v>
      </c>
      <c r="M1629">
        <v>6600</v>
      </c>
      <c r="N1629" t="s">
        <v>95</v>
      </c>
      <c r="O1629" t="s">
        <v>115</v>
      </c>
    </row>
    <row r="1630" spans="1:15" x14ac:dyDescent="0.25">
      <c r="A1630">
        <v>326</v>
      </c>
      <c r="B1630" s="10">
        <v>45835</v>
      </c>
      <c r="C1630">
        <v>27</v>
      </c>
      <c r="D1630" t="s">
        <v>153</v>
      </c>
      <c r="E1630" t="s">
        <v>25</v>
      </c>
      <c r="F1630" t="s">
        <v>28</v>
      </c>
      <c r="G1630" t="s">
        <v>126</v>
      </c>
      <c r="H1630" t="s">
        <v>131</v>
      </c>
      <c r="I1630" t="s">
        <v>149</v>
      </c>
      <c r="J1630" t="s">
        <v>94</v>
      </c>
      <c r="K1630">
        <v>6</v>
      </c>
      <c r="L1630">
        <v>6600</v>
      </c>
      <c r="M1630">
        <v>39600</v>
      </c>
      <c r="N1630" t="s">
        <v>108</v>
      </c>
      <c r="O1630" t="s">
        <v>115</v>
      </c>
    </row>
    <row r="1631" spans="1:15" x14ac:dyDescent="0.25">
      <c r="A1631">
        <v>843</v>
      </c>
      <c r="B1631" s="10">
        <v>45906</v>
      </c>
      <c r="C1631">
        <v>6</v>
      </c>
      <c r="D1631" t="s">
        <v>147</v>
      </c>
      <c r="E1631" t="s">
        <v>25</v>
      </c>
      <c r="F1631" t="s">
        <v>144</v>
      </c>
      <c r="G1631" t="s">
        <v>91</v>
      </c>
      <c r="H1631" t="s">
        <v>131</v>
      </c>
      <c r="I1631" t="s">
        <v>149</v>
      </c>
      <c r="J1631" t="s">
        <v>94</v>
      </c>
      <c r="K1631">
        <v>10</v>
      </c>
      <c r="L1631">
        <v>6600</v>
      </c>
      <c r="M1631">
        <v>66000</v>
      </c>
      <c r="N1631" t="s">
        <v>108</v>
      </c>
      <c r="O1631" t="s">
        <v>104</v>
      </c>
    </row>
    <row r="1632" spans="1:15" x14ac:dyDescent="0.25">
      <c r="A1632">
        <v>1591</v>
      </c>
      <c r="B1632" s="10">
        <v>45945</v>
      </c>
      <c r="C1632">
        <v>15</v>
      </c>
      <c r="D1632" t="s">
        <v>136</v>
      </c>
      <c r="E1632" t="s">
        <v>138</v>
      </c>
      <c r="F1632" t="s">
        <v>49</v>
      </c>
      <c r="G1632" t="s">
        <v>118</v>
      </c>
      <c r="H1632" t="s">
        <v>131</v>
      </c>
      <c r="I1632" t="s">
        <v>149</v>
      </c>
      <c r="J1632" t="s">
        <v>94</v>
      </c>
      <c r="K1632">
        <v>3</v>
      </c>
      <c r="L1632">
        <v>6600</v>
      </c>
      <c r="M1632">
        <v>19800</v>
      </c>
      <c r="N1632" t="s">
        <v>108</v>
      </c>
      <c r="O1632" t="s">
        <v>96</v>
      </c>
    </row>
    <row r="1633" spans="1:15" x14ac:dyDescent="0.25">
      <c r="A1633">
        <v>2668</v>
      </c>
      <c r="B1633" s="10">
        <v>45819</v>
      </c>
      <c r="C1633">
        <v>11</v>
      </c>
      <c r="D1633" t="s">
        <v>153</v>
      </c>
      <c r="E1633" t="s">
        <v>161</v>
      </c>
      <c r="F1633" t="s">
        <v>49</v>
      </c>
      <c r="G1633" t="s">
        <v>118</v>
      </c>
      <c r="H1633" t="s">
        <v>131</v>
      </c>
      <c r="I1633" t="s">
        <v>149</v>
      </c>
      <c r="J1633" t="s">
        <v>94</v>
      </c>
      <c r="K1633">
        <v>10</v>
      </c>
      <c r="L1633">
        <v>6600</v>
      </c>
      <c r="M1633">
        <v>66000</v>
      </c>
      <c r="N1633" t="s">
        <v>108</v>
      </c>
      <c r="O1633" t="s">
        <v>115</v>
      </c>
    </row>
    <row r="1634" spans="1:15" x14ac:dyDescent="0.25">
      <c r="A1634">
        <v>499</v>
      </c>
      <c r="B1634" s="10">
        <v>45721</v>
      </c>
      <c r="C1634">
        <v>5</v>
      </c>
      <c r="D1634" t="s">
        <v>140</v>
      </c>
      <c r="E1634" t="s">
        <v>137</v>
      </c>
      <c r="F1634" t="s">
        <v>44</v>
      </c>
      <c r="G1634" t="s">
        <v>111</v>
      </c>
      <c r="H1634" t="s">
        <v>131</v>
      </c>
      <c r="I1634" t="s">
        <v>149</v>
      </c>
      <c r="J1634" t="s">
        <v>94</v>
      </c>
      <c r="K1634">
        <v>1</v>
      </c>
      <c r="L1634">
        <v>6700</v>
      </c>
      <c r="M1634">
        <v>6700</v>
      </c>
      <c r="N1634" t="s">
        <v>108</v>
      </c>
      <c r="O1634" t="s">
        <v>115</v>
      </c>
    </row>
    <row r="1635" spans="1:15" x14ac:dyDescent="0.25">
      <c r="A1635">
        <v>1475</v>
      </c>
      <c r="B1635" s="10">
        <v>45712</v>
      </c>
      <c r="C1635">
        <v>24</v>
      </c>
      <c r="D1635" t="s">
        <v>97</v>
      </c>
      <c r="E1635" t="s">
        <v>133</v>
      </c>
      <c r="F1635" t="s">
        <v>134</v>
      </c>
      <c r="G1635" t="s">
        <v>100</v>
      </c>
      <c r="H1635" t="s">
        <v>131</v>
      </c>
      <c r="I1635" t="s">
        <v>149</v>
      </c>
      <c r="J1635" t="s">
        <v>94</v>
      </c>
      <c r="K1635">
        <v>5</v>
      </c>
      <c r="L1635">
        <v>6700</v>
      </c>
      <c r="M1635">
        <v>33500</v>
      </c>
      <c r="N1635" t="s">
        <v>108</v>
      </c>
      <c r="O1635" t="s">
        <v>104</v>
      </c>
    </row>
    <row r="1636" spans="1:15" x14ac:dyDescent="0.25">
      <c r="A1636">
        <v>2003</v>
      </c>
      <c r="B1636" s="10">
        <v>45998</v>
      </c>
      <c r="C1636">
        <v>7</v>
      </c>
      <c r="D1636" t="s">
        <v>125</v>
      </c>
      <c r="E1636" t="s">
        <v>150</v>
      </c>
      <c r="F1636" t="s">
        <v>151</v>
      </c>
      <c r="G1636" t="s">
        <v>111</v>
      </c>
      <c r="H1636" t="s">
        <v>131</v>
      </c>
      <c r="I1636" t="s">
        <v>149</v>
      </c>
      <c r="J1636" t="s">
        <v>94</v>
      </c>
      <c r="K1636">
        <v>2</v>
      </c>
      <c r="L1636">
        <v>6700</v>
      </c>
      <c r="M1636">
        <v>13400</v>
      </c>
      <c r="N1636" t="s">
        <v>95</v>
      </c>
      <c r="O1636" t="s">
        <v>104</v>
      </c>
    </row>
    <row r="1637" spans="1:15" x14ac:dyDescent="0.25">
      <c r="A1637">
        <v>2205</v>
      </c>
      <c r="B1637" s="10">
        <v>45785</v>
      </c>
      <c r="C1637">
        <v>8</v>
      </c>
      <c r="D1637" t="s">
        <v>120</v>
      </c>
      <c r="E1637" t="s">
        <v>137</v>
      </c>
      <c r="F1637" t="s">
        <v>49</v>
      </c>
      <c r="G1637" t="s">
        <v>118</v>
      </c>
      <c r="H1637" t="s">
        <v>131</v>
      </c>
      <c r="I1637" t="s">
        <v>149</v>
      </c>
      <c r="J1637" t="s">
        <v>94</v>
      </c>
      <c r="K1637">
        <v>7</v>
      </c>
      <c r="L1637">
        <v>6700</v>
      </c>
      <c r="M1637">
        <v>46900</v>
      </c>
      <c r="N1637" t="s">
        <v>108</v>
      </c>
      <c r="O1637" t="s">
        <v>104</v>
      </c>
    </row>
    <row r="1638" spans="1:15" x14ac:dyDescent="0.25">
      <c r="A1638">
        <v>3095</v>
      </c>
      <c r="B1638" s="10">
        <v>45689</v>
      </c>
      <c r="C1638">
        <v>1</v>
      </c>
      <c r="D1638" t="s">
        <v>97</v>
      </c>
      <c r="E1638" t="s">
        <v>112</v>
      </c>
      <c r="F1638" t="s">
        <v>28</v>
      </c>
      <c r="G1638" t="s">
        <v>126</v>
      </c>
      <c r="H1638" t="s">
        <v>131</v>
      </c>
      <c r="I1638" t="s">
        <v>149</v>
      </c>
      <c r="J1638" t="s">
        <v>94</v>
      </c>
      <c r="K1638">
        <v>8</v>
      </c>
      <c r="L1638">
        <v>6700</v>
      </c>
      <c r="M1638">
        <v>53600</v>
      </c>
      <c r="N1638" t="s">
        <v>95</v>
      </c>
      <c r="O1638" t="s">
        <v>96</v>
      </c>
    </row>
    <row r="1639" spans="1:15" x14ac:dyDescent="0.25">
      <c r="A1639">
        <v>3380</v>
      </c>
      <c r="B1639" s="10">
        <v>46017</v>
      </c>
      <c r="C1639">
        <v>26</v>
      </c>
      <c r="D1639" t="s">
        <v>125</v>
      </c>
      <c r="E1639" t="s">
        <v>116</v>
      </c>
      <c r="F1639" t="s">
        <v>113</v>
      </c>
      <c r="G1639" t="s">
        <v>114</v>
      </c>
      <c r="H1639" t="s">
        <v>131</v>
      </c>
      <c r="I1639" t="s">
        <v>149</v>
      </c>
      <c r="J1639" t="s">
        <v>94</v>
      </c>
      <c r="K1639">
        <v>10</v>
      </c>
      <c r="L1639">
        <v>6700</v>
      </c>
      <c r="M1639">
        <v>67000</v>
      </c>
      <c r="N1639" t="s">
        <v>95</v>
      </c>
      <c r="O1639" t="s">
        <v>115</v>
      </c>
    </row>
    <row r="1640" spans="1:15" x14ac:dyDescent="0.25">
      <c r="A1640">
        <v>3686</v>
      </c>
      <c r="B1640" s="10">
        <v>45773</v>
      </c>
      <c r="C1640">
        <v>26</v>
      </c>
      <c r="D1640" t="s">
        <v>105</v>
      </c>
      <c r="E1640" t="s">
        <v>150</v>
      </c>
      <c r="F1640" t="s">
        <v>99</v>
      </c>
      <c r="G1640" t="s">
        <v>100</v>
      </c>
      <c r="H1640" t="s">
        <v>131</v>
      </c>
      <c r="I1640" t="s">
        <v>149</v>
      </c>
      <c r="J1640" t="s">
        <v>94</v>
      </c>
      <c r="K1640">
        <v>3</v>
      </c>
      <c r="L1640">
        <v>6700</v>
      </c>
      <c r="M1640">
        <v>20100</v>
      </c>
      <c r="N1640" t="s">
        <v>108</v>
      </c>
      <c r="O1640" t="s">
        <v>115</v>
      </c>
    </row>
    <row r="1641" spans="1:15" x14ac:dyDescent="0.25">
      <c r="A1641">
        <v>3745</v>
      </c>
      <c r="B1641" s="10">
        <v>45918</v>
      </c>
      <c r="C1641">
        <v>18</v>
      </c>
      <c r="D1641" t="s">
        <v>147</v>
      </c>
      <c r="E1641" t="s">
        <v>112</v>
      </c>
      <c r="F1641" t="s">
        <v>148</v>
      </c>
      <c r="G1641" t="s">
        <v>118</v>
      </c>
      <c r="H1641" t="s">
        <v>131</v>
      </c>
      <c r="I1641" t="s">
        <v>149</v>
      </c>
      <c r="J1641" t="s">
        <v>94</v>
      </c>
      <c r="K1641">
        <v>2</v>
      </c>
      <c r="L1641">
        <v>6700</v>
      </c>
      <c r="M1641">
        <v>13400</v>
      </c>
      <c r="N1641" t="s">
        <v>95</v>
      </c>
      <c r="O1641" t="s">
        <v>96</v>
      </c>
    </row>
    <row r="1642" spans="1:15" x14ac:dyDescent="0.25">
      <c r="A1642">
        <v>3859</v>
      </c>
      <c r="B1642" s="10">
        <v>45792</v>
      </c>
      <c r="C1642">
        <v>15</v>
      </c>
      <c r="D1642" t="s">
        <v>120</v>
      </c>
      <c r="E1642" t="s">
        <v>161</v>
      </c>
      <c r="F1642" t="s">
        <v>107</v>
      </c>
      <c r="G1642" t="s">
        <v>100</v>
      </c>
      <c r="H1642" t="s">
        <v>131</v>
      </c>
      <c r="I1642" t="s">
        <v>149</v>
      </c>
      <c r="J1642" t="s">
        <v>94</v>
      </c>
      <c r="K1642">
        <v>6</v>
      </c>
      <c r="L1642">
        <v>6700</v>
      </c>
      <c r="M1642">
        <v>40200</v>
      </c>
      <c r="N1642" t="s">
        <v>108</v>
      </c>
      <c r="O1642" t="s">
        <v>115</v>
      </c>
    </row>
    <row r="1643" spans="1:15" x14ac:dyDescent="0.25">
      <c r="A1643">
        <v>4027</v>
      </c>
      <c r="B1643" s="10">
        <v>46000</v>
      </c>
      <c r="C1643">
        <v>9</v>
      </c>
      <c r="D1643" t="s">
        <v>125</v>
      </c>
      <c r="E1643" t="s">
        <v>121</v>
      </c>
      <c r="F1643" t="s">
        <v>44</v>
      </c>
      <c r="G1643" t="s">
        <v>111</v>
      </c>
      <c r="H1643" t="s">
        <v>131</v>
      </c>
      <c r="I1643" t="s">
        <v>149</v>
      </c>
      <c r="J1643" t="s">
        <v>94</v>
      </c>
      <c r="K1643">
        <v>8</v>
      </c>
      <c r="L1643">
        <v>6700</v>
      </c>
      <c r="M1643">
        <v>53600</v>
      </c>
      <c r="N1643" t="s">
        <v>95</v>
      </c>
      <c r="O1643" t="s">
        <v>115</v>
      </c>
    </row>
    <row r="1644" spans="1:15" x14ac:dyDescent="0.25">
      <c r="A1644">
        <v>1544</v>
      </c>
      <c r="B1644" s="10">
        <v>45916</v>
      </c>
      <c r="C1644">
        <v>16</v>
      </c>
      <c r="D1644" t="s">
        <v>147</v>
      </c>
      <c r="E1644" t="s">
        <v>138</v>
      </c>
      <c r="F1644" t="s">
        <v>148</v>
      </c>
      <c r="G1644" t="s">
        <v>118</v>
      </c>
      <c r="H1644" t="s">
        <v>131</v>
      </c>
      <c r="I1644" t="s">
        <v>149</v>
      </c>
      <c r="J1644" t="s">
        <v>94</v>
      </c>
      <c r="K1644">
        <v>8</v>
      </c>
      <c r="L1644">
        <v>6800</v>
      </c>
      <c r="M1644">
        <v>54400</v>
      </c>
      <c r="N1644" t="s">
        <v>95</v>
      </c>
      <c r="O1644" t="s">
        <v>104</v>
      </c>
    </row>
    <row r="1645" spans="1:15" x14ac:dyDescent="0.25">
      <c r="A1645">
        <v>1893</v>
      </c>
      <c r="B1645" s="10">
        <v>45977</v>
      </c>
      <c r="C1645">
        <v>16</v>
      </c>
      <c r="D1645" t="s">
        <v>90</v>
      </c>
      <c r="E1645" t="s">
        <v>116</v>
      </c>
      <c r="F1645" t="s">
        <v>122</v>
      </c>
      <c r="G1645" t="s">
        <v>114</v>
      </c>
      <c r="H1645" t="s">
        <v>131</v>
      </c>
      <c r="I1645" t="s">
        <v>149</v>
      </c>
      <c r="J1645" t="s">
        <v>94</v>
      </c>
      <c r="K1645">
        <v>4</v>
      </c>
      <c r="L1645">
        <v>6800</v>
      </c>
      <c r="M1645">
        <v>27200</v>
      </c>
      <c r="N1645" t="s">
        <v>108</v>
      </c>
      <c r="O1645" t="s">
        <v>115</v>
      </c>
    </row>
    <row r="1646" spans="1:15" x14ac:dyDescent="0.25">
      <c r="A1646">
        <v>2445</v>
      </c>
      <c r="B1646" s="10">
        <v>45873</v>
      </c>
      <c r="C1646">
        <v>4</v>
      </c>
      <c r="D1646" t="s">
        <v>109</v>
      </c>
      <c r="E1646" t="s">
        <v>150</v>
      </c>
      <c r="F1646" t="s">
        <v>49</v>
      </c>
      <c r="G1646" t="s">
        <v>118</v>
      </c>
      <c r="H1646" t="s">
        <v>131</v>
      </c>
      <c r="I1646" t="s">
        <v>149</v>
      </c>
      <c r="J1646" t="s">
        <v>94</v>
      </c>
      <c r="K1646">
        <v>9</v>
      </c>
      <c r="L1646">
        <v>6800</v>
      </c>
      <c r="M1646">
        <v>61200</v>
      </c>
      <c r="N1646" t="s">
        <v>108</v>
      </c>
      <c r="O1646" t="s">
        <v>115</v>
      </c>
    </row>
    <row r="1647" spans="1:15" x14ac:dyDescent="0.25">
      <c r="A1647">
        <v>2792</v>
      </c>
      <c r="B1647" s="10">
        <v>45728</v>
      </c>
      <c r="C1647">
        <v>12</v>
      </c>
      <c r="D1647" t="s">
        <v>140</v>
      </c>
      <c r="E1647" t="s">
        <v>150</v>
      </c>
      <c r="F1647" t="s">
        <v>144</v>
      </c>
      <c r="G1647" t="s">
        <v>91</v>
      </c>
      <c r="H1647" t="s">
        <v>131</v>
      </c>
      <c r="I1647" t="s">
        <v>149</v>
      </c>
      <c r="J1647" t="s">
        <v>94</v>
      </c>
      <c r="K1647">
        <v>3</v>
      </c>
      <c r="L1647">
        <v>6800</v>
      </c>
      <c r="M1647">
        <v>20400</v>
      </c>
      <c r="N1647" t="s">
        <v>95</v>
      </c>
      <c r="O1647" t="s">
        <v>96</v>
      </c>
    </row>
    <row r="1648" spans="1:15" x14ac:dyDescent="0.25">
      <c r="A1648">
        <v>2810</v>
      </c>
      <c r="B1648" s="10">
        <v>45747</v>
      </c>
      <c r="C1648">
        <v>31</v>
      </c>
      <c r="D1648" t="s">
        <v>140</v>
      </c>
      <c r="E1648" t="s">
        <v>133</v>
      </c>
      <c r="F1648" t="s">
        <v>107</v>
      </c>
      <c r="G1648" t="s">
        <v>100</v>
      </c>
      <c r="H1648" t="s">
        <v>131</v>
      </c>
      <c r="I1648" t="s">
        <v>149</v>
      </c>
      <c r="J1648" t="s">
        <v>94</v>
      </c>
      <c r="K1648">
        <v>5</v>
      </c>
      <c r="L1648">
        <v>6800</v>
      </c>
      <c r="M1648">
        <v>34000</v>
      </c>
      <c r="N1648" t="s">
        <v>108</v>
      </c>
      <c r="O1648" t="s">
        <v>104</v>
      </c>
    </row>
    <row r="1649" spans="1:15" x14ac:dyDescent="0.25">
      <c r="A1649">
        <v>3630</v>
      </c>
      <c r="B1649" s="10">
        <v>45685</v>
      </c>
      <c r="C1649">
        <v>28</v>
      </c>
      <c r="D1649" t="s">
        <v>130</v>
      </c>
      <c r="E1649" t="s">
        <v>161</v>
      </c>
      <c r="F1649" t="s">
        <v>107</v>
      </c>
      <c r="G1649" t="s">
        <v>100</v>
      </c>
      <c r="H1649" t="s">
        <v>131</v>
      </c>
      <c r="I1649" t="s">
        <v>149</v>
      </c>
      <c r="J1649" t="s">
        <v>94</v>
      </c>
      <c r="K1649">
        <v>3</v>
      </c>
      <c r="L1649">
        <v>6800</v>
      </c>
      <c r="M1649">
        <v>20400</v>
      </c>
      <c r="N1649" t="s">
        <v>95</v>
      </c>
      <c r="O1649" t="s">
        <v>96</v>
      </c>
    </row>
    <row r="1650" spans="1:15" x14ac:dyDescent="0.25">
      <c r="A1650">
        <v>4212</v>
      </c>
      <c r="B1650" s="10">
        <v>45963</v>
      </c>
      <c r="C1650">
        <v>2</v>
      </c>
      <c r="D1650" t="s">
        <v>90</v>
      </c>
      <c r="E1650" t="s">
        <v>138</v>
      </c>
      <c r="F1650" t="s">
        <v>148</v>
      </c>
      <c r="G1650" t="s">
        <v>118</v>
      </c>
      <c r="H1650" t="s">
        <v>131</v>
      </c>
      <c r="I1650" t="s">
        <v>149</v>
      </c>
      <c r="J1650" t="s">
        <v>94</v>
      </c>
      <c r="K1650">
        <v>1</v>
      </c>
      <c r="L1650">
        <v>6800</v>
      </c>
      <c r="M1650">
        <v>6800</v>
      </c>
      <c r="N1650" t="s">
        <v>108</v>
      </c>
      <c r="O1650" t="s">
        <v>104</v>
      </c>
    </row>
    <row r="1651" spans="1:15" x14ac:dyDescent="0.25">
      <c r="A1651">
        <v>830</v>
      </c>
      <c r="B1651" s="10">
        <v>45847</v>
      </c>
      <c r="C1651">
        <v>9</v>
      </c>
      <c r="D1651" t="s">
        <v>145</v>
      </c>
      <c r="E1651" t="s">
        <v>137</v>
      </c>
      <c r="F1651" t="s">
        <v>36</v>
      </c>
      <c r="G1651" t="s">
        <v>100</v>
      </c>
      <c r="H1651" t="s">
        <v>131</v>
      </c>
      <c r="I1651" t="s">
        <v>149</v>
      </c>
      <c r="J1651" t="s">
        <v>94</v>
      </c>
      <c r="K1651">
        <v>3</v>
      </c>
      <c r="L1651">
        <v>6900</v>
      </c>
      <c r="M1651">
        <v>20700</v>
      </c>
      <c r="N1651" t="s">
        <v>95</v>
      </c>
      <c r="O1651" t="s">
        <v>96</v>
      </c>
    </row>
    <row r="1652" spans="1:15" x14ac:dyDescent="0.25">
      <c r="A1652">
        <v>996</v>
      </c>
      <c r="B1652" s="10">
        <v>45678</v>
      </c>
      <c r="C1652">
        <v>21</v>
      </c>
      <c r="D1652" t="s">
        <v>130</v>
      </c>
      <c r="E1652" t="s">
        <v>137</v>
      </c>
      <c r="F1652" t="s">
        <v>113</v>
      </c>
      <c r="G1652" t="s">
        <v>114</v>
      </c>
      <c r="H1652" t="s">
        <v>131</v>
      </c>
      <c r="I1652" t="s">
        <v>149</v>
      </c>
      <c r="J1652" t="s">
        <v>94</v>
      </c>
      <c r="K1652">
        <v>8</v>
      </c>
      <c r="L1652">
        <v>6900</v>
      </c>
      <c r="M1652">
        <v>55200</v>
      </c>
      <c r="N1652" t="s">
        <v>95</v>
      </c>
      <c r="O1652" t="s">
        <v>115</v>
      </c>
    </row>
    <row r="1653" spans="1:15" x14ac:dyDescent="0.25">
      <c r="A1653">
        <v>1928</v>
      </c>
      <c r="B1653" s="10">
        <v>45667</v>
      </c>
      <c r="C1653">
        <v>10</v>
      </c>
      <c r="D1653" t="s">
        <v>130</v>
      </c>
      <c r="E1653" t="s">
        <v>133</v>
      </c>
      <c r="F1653" t="s">
        <v>113</v>
      </c>
      <c r="G1653" t="s">
        <v>114</v>
      </c>
      <c r="H1653" t="s">
        <v>131</v>
      </c>
      <c r="I1653" t="s">
        <v>149</v>
      </c>
      <c r="J1653" t="s">
        <v>94</v>
      </c>
      <c r="K1653">
        <v>6</v>
      </c>
      <c r="L1653">
        <v>6900</v>
      </c>
      <c r="M1653">
        <v>41400</v>
      </c>
      <c r="N1653" t="s">
        <v>95</v>
      </c>
      <c r="O1653" t="s">
        <v>115</v>
      </c>
    </row>
    <row r="1654" spans="1:15" x14ac:dyDescent="0.25">
      <c r="A1654">
        <v>2173</v>
      </c>
      <c r="B1654" s="10">
        <v>45836</v>
      </c>
      <c r="C1654">
        <v>28</v>
      </c>
      <c r="D1654" t="s">
        <v>153</v>
      </c>
      <c r="E1654" t="s">
        <v>128</v>
      </c>
      <c r="F1654" t="s">
        <v>113</v>
      </c>
      <c r="G1654" t="s">
        <v>114</v>
      </c>
      <c r="H1654" t="s">
        <v>131</v>
      </c>
      <c r="I1654" t="s">
        <v>149</v>
      </c>
      <c r="J1654" t="s">
        <v>94</v>
      </c>
      <c r="K1654">
        <v>2</v>
      </c>
      <c r="L1654">
        <v>6900</v>
      </c>
      <c r="M1654">
        <v>13800</v>
      </c>
      <c r="N1654" t="s">
        <v>95</v>
      </c>
      <c r="O1654" t="s">
        <v>96</v>
      </c>
    </row>
    <row r="1655" spans="1:15" x14ac:dyDescent="0.25">
      <c r="A1655">
        <v>3130</v>
      </c>
      <c r="B1655" s="10">
        <v>45753</v>
      </c>
      <c r="C1655">
        <v>6</v>
      </c>
      <c r="D1655" t="s">
        <v>105</v>
      </c>
      <c r="E1655" t="s">
        <v>110</v>
      </c>
      <c r="F1655" t="s">
        <v>107</v>
      </c>
      <c r="G1655" t="s">
        <v>100</v>
      </c>
      <c r="H1655" t="s">
        <v>131</v>
      </c>
      <c r="I1655" t="s">
        <v>149</v>
      </c>
      <c r="J1655" t="s">
        <v>94</v>
      </c>
      <c r="K1655">
        <v>7</v>
      </c>
      <c r="L1655">
        <v>6900</v>
      </c>
      <c r="M1655">
        <v>48300</v>
      </c>
      <c r="N1655" t="s">
        <v>95</v>
      </c>
      <c r="O1655" t="s">
        <v>104</v>
      </c>
    </row>
    <row r="1656" spans="1:15" x14ac:dyDescent="0.25">
      <c r="A1656">
        <v>3926</v>
      </c>
      <c r="B1656" s="10">
        <v>45813</v>
      </c>
      <c r="C1656">
        <v>5</v>
      </c>
      <c r="D1656" t="s">
        <v>153</v>
      </c>
      <c r="E1656" t="s">
        <v>161</v>
      </c>
      <c r="F1656" t="s">
        <v>141</v>
      </c>
      <c r="G1656" t="s">
        <v>100</v>
      </c>
      <c r="H1656" t="s">
        <v>131</v>
      </c>
      <c r="I1656" t="s">
        <v>149</v>
      </c>
      <c r="J1656" t="s">
        <v>94</v>
      </c>
      <c r="K1656">
        <v>9</v>
      </c>
      <c r="L1656">
        <v>6900</v>
      </c>
      <c r="M1656">
        <v>62100</v>
      </c>
      <c r="N1656" t="s">
        <v>95</v>
      </c>
      <c r="O1656" t="s">
        <v>115</v>
      </c>
    </row>
    <row r="1657" spans="1:15" x14ac:dyDescent="0.25">
      <c r="A1657">
        <v>4026</v>
      </c>
      <c r="B1657" s="10">
        <v>45903</v>
      </c>
      <c r="C1657">
        <v>3</v>
      </c>
      <c r="D1657" t="s">
        <v>147</v>
      </c>
      <c r="E1657" t="s">
        <v>138</v>
      </c>
      <c r="F1657" t="s">
        <v>99</v>
      </c>
      <c r="G1657" t="s">
        <v>100</v>
      </c>
      <c r="H1657" t="s">
        <v>131</v>
      </c>
      <c r="I1657" t="s">
        <v>149</v>
      </c>
      <c r="J1657" t="s">
        <v>94</v>
      </c>
      <c r="K1657">
        <v>9</v>
      </c>
      <c r="L1657">
        <v>6900</v>
      </c>
      <c r="M1657">
        <v>62100</v>
      </c>
      <c r="N1657" t="s">
        <v>95</v>
      </c>
      <c r="O1657" t="s">
        <v>96</v>
      </c>
    </row>
    <row r="1658" spans="1:15" x14ac:dyDescent="0.25">
      <c r="A1658">
        <v>4028</v>
      </c>
      <c r="B1658" s="10">
        <v>45873</v>
      </c>
      <c r="C1658">
        <v>4</v>
      </c>
      <c r="D1658" t="s">
        <v>109</v>
      </c>
      <c r="E1658" t="s">
        <v>116</v>
      </c>
      <c r="F1658" t="s">
        <v>22</v>
      </c>
      <c r="G1658" t="s">
        <v>91</v>
      </c>
      <c r="H1658" t="s">
        <v>131</v>
      </c>
      <c r="I1658" t="s">
        <v>149</v>
      </c>
      <c r="J1658" t="s">
        <v>94</v>
      </c>
      <c r="K1658">
        <v>9</v>
      </c>
      <c r="L1658">
        <v>6900</v>
      </c>
      <c r="M1658">
        <v>62100</v>
      </c>
      <c r="N1658" t="s">
        <v>95</v>
      </c>
      <c r="O1658" t="s">
        <v>104</v>
      </c>
    </row>
    <row r="1659" spans="1:15" x14ac:dyDescent="0.25">
      <c r="A1659">
        <v>4131</v>
      </c>
      <c r="B1659" s="10">
        <v>45936</v>
      </c>
      <c r="C1659">
        <v>6</v>
      </c>
      <c r="D1659" t="s">
        <v>136</v>
      </c>
      <c r="E1659" t="s">
        <v>25</v>
      </c>
      <c r="F1659" t="s">
        <v>113</v>
      </c>
      <c r="G1659" t="s">
        <v>114</v>
      </c>
      <c r="H1659" t="s">
        <v>131</v>
      </c>
      <c r="I1659" t="s">
        <v>149</v>
      </c>
      <c r="J1659" t="s">
        <v>94</v>
      </c>
      <c r="K1659">
        <v>9</v>
      </c>
      <c r="L1659">
        <v>6900</v>
      </c>
      <c r="M1659">
        <v>62100</v>
      </c>
      <c r="N1659" t="s">
        <v>95</v>
      </c>
      <c r="O1659" t="s">
        <v>96</v>
      </c>
    </row>
    <row r="1660" spans="1:15" x14ac:dyDescent="0.25">
      <c r="A1660">
        <v>4339</v>
      </c>
      <c r="B1660" s="10">
        <v>45846</v>
      </c>
      <c r="C1660">
        <v>8</v>
      </c>
      <c r="D1660" t="s">
        <v>145</v>
      </c>
      <c r="E1660" t="s">
        <v>142</v>
      </c>
      <c r="F1660" t="s">
        <v>22</v>
      </c>
      <c r="G1660" t="s">
        <v>91</v>
      </c>
      <c r="H1660" t="s">
        <v>131</v>
      </c>
      <c r="I1660" t="s">
        <v>139</v>
      </c>
      <c r="J1660" t="s">
        <v>103</v>
      </c>
      <c r="K1660">
        <v>38</v>
      </c>
      <c r="L1660">
        <v>6900</v>
      </c>
      <c r="M1660">
        <v>262200</v>
      </c>
      <c r="N1660" t="s">
        <v>108</v>
      </c>
      <c r="O1660" t="s">
        <v>115</v>
      </c>
    </row>
    <row r="1661" spans="1:15" x14ac:dyDescent="0.25">
      <c r="A1661">
        <v>4550</v>
      </c>
      <c r="B1661" s="10">
        <v>45842</v>
      </c>
      <c r="C1661">
        <v>4</v>
      </c>
      <c r="D1661" t="s">
        <v>145</v>
      </c>
      <c r="E1661" t="s">
        <v>98</v>
      </c>
      <c r="F1661" t="s">
        <v>148</v>
      </c>
      <c r="G1661" t="s">
        <v>118</v>
      </c>
      <c r="H1661" t="s">
        <v>131</v>
      </c>
      <c r="I1661" t="s">
        <v>149</v>
      </c>
      <c r="J1661" t="s">
        <v>94</v>
      </c>
      <c r="K1661">
        <v>7</v>
      </c>
      <c r="L1661">
        <v>6900</v>
      </c>
      <c r="M1661">
        <v>48300</v>
      </c>
      <c r="N1661" t="s">
        <v>108</v>
      </c>
      <c r="O1661" t="s">
        <v>96</v>
      </c>
    </row>
    <row r="1662" spans="1:15" x14ac:dyDescent="0.25">
      <c r="A1662">
        <v>23</v>
      </c>
      <c r="B1662" s="10">
        <v>45928</v>
      </c>
      <c r="C1662">
        <v>28</v>
      </c>
      <c r="D1662" t="s">
        <v>147</v>
      </c>
      <c r="E1662" t="s">
        <v>121</v>
      </c>
      <c r="F1662" t="s">
        <v>148</v>
      </c>
      <c r="G1662" t="s">
        <v>118</v>
      </c>
      <c r="H1662" t="s">
        <v>131</v>
      </c>
      <c r="I1662" t="s">
        <v>149</v>
      </c>
      <c r="J1662" t="s">
        <v>94</v>
      </c>
      <c r="K1662">
        <v>5</v>
      </c>
      <c r="L1662">
        <v>7000</v>
      </c>
      <c r="M1662">
        <v>35000</v>
      </c>
      <c r="N1662" t="s">
        <v>108</v>
      </c>
      <c r="O1662" t="s">
        <v>96</v>
      </c>
    </row>
    <row r="1663" spans="1:15" x14ac:dyDescent="0.25">
      <c r="A1663">
        <v>306</v>
      </c>
      <c r="B1663" s="10">
        <v>45718</v>
      </c>
      <c r="C1663">
        <v>2</v>
      </c>
      <c r="D1663" t="s">
        <v>140</v>
      </c>
      <c r="E1663" t="s">
        <v>161</v>
      </c>
      <c r="F1663" t="s">
        <v>117</v>
      </c>
      <c r="G1663" t="s">
        <v>118</v>
      </c>
      <c r="H1663" t="s">
        <v>131</v>
      </c>
      <c r="I1663" t="s">
        <v>149</v>
      </c>
      <c r="J1663" t="s">
        <v>94</v>
      </c>
      <c r="K1663">
        <v>7</v>
      </c>
      <c r="L1663">
        <v>7000</v>
      </c>
      <c r="M1663">
        <v>49000</v>
      </c>
      <c r="N1663" t="s">
        <v>95</v>
      </c>
      <c r="O1663" t="s">
        <v>96</v>
      </c>
    </row>
    <row r="1664" spans="1:15" x14ac:dyDescent="0.25">
      <c r="A1664">
        <v>420</v>
      </c>
      <c r="B1664" s="10">
        <v>45759</v>
      </c>
      <c r="C1664">
        <v>12</v>
      </c>
      <c r="D1664" t="s">
        <v>105</v>
      </c>
      <c r="E1664" t="s">
        <v>128</v>
      </c>
      <c r="F1664" t="s">
        <v>122</v>
      </c>
      <c r="G1664" t="s">
        <v>114</v>
      </c>
      <c r="H1664" t="s">
        <v>131</v>
      </c>
      <c r="I1664" t="s">
        <v>149</v>
      </c>
      <c r="J1664" t="s">
        <v>94</v>
      </c>
      <c r="K1664">
        <v>6</v>
      </c>
      <c r="L1664">
        <v>7000</v>
      </c>
      <c r="M1664">
        <v>42000</v>
      </c>
      <c r="N1664" t="s">
        <v>95</v>
      </c>
      <c r="O1664" t="s">
        <v>104</v>
      </c>
    </row>
    <row r="1665" spans="1:15" x14ac:dyDescent="0.25">
      <c r="A1665">
        <v>663</v>
      </c>
      <c r="B1665" s="10">
        <v>45808</v>
      </c>
      <c r="C1665">
        <v>31</v>
      </c>
      <c r="D1665" t="s">
        <v>120</v>
      </c>
      <c r="E1665" t="s">
        <v>137</v>
      </c>
      <c r="F1665" t="s">
        <v>99</v>
      </c>
      <c r="G1665" t="s">
        <v>100</v>
      </c>
      <c r="H1665" t="s">
        <v>131</v>
      </c>
      <c r="I1665" t="s">
        <v>149</v>
      </c>
      <c r="J1665" t="s">
        <v>94</v>
      </c>
      <c r="K1665">
        <v>9</v>
      </c>
      <c r="L1665">
        <v>7000</v>
      </c>
      <c r="M1665">
        <v>63000</v>
      </c>
      <c r="N1665" t="s">
        <v>108</v>
      </c>
      <c r="O1665" t="s">
        <v>115</v>
      </c>
    </row>
    <row r="1666" spans="1:15" x14ac:dyDescent="0.25">
      <c r="A1666">
        <v>1096</v>
      </c>
      <c r="B1666" s="10">
        <v>45707</v>
      </c>
      <c r="C1666">
        <v>19</v>
      </c>
      <c r="D1666" t="s">
        <v>97</v>
      </c>
      <c r="E1666" t="s">
        <v>110</v>
      </c>
      <c r="F1666" t="s">
        <v>117</v>
      </c>
      <c r="G1666" t="s">
        <v>118</v>
      </c>
      <c r="H1666" t="s">
        <v>131</v>
      </c>
      <c r="I1666" t="s">
        <v>149</v>
      </c>
      <c r="J1666" t="s">
        <v>94</v>
      </c>
      <c r="K1666">
        <v>8</v>
      </c>
      <c r="L1666">
        <v>7000</v>
      </c>
      <c r="M1666">
        <v>56000</v>
      </c>
      <c r="N1666" t="s">
        <v>108</v>
      </c>
      <c r="O1666" t="s">
        <v>115</v>
      </c>
    </row>
    <row r="1667" spans="1:15" x14ac:dyDescent="0.25">
      <c r="A1667">
        <v>1361</v>
      </c>
      <c r="B1667" s="10">
        <v>45677</v>
      </c>
      <c r="C1667">
        <v>20</v>
      </c>
      <c r="D1667" t="s">
        <v>130</v>
      </c>
      <c r="E1667" t="s">
        <v>137</v>
      </c>
      <c r="F1667" t="s">
        <v>36</v>
      </c>
      <c r="G1667" t="s">
        <v>100</v>
      </c>
      <c r="H1667" t="s">
        <v>131</v>
      </c>
      <c r="I1667" t="s">
        <v>149</v>
      </c>
      <c r="J1667" t="s">
        <v>94</v>
      </c>
      <c r="K1667">
        <v>6</v>
      </c>
      <c r="L1667">
        <v>7000</v>
      </c>
      <c r="M1667">
        <v>42000</v>
      </c>
      <c r="N1667" t="s">
        <v>95</v>
      </c>
      <c r="O1667" t="s">
        <v>96</v>
      </c>
    </row>
    <row r="1668" spans="1:15" x14ac:dyDescent="0.25">
      <c r="A1668">
        <v>1576</v>
      </c>
      <c r="B1668" s="10">
        <v>45681</v>
      </c>
      <c r="C1668">
        <v>24</v>
      </c>
      <c r="D1668" t="s">
        <v>130</v>
      </c>
      <c r="E1668" t="s">
        <v>116</v>
      </c>
      <c r="F1668" t="s">
        <v>151</v>
      </c>
      <c r="G1668" t="s">
        <v>111</v>
      </c>
      <c r="H1668" t="s">
        <v>131</v>
      </c>
      <c r="I1668" t="s">
        <v>149</v>
      </c>
      <c r="J1668" t="s">
        <v>94</v>
      </c>
      <c r="K1668">
        <v>9</v>
      </c>
      <c r="L1668">
        <v>7000</v>
      </c>
      <c r="M1668">
        <v>63000</v>
      </c>
      <c r="N1668" t="s">
        <v>95</v>
      </c>
      <c r="O1668" t="s">
        <v>96</v>
      </c>
    </row>
    <row r="1669" spans="1:15" x14ac:dyDescent="0.25">
      <c r="A1669">
        <v>1666</v>
      </c>
      <c r="B1669" s="10">
        <v>45676</v>
      </c>
      <c r="C1669">
        <v>19</v>
      </c>
      <c r="D1669" t="s">
        <v>130</v>
      </c>
      <c r="E1669" t="s">
        <v>137</v>
      </c>
      <c r="F1669" t="s">
        <v>99</v>
      </c>
      <c r="G1669" t="s">
        <v>100</v>
      </c>
      <c r="H1669" t="s">
        <v>131</v>
      </c>
      <c r="I1669" t="s">
        <v>149</v>
      </c>
      <c r="J1669" t="s">
        <v>94</v>
      </c>
      <c r="K1669">
        <v>2</v>
      </c>
      <c r="L1669">
        <v>7000</v>
      </c>
      <c r="M1669">
        <v>14000</v>
      </c>
      <c r="N1669" t="s">
        <v>95</v>
      </c>
      <c r="O1669" t="s">
        <v>104</v>
      </c>
    </row>
    <row r="1670" spans="1:15" x14ac:dyDescent="0.25">
      <c r="A1670">
        <v>1951</v>
      </c>
      <c r="B1670" s="10">
        <v>45919</v>
      </c>
      <c r="C1670">
        <v>19</v>
      </c>
      <c r="D1670" t="s">
        <v>147</v>
      </c>
      <c r="E1670" t="s">
        <v>112</v>
      </c>
      <c r="F1670" t="s">
        <v>44</v>
      </c>
      <c r="G1670" t="s">
        <v>111</v>
      </c>
      <c r="H1670" t="s">
        <v>131</v>
      </c>
      <c r="I1670" t="s">
        <v>139</v>
      </c>
      <c r="J1670" t="s">
        <v>103</v>
      </c>
      <c r="K1670">
        <v>40</v>
      </c>
      <c r="L1670">
        <v>7000</v>
      </c>
      <c r="M1670">
        <v>280000</v>
      </c>
      <c r="N1670" t="s">
        <v>95</v>
      </c>
      <c r="O1670" t="s">
        <v>104</v>
      </c>
    </row>
    <row r="1671" spans="1:15" x14ac:dyDescent="0.25">
      <c r="A1671">
        <v>2096</v>
      </c>
      <c r="B1671" s="10">
        <v>45825</v>
      </c>
      <c r="C1671">
        <v>17</v>
      </c>
      <c r="D1671" t="s">
        <v>153</v>
      </c>
      <c r="E1671" t="s">
        <v>106</v>
      </c>
      <c r="F1671" t="s">
        <v>49</v>
      </c>
      <c r="G1671" t="s">
        <v>118</v>
      </c>
      <c r="H1671" t="s">
        <v>131</v>
      </c>
      <c r="I1671" t="s">
        <v>149</v>
      </c>
      <c r="J1671" t="s">
        <v>94</v>
      </c>
      <c r="K1671">
        <v>1</v>
      </c>
      <c r="L1671">
        <v>7000</v>
      </c>
      <c r="M1671">
        <v>7000</v>
      </c>
      <c r="N1671" t="s">
        <v>95</v>
      </c>
      <c r="O1671" t="s">
        <v>104</v>
      </c>
    </row>
    <row r="1672" spans="1:15" x14ac:dyDescent="0.25">
      <c r="A1672">
        <v>2339</v>
      </c>
      <c r="B1672" s="10">
        <v>46000</v>
      </c>
      <c r="C1672">
        <v>9</v>
      </c>
      <c r="D1672" t="s">
        <v>125</v>
      </c>
      <c r="E1672" t="s">
        <v>161</v>
      </c>
      <c r="F1672" t="s">
        <v>151</v>
      </c>
      <c r="G1672" t="s">
        <v>111</v>
      </c>
      <c r="H1672" t="s">
        <v>131</v>
      </c>
      <c r="I1672" t="s">
        <v>149</v>
      </c>
      <c r="J1672" t="s">
        <v>94</v>
      </c>
      <c r="K1672">
        <v>7</v>
      </c>
      <c r="L1672">
        <v>7000</v>
      </c>
      <c r="M1672">
        <v>49000</v>
      </c>
      <c r="N1672" t="s">
        <v>95</v>
      </c>
      <c r="O1672" t="s">
        <v>96</v>
      </c>
    </row>
    <row r="1673" spans="1:15" x14ac:dyDescent="0.25">
      <c r="A1673">
        <v>2593</v>
      </c>
      <c r="B1673" s="10">
        <v>45854</v>
      </c>
      <c r="C1673">
        <v>16</v>
      </c>
      <c r="D1673" t="s">
        <v>145</v>
      </c>
      <c r="E1673" t="s">
        <v>106</v>
      </c>
      <c r="F1673" t="s">
        <v>99</v>
      </c>
      <c r="G1673" t="s">
        <v>100</v>
      </c>
      <c r="H1673" t="s">
        <v>131</v>
      </c>
      <c r="I1673" t="s">
        <v>149</v>
      </c>
      <c r="J1673" t="s">
        <v>94</v>
      </c>
      <c r="K1673">
        <v>10</v>
      </c>
      <c r="L1673">
        <v>7000</v>
      </c>
      <c r="M1673">
        <v>70000</v>
      </c>
      <c r="N1673" t="s">
        <v>108</v>
      </c>
      <c r="O1673" t="s">
        <v>115</v>
      </c>
    </row>
    <row r="1674" spans="1:15" x14ac:dyDescent="0.25">
      <c r="A1674">
        <v>3559</v>
      </c>
      <c r="B1674" s="10">
        <v>45782</v>
      </c>
      <c r="C1674">
        <v>5</v>
      </c>
      <c r="D1674" t="s">
        <v>120</v>
      </c>
      <c r="E1674" t="s">
        <v>112</v>
      </c>
      <c r="F1674" t="s">
        <v>134</v>
      </c>
      <c r="G1674" t="s">
        <v>100</v>
      </c>
      <c r="H1674" t="s">
        <v>131</v>
      </c>
      <c r="I1674" t="s">
        <v>149</v>
      </c>
      <c r="J1674" t="s">
        <v>94</v>
      </c>
      <c r="K1674">
        <v>9</v>
      </c>
      <c r="L1674">
        <v>7000</v>
      </c>
      <c r="M1674">
        <v>63000</v>
      </c>
      <c r="N1674" t="s">
        <v>95</v>
      </c>
      <c r="O1674" t="s">
        <v>104</v>
      </c>
    </row>
    <row r="1675" spans="1:15" x14ac:dyDescent="0.25">
      <c r="A1675">
        <v>3669</v>
      </c>
      <c r="B1675" s="10">
        <v>45706</v>
      </c>
      <c r="C1675">
        <v>18</v>
      </c>
      <c r="D1675" t="s">
        <v>97</v>
      </c>
      <c r="E1675" t="s">
        <v>31</v>
      </c>
      <c r="F1675" t="s">
        <v>107</v>
      </c>
      <c r="G1675" t="s">
        <v>100</v>
      </c>
      <c r="H1675" t="s">
        <v>131</v>
      </c>
      <c r="I1675" t="s">
        <v>149</v>
      </c>
      <c r="J1675" t="s">
        <v>94</v>
      </c>
      <c r="K1675">
        <v>9</v>
      </c>
      <c r="L1675">
        <v>7000</v>
      </c>
      <c r="M1675">
        <v>63000</v>
      </c>
      <c r="N1675" t="s">
        <v>95</v>
      </c>
      <c r="O1675" t="s">
        <v>115</v>
      </c>
    </row>
    <row r="1676" spans="1:15" x14ac:dyDescent="0.25">
      <c r="A1676">
        <v>4306</v>
      </c>
      <c r="B1676" s="10">
        <v>45772</v>
      </c>
      <c r="C1676">
        <v>25</v>
      </c>
      <c r="D1676" t="s">
        <v>105</v>
      </c>
      <c r="E1676" t="s">
        <v>106</v>
      </c>
      <c r="F1676" t="s">
        <v>113</v>
      </c>
      <c r="G1676" t="s">
        <v>114</v>
      </c>
      <c r="H1676" t="s">
        <v>131</v>
      </c>
      <c r="I1676" t="s">
        <v>139</v>
      </c>
      <c r="J1676" t="s">
        <v>103</v>
      </c>
      <c r="K1676">
        <v>40</v>
      </c>
      <c r="L1676">
        <v>7000</v>
      </c>
      <c r="M1676">
        <v>280000</v>
      </c>
      <c r="N1676" t="s">
        <v>95</v>
      </c>
      <c r="O1676" t="s">
        <v>104</v>
      </c>
    </row>
    <row r="1677" spans="1:15" x14ac:dyDescent="0.25">
      <c r="A1677">
        <v>4412</v>
      </c>
      <c r="B1677" s="10">
        <v>45745</v>
      </c>
      <c r="C1677">
        <v>29</v>
      </c>
      <c r="D1677" t="s">
        <v>140</v>
      </c>
      <c r="E1677" t="s">
        <v>128</v>
      </c>
      <c r="F1677" t="s">
        <v>113</v>
      </c>
      <c r="G1677" t="s">
        <v>114</v>
      </c>
      <c r="H1677" t="s">
        <v>131</v>
      </c>
      <c r="I1677" t="s">
        <v>149</v>
      </c>
      <c r="J1677" t="s">
        <v>94</v>
      </c>
      <c r="K1677">
        <v>1</v>
      </c>
      <c r="L1677">
        <v>7000</v>
      </c>
      <c r="M1677">
        <v>7000</v>
      </c>
      <c r="N1677" t="s">
        <v>95</v>
      </c>
      <c r="O1677" t="s">
        <v>115</v>
      </c>
    </row>
    <row r="1678" spans="1:15" x14ac:dyDescent="0.25">
      <c r="A1678">
        <v>4510</v>
      </c>
      <c r="B1678" s="10">
        <v>45857</v>
      </c>
      <c r="C1678">
        <v>19</v>
      </c>
      <c r="D1678" t="s">
        <v>145</v>
      </c>
      <c r="E1678" t="s">
        <v>128</v>
      </c>
      <c r="F1678" t="s">
        <v>28</v>
      </c>
      <c r="G1678" t="s">
        <v>126</v>
      </c>
      <c r="H1678" t="s">
        <v>131</v>
      </c>
      <c r="I1678" t="s">
        <v>149</v>
      </c>
      <c r="J1678" t="s">
        <v>94</v>
      </c>
      <c r="K1678">
        <v>6</v>
      </c>
      <c r="L1678">
        <v>7000</v>
      </c>
      <c r="M1678">
        <v>42000</v>
      </c>
      <c r="N1678" t="s">
        <v>95</v>
      </c>
      <c r="O1678" t="s">
        <v>115</v>
      </c>
    </row>
    <row r="1679" spans="1:15" x14ac:dyDescent="0.25">
      <c r="A1679">
        <v>4570</v>
      </c>
      <c r="B1679" s="10">
        <v>45999</v>
      </c>
      <c r="C1679">
        <v>8</v>
      </c>
      <c r="D1679" t="s">
        <v>125</v>
      </c>
      <c r="E1679" t="s">
        <v>106</v>
      </c>
      <c r="F1679" t="s">
        <v>134</v>
      </c>
      <c r="G1679" t="s">
        <v>100</v>
      </c>
      <c r="H1679" t="s">
        <v>131</v>
      </c>
      <c r="I1679" t="s">
        <v>149</v>
      </c>
      <c r="J1679" t="s">
        <v>94</v>
      </c>
      <c r="K1679">
        <v>10</v>
      </c>
      <c r="L1679">
        <v>7000</v>
      </c>
      <c r="M1679">
        <v>70000</v>
      </c>
      <c r="N1679" t="s">
        <v>108</v>
      </c>
      <c r="O1679" t="s">
        <v>104</v>
      </c>
    </row>
    <row r="1680" spans="1:15" x14ac:dyDescent="0.25">
      <c r="A1680">
        <v>154</v>
      </c>
      <c r="B1680" s="10">
        <v>45920</v>
      </c>
      <c r="C1680">
        <v>20</v>
      </c>
      <c r="D1680" t="s">
        <v>147</v>
      </c>
      <c r="E1680" t="s">
        <v>110</v>
      </c>
      <c r="F1680" t="s">
        <v>28</v>
      </c>
      <c r="G1680" t="s">
        <v>126</v>
      </c>
      <c r="H1680" t="s">
        <v>131</v>
      </c>
      <c r="I1680" t="s">
        <v>149</v>
      </c>
      <c r="J1680" t="s">
        <v>94</v>
      </c>
      <c r="K1680">
        <v>9</v>
      </c>
      <c r="L1680">
        <v>7100</v>
      </c>
      <c r="M1680">
        <v>63900</v>
      </c>
      <c r="N1680" t="s">
        <v>108</v>
      </c>
      <c r="O1680" t="s">
        <v>115</v>
      </c>
    </row>
    <row r="1681" spans="1:15" x14ac:dyDescent="0.25">
      <c r="A1681">
        <v>319</v>
      </c>
      <c r="B1681" s="10">
        <v>45698</v>
      </c>
      <c r="C1681">
        <v>10</v>
      </c>
      <c r="D1681" t="s">
        <v>97</v>
      </c>
      <c r="E1681" t="s">
        <v>150</v>
      </c>
      <c r="F1681" t="s">
        <v>134</v>
      </c>
      <c r="G1681" t="s">
        <v>100</v>
      </c>
      <c r="H1681" t="s">
        <v>131</v>
      </c>
      <c r="I1681" t="s">
        <v>149</v>
      </c>
      <c r="J1681" t="s">
        <v>94</v>
      </c>
      <c r="K1681">
        <v>5</v>
      </c>
      <c r="L1681">
        <v>7100</v>
      </c>
      <c r="M1681">
        <v>35500</v>
      </c>
      <c r="N1681" t="s">
        <v>95</v>
      </c>
      <c r="O1681" t="s">
        <v>96</v>
      </c>
    </row>
    <row r="1682" spans="1:15" x14ac:dyDescent="0.25">
      <c r="A1682">
        <v>529</v>
      </c>
      <c r="B1682" s="10">
        <v>45861</v>
      </c>
      <c r="C1682">
        <v>23</v>
      </c>
      <c r="D1682" t="s">
        <v>145</v>
      </c>
      <c r="E1682" t="s">
        <v>150</v>
      </c>
      <c r="F1682" t="s">
        <v>44</v>
      </c>
      <c r="G1682" t="s">
        <v>111</v>
      </c>
      <c r="H1682" t="s">
        <v>131</v>
      </c>
      <c r="I1682" t="s">
        <v>149</v>
      </c>
      <c r="J1682" t="s">
        <v>94</v>
      </c>
      <c r="K1682">
        <v>7</v>
      </c>
      <c r="L1682">
        <v>7100</v>
      </c>
      <c r="M1682">
        <v>49700</v>
      </c>
      <c r="N1682" t="s">
        <v>108</v>
      </c>
      <c r="O1682" t="s">
        <v>96</v>
      </c>
    </row>
    <row r="1683" spans="1:15" x14ac:dyDescent="0.25">
      <c r="A1683">
        <v>585</v>
      </c>
      <c r="B1683" s="10">
        <v>45745</v>
      </c>
      <c r="C1683">
        <v>29</v>
      </c>
      <c r="D1683" t="s">
        <v>140</v>
      </c>
      <c r="E1683" t="s">
        <v>106</v>
      </c>
      <c r="F1683" t="s">
        <v>141</v>
      </c>
      <c r="G1683" t="s">
        <v>100</v>
      </c>
      <c r="H1683" t="s">
        <v>131</v>
      </c>
      <c r="I1683" t="s">
        <v>149</v>
      </c>
      <c r="J1683" t="s">
        <v>94</v>
      </c>
      <c r="K1683">
        <v>10</v>
      </c>
      <c r="L1683">
        <v>7100</v>
      </c>
      <c r="M1683">
        <v>71000</v>
      </c>
      <c r="N1683" t="s">
        <v>108</v>
      </c>
      <c r="O1683" t="s">
        <v>104</v>
      </c>
    </row>
    <row r="1684" spans="1:15" x14ac:dyDescent="0.25">
      <c r="A1684">
        <v>1115</v>
      </c>
      <c r="B1684" s="10">
        <v>45849</v>
      </c>
      <c r="C1684">
        <v>11</v>
      </c>
      <c r="D1684" t="s">
        <v>145</v>
      </c>
      <c r="E1684" t="s">
        <v>150</v>
      </c>
      <c r="F1684" t="s">
        <v>148</v>
      </c>
      <c r="G1684" t="s">
        <v>118</v>
      </c>
      <c r="H1684" t="s">
        <v>131</v>
      </c>
      <c r="I1684" t="s">
        <v>149</v>
      </c>
      <c r="J1684" t="s">
        <v>94</v>
      </c>
      <c r="K1684">
        <v>10</v>
      </c>
      <c r="L1684">
        <v>7100</v>
      </c>
      <c r="M1684">
        <v>71000</v>
      </c>
      <c r="N1684" t="s">
        <v>95</v>
      </c>
      <c r="O1684" t="s">
        <v>96</v>
      </c>
    </row>
    <row r="1685" spans="1:15" x14ac:dyDescent="0.25">
      <c r="A1685">
        <v>1278</v>
      </c>
      <c r="B1685" s="10">
        <v>45802</v>
      </c>
      <c r="C1685">
        <v>25</v>
      </c>
      <c r="D1685" t="s">
        <v>120</v>
      </c>
      <c r="E1685" t="s">
        <v>133</v>
      </c>
      <c r="F1685" t="s">
        <v>28</v>
      </c>
      <c r="G1685" t="s">
        <v>126</v>
      </c>
      <c r="H1685" t="s">
        <v>131</v>
      </c>
      <c r="I1685" t="s">
        <v>149</v>
      </c>
      <c r="J1685" t="s">
        <v>94</v>
      </c>
      <c r="K1685">
        <v>9</v>
      </c>
      <c r="L1685">
        <v>7100</v>
      </c>
      <c r="M1685">
        <v>63900</v>
      </c>
      <c r="N1685" t="s">
        <v>95</v>
      </c>
      <c r="O1685" t="s">
        <v>104</v>
      </c>
    </row>
    <row r="1686" spans="1:15" x14ac:dyDescent="0.25">
      <c r="A1686">
        <v>1688</v>
      </c>
      <c r="B1686" s="10">
        <v>45992</v>
      </c>
      <c r="C1686">
        <v>1</v>
      </c>
      <c r="D1686" t="s">
        <v>125</v>
      </c>
      <c r="E1686" t="s">
        <v>142</v>
      </c>
      <c r="F1686" t="s">
        <v>134</v>
      </c>
      <c r="G1686" t="s">
        <v>100</v>
      </c>
      <c r="H1686" t="s">
        <v>131</v>
      </c>
      <c r="I1686" t="s">
        <v>149</v>
      </c>
      <c r="J1686" t="s">
        <v>94</v>
      </c>
      <c r="K1686">
        <v>10</v>
      </c>
      <c r="L1686">
        <v>7100</v>
      </c>
      <c r="M1686">
        <v>71000</v>
      </c>
      <c r="N1686" t="s">
        <v>95</v>
      </c>
      <c r="O1686" t="s">
        <v>104</v>
      </c>
    </row>
    <row r="1687" spans="1:15" x14ac:dyDescent="0.25">
      <c r="A1687">
        <v>1746</v>
      </c>
      <c r="B1687" s="10">
        <v>45702</v>
      </c>
      <c r="C1687">
        <v>14</v>
      </c>
      <c r="D1687" t="s">
        <v>97</v>
      </c>
      <c r="E1687" t="s">
        <v>110</v>
      </c>
      <c r="F1687" t="s">
        <v>144</v>
      </c>
      <c r="G1687" t="s">
        <v>91</v>
      </c>
      <c r="H1687" t="s">
        <v>131</v>
      </c>
      <c r="I1687" t="s">
        <v>149</v>
      </c>
      <c r="J1687" t="s">
        <v>94</v>
      </c>
      <c r="K1687">
        <v>7</v>
      </c>
      <c r="L1687">
        <v>7100</v>
      </c>
      <c r="M1687">
        <v>49700</v>
      </c>
      <c r="N1687" t="s">
        <v>108</v>
      </c>
      <c r="O1687" t="s">
        <v>115</v>
      </c>
    </row>
    <row r="1688" spans="1:15" x14ac:dyDescent="0.25">
      <c r="A1688">
        <v>1947</v>
      </c>
      <c r="B1688" s="10">
        <v>45871</v>
      </c>
      <c r="C1688">
        <v>2</v>
      </c>
      <c r="D1688" t="s">
        <v>109</v>
      </c>
      <c r="E1688" t="s">
        <v>98</v>
      </c>
      <c r="F1688" t="s">
        <v>117</v>
      </c>
      <c r="G1688" t="s">
        <v>118</v>
      </c>
      <c r="H1688" t="s">
        <v>131</v>
      </c>
      <c r="I1688" t="s">
        <v>149</v>
      </c>
      <c r="J1688" t="s">
        <v>94</v>
      </c>
      <c r="K1688">
        <v>4</v>
      </c>
      <c r="L1688">
        <v>7100</v>
      </c>
      <c r="M1688">
        <v>28400</v>
      </c>
      <c r="N1688" t="s">
        <v>108</v>
      </c>
      <c r="O1688" t="s">
        <v>104</v>
      </c>
    </row>
    <row r="1689" spans="1:15" x14ac:dyDescent="0.25">
      <c r="A1689">
        <v>2060</v>
      </c>
      <c r="B1689" s="10">
        <v>45849</v>
      </c>
      <c r="C1689">
        <v>11</v>
      </c>
      <c r="D1689" t="s">
        <v>145</v>
      </c>
      <c r="E1689" t="s">
        <v>25</v>
      </c>
      <c r="F1689" t="s">
        <v>113</v>
      </c>
      <c r="G1689" t="s">
        <v>114</v>
      </c>
      <c r="H1689" t="s">
        <v>131</v>
      </c>
      <c r="I1689" t="s">
        <v>149</v>
      </c>
      <c r="J1689" t="s">
        <v>94</v>
      </c>
      <c r="K1689">
        <v>4</v>
      </c>
      <c r="L1689">
        <v>7100</v>
      </c>
      <c r="M1689">
        <v>28400</v>
      </c>
      <c r="N1689" t="s">
        <v>108</v>
      </c>
      <c r="O1689" t="s">
        <v>96</v>
      </c>
    </row>
    <row r="1690" spans="1:15" x14ac:dyDescent="0.25">
      <c r="A1690">
        <v>2262</v>
      </c>
      <c r="B1690" s="10">
        <v>45822</v>
      </c>
      <c r="C1690">
        <v>14</v>
      </c>
      <c r="D1690" t="s">
        <v>153</v>
      </c>
      <c r="E1690" t="s">
        <v>25</v>
      </c>
      <c r="F1690" t="s">
        <v>151</v>
      </c>
      <c r="G1690" t="s">
        <v>111</v>
      </c>
      <c r="H1690" t="s">
        <v>131</v>
      </c>
      <c r="I1690" t="s">
        <v>149</v>
      </c>
      <c r="J1690" t="s">
        <v>94</v>
      </c>
      <c r="K1690">
        <v>10</v>
      </c>
      <c r="L1690">
        <v>7100</v>
      </c>
      <c r="M1690">
        <v>71000</v>
      </c>
      <c r="N1690" t="s">
        <v>108</v>
      </c>
      <c r="O1690" t="s">
        <v>96</v>
      </c>
    </row>
    <row r="1691" spans="1:15" x14ac:dyDescent="0.25">
      <c r="A1691">
        <v>3086</v>
      </c>
      <c r="B1691" s="10">
        <v>45784</v>
      </c>
      <c r="C1691">
        <v>7</v>
      </c>
      <c r="D1691" t="s">
        <v>120</v>
      </c>
      <c r="E1691" t="s">
        <v>133</v>
      </c>
      <c r="F1691" t="s">
        <v>44</v>
      </c>
      <c r="G1691" t="s">
        <v>111</v>
      </c>
      <c r="H1691" t="s">
        <v>131</v>
      </c>
      <c r="I1691" t="s">
        <v>149</v>
      </c>
      <c r="J1691" t="s">
        <v>94</v>
      </c>
      <c r="K1691">
        <v>1</v>
      </c>
      <c r="L1691">
        <v>7100</v>
      </c>
      <c r="M1691">
        <v>7100</v>
      </c>
      <c r="N1691" t="s">
        <v>108</v>
      </c>
      <c r="O1691" t="s">
        <v>115</v>
      </c>
    </row>
    <row r="1692" spans="1:15" x14ac:dyDescent="0.25">
      <c r="A1692">
        <v>3424</v>
      </c>
      <c r="B1692" s="10">
        <v>45757</v>
      </c>
      <c r="C1692">
        <v>10</v>
      </c>
      <c r="D1692" t="s">
        <v>105</v>
      </c>
      <c r="E1692" t="s">
        <v>150</v>
      </c>
      <c r="F1692" t="s">
        <v>117</v>
      </c>
      <c r="G1692" t="s">
        <v>118</v>
      </c>
      <c r="H1692" t="s">
        <v>131</v>
      </c>
      <c r="I1692" t="s">
        <v>149</v>
      </c>
      <c r="J1692" t="s">
        <v>94</v>
      </c>
      <c r="K1692">
        <v>9</v>
      </c>
      <c r="L1692">
        <v>7100</v>
      </c>
      <c r="M1692">
        <v>63900</v>
      </c>
      <c r="N1692" t="s">
        <v>95</v>
      </c>
      <c r="O1692" t="s">
        <v>104</v>
      </c>
    </row>
    <row r="1693" spans="1:15" x14ac:dyDescent="0.25">
      <c r="A1693">
        <v>3900</v>
      </c>
      <c r="B1693" s="10">
        <v>45811</v>
      </c>
      <c r="C1693">
        <v>3</v>
      </c>
      <c r="D1693" t="s">
        <v>153</v>
      </c>
      <c r="E1693" t="s">
        <v>31</v>
      </c>
      <c r="F1693" t="s">
        <v>107</v>
      </c>
      <c r="G1693" t="s">
        <v>100</v>
      </c>
      <c r="H1693" t="s">
        <v>131</v>
      </c>
      <c r="I1693" t="s">
        <v>149</v>
      </c>
      <c r="J1693" t="s">
        <v>94</v>
      </c>
      <c r="K1693">
        <v>4</v>
      </c>
      <c r="L1693">
        <v>7100</v>
      </c>
      <c r="M1693">
        <v>28400</v>
      </c>
      <c r="N1693" t="s">
        <v>95</v>
      </c>
      <c r="O1693" t="s">
        <v>115</v>
      </c>
    </row>
    <row r="1694" spans="1:15" x14ac:dyDescent="0.25">
      <c r="A1694">
        <v>4012</v>
      </c>
      <c r="B1694" s="10">
        <v>45973</v>
      </c>
      <c r="C1694">
        <v>12</v>
      </c>
      <c r="D1694" t="s">
        <v>90</v>
      </c>
      <c r="E1694" t="s">
        <v>161</v>
      </c>
      <c r="F1694" t="s">
        <v>141</v>
      </c>
      <c r="G1694" t="s">
        <v>100</v>
      </c>
      <c r="H1694" t="s">
        <v>131</v>
      </c>
      <c r="I1694" t="s">
        <v>139</v>
      </c>
      <c r="J1694" t="s">
        <v>103</v>
      </c>
      <c r="K1694">
        <v>49</v>
      </c>
      <c r="L1694">
        <v>7100</v>
      </c>
      <c r="M1694">
        <v>347900</v>
      </c>
      <c r="N1694" t="s">
        <v>108</v>
      </c>
      <c r="O1694" t="s">
        <v>115</v>
      </c>
    </row>
    <row r="1695" spans="1:15" x14ac:dyDescent="0.25">
      <c r="A1695">
        <v>4022</v>
      </c>
      <c r="B1695" s="10">
        <v>45801</v>
      </c>
      <c r="C1695">
        <v>24</v>
      </c>
      <c r="D1695" t="s">
        <v>120</v>
      </c>
      <c r="E1695" t="s">
        <v>112</v>
      </c>
      <c r="F1695" t="s">
        <v>144</v>
      </c>
      <c r="G1695" t="s">
        <v>91</v>
      </c>
      <c r="H1695" t="s">
        <v>131</v>
      </c>
      <c r="I1695" t="s">
        <v>139</v>
      </c>
      <c r="J1695" t="s">
        <v>103</v>
      </c>
      <c r="K1695">
        <v>20</v>
      </c>
      <c r="L1695">
        <v>7100</v>
      </c>
      <c r="M1695">
        <v>142000</v>
      </c>
      <c r="N1695" t="s">
        <v>95</v>
      </c>
      <c r="O1695" t="s">
        <v>115</v>
      </c>
    </row>
    <row r="1696" spans="1:15" x14ac:dyDescent="0.25">
      <c r="A1696">
        <v>4068</v>
      </c>
      <c r="B1696" s="10">
        <v>45996</v>
      </c>
      <c r="C1696">
        <v>5</v>
      </c>
      <c r="D1696" t="s">
        <v>125</v>
      </c>
      <c r="E1696" t="s">
        <v>121</v>
      </c>
      <c r="F1696" t="s">
        <v>107</v>
      </c>
      <c r="G1696" t="s">
        <v>100</v>
      </c>
      <c r="H1696" t="s">
        <v>131</v>
      </c>
      <c r="I1696" t="s">
        <v>149</v>
      </c>
      <c r="J1696" t="s">
        <v>94</v>
      </c>
      <c r="K1696">
        <v>1</v>
      </c>
      <c r="L1696">
        <v>7100</v>
      </c>
      <c r="M1696">
        <v>7100</v>
      </c>
      <c r="N1696" t="s">
        <v>95</v>
      </c>
      <c r="O1696" t="s">
        <v>104</v>
      </c>
    </row>
    <row r="1697" spans="1:15" x14ac:dyDescent="0.25">
      <c r="A1697">
        <v>4252</v>
      </c>
      <c r="B1697" s="10">
        <v>45974</v>
      </c>
      <c r="C1697">
        <v>13</v>
      </c>
      <c r="D1697" t="s">
        <v>90</v>
      </c>
      <c r="E1697" t="s">
        <v>110</v>
      </c>
      <c r="F1697" t="s">
        <v>107</v>
      </c>
      <c r="G1697" t="s">
        <v>100</v>
      </c>
      <c r="H1697" t="s">
        <v>131</v>
      </c>
      <c r="I1697" t="s">
        <v>149</v>
      </c>
      <c r="J1697" t="s">
        <v>94</v>
      </c>
      <c r="K1697">
        <v>5</v>
      </c>
      <c r="L1697">
        <v>7100</v>
      </c>
      <c r="M1697">
        <v>35500</v>
      </c>
      <c r="N1697" t="s">
        <v>108</v>
      </c>
      <c r="O1697" t="s">
        <v>104</v>
      </c>
    </row>
    <row r="1698" spans="1:15" x14ac:dyDescent="0.25">
      <c r="A1698">
        <v>4454</v>
      </c>
      <c r="B1698" s="10">
        <v>45811</v>
      </c>
      <c r="C1698">
        <v>3</v>
      </c>
      <c r="D1698" t="s">
        <v>153</v>
      </c>
      <c r="E1698" t="s">
        <v>116</v>
      </c>
      <c r="F1698" t="s">
        <v>144</v>
      </c>
      <c r="G1698" t="s">
        <v>91</v>
      </c>
      <c r="H1698" t="s">
        <v>131</v>
      </c>
      <c r="I1698" t="s">
        <v>149</v>
      </c>
      <c r="J1698" t="s">
        <v>94</v>
      </c>
      <c r="K1698">
        <v>9</v>
      </c>
      <c r="L1698">
        <v>7100</v>
      </c>
      <c r="M1698">
        <v>63900</v>
      </c>
      <c r="N1698" t="s">
        <v>108</v>
      </c>
      <c r="O1698" t="s">
        <v>96</v>
      </c>
    </row>
    <row r="1699" spans="1:15" x14ac:dyDescent="0.25">
      <c r="A1699">
        <v>4631</v>
      </c>
      <c r="B1699" s="10">
        <v>45989</v>
      </c>
      <c r="C1699">
        <v>28</v>
      </c>
      <c r="D1699" t="s">
        <v>90</v>
      </c>
      <c r="E1699" t="s">
        <v>133</v>
      </c>
      <c r="F1699" t="s">
        <v>122</v>
      </c>
      <c r="G1699" t="s">
        <v>114</v>
      </c>
      <c r="H1699" t="s">
        <v>131</v>
      </c>
      <c r="I1699" t="s">
        <v>139</v>
      </c>
      <c r="J1699" t="s">
        <v>103</v>
      </c>
      <c r="K1699">
        <v>26</v>
      </c>
      <c r="L1699">
        <v>7100</v>
      </c>
      <c r="M1699">
        <v>184600</v>
      </c>
      <c r="N1699" t="s">
        <v>95</v>
      </c>
      <c r="O1699" t="s">
        <v>104</v>
      </c>
    </row>
    <row r="1700" spans="1:15" x14ac:dyDescent="0.25">
      <c r="A1700">
        <v>4877</v>
      </c>
      <c r="B1700" s="10">
        <v>45875</v>
      </c>
      <c r="C1700">
        <v>6</v>
      </c>
      <c r="D1700" t="s">
        <v>109</v>
      </c>
      <c r="E1700" t="s">
        <v>31</v>
      </c>
      <c r="F1700" t="s">
        <v>28</v>
      </c>
      <c r="G1700" t="s">
        <v>126</v>
      </c>
      <c r="H1700" t="s">
        <v>131</v>
      </c>
      <c r="I1700" t="s">
        <v>139</v>
      </c>
      <c r="J1700" t="s">
        <v>103</v>
      </c>
      <c r="K1700">
        <v>47</v>
      </c>
      <c r="L1700">
        <v>7100</v>
      </c>
      <c r="M1700">
        <v>333700</v>
      </c>
      <c r="N1700" t="s">
        <v>108</v>
      </c>
      <c r="O1700" t="s">
        <v>115</v>
      </c>
    </row>
    <row r="1701" spans="1:15" x14ac:dyDescent="0.25">
      <c r="A1701">
        <v>361</v>
      </c>
      <c r="B1701" s="10">
        <v>46021</v>
      </c>
      <c r="C1701">
        <v>30</v>
      </c>
      <c r="D1701" t="s">
        <v>125</v>
      </c>
      <c r="E1701" t="s">
        <v>121</v>
      </c>
      <c r="F1701" t="s">
        <v>151</v>
      </c>
      <c r="G1701" t="s">
        <v>111</v>
      </c>
      <c r="H1701" t="s">
        <v>131</v>
      </c>
      <c r="I1701" t="s">
        <v>149</v>
      </c>
      <c r="J1701" t="s">
        <v>94</v>
      </c>
      <c r="K1701">
        <v>10</v>
      </c>
      <c r="L1701">
        <v>7200</v>
      </c>
      <c r="M1701">
        <v>72000</v>
      </c>
      <c r="N1701" t="s">
        <v>95</v>
      </c>
      <c r="O1701" t="s">
        <v>104</v>
      </c>
    </row>
    <row r="1702" spans="1:15" x14ac:dyDescent="0.25">
      <c r="A1702">
        <v>689</v>
      </c>
      <c r="B1702" s="10">
        <v>45879</v>
      </c>
      <c r="C1702">
        <v>10</v>
      </c>
      <c r="D1702" t="s">
        <v>109</v>
      </c>
      <c r="E1702" t="s">
        <v>116</v>
      </c>
      <c r="F1702" t="s">
        <v>117</v>
      </c>
      <c r="G1702" t="s">
        <v>118</v>
      </c>
      <c r="H1702" t="s">
        <v>131</v>
      </c>
      <c r="I1702" t="s">
        <v>149</v>
      </c>
      <c r="J1702" t="s">
        <v>94</v>
      </c>
      <c r="K1702">
        <v>6</v>
      </c>
      <c r="L1702">
        <v>7200</v>
      </c>
      <c r="M1702">
        <v>43200</v>
      </c>
      <c r="N1702" t="s">
        <v>95</v>
      </c>
      <c r="O1702" t="s">
        <v>115</v>
      </c>
    </row>
    <row r="1703" spans="1:15" x14ac:dyDescent="0.25">
      <c r="A1703">
        <v>1107</v>
      </c>
      <c r="B1703" s="10">
        <v>45772</v>
      </c>
      <c r="C1703">
        <v>25</v>
      </c>
      <c r="D1703" t="s">
        <v>105</v>
      </c>
      <c r="E1703" t="s">
        <v>161</v>
      </c>
      <c r="F1703" t="s">
        <v>49</v>
      </c>
      <c r="G1703" t="s">
        <v>118</v>
      </c>
      <c r="H1703" t="s">
        <v>131</v>
      </c>
      <c r="I1703" t="s">
        <v>149</v>
      </c>
      <c r="J1703" t="s">
        <v>94</v>
      </c>
      <c r="K1703">
        <v>8</v>
      </c>
      <c r="L1703">
        <v>7200</v>
      </c>
      <c r="M1703">
        <v>57600</v>
      </c>
      <c r="N1703" t="s">
        <v>108</v>
      </c>
      <c r="O1703" t="s">
        <v>96</v>
      </c>
    </row>
    <row r="1704" spans="1:15" x14ac:dyDescent="0.25">
      <c r="A1704">
        <v>1586</v>
      </c>
      <c r="B1704" s="10">
        <v>45669</v>
      </c>
      <c r="C1704">
        <v>12</v>
      </c>
      <c r="D1704" t="s">
        <v>130</v>
      </c>
      <c r="E1704" t="s">
        <v>116</v>
      </c>
      <c r="F1704" t="s">
        <v>44</v>
      </c>
      <c r="G1704" t="s">
        <v>111</v>
      </c>
      <c r="H1704" t="s">
        <v>131</v>
      </c>
      <c r="I1704" t="s">
        <v>149</v>
      </c>
      <c r="J1704" t="s">
        <v>94</v>
      </c>
      <c r="K1704">
        <v>5</v>
      </c>
      <c r="L1704">
        <v>7200</v>
      </c>
      <c r="M1704">
        <v>36000</v>
      </c>
      <c r="N1704" t="s">
        <v>108</v>
      </c>
      <c r="O1704" t="s">
        <v>115</v>
      </c>
    </row>
    <row r="1705" spans="1:15" x14ac:dyDescent="0.25">
      <c r="A1705">
        <v>1794</v>
      </c>
      <c r="B1705" s="10">
        <v>45935</v>
      </c>
      <c r="C1705">
        <v>5</v>
      </c>
      <c r="D1705" t="s">
        <v>136</v>
      </c>
      <c r="E1705" t="s">
        <v>161</v>
      </c>
      <c r="F1705" t="s">
        <v>148</v>
      </c>
      <c r="G1705" t="s">
        <v>118</v>
      </c>
      <c r="H1705" t="s">
        <v>131</v>
      </c>
      <c r="I1705" t="s">
        <v>149</v>
      </c>
      <c r="J1705" t="s">
        <v>94</v>
      </c>
      <c r="K1705">
        <v>6</v>
      </c>
      <c r="L1705">
        <v>7200</v>
      </c>
      <c r="M1705">
        <v>43200</v>
      </c>
      <c r="N1705" t="s">
        <v>108</v>
      </c>
      <c r="O1705" t="s">
        <v>104</v>
      </c>
    </row>
    <row r="1706" spans="1:15" x14ac:dyDescent="0.25">
      <c r="A1706">
        <v>2168</v>
      </c>
      <c r="B1706" s="10">
        <v>45663</v>
      </c>
      <c r="C1706">
        <v>6</v>
      </c>
      <c r="D1706" t="s">
        <v>130</v>
      </c>
      <c r="E1706" t="s">
        <v>128</v>
      </c>
      <c r="F1706" t="s">
        <v>148</v>
      </c>
      <c r="G1706" t="s">
        <v>118</v>
      </c>
      <c r="H1706" t="s">
        <v>131</v>
      </c>
      <c r="I1706" t="s">
        <v>139</v>
      </c>
      <c r="J1706" t="s">
        <v>103</v>
      </c>
      <c r="K1706">
        <v>46</v>
      </c>
      <c r="L1706">
        <v>7200</v>
      </c>
      <c r="M1706">
        <v>331200</v>
      </c>
      <c r="N1706" t="s">
        <v>108</v>
      </c>
      <c r="O1706" t="s">
        <v>104</v>
      </c>
    </row>
    <row r="1707" spans="1:15" x14ac:dyDescent="0.25">
      <c r="A1707">
        <v>2443</v>
      </c>
      <c r="B1707" s="10">
        <v>45784</v>
      </c>
      <c r="C1707">
        <v>7</v>
      </c>
      <c r="D1707" t="s">
        <v>120</v>
      </c>
      <c r="E1707" t="s">
        <v>161</v>
      </c>
      <c r="F1707" t="s">
        <v>144</v>
      </c>
      <c r="G1707" t="s">
        <v>91</v>
      </c>
      <c r="H1707" t="s">
        <v>131</v>
      </c>
      <c r="I1707" t="s">
        <v>139</v>
      </c>
      <c r="J1707" t="s">
        <v>103</v>
      </c>
      <c r="K1707">
        <v>12</v>
      </c>
      <c r="L1707">
        <v>7200</v>
      </c>
      <c r="M1707">
        <v>86400</v>
      </c>
      <c r="N1707" t="s">
        <v>95</v>
      </c>
      <c r="O1707" t="s">
        <v>115</v>
      </c>
    </row>
    <row r="1708" spans="1:15" x14ac:dyDescent="0.25">
      <c r="A1708">
        <v>2568</v>
      </c>
      <c r="B1708" s="10">
        <v>45776</v>
      </c>
      <c r="C1708">
        <v>29</v>
      </c>
      <c r="D1708" t="s">
        <v>105</v>
      </c>
      <c r="E1708" t="s">
        <v>121</v>
      </c>
      <c r="F1708" t="s">
        <v>49</v>
      </c>
      <c r="G1708" t="s">
        <v>118</v>
      </c>
      <c r="H1708" t="s">
        <v>131</v>
      </c>
      <c r="I1708" t="s">
        <v>149</v>
      </c>
      <c r="J1708" t="s">
        <v>94</v>
      </c>
      <c r="K1708">
        <v>3</v>
      </c>
      <c r="L1708">
        <v>7200</v>
      </c>
      <c r="M1708">
        <v>21600</v>
      </c>
      <c r="N1708" t="s">
        <v>108</v>
      </c>
      <c r="O1708" t="s">
        <v>115</v>
      </c>
    </row>
    <row r="1709" spans="1:15" x14ac:dyDescent="0.25">
      <c r="A1709">
        <v>2611</v>
      </c>
      <c r="B1709" s="10">
        <v>45853</v>
      </c>
      <c r="C1709">
        <v>15</v>
      </c>
      <c r="D1709" t="s">
        <v>145</v>
      </c>
      <c r="E1709" t="s">
        <v>142</v>
      </c>
      <c r="F1709" t="s">
        <v>44</v>
      </c>
      <c r="G1709" t="s">
        <v>111</v>
      </c>
      <c r="H1709" t="s">
        <v>131</v>
      </c>
      <c r="I1709" t="s">
        <v>149</v>
      </c>
      <c r="J1709" t="s">
        <v>94</v>
      </c>
      <c r="K1709">
        <v>4</v>
      </c>
      <c r="L1709">
        <v>7200</v>
      </c>
      <c r="M1709">
        <v>28800</v>
      </c>
      <c r="N1709" t="s">
        <v>95</v>
      </c>
      <c r="O1709" t="s">
        <v>115</v>
      </c>
    </row>
    <row r="1710" spans="1:15" x14ac:dyDescent="0.25">
      <c r="A1710">
        <v>2690</v>
      </c>
      <c r="B1710" s="10">
        <v>45751</v>
      </c>
      <c r="C1710">
        <v>4</v>
      </c>
      <c r="D1710" t="s">
        <v>105</v>
      </c>
      <c r="E1710" t="s">
        <v>106</v>
      </c>
      <c r="F1710" t="s">
        <v>141</v>
      </c>
      <c r="G1710" t="s">
        <v>100</v>
      </c>
      <c r="H1710" t="s">
        <v>131</v>
      </c>
      <c r="I1710" t="s">
        <v>149</v>
      </c>
      <c r="J1710" t="s">
        <v>94</v>
      </c>
      <c r="K1710">
        <v>1</v>
      </c>
      <c r="L1710">
        <v>7200</v>
      </c>
      <c r="M1710">
        <v>7200</v>
      </c>
      <c r="N1710" t="s">
        <v>95</v>
      </c>
      <c r="O1710" t="s">
        <v>104</v>
      </c>
    </row>
    <row r="1711" spans="1:15" x14ac:dyDescent="0.25">
      <c r="A1711">
        <v>2744</v>
      </c>
      <c r="B1711" s="10">
        <v>45970</v>
      </c>
      <c r="C1711">
        <v>9</v>
      </c>
      <c r="D1711" t="s">
        <v>90</v>
      </c>
      <c r="E1711" t="s">
        <v>138</v>
      </c>
      <c r="F1711" t="s">
        <v>99</v>
      </c>
      <c r="G1711" t="s">
        <v>100</v>
      </c>
      <c r="H1711" t="s">
        <v>131</v>
      </c>
      <c r="I1711" t="s">
        <v>149</v>
      </c>
      <c r="J1711" t="s">
        <v>94</v>
      </c>
      <c r="K1711">
        <v>2</v>
      </c>
      <c r="L1711">
        <v>7200</v>
      </c>
      <c r="M1711">
        <v>14400</v>
      </c>
      <c r="N1711" t="s">
        <v>95</v>
      </c>
      <c r="O1711" t="s">
        <v>104</v>
      </c>
    </row>
    <row r="1712" spans="1:15" x14ac:dyDescent="0.25">
      <c r="A1712">
        <v>3402</v>
      </c>
      <c r="B1712" s="10">
        <v>45852</v>
      </c>
      <c r="C1712">
        <v>14</v>
      </c>
      <c r="D1712" t="s">
        <v>145</v>
      </c>
      <c r="E1712" t="s">
        <v>116</v>
      </c>
      <c r="F1712" t="s">
        <v>141</v>
      </c>
      <c r="G1712" t="s">
        <v>100</v>
      </c>
      <c r="H1712" t="s">
        <v>131</v>
      </c>
      <c r="I1712" t="s">
        <v>149</v>
      </c>
      <c r="J1712" t="s">
        <v>94</v>
      </c>
      <c r="K1712">
        <v>4</v>
      </c>
      <c r="L1712">
        <v>7200</v>
      </c>
      <c r="M1712">
        <v>28800</v>
      </c>
      <c r="N1712" t="s">
        <v>95</v>
      </c>
      <c r="O1712" t="s">
        <v>104</v>
      </c>
    </row>
    <row r="1713" spans="1:15" x14ac:dyDescent="0.25">
      <c r="A1713">
        <v>3560</v>
      </c>
      <c r="B1713" s="10">
        <v>45728</v>
      </c>
      <c r="C1713">
        <v>12</v>
      </c>
      <c r="D1713" t="s">
        <v>140</v>
      </c>
      <c r="E1713" t="s">
        <v>98</v>
      </c>
      <c r="F1713" t="s">
        <v>122</v>
      </c>
      <c r="G1713" t="s">
        <v>114</v>
      </c>
      <c r="H1713" t="s">
        <v>131</v>
      </c>
      <c r="I1713" t="s">
        <v>139</v>
      </c>
      <c r="J1713" t="s">
        <v>103</v>
      </c>
      <c r="K1713">
        <v>41</v>
      </c>
      <c r="L1713">
        <v>7200</v>
      </c>
      <c r="M1713">
        <v>295200</v>
      </c>
      <c r="N1713" t="s">
        <v>108</v>
      </c>
      <c r="O1713" t="s">
        <v>115</v>
      </c>
    </row>
    <row r="1714" spans="1:15" x14ac:dyDescent="0.25">
      <c r="A1714">
        <v>4202</v>
      </c>
      <c r="B1714" s="10">
        <v>45766</v>
      </c>
      <c r="C1714">
        <v>19</v>
      </c>
      <c r="D1714" t="s">
        <v>105</v>
      </c>
      <c r="E1714" t="s">
        <v>161</v>
      </c>
      <c r="F1714" t="s">
        <v>113</v>
      </c>
      <c r="G1714" t="s">
        <v>114</v>
      </c>
      <c r="H1714" t="s">
        <v>131</v>
      </c>
      <c r="I1714" t="s">
        <v>139</v>
      </c>
      <c r="J1714" t="s">
        <v>103</v>
      </c>
      <c r="K1714">
        <v>36</v>
      </c>
      <c r="L1714">
        <v>7200</v>
      </c>
      <c r="M1714">
        <v>259200</v>
      </c>
      <c r="N1714" t="s">
        <v>108</v>
      </c>
      <c r="O1714" t="s">
        <v>96</v>
      </c>
    </row>
    <row r="1715" spans="1:15" x14ac:dyDescent="0.25">
      <c r="A1715">
        <v>4291</v>
      </c>
      <c r="B1715" s="10">
        <v>45782</v>
      </c>
      <c r="C1715">
        <v>5</v>
      </c>
      <c r="D1715" t="s">
        <v>120</v>
      </c>
      <c r="E1715" t="s">
        <v>150</v>
      </c>
      <c r="F1715" t="s">
        <v>144</v>
      </c>
      <c r="G1715" t="s">
        <v>91</v>
      </c>
      <c r="H1715" t="s">
        <v>131</v>
      </c>
      <c r="I1715" t="s">
        <v>149</v>
      </c>
      <c r="J1715" t="s">
        <v>94</v>
      </c>
      <c r="K1715">
        <v>3</v>
      </c>
      <c r="L1715">
        <v>7200</v>
      </c>
      <c r="M1715">
        <v>21600</v>
      </c>
      <c r="N1715" t="s">
        <v>108</v>
      </c>
      <c r="O1715" t="s">
        <v>115</v>
      </c>
    </row>
    <row r="1716" spans="1:15" x14ac:dyDescent="0.25">
      <c r="A1716">
        <v>4297</v>
      </c>
      <c r="B1716" s="10">
        <v>45711</v>
      </c>
      <c r="C1716">
        <v>23</v>
      </c>
      <c r="D1716" t="s">
        <v>97</v>
      </c>
      <c r="E1716" t="s">
        <v>31</v>
      </c>
      <c r="F1716" t="s">
        <v>134</v>
      </c>
      <c r="G1716" t="s">
        <v>100</v>
      </c>
      <c r="H1716" t="s">
        <v>131</v>
      </c>
      <c r="I1716" t="s">
        <v>139</v>
      </c>
      <c r="J1716" t="s">
        <v>103</v>
      </c>
      <c r="K1716">
        <v>42</v>
      </c>
      <c r="L1716">
        <v>7200</v>
      </c>
      <c r="M1716">
        <v>302400</v>
      </c>
      <c r="N1716" t="s">
        <v>108</v>
      </c>
      <c r="O1716" t="s">
        <v>96</v>
      </c>
    </row>
    <row r="1717" spans="1:15" x14ac:dyDescent="0.25">
      <c r="A1717">
        <v>4593</v>
      </c>
      <c r="B1717" s="10">
        <v>45889</v>
      </c>
      <c r="C1717">
        <v>20</v>
      </c>
      <c r="D1717" t="s">
        <v>109</v>
      </c>
      <c r="E1717" t="s">
        <v>98</v>
      </c>
      <c r="F1717" t="s">
        <v>148</v>
      </c>
      <c r="G1717" t="s">
        <v>118</v>
      </c>
      <c r="H1717" t="s">
        <v>131</v>
      </c>
      <c r="I1717" t="s">
        <v>149</v>
      </c>
      <c r="J1717" t="s">
        <v>94</v>
      </c>
      <c r="K1717">
        <v>5</v>
      </c>
      <c r="L1717">
        <v>7200</v>
      </c>
      <c r="M1717">
        <v>36000</v>
      </c>
      <c r="N1717" t="s">
        <v>108</v>
      </c>
      <c r="O1717" t="s">
        <v>115</v>
      </c>
    </row>
    <row r="1718" spans="1:15" x14ac:dyDescent="0.25">
      <c r="A1718">
        <v>4779</v>
      </c>
      <c r="B1718" s="10">
        <v>45821</v>
      </c>
      <c r="C1718">
        <v>13</v>
      </c>
      <c r="D1718" t="s">
        <v>153</v>
      </c>
      <c r="E1718" t="s">
        <v>137</v>
      </c>
      <c r="F1718" t="s">
        <v>28</v>
      </c>
      <c r="G1718" t="s">
        <v>126</v>
      </c>
      <c r="H1718" t="s">
        <v>131</v>
      </c>
      <c r="I1718" t="s">
        <v>139</v>
      </c>
      <c r="J1718" t="s">
        <v>103</v>
      </c>
      <c r="K1718">
        <v>35</v>
      </c>
      <c r="L1718">
        <v>7200</v>
      </c>
      <c r="M1718">
        <v>252000</v>
      </c>
      <c r="N1718" t="s">
        <v>95</v>
      </c>
      <c r="O1718" t="s">
        <v>96</v>
      </c>
    </row>
    <row r="1719" spans="1:15" x14ac:dyDescent="0.25">
      <c r="A1719">
        <v>60</v>
      </c>
      <c r="B1719" s="10">
        <v>46003</v>
      </c>
      <c r="C1719">
        <v>12</v>
      </c>
      <c r="D1719" t="s">
        <v>125</v>
      </c>
      <c r="E1719" t="s">
        <v>106</v>
      </c>
      <c r="F1719" t="s">
        <v>107</v>
      </c>
      <c r="G1719" t="s">
        <v>100</v>
      </c>
      <c r="H1719" t="s">
        <v>131</v>
      </c>
      <c r="I1719" t="s">
        <v>149</v>
      </c>
      <c r="J1719" t="s">
        <v>94</v>
      </c>
      <c r="K1719">
        <v>5</v>
      </c>
      <c r="L1719">
        <v>7300</v>
      </c>
      <c r="M1719">
        <v>36500</v>
      </c>
      <c r="N1719" t="s">
        <v>108</v>
      </c>
      <c r="O1719" t="s">
        <v>104</v>
      </c>
    </row>
    <row r="1720" spans="1:15" x14ac:dyDescent="0.25">
      <c r="A1720">
        <v>468</v>
      </c>
      <c r="B1720" s="10">
        <v>45817</v>
      </c>
      <c r="C1720">
        <v>9</v>
      </c>
      <c r="D1720" t="s">
        <v>153</v>
      </c>
      <c r="E1720" t="s">
        <v>161</v>
      </c>
      <c r="F1720" t="s">
        <v>107</v>
      </c>
      <c r="G1720" t="s">
        <v>100</v>
      </c>
      <c r="H1720" t="s">
        <v>131</v>
      </c>
      <c r="I1720" t="s">
        <v>149</v>
      </c>
      <c r="J1720" t="s">
        <v>94</v>
      </c>
      <c r="K1720">
        <v>3</v>
      </c>
      <c r="L1720">
        <v>7300</v>
      </c>
      <c r="M1720">
        <v>21900</v>
      </c>
      <c r="N1720" t="s">
        <v>95</v>
      </c>
      <c r="O1720" t="s">
        <v>104</v>
      </c>
    </row>
    <row r="1721" spans="1:15" x14ac:dyDescent="0.25">
      <c r="A1721">
        <v>1106</v>
      </c>
      <c r="B1721" s="10">
        <v>45826</v>
      </c>
      <c r="C1721">
        <v>18</v>
      </c>
      <c r="D1721" t="s">
        <v>153</v>
      </c>
      <c r="E1721" t="s">
        <v>138</v>
      </c>
      <c r="F1721" t="s">
        <v>28</v>
      </c>
      <c r="G1721" t="s">
        <v>126</v>
      </c>
      <c r="H1721" t="s">
        <v>131</v>
      </c>
      <c r="I1721" t="s">
        <v>139</v>
      </c>
      <c r="J1721" t="s">
        <v>103</v>
      </c>
      <c r="K1721">
        <v>19</v>
      </c>
      <c r="L1721">
        <v>7300</v>
      </c>
      <c r="M1721">
        <v>138700</v>
      </c>
      <c r="N1721" t="s">
        <v>95</v>
      </c>
      <c r="O1721" t="s">
        <v>96</v>
      </c>
    </row>
    <row r="1722" spans="1:15" x14ac:dyDescent="0.25">
      <c r="A1722">
        <v>1214</v>
      </c>
      <c r="B1722" s="10">
        <v>45986</v>
      </c>
      <c r="C1722">
        <v>25</v>
      </c>
      <c r="D1722" t="s">
        <v>90</v>
      </c>
      <c r="E1722" t="s">
        <v>112</v>
      </c>
      <c r="F1722" t="s">
        <v>107</v>
      </c>
      <c r="G1722" t="s">
        <v>100</v>
      </c>
      <c r="H1722" t="s">
        <v>131</v>
      </c>
      <c r="I1722" t="s">
        <v>149</v>
      </c>
      <c r="J1722" t="s">
        <v>94</v>
      </c>
      <c r="K1722">
        <v>5</v>
      </c>
      <c r="L1722">
        <v>7300</v>
      </c>
      <c r="M1722">
        <v>36500</v>
      </c>
      <c r="N1722" t="s">
        <v>95</v>
      </c>
      <c r="O1722" t="s">
        <v>115</v>
      </c>
    </row>
    <row r="1723" spans="1:15" x14ac:dyDescent="0.25">
      <c r="A1723">
        <v>1364</v>
      </c>
      <c r="B1723" s="10">
        <v>45730</v>
      </c>
      <c r="C1723">
        <v>14</v>
      </c>
      <c r="D1723" t="s">
        <v>140</v>
      </c>
      <c r="E1723" t="s">
        <v>31</v>
      </c>
      <c r="F1723" t="s">
        <v>44</v>
      </c>
      <c r="G1723" t="s">
        <v>111</v>
      </c>
      <c r="H1723" t="s">
        <v>131</v>
      </c>
      <c r="I1723" t="s">
        <v>139</v>
      </c>
      <c r="J1723" t="s">
        <v>103</v>
      </c>
      <c r="K1723">
        <v>50</v>
      </c>
      <c r="L1723">
        <v>7300</v>
      </c>
      <c r="M1723">
        <v>365000</v>
      </c>
      <c r="N1723" t="s">
        <v>108</v>
      </c>
      <c r="O1723" t="s">
        <v>115</v>
      </c>
    </row>
    <row r="1724" spans="1:15" x14ac:dyDescent="0.25">
      <c r="A1724">
        <v>1697</v>
      </c>
      <c r="B1724" s="10">
        <v>45688</v>
      </c>
      <c r="C1724">
        <v>31</v>
      </c>
      <c r="D1724" t="s">
        <v>130</v>
      </c>
      <c r="E1724" t="s">
        <v>116</v>
      </c>
      <c r="F1724" t="s">
        <v>117</v>
      </c>
      <c r="G1724" t="s">
        <v>118</v>
      </c>
      <c r="H1724" t="s">
        <v>131</v>
      </c>
      <c r="I1724" t="s">
        <v>139</v>
      </c>
      <c r="J1724" t="s">
        <v>103</v>
      </c>
      <c r="K1724">
        <v>30</v>
      </c>
      <c r="L1724">
        <v>7300</v>
      </c>
      <c r="M1724">
        <v>219000</v>
      </c>
      <c r="N1724" t="s">
        <v>108</v>
      </c>
      <c r="O1724" t="s">
        <v>115</v>
      </c>
    </row>
    <row r="1725" spans="1:15" x14ac:dyDescent="0.25">
      <c r="A1725">
        <v>1833</v>
      </c>
      <c r="B1725" s="10">
        <v>45704</v>
      </c>
      <c r="C1725">
        <v>16</v>
      </c>
      <c r="D1725" t="s">
        <v>97</v>
      </c>
      <c r="E1725" t="s">
        <v>138</v>
      </c>
      <c r="F1725" t="s">
        <v>44</v>
      </c>
      <c r="G1725" t="s">
        <v>111</v>
      </c>
      <c r="H1725" t="s">
        <v>131</v>
      </c>
      <c r="I1725" t="s">
        <v>149</v>
      </c>
      <c r="J1725" t="s">
        <v>94</v>
      </c>
      <c r="K1725">
        <v>6</v>
      </c>
      <c r="L1725">
        <v>7300</v>
      </c>
      <c r="M1725">
        <v>43800</v>
      </c>
      <c r="N1725" t="s">
        <v>95</v>
      </c>
      <c r="O1725" t="s">
        <v>115</v>
      </c>
    </row>
    <row r="1726" spans="1:15" x14ac:dyDescent="0.25">
      <c r="A1726">
        <v>1846</v>
      </c>
      <c r="B1726" s="10">
        <v>45700</v>
      </c>
      <c r="C1726">
        <v>12</v>
      </c>
      <c r="D1726" t="s">
        <v>97</v>
      </c>
      <c r="E1726" t="s">
        <v>133</v>
      </c>
      <c r="F1726" t="s">
        <v>22</v>
      </c>
      <c r="G1726" t="s">
        <v>91</v>
      </c>
      <c r="H1726" t="s">
        <v>131</v>
      </c>
      <c r="I1726" t="s">
        <v>139</v>
      </c>
      <c r="J1726" t="s">
        <v>103</v>
      </c>
      <c r="K1726">
        <v>40</v>
      </c>
      <c r="L1726">
        <v>7300</v>
      </c>
      <c r="M1726">
        <v>292000</v>
      </c>
      <c r="N1726" t="s">
        <v>108</v>
      </c>
      <c r="O1726" t="s">
        <v>96</v>
      </c>
    </row>
    <row r="1727" spans="1:15" x14ac:dyDescent="0.25">
      <c r="A1727">
        <v>2175</v>
      </c>
      <c r="B1727" s="10">
        <v>45759</v>
      </c>
      <c r="C1727">
        <v>12</v>
      </c>
      <c r="D1727" t="s">
        <v>105</v>
      </c>
      <c r="E1727" t="s">
        <v>138</v>
      </c>
      <c r="F1727" t="s">
        <v>44</v>
      </c>
      <c r="G1727" t="s">
        <v>111</v>
      </c>
      <c r="H1727" t="s">
        <v>131</v>
      </c>
      <c r="I1727" t="s">
        <v>139</v>
      </c>
      <c r="J1727" t="s">
        <v>103</v>
      </c>
      <c r="K1727">
        <v>19</v>
      </c>
      <c r="L1727">
        <v>7300</v>
      </c>
      <c r="M1727">
        <v>138700</v>
      </c>
      <c r="N1727" t="s">
        <v>95</v>
      </c>
      <c r="O1727" t="s">
        <v>104</v>
      </c>
    </row>
    <row r="1728" spans="1:15" x14ac:dyDescent="0.25">
      <c r="A1728">
        <v>2656</v>
      </c>
      <c r="B1728" s="10">
        <v>45676</v>
      </c>
      <c r="C1728">
        <v>19</v>
      </c>
      <c r="D1728" t="s">
        <v>130</v>
      </c>
      <c r="E1728" t="s">
        <v>110</v>
      </c>
      <c r="F1728" t="s">
        <v>107</v>
      </c>
      <c r="G1728" t="s">
        <v>100</v>
      </c>
      <c r="H1728" t="s">
        <v>131</v>
      </c>
      <c r="I1728" t="s">
        <v>149</v>
      </c>
      <c r="J1728" t="s">
        <v>94</v>
      </c>
      <c r="K1728">
        <v>3</v>
      </c>
      <c r="L1728">
        <v>7300</v>
      </c>
      <c r="M1728">
        <v>21900</v>
      </c>
      <c r="N1728" t="s">
        <v>108</v>
      </c>
      <c r="O1728" t="s">
        <v>115</v>
      </c>
    </row>
    <row r="1729" spans="1:15" x14ac:dyDescent="0.25">
      <c r="A1729">
        <v>2906</v>
      </c>
      <c r="B1729" s="10">
        <v>45875</v>
      </c>
      <c r="C1729">
        <v>6</v>
      </c>
      <c r="D1729" t="s">
        <v>109</v>
      </c>
      <c r="E1729" t="s">
        <v>133</v>
      </c>
      <c r="F1729" t="s">
        <v>44</v>
      </c>
      <c r="G1729" t="s">
        <v>111</v>
      </c>
      <c r="H1729" t="s">
        <v>131</v>
      </c>
      <c r="I1729" t="s">
        <v>149</v>
      </c>
      <c r="J1729" t="s">
        <v>94</v>
      </c>
      <c r="K1729">
        <v>1</v>
      </c>
      <c r="L1729">
        <v>7300</v>
      </c>
      <c r="M1729">
        <v>7300</v>
      </c>
      <c r="N1729" t="s">
        <v>95</v>
      </c>
      <c r="O1729" t="s">
        <v>96</v>
      </c>
    </row>
    <row r="1730" spans="1:15" x14ac:dyDescent="0.25">
      <c r="A1730">
        <v>3045</v>
      </c>
      <c r="B1730" s="10">
        <v>45918</v>
      </c>
      <c r="C1730">
        <v>18</v>
      </c>
      <c r="D1730" t="s">
        <v>147</v>
      </c>
      <c r="E1730" t="s">
        <v>116</v>
      </c>
      <c r="F1730" t="s">
        <v>134</v>
      </c>
      <c r="G1730" t="s">
        <v>100</v>
      </c>
      <c r="H1730" t="s">
        <v>131</v>
      </c>
      <c r="I1730" t="s">
        <v>149</v>
      </c>
      <c r="J1730" t="s">
        <v>94</v>
      </c>
      <c r="K1730">
        <v>6</v>
      </c>
      <c r="L1730">
        <v>7300</v>
      </c>
      <c r="M1730">
        <v>43800</v>
      </c>
      <c r="N1730" t="s">
        <v>108</v>
      </c>
      <c r="O1730" t="s">
        <v>104</v>
      </c>
    </row>
    <row r="1731" spans="1:15" x14ac:dyDescent="0.25">
      <c r="A1731">
        <v>3222</v>
      </c>
      <c r="B1731" s="10">
        <v>46002</v>
      </c>
      <c r="C1731">
        <v>11</v>
      </c>
      <c r="D1731" t="s">
        <v>125</v>
      </c>
      <c r="E1731" t="s">
        <v>138</v>
      </c>
      <c r="F1731" t="s">
        <v>36</v>
      </c>
      <c r="G1731" t="s">
        <v>100</v>
      </c>
      <c r="H1731" t="s">
        <v>131</v>
      </c>
      <c r="I1731" t="s">
        <v>149</v>
      </c>
      <c r="J1731" t="s">
        <v>94</v>
      </c>
      <c r="K1731">
        <v>8</v>
      </c>
      <c r="L1731">
        <v>7300</v>
      </c>
      <c r="M1731">
        <v>58400</v>
      </c>
      <c r="N1731" t="s">
        <v>108</v>
      </c>
      <c r="O1731" t="s">
        <v>115</v>
      </c>
    </row>
    <row r="1732" spans="1:15" x14ac:dyDescent="0.25">
      <c r="A1732">
        <v>3246</v>
      </c>
      <c r="B1732" s="10">
        <v>45975</v>
      </c>
      <c r="C1732">
        <v>14</v>
      </c>
      <c r="D1732" t="s">
        <v>90</v>
      </c>
      <c r="E1732" t="s">
        <v>121</v>
      </c>
      <c r="F1732" t="s">
        <v>144</v>
      </c>
      <c r="G1732" t="s">
        <v>91</v>
      </c>
      <c r="H1732" t="s">
        <v>131</v>
      </c>
      <c r="I1732" t="s">
        <v>149</v>
      </c>
      <c r="J1732" t="s">
        <v>94</v>
      </c>
      <c r="K1732">
        <v>7</v>
      </c>
      <c r="L1732">
        <v>7300</v>
      </c>
      <c r="M1732">
        <v>51100</v>
      </c>
      <c r="N1732" t="s">
        <v>95</v>
      </c>
      <c r="O1732" t="s">
        <v>104</v>
      </c>
    </row>
    <row r="1733" spans="1:15" x14ac:dyDescent="0.25">
      <c r="A1733">
        <v>3272</v>
      </c>
      <c r="B1733" s="10">
        <v>45770</v>
      </c>
      <c r="C1733">
        <v>23</v>
      </c>
      <c r="D1733" t="s">
        <v>105</v>
      </c>
      <c r="E1733" t="s">
        <v>138</v>
      </c>
      <c r="F1733" t="s">
        <v>144</v>
      </c>
      <c r="G1733" t="s">
        <v>91</v>
      </c>
      <c r="H1733" t="s">
        <v>131</v>
      </c>
      <c r="I1733" t="s">
        <v>139</v>
      </c>
      <c r="J1733" t="s">
        <v>103</v>
      </c>
      <c r="K1733">
        <v>40</v>
      </c>
      <c r="L1733">
        <v>7300</v>
      </c>
      <c r="M1733">
        <v>292000</v>
      </c>
      <c r="N1733" t="s">
        <v>108</v>
      </c>
      <c r="O1733" t="s">
        <v>96</v>
      </c>
    </row>
    <row r="1734" spans="1:15" x14ac:dyDescent="0.25">
      <c r="A1734">
        <v>3274</v>
      </c>
      <c r="B1734" s="10">
        <v>45765</v>
      </c>
      <c r="C1734">
        <v>18</v>
      </c>
      <c r="D1734" t="s">
        <v>105</v>
      </c>
      <c r="E1734" t="s">
        <v>31</v>
      </c>
      <c r="F1734" t="s">
        <v>141</v>
      </c>
      <c r="G1734" t="s">
        <v>100</v>
      </c>
      <c r="H1734" t="s">
        <v>131</v>
      </c>
      <c r="I1734" t="s">
        <v>149</v>
      </c>
      <c r="J1734" t="s">
        <v>94</v>
      </c>
      <c r="K1734">
        <v>7</v>
      </c>
      <c r="L1734">
        <v>7300</v>
      </c>
      <c r="M1734">
        <v>51100</v>
      </c>
      <c r="N1734" t="s">
        <v>108</v>
      </c>
      <c r="O1734" t="s">
        <v>104</v>
      </c>
    </row>
    <row r="1735" spans="1:15" x14ac:dyDescent="0.25">
      <c r="A1735">
        <v>3616</v>
      </c>
      <c r="B1735" s="10">
        <v>45976</v>
      </c>
      <c r="C1735">
        <v>15</v>
      </c>
      <c r="D1735" t="s">
        <v>90</v>
      </c>
      <c r="E1735" t="s">
        <v>128</v>
      </c>
      <c r="F1735" t="s">
        <v>22</v>
      </c>
      <c r="G1735" t="s">
        <v>91</v>
      </c>
      <c r="H1735" t="s">
        <v>131</v>
      </c>
      <c r="I1735" t="s">
        <v>149</v>
      </c>
      <c r="J1735" t="s">
        <v>94</v>
      </c>
      <c r="K1735">
        <v>10</v>
      </c>
      <c r="L1735">
        <v>7300</v>
      </c>
      <c r="M1735">
        <v>73000</v>
      </c>
      <c r="N1735" t="s">
        <v>108</v>
      </c>
      <c r="O1735" t="s">
        <v>104</v>
      </c>
    </row>
    <row r="1736" spans="1:15" x14ac:dyDescent="0.25">
      <c r="A1736">
        <v>4341</v>
      </c>
      <c r="B1736" s="10">
        <v>46020</v>
      </c>
      <c r="C1736">
        <v>29</v>
      </c>
      <c r="D1736" t="s">
        <v>125</v>
      </c>
      <c r="E1736" t="s">
        <v>121</v>
      </c>
      <c r="F1736" t="s">
        <v>122</v>
      </c>
      <c r="G1736" t="s">
        <v>114</v>
      </c>
      <c r="H1736" t="s">
        <v>131</v>
      </c>
      <c r="I1736" t="s">
        <v>149</v>
      </c>
      <c r="J1736" t="s">
        <v>94</v>
      </c>
      <c r="K1736">
        <v>2</v>
      </c>
      <c r="L1736">
        <v>7300</v>
      </c>
      <c r="M1736">
        <v>14600</v>
      </c>
      <c r="N1736" t="s">
        <v>108</v>
      </c>
      <c r="O1736" t="s">
        <v>96</v>
      </c>
    </row>
    <row r="1737" spans="1:15" x14ac:dyDescent="0.25">
      <c r="A1737">
        <v>4403</v>
      </c>
      <c r="B1737" s="10">
        <v>45681</v>
      </c>
      <c r="C1737">
        <v>24</v>
      </c>
      <c r="D1737" t="s">
        <v>130</v>
      </c>
      <c r="E1737" t="s">
        <v>112</v>
      </c>
      <c r="F1737" t="s">
        <v>49</v>
      </c>
      <c r="G1737" t="s">
        <v>118</v>
      </c>
      <c r="H1737" t="s">
        <v>131</v>
      </c>
      <c r="I1737" t="s">
        <v>139</v>
      </c>
      <c r="J1737" t="s">
        <v>103</v>
      </c>
      <c r="K1737">
        <v>50</v>
      </c>
      <c r="L1737">
        <v>7300</v>
      </c>
      <c r="M1737">
        <v>365000</v>
      </c>
      <c r="N1737" t="s">
        <v>108</v>
      </c>
      <c r="O1737" t="s">
        <v>96</v>
      </c>
    </row>
    <row r="1738" spans="1:15" x14ac:dyDescent="0.25">
      <c r="A1738">
        <v>4688</v>
      </c>
      <c r="B1738" s="10">
        <v>45762</v>
      </c>
      <c r="C1738">
        <v>15</v>
      </c>
      <c r="D1738" t="s">
        <v>105</v>
      </c>
      <c r="E1738" t="s">
        <v>138</v>
      </c>
      <c r="F1738" t="s">
        <v>141</v>
      </c>
      <c r="G1738" t="s">
        <v>100</v>
      </c>
      <c r="H1738" t="s">
        <v>131</v>
      </c>
      <c r="I1738" t="s">
        <v>139</v>
      </c>
      <c r="J1738" t="s">
        <v>103</v>
      </c>
      <c r="K1738">
        <v>13</v>
      </c>
      <c r="L1738">
        <v>7300</v>
      </c>
      <c r="M1738">
        <v>94900</v>
      </c>
      <c r="N1738" t="s">
        <v>95</v>
      </c>
      <c r="O1738" t="s">
        <v>104</v>
      </c>
    </row>
    <row r="1739" spans="1:15" x14ac:dyDescent="0.25">
      <c r="A1739">
        <v>16</v>
      </c>
      <c r="B1739" s="10">
        <v>45739</v>
      </c>
      <c r="C1739">
        <v>23</v>
      </c>
      <c r="D1739" t="s">
        <v>140</v>
      </c>
      <c r="E1739" t="s">
        <v>112</v>
      </c>
      <c r="F1739" t="s">
        <v>122</v>
      </c>
      <c r="G1739" t="s">
        <v>114</v>
      </c>
      <c r="H1739" t="s">
        <v>131</v>
      </c>
      <c r="I1739" t="s">
        <v>139</v>
      </c>
      <c r="J1739" t="s">
        <v>103</v>
      </c>
      <c r="K1739">
        <v>29</v>
      </c>
      <c r="L1739">
        <v>7400</v>
      </c>
      <c r="M1739">
        <v>214600</v>
      </c>
      <c r="N1739" t="s">
        <v>108</v>
      </c>
      <c r="O1739" t="s">
        <v>96</v>
      </c>
    </row>
    <row r="1740" spans="1:15" x14ac:dyDescent="0.25">
      <c r="A1740">
        <v>308</v>
      </c>
      <c r="B1740" s="10">
        <v>45920</v>
      </c>
      <c r="C1740">
        <v>20</v>
      </c>
      <c r="D1740" t="s">
        <v>147</v>
      </c>
      <c r="E1740" t="s">
        <v>128</v>
      </c>
      <c r="F1740" t="s">
        <v>151</v>
      </c>
      <c r="G1740" t="s">
        <v>111</v>
      </c>
      <c r="H1740" t="s">
        <v>131</v>
      </c>
      <c r="I1740" t="s">
        <v>139</v>
      </c>
      <c r="J1740" t="s">
        <v>103</v>
      </c>
      <c r="K1740">
        <v>25</v>
      </c>
      <c r="L1740">
        <v>7400</v>
      </c>
      <c r="M1740">
        <v>185000</v>
      </c>
      <c r="N1740" t="s">
        <v>95</v>
      </c>
      <c r="O1740" t="s">
        <v>115</v>
      </c>
    </row>
    <row r="1741" spans="1:15" x14ac:dyDescent="0.25">
      <c r="A1741">
        <v>469</v>
      </c>
      <c r="B1741" s="10">
        <v>45687</v>
      </c>
      <c r="C1741">
        <v>30</v>
      </c>
      <c r="D1741" t="s">
        <v>130</v>
      </c>
      <c r="E1741" t="s">
        <v>106</v>
      </c>
      <c r="F1741" t="s">
        <v>22</v>
      </c>
      <c r="G1741" t="s">
        <v>91</v>
      </c>
      <c r="H1741" t="s">
        <v>131</v>
      </c>
      <c r="I1741" t="s">
        <v>139</v>
      </c>
      <c r="J1741" t="s">
        <v>103</v>
      </c>
      <c r="K1741">
        <v>50</v>
      </c>
      <c r="L1741">
        <v>7400</v>
      </c>
      <c r="M1741">
        <v>370000</v>
      </c>
      <c r="N1741" t="s">
        <v>95</v>
      </c>
      <c r="O1741" t="s">
        <v>115</v>
      </c>
    </row>
    <row r="1742" spans="1:15" x14ac:dyDescent="0.25">
      <c r="A1742">
        <v>766</v>
      </c>
      <c r="B1742" s="10">
        <v>45907</v>
      </c>
      <c r="C1742">
        <v>7</v>
      </c>
      <c r="D1742" t="s">
        <v>147</v>
      </c>
      <c r="E1742" t="s">
        <v>25</v>
      </c>
      <c r="F1742" t="s">
        <v>28</v>
      </c>
      <c r="G1742" t="s">
        <v>126</v>
      </c>
      <c r="H1742" t="s">
        <v>131</v>
      </c>
      <c r="I1742" t="s">
        <v>139</v>
      </c>
      <c r="J1742" t="s">
        <v>103</v>
      </c>
      <c r="K1742">
        <v>35</v>
      </c>
      <c r="L1742">
        <v>7400</v>
      </c>
      <c r="M1742">
        <v>259000</v>
      </c>
      <c r="N1742" t="s">
        <v>108</v>
      </c>
      <c r="O1742" t="s">
        <v>104</v>
      </c>
    </row>
    <row r="1743" spans="1:15" x14ac:dyDescent="0.25">
      <c r="A1743">
        <v>884</v>
      </c>
      <c r="B1743" s="10">
        <v>45875</v>
      </c>
      <c r="C1743">
        <v>6</v>
      </c>
      <c r="D1743" t="s">
        <v>109</v>
      </c>
      <c r="E1743" t="s">
        <v>161</v>
      </c>
      <c r="F1743" t="s">
        <v>144</v>
      </c>
      <c r="G1743" t="s">
        <v>91</v>
      </c>
      <c r="H1743" t="s">
        <v>131</v>
      </c>
      <c r="I1743" t="s">
        <v>149</v>
      </c>
      <c r="J1743" t="s">
        <v>94</v>
      </c>
      <c r="K1743">
        <v>3</v>
      </c>
      <c r="L1743">
        <v>7400</v>
      </c>
      <c r="M1743">
        <v>22200</v>
      </c>
      <c r="N1743" t="s">
        <v>95</v>
      </c>
      <c r="O1743" t="s">
        <v>115</v>
      </c>
    </row>
    <row r="1744" spans="1:15" x14ac:dyDescent="0.25">
      <c r="A1744">
        <v>1248</v>
      </c>
      <c r="B1744" s="10">
        <v>45714</v>
      </c>
      <c r="C1744">
        <v>26</v>
      </c>
      <c r="D1744" t="s">
        <v>97</v>
      </c>
      <c r="E1744" t="s">
        <v>98</v>
      </c>
      <c r="F1744" t="s">
        <v>107</v>
      </c>
      <c r="G1744" t="s">
        <v>100</v>
      </c>
      <c r="H1744" t="s">
        <v>131</v>
      </c>
      <c r="I1744" t="s">
        <v>139</v>
      </c>
      <c r="J1744" t="s">
        <v>103</v>
      </c>
      <c r="K1744">
        <v>45</v>
      </c>
      <c r="L1744">
        <v>7400</v>
      </c>
      <c r="M1744">
        <v>333000</v>
      </c>
      <c r="N1744" t="s">
        <v>95</v>
      </c>
      <c r="O1744" t="s">
        <v>115</v>
      </c>
    </row>
    <row r="1745" spans="1:15" x14ac:dyDescent="0.25">
      <c r="A1745">
        <v>1332</v>
      </c>
      <c r="B1745" s="10">
        <v>45697</v>
      </c>
      <c r="C1745">
        <v>9</v>
      </c>
      <c r="D1745" t="s">
        <v>97</v>
      </c>
      <c r="E1745" t="s">
        <v>25</v>
      </c>
      <c r="F1745" t="s">
        <v>148</v>
      </c>
      <c r="G1745" t="s">
        <v>118</v>
      </c>
      <c r="H1745" t="s">
        <v>131</v>
      </c>
      <c r="I1745" t="s">
        <v>149</v>
      </c>
      <c r="J1745" t="s">
        <v>94</v>
      </c>
      <c r="K1745">
        <v>8</v>
      </c>
      <c r="L1745">
        <v>7400</v>
      </c>
      <c r="M1745">
        <v>59200</v>
      </c>
      <c r="N1745" t="s">
        <v>95</v>
      </c>
      <c r="O1745" t="s">
        <v>96</v>
      </c>
    </row>
    <row r="1746" spans="1:15" x14ac:dyDescent="0.25">
      <c r="A1746">
        <v>1377</v>
      </c>
      <c r="B1746" s="10">
        <v>45990</v>
      </c>
      <c r="C1746">
        <v>29</v>
      </c>
      <c r="D1746" t="s">
        <v>90</v>
      </c>
      <c r="E1746" t="s">
        <v>25</v>
      </c>
      <c r="F1746" t="s">
        <v>148</v>
      </c>
      <c r="G1746" t="s">
        <v>118</v>
      </c>
      <c r="H1746" t="s">
        <v>131</v>
      </c>
      <c r="I1746" t="s">
        <v>139</v>
      </c>
      <c r="J1746" t="s">
        <v>103</v>
      </c>
      <c r="K1746">
        <v>44</v>
      </c>
      <c r="L1746">
        <v>7400</v>
      </c>
      <c r="M1746">
        <v>325600</v>
      </c>
      <c r="N1746" t="s">
        <v>95</v>
      </c>
      <c r="O1746" t="s">
        <v>96</v>
      </c>
    </row>
    <row r="1747" spans="1:15" x14ac:dyDescent="0.25">
      <c r="A1747">
        <v>2043</v>
      </c>
      <c r="B1747" s="10">
        <v>45950</v>
      </c>
      <c r="C1747">
        <v>20</v>
      </c>
      <c r="D1747" t="s">
        <v>136</v>
      </c>
      <c r="E1747" t="s">
        <v>150</v>
      </c>
      <c r="F1747" t="s">
        <v>113</v>
      </c>
      <c r="G1747" t="s">
        <v>114</v>
      </c>
      <c r="H1747" t="s">
        <v>131</v>
      </c>
      <c r="I1747" t="s">
        <v>139</v>
      </c>
      <c r="J1747" t="s">
        <v>103</v>
      </c>
      <c r="K1747">
        <v>32</v>
      </c>
      <c r="L1747">
        <v>7400</v>
      </c>
      <c r="M1747">
        <v>236800</v>
      </c>
      <c r="N1747" t="s">
        <v>108</v>
      </c>
      <c r="O1747" t="s">
        <v>115</v>
      </c>
    </row>
    <row r="1748" spans="1:15" x14ac:dyDescent="0.25">
      <c r="A1748">
        <v>2072</v>
      </c>
      <c r="B1748" s="10">
        <v>45973</v>
      </c>
      <c r="C1748">
        <v>12</v>
      </c>
      <c r="D1748" t="s">
        <v>90</v>
      </c>
      <c r="E1748" t="s">
        <v>142</v>
      </c>
      <c r="F1748" t="s">
        <v>44</v>
      </c>
      <c r="G1748" t="s">
        <v>111</v>
      </c>
      <c r="H1748" t="s">
        <v>131</v>
      </c>
      <c r="I1748" t="s">
        <v>149</v>
      </c>
      <c r="J1748" t="s">
        <v>94</v>
      </c>
      <c r="K1748">
        <v>1</v>
      </c>
      <c r="L1748">
        <v>7400</v>
      </c>
      <c r="M1748">
        <v>7400</v>
      </c>
      <c r="N1748" t="s">
        <v>108</v>
      </c>
      <c r="O1748" t="s">
        <v>104</v>
      </c>
    </row>
    <row r="1749" spans="1:15" x14ac:dyDescent="0.25">
      <c r="A1749">
        <v>2136</v>
      </c>
      <c r="B1749" s="10">
        <v>45994</v>
      </c>
      <c r="C1749">
        <v>3</v>
      </c>
      <c r="D1749" t="s">
        <v>125</v>
      </c>
      <c r="E1749" t="s">
        <v>116</v>
      </c>
      <c r="F1749" t="s">
        <v>28</v>
      </c>
      <c r="G1749" t="s">
        <v>126</v>
      </c>
      <c r="H1749" t="s">
        <v>131</v>
      </c>
      <c r="I1749" t="s">
        <v>139</v>
      </c>
      <c r="J1749" t="s">
        <v>103</v>
      </c>
      <c r="K1749">
        <v>31</v>
      </c>
      <c r="L1749">
        <v>7400</v>
      </c>
      <c r="M1749">
        <v>229400</v>
      </c>
      <c r="N1749" t="s">
        <v>95</v>
      </c>
      <c r="O1749" t="s">
        <v>96</v>
      </c>
    </row>
    <row r="1750" spans="1:15" x14ac:dyDescent="0.25">
      <c r="A1750">
        <v>2962</v>
      </c>
      <c r="B1750" s="10">
        <v>45741</v>
      </c>
      <c r="C1750">
        <v>25</v>
      </c>
      <c r="D1750" t="s">
        <v>140</v>
      </c>
      <c r="E1750" t="s">
        <v>121</v>
      </c>
      <c r="F1750" t="s">
        <v>28</v>
      </c>
      <c r="G1750" t="s">
        <v>126</v>
      </c>
      <c r="H1750" t="s">
        <v>131</v>
      </c>
      <c r="I1750" t="s">
        <v>139</v>
      </c>
      <c r="J1750" t="s">
        <v>103</v>
      </c>
      <c r="K1750">
        <v>43</v>
      </c>
      <c r="L1750">
        <v>7400</v>
      </c>
      <c r="M1750">
        <v>318200</v>
      </c>
      <c r="N1750" t="s">
        <v>108</v>
      </c>
      <c r="O1750" t="s">
        <v>96</v>
      </c>
    </row>
    <row r="1751" spans="1:15" x14ac:dyDescent="0.25">
      <c r="A1751">
        <v>3101</v>
      </c>
      <c r="B1751" s="10">
        <v>45947</v>
      </c>
      <c r="C1751">
        <v>17</v>
      </c>
      <c r="D1751" t="s">
        <v>136</v>
      </c>
      <c r="E1751" t="s">
        <v>110</v>
      </c>
      <c r="F1751" t="s">
        <v>134</v>
      </c>
      <c r="G1751" t="s">
        <v>100</v>
      </c>
      <c r="H1751" t="s">
        <v>131</v>
      </c>
      <c r="I1751" t="s">
        <v>139</v>
      </c>
      <c r="J1751" t="s">
        <v>103</v>
      </c>
      <c r="K1751">
        <v>43</v>
      </c>
      <c r="L1751">
        <v>7400</v>
      </c>
      <c r="M1751">
        <v>318200</v>
      </c>
      <c r="N1751" t="s">
        <v>95</v>
      </c>
      <c r="O1751" t="s">
        <v>104</v>
      </c>
    </row>
    <row r="1752" spans="1:15" x14ac:dyDescent="0.25">
      <c r="A1752">
        <v>3689</v>
      </c>
      <c r="B1752" s="10">
        <v>45788</v>
      </c>
      <c r="C1752">
        <v>11</v>
      </c>
      <c r="D1752" t="s">
        <v>120</v>
      </c>
      <c r="E1752" t="s">
        <v>121</v>
      </c>
      <c r="F1752" t="s">
        <v>151</v>
      </c>
      <c r="G1752" t="s">
        <v>111</v>
      </c>
      <c r="H1752" t="s">
        <v>131</v>
      </c>
      <c r="I1752" t="s">
        <v>149</v>
      </c>
      <c r="J1752" t="s">
        <v>94</v>
      </c>
      <c r="K1752">
        <v>3</v>
      </c>
      <c r="L1752">
        <v>7400</v>
      </c>
      <c r="M1752">
        <v>22200</v>
      </c>
      <c r="N1752" t="s">
        <v>95</v>
      </c>
      <c r="O1752" t="s">
        <v>115</v>
      </c>
    </row>
    <row r="1753" spans="1:15" x14ac:dyDescent="0.25">
      <c r="A1753">
        <v>4102</v>
      </c>
      <c r="B1753" s="10">
        <v>45825</v>
      </c>
      <c r="C1753">
        <v>17</v>
      </c>
      <c r="D1753" t="s">
        <v>153</v>
      </c>
      <c r="E1753" t="s">
        <v>142</v>
      </c>
      <c r="F1753" t="s">
        <v>28</v>
      </c>
      <c r="G1753" t="s">
        <v>126</v>
      </c>
      <c r="H1753" t="s">
        <v>131</v>
      </c>
      <c r="I1753" t="s">
        <v>139</v>
      </c>
      <c r="J1753" t="s">
        <v>103</v>
      </c>
      <c r="K1753">
        <v>17</v>
      </c>
      <c r="L1753">
        <v>7400</v>
      </c>
      <c r="M1753">
        <v>125800</v>
      </c>
      <c r="N1753" t="s">
        <v>108</v>
      </c>
      <c r="O1753" t="s">
        <v>115</v>
      </c>
    </row>
    <row r="1754" spans="1:15" x14ac:dyDescent="0.25">
      <c r="A1754">
        <v>4380</v>
      </c>
      <c r="B1754" s="10">
        <v>45661</v>
      </c>
      <c r="C1754">
        <v>4</v>
      </c>
      <c r="D1754" t="s">
        <v>130</v>
      </c>
      <c r="E1754" t="s">
        <v>25</v>
      </c>
      <c r="F1754" t="s">
        <v>28</v>
      </c>
      <c r="G1754" t="s">
        <v>126</v>
      </c>
      <c r="H1754" t="s">
        <v>131</v>
      </c>
      <c r="I1754" t="s">
        <v>139</v>
      </c>
      <c r="J1754" t="s">
        <v>103</v>
      </c>
      <c r="K1754">
        <v>18</v>
      </c>
      <c r="L1754">
        <v>7400</v>
      </c>
      <c r="M1754">
        <v>133200</v>
      </c>
      <c r="N1754" t="s">
        <v>108</v>
      </c>
      <c r="O1754" t="s">
        <v>115</v>
      </c>
    </row>
    <row r="1755" spans="1:15" x14ac:dyDescent="0.25">
      <c r="A1755">
        <v>74</v>
      </c>
      <c r="B1755" s="10">
        <v>45987</v>
      </c>
      <c r="C1755">
        <v>26</v>
      </c>
      <c r="D1755" t="s">
        <v>90</v>
      </c>
      <c r="E1755" t="s">
        <v>142</v>
      </c>
      <c r="F1755" t="s">
        <v>36</v>
      </c>
      <c r="G1755" t="s">
        <v>100</v>
      </c>
      <c r="H1755" t="s">
        <v>131</v>
      </c>
      <c r="I1755" t="s">
        <v>149</v>
      </c>
      <c r="J1755" t="s">
        <v>94</v>
      </c>
      <c r="K1755">
        <v>5</v>
      </c>
      <c r="L1755">
        <v>7500</v>
      </c>
      <c r="M1755">
        <v>37500</v>
      </c>
      <c r="N1755" t="s">
        <v>108</v>
      </c>
      <c r="O1755" t="s">
        <v>115</v>
      </c>
    </row>
    <row r="1756" spans="1:15" x14ac:dyDescent="0.25">
      <c r="A1756">
        <v>821</v>
      </c>
      <c r="B1756" s="10">
        <v>45961</v>
      </c>
      <c r="C1756">
        <v>31</v>
      </c>
      <c r="D1756" t="s">
        <v>136</v>
      </c>
      <c r="E1756" t="s">
        <v>106</v>
      </c>
      <c r="F1756" t="s">
        <v>151</v>
      </c>
      <c r="G1756" t="s">
        <v>111</v>
      </c>
      <c r="H1756" t="s">
        <v>131</v>
      </c>
      <c r="I1756" t="s">
        <v>139</v>
      </c>
      <c r="J1756" t="s">
        <v>103</v>
      </c>
      <c r="K1756">
        <v>36</v>
      </c>
      <c r="L1756">
        <v>7500</v>
      </c>
      <c r="M1756">
        <v>270000</v>
      </c>
      <c r="N1756" t="s">
        <v>108</v>
      </c>
      <c r="O1756" t="s">
        <v>104</v>
      </c>
    </row>
    <row r="1757" spans="1:15" x14ac:dyDescent="0.25">
      <c r="A1757">
        <v>824</v>
      </c>
      <c r="B1757" s="10">
        <v>45676</v>
      </c>
      <c r="C1757">
        <v>19</v>
      </c>
      <c r="D1757" t="s">
        <v>130</v>
      </c>
      <c r="E1757" t="s">
        <v>161</v>
      </c>
      <c r="F1757" t="s">
        <v>36</v>
      </c>
      <c r="G1757" t="s">
        <v>100</v>
      </c>
      <c r="H1757" t="s">
        <v>131</v>
      </c>
      <c r="I1757" t="s">
        <v>139</v>
      </c>
      <c r="J1757" t="s">
        <v>103</v>
      </c>
      <c r="K1757">
        <v>44</v>
      </c>
      <c r="L1757">
        <v>7500</v>
      </c>
      <c r="M1757">
        <v>330000</v>
      </c>
      <c r="N1757" t="s">
        <v>95</v>
      </c>
      <c r="O1757" t="s">
        <v>104</v>
      </c>
    </row>
    <row r="1758" spans="1:15" x14ac:dyDescent="0.25">
      <c r="A1758">
        <v>1480</v>
      </c>
      <c r="B1758" s="10">
        <v>45995</v>
      </c>
      <c r="C1758">
        <v>4</v>
      </c>
      <c r="D1758" t="s">
        <v>125</v>
      </c>
      <c r="E1758" t="s">
        <v>116</v>
      </c>
      <c r="F1758" t="s">
        <v>144</v>
      </c>
      <c r="G1758" t="s">
        <v>91</v>
      </c>
      <c r="H1758" t="s">
        <v>131</v>
      </c>
      <c r="I1758" t="s">
        <v>139</v>
      </c>
      <c r="J1758" t="s">
        <v>103</v>
      </c>
      <c r="K1758">
        <v>29</v>
      </c>
      <c r="L1758">
        <v>7500</v>
      </c>
      <c r="M1758">
        <v>217500</v>
      </c>
      <c r="N1758" t="s">
        <v>108</v>
      </c>
      <c r="O1758" t="s">
        <v>96</v>
      </c>
    </row>
    <row r="1759" spans="1:15" x14ac:dyDescent="0.25">
      <c r="A1759">
        <v>1588</v>
      </c>
      <c r="B1759" s="10">
        <v>45931</v>
      </c>
      <c r="C1759">
        <v>1</v>
      </c>
      <c r="D1759" t="s">
        <v>136</v>
      </c>
      <c r="E1759" t="s">
        <v>137</v>
      </c>
      <c r="F1759" t="s">
        <v>49</v>
      </c>
      <c r="G1759" t="s">
        <v>118</v>
      </c>
      <c r="H1759" t="s">
        <v>131</v>
      </c>
      <c r="I1759" t="s">
        <v>139</v>
      </c>
      <c r="J1759" t="s">
        <v>103</v>
      </c>
      <c r="K1759">
        <v>30</v>
      </c>
      <c r="L1759">
        <v>7500</v>
      </c>
      <c r="M1759">
        <v>225000</v>
      </c>
      <c r="N1759" t="s">
        <v>108</v>
      </c>
      <c r="O1759" t="s">
        <v>96</v>
      </c>
    </row>
    <row r="1760" spans="1:15" x14ac:dyDescent="0.25">
      <c r="A1760">
        <v>2038</v>
      </c>
      <c r="B1760" s="10">
        <v>45854</v>
      </c>
      <c r="C1760">
        <v>16</v>
      </c>
      <c r="D1760" t="s">
        <v>145</v>
      </c>
      <c r="E1760" t="s">
        <v>121</v>
      </c>
      <c r="F1760" t="s">
        <v>148</v>
      </c>
      <c r="G1760" t="s">
        <v>118</v>
      </c>
      <c r="H1760" t="s">
        <v>131</v>
      </c>
      <c r="I1760" t="s">
        <v>139</v>
      </c>
      <c r="J1760" t="s">
        <v>103</v>
      </c>
      <c r="K1760">
        <v>18</v>
      </c>
      <c r="L1760">
        <v>7500</v>
      </c>
      <c r="M1760">
        <v>135000</v>
      </c>
      <c r="N1760" t="s">
        <v>108</v>
      </c>
      <c r="O1760" t="s">
        <v>115</v>
      </c>
    </row>
    <row r="1761" spans="1:15" x14ac:dyDescent="0.25">
      <c r="A1761">
        <v>2124</v>
      </c>
      <c r="B1761" s="10">
        <v>45832</v>
      </c>
      <c r="C1761">
        <v>24</v>
      </c>
      <c r="D1761" t="s">
        <v>153</v>
      </c>
      <c r="E1761" t="s">
        <v>121</v>
      </c>
      <c r="F1761" t="s">
        <v>134</v>
      </c>
      <c r="G1761" t="s">
        <v>100</v>
      </c>
      <c r="H1761" t="s">
        <v>131</v>
      </c>
      <c r="I1761" t="s">
        <v>139</v>
      </c>
      <c r="J1761" t="s">
        <v>103</v>
      </c>
      <c r="K1761">
        <v>18</v>
      </c>
      <c r="L1761">
        <v>7500</v>
      </c>
      <c r="M1761">
        <v>135000</v>
      </c>
      <c r="N1761" t="s">
        <v>95</v>
      </c>
      <c r="O1761" t="s">
        <v>104</v>
      </c>
    </row>
    <row r="1762" spans="1:15" x14ac:dyDescent="0.25">
      <c r="A1762">
        <v>2494</v>
      </c>
      <c r="B1762" s="10">
        <v>45666</v>
      </c>
      <c r="C1762">
        <v>9</v>
      </c>
      <c r="D1762" t="s">
        <v>130</v>
      </c>
      <c r="E1762" t="s">
        <v>133</v>
      </c>
      <c r="F1762" t="s">
        <v>141</v>
      </c>
      <c r="G1762" t="s">
        <v>100</v>
      </c>
      <c r="H1762" t="s">
        <v>131</v>
      </c>
      <c r="I1762" t="s">
        <v>149</v>
      </c>
      <c r="J1762" t="s">
        <v>94</v>
      </c>
      <c r="K1762">
        <v>6</v>
      </c>
      <c r="L1762">
        <v>7500</v>
      </c>
      <c r="M1762">
        <v>45000</v>
      </c>
      <c r="N1762" t="s">
        <v>108</v>
      </c>
      <c r="O1762" t="s">
        <v>115</v>
      </c>
    </row>
    <row r="1763" spans="1:15" x14ac:dyDescent="0.25">
      <c r="A1763">
        <v>3491</v>
      </c>
      <c r="B1763" s="10">
        <v>45807</v>
      </c>
      <c r="C1763">
        <v>30</v>
      </c>
      <c r="D1763" t="s">
        <v>120</v>
      </c>
      <c r="E1763" t="s">
        <v>128</v>
      </c>
      <c r="F1763" t="s">
        <v>151</v>
      </c>
      <c r="G1763" t="s">
        <v>111</v>
      </c>
      <c r="H1763" t="s">
        <v>131</v>
      </c>
      <c r="I1763" t="s">
        <v>139</v>
      </c>
      <c r="J1763" t="s">
        <v>103</v>
      </c>
      <c r="K1763">
        <v>27</v>
      </c>
      <c r="L1763">
        <v>7500</v>
      </c>
      <c r="M1763">
        <v>202500</v>
      </c>
      <c r="N1763" t="s">
        <v>108</v>
      </c>
      <c r="O1763" t="s">
        <v>96</v>
      </c>
    </row>
    <row r="1764" spans="1:15" x14ac:dyDescent="0.25">
      <c r="A1764">
        <v>3906</v>
      </c>
      <c r="B1764" s="10">
        <v>45730</v>
      </c>
      <c r="C1764">
        <v>14</v>
      </c>
      <c r="D1764" t="s">
        <v>140</v>
      </c>
      <c r="E1764" t="s">
        <v>110</v>
      </c>
      <c r="F1764" t="s">
        <v>134</v>
      </c>
      <c r="G1764" t="s">
        <v>100</v>
      </c>
      <c r="H1764" t="s">
        <v>131</v>
      </c>
      <c r="I1764" t="s">
        <v>139</v>
      </c>
      <c r="J1764" t="s">
        <v>103</v>
      </c>
      <c r="K1764">
        <v>22</v>
      </c>
      <c r="L1764">
        <v>7500</v>
      </c>
      <c r="M1764">
        <v>165000</v>
      </c>
      <c r="N1764" t="s">
        <v>95</v>
      </c>
      <c r="O1764" t="s">
        <v>104</v>
      </c>
    </row>
    <row r="1765" spans="1:15" x14ac:dyDescent="0.25">
      <c r="A1765">
        <v>4185</v>
      </c>
      <c r="B1765" s="10">
        <v>46013</v>
      </c>
      <c r="C1765">
        <v>22</v>
      </c>
      <c r="D1765" t="s">
        <v>125</v>
      </c>
      <c r="E1765" t="s">
        <v>106</v>
      </c>
      <c r="F1765" t="s">
        <v>22</v>
      </c>
      <c r="G1765" t="s">
        <v>91</v>
      </c>
      <c r="H1765" t="s">
        <v>131</v>
      </c>
      <c r="I1765" t="s">
        <v>139</v>
      </c>
      <c r="J1765" t="s">
        <v>103</v>
      </c>
      <c r="K1765">
        <v>34</v>
      </c>
      <c r="L1765">
        <v>7500</v>
      </c>
      <c r="M1765">
        <v>255000</v>
      </c>
      <c r="N1765" t="s">
        <v>108</v>
      </c>
      <c r="O1765" t="s">
        <v>104</v>
      </c>
    </row>
    <row r="1766" spans="1:15" x14ac:dyDescent="0.25">
      <c r="A1766">
        <v>4621</v>
      </c>
      <c r="B1766" s="10">
        <v>45659</v>
      </c>
      <c r="C1766">
        <v>2</v>
      </c>
      <c r="D1766" t="s">
        <v>130</v>
      </c>
      <c r="E1766" t="s">
        <v>106</v>
      </c>
      <c r="F1766" t="s">
        <v>22</v>
      </c>
      <c r="G1766" t="s">
        <v>91</v>
      </c>
      <c r="H1766" t="s">
        <v>131</v>
      </c>
      <c r="I1766" t="s">
        <v>139</v>
      </c>
      <c r="J1766" t="s">
        <v>103</v>
      </c>
      <c r="K1766">
        <v>22</v>
      </c>
      <c r="L1766">
        <v>7500</v>
      </c>
      <c r="M1766">
        <v>165000</v>
      </c>
      <c r="N1766" t="s">
        <v>95</v>
      </c>
      <c r="O1766" t="s">
        <v>104</v>
      </c>
    </row>
    <row r="1767" spans="1:15" x14ac:dyDescent="0.25">
      <c r="A1767">
        <v>4754</v>
      </c>
      <c r="B1767" s="10">
        <v>45996</v>
      </c>
      <c r="C1767">
        <v>5</v>
      </c>
      <c r="D1767" t="s">
        <v>125</v>
      </c>
      <c r="E1767" t="s">
        <v>133</v>
      </c>
      <c r="F1767" t="s">
        <v>99</v>
      </c>
      <c r="G1767" t="s">
        <v>100</v>
      </c>
      <c r="H1767" t="s">
        <v>131</v>
      </c>
      <c r="I1767" t="s">
        <v>139</v>
      </c>
      <c r="J1767" t="s">
        <v>103</v>
      </c>
      <c r="K1767">
        <v>24</v>
      </c>
      <c r="L1767">
        <v>7500</v>
      </c>
      <c r="M1767">
        <v>180000</v>
      </c>
      <c r="N1767" t="s">
        <v>95</v>
      </c>
      <c r="O1767" t="s">
        <v>104</v>
      </c>
    </row>
    <row r="1768" spans="1:15" x14ac:dyDescent="0.25">
      <c r="A1768">
        <v>105</v>
      </c>
      <c r="B1768" s="10">
        <v>45949</v>
      </c>
      <c r="C1768">
        <v>19</v>
      </c>
      <c r="D1768" t="s">
        <v>136</v>
      </c>
      <c r="E1768" t="s">
        <v>128</v>
      </c>
      <c r="F1768" t="s">
        <v>44</v>
      </c>
      <c r="G1768" t="s">
        <v>111</v>
      </c>
      <c r="H1768" t="s">
        <v>131</v>
      </c>
      <c r="I1768" t="s">
        <v>139</v>
      </c>
      <c r="J1768" t="s">
        <v>103</v>
      </c>
      <c r="K1768">
        <v>49</v>
      </c>
      <c r="L1768">
        <v>7600</v>
      </c>
      <c r="M1768">
        <v>372400</v>
      </c>
      <c r="N1768" t="s">
        <v>108</v>
      </c>
      <c r="O1768" t="s">
        <v>96</v>
      </c>
    </row>
    <row r="1769" spans="1:15" x14ac:dyDescent="0.25">
      <c r="A1769">
        <v>112</v>
      </c>
      <c r="B1769" s="10">
        <v>45823</v>
      </c>
      <c r="C1769">
        <v>15</v>
      </c>
      <c r="D1769" t="s">
        <v>153</v>
      </c>
      <c r="E1769" t="s">
        <v>31</v>
      </c>
      <c r="F1769" t="s">
        <v>117</v>
      </c>
      <c r="G1769" t="s">
        <v>118</v>
      </c>
      <c r="H1769" t="s">
        <v>131</v>
      </c>
      <c r="I1769" t="s">
        <v>139</v>
      </c>
      <c r="J1769" t="s">
        <v>103</v>
      </c>
      <c r="K1769">
        <v>31</v>
      </c>
      <c r="L1769">
        <v>7600</v>
      </c>
      <c r="M1769">
        <v>235600</v>
      </c>
      <c r="N1769" t="s">
        <v>95</v>
      </c>
      <c r="O1769" t="s">
        <v>104</v>
      </c>
    </row>
    <row r="1770" spans="1:15" x14ac:dyDescent="0.25">
      <c r="A1770">
        <v>283</v>
      </c>
      <c r="B1770" s="10">
        <v>46017</v>
      </c>
      <c r="C1770">
        <v>26</v>
      </c>
      <c r="D1770" t="s">
        <v>125</v>
      </c>
      <c r="E1770" t="s">
        <v>137</v>
      </c>
      <c r="F1770" t="s">
        <v>144</v>
      </c>
      <c r="G1770" t="s">
        <v>91</v>
      </c>
      <c r="H1770" t="s">
        <v>131</v>
      </c>
      <c r="I1770" t="s">
        <v>149</v>
      </c>
      <c r="J1770" t="s">
        <v>94</v>
      </c>
      <c r="K1770">
        <v>10</v>
      </c>
      <c r="L1770">
        <v>7600</v>
      </c>
      <c r="M1770">
        <v>76000</v>
      </c>
      <c r="N1770" t="s">
        <v>95</v>
      </c>
      <c r="O1770" t="s">
        <v>96</v>
      </c>
    </row>
    <row r="1771" spans="1:15" x14ac:dyDescent="0.25">
      <c r="A1771">
        <v>512</v>
      </c>
      <c r="B1771" s="10">
        <v>45724</v>
      </c>
      <c r="C1771">
        <v>8</v>
      </c>
      <c r="D1771" t="s">
        <v>140</v>
      </c>
      <c r="E1771" t="s">
        <v>133</v>
      </c>
      <c r="F1771" t="s">
        <v>144</v>
      </c>
      <c r="G1771" t="s">
        <v>91</v>
      </c>
      <c r="H1771" t="s">
        <v>131</v>
      </c>
      <c r="I1771" t="s">
        <v>139</v>
      </c>
      <c r="J1771" t="s">
        <v>103</v>
      </c>
      <c r="K1771">
        <v>33</v>
      </c>
      <c r="L1771">
        <v>7600</v>
      </c>
      <c r="M1771">
        <v>250800</v>
      </c>
      <c r="N1771" t="s">
        <v>95</v>
      </c>
      <c r="O1771" t="s">
        <v>104</v>
      </c>
    </row>
    <row r="1772" spans="1:15" x14ac:dyDescent="0.25">
      <c r="A1772">
        <v>720</v>
      </c>
      <c r="B1772" s="10">
        <v>45783</v>
      </c>
      <c r="C1772">
        <v>6</v>
      </c>
      <c r="D1772" t="s">
        <v>120</v>
      </c>
      <c r="E1772" t="s">
        <v>137</v>
      </c>
      <c r="F1772" t="s">
        <v>107</v>
      </c>
      <c r="G1772" t="s">
        <v>100</v>
      </c>
      <c r="H1772" t="s">
        <v>131</v>
      </c>
      <c r="I1772" t="s">
        <v>139</v>
      </c>
      <c r="J1772" t="s">
        <v>103</v>
      </c>
      <c r="K1772">
        <v>38</v>
      </c>
      <c r="L1772">
        <v>7600</v>
      </c>
      <c r="M1772">
        <v>288800</v>
      </c>
      <c r="N1772" t="s">
        <v>95</v>
      </c>
      <c r="O1772" t="s">
        <v>104</v>
      </c>
    </row>
    <row r="1773" spans="1:15" x14ac:dyDescent="0.25">
      <c r="A1773">
        <v>945</v>
      </c>
      <c r="B1773" s="10">
        <v>46009</v>
      </c>
      <c r="C1773">
        <v>18</v>
      </c>
      <c r="D1773" t="s">
        <v>125</v>
      </c>
      <c r="E1773" t="s">
        <v>110</v>
      </c>
      <c r="F1773" t="s">
        <v>49</v>
      </c>
      <c r="G1773" t="s">
        <v>118</v>
      </c>
      <c r="H1773" t="s">
        <v>131</v>
      </c>
      <c r="I1773" t="s">
        <v>149</v>
      </c>
      <c r="J1773" t="s">
        <v>94</v>
      </c>
      <c r="K1773">
        <v>3</v>
      </c>
      <c r="L1773">
        <v>7600</v>
      </c>
      <c r="M1773">
        <v>22800</v>
      </c>
      <c r="N1773" t="s">
        <v>95</v>
      </c>
      <c r="O1773" t="s">
        <v>104</v>
      </c>
    </row>
    <row r="1774" spans="1:15" x14ac:dyDescent="0.25">
      <c r="A1774">
        <v>2152</v>
      </c>
      <c r="B1774" s="10">
        <v>45787</v>
      </c>
      <c r="C1774">
        <v>10</v>
      </c>
      <c r="D1774" t="s">
        <v>120</v>
      </c>
      <c r="E1774" t="s">
        <v>25</v>
      </c>
      <c r="F1774" t="s">
        <v>134</v>
      </c>
      <c r="G1774" t="s">
        <v>100</v>
      </c>
      <c r="H1774" t="s">
        <v>131</v>
      </c>
      <c r="I1774" t="s">
        <v>149</v>
      </c>
      <c r="J1774" t="s">
        <v>94</v>
      </c>
      <c r="K1774">
        <v>1</v>
      </c>
      <c r="L1774">
        <v>7600</v>
      </c>
      <c r="M1774">
        <v>7600</v>
      </c>
      <c r="N1774" t="s">
        <v>108</v>
      </c>
      <c r="O1774" t="s">
        <v>96</v>
      </c>
    </row>
    <row r="1775" spans="1:15" x14ac:dyDescent="0.25">
      <c r="A1775">
        <v>2249</v>
      </c>
      <c r="B1775" s="10">
        <v>45718</v>
      </c>
      <c r="C1775">
        <v>2</v>
      </c>
      <c r="D1775" t="s">
        <v>140</v>
      </c>
      <c r="E1775" t="s">
        <v>133</v>
      </c>
      <c r="F1775" t="s">
        <v>117</v>
      </c>
      <c r="G1775" t="s">
        <v>118</v>
      </c>
      <c r="H1775" t="s">
        <v>131</v>
      </c>
      <c r="I1775" t="s">
        <v>139</v>
      </c>
      <c r="J1775" t="s">
        <v>103</v>
      </c>
      <c r="K1775">
        <v>16</v>
      </c>
      <c r="L1775">
        <v>7600</v>
      </c>
      <c r="M1775">
        <v>121600</v>
      </c>
      <c r="N1775" t="s">
        <v>95</v>
      </c>
      <c r="O1775" t="s">
        <v>115</v>
      </c>
    </row>
    <row r="1776" spans="1:15" x14ac:dyDescent="0.25">
      <c r="A1776">
        <v>2424</v>
      </c>
      <c r="B1776" s="10">
        <v>45793</v>
      </c>
      <c r="C1776">
        <v>16</v>
      </c>
      <c r="D1776" t="s">
        <v>120</v>
      </c>
      <c r="E1776" t="s">
        <v>128</v>
      </c>
      <c r="F1776" t="s">
        <v>148</v>
      </c>
      <c r="G1776" t="s">
        <v>118</v>
      </c>
      <c r="H1776" t="s">
        <v>131</v>
      </c>
      <c r="I1776" t="s">
        <v>139</v>
      </c>
      <c r="J1776" t="s">
        <v>103</v>
      </c>
      <c r="K1776">
        <v>33</v>
      </c>
      <c r="L1776">
        <v>7600</v>
      </c>
      <c r="M1776">
        <v>250800</v>
      </c>
      <c r="N1776" t="s">
        <v>108</v>
      </c>
      <c r="O1776" t="s">
        <v>104</v>
      </c>
    </row>
    <row r="1777" spans="1:15" x14ac:dyDescent="0.25">
      <c r="A1777">
        <v>2825</v>
      </c>
      <c r="B1777" s="10">
        <v>45969</v>
      </c>
      <c r="C1777">
        <v>8</v>
      </c>
      <c r="D1777" t="s">
        <v>90</v>
      </c>
      <c r="E1777" t="s">
        <v>128</v>
      </c>
      <c r="F1777" t="s">
        <v>141</v>
      </c>
      <c r="G1777" t="s">
        <v>100</v>
      </c>
      <c r="H1777" t="s">
        <v>131</v>
      </c>
      <c r="I1777" t="s">
        <v>139</v>
      </c>
      <c r="J1777" t="s">
        <v>103</v>
      </c>
      <c r="K1777">
        <v>5</v>
      </c>
      <c r="L1777">
        <v>7600</v>
      </c>
      <c r="M1777">
        <v>38000</v>
      </c>
      <c r="N1777" t="s">
        <v>108</v>
      </c>
      <c r="O1777" t="s">
        <v>96</v>
      </c>
    </row>
    <row r="1778" spans="1:15" x14ac:dyDescent="0.25">
      <c r="A1778">
        <v>3085</v>
      </c>
      <c r="B1778" s="10">
        <v>45844</v>
      </c>
      <c r="C1778">
        <v>6</v>
      </c>
      <c r="D1778" t="s">
        <v>145</v>
      </c>
      <c r="E1778" t="s">
        <v>142</v>
      </c>
      <c r="F1778" t="s">
        <v>117</v>
      </c>
      <c r="G1778" t="s">
        <v>118</v>
      </c>
      <c r="H1778" t="s">
        <v>131</v>
      </c>
      <c r="I1778" t="s">
        <v>139</v>
      </c>
      <c r="J1778" t="s">
        <v>103</v>
      </c>
      <c r="K1778">
        <v>7</v>
      </c>
      <c r="L1778">
        <v>7600</v>
      </c>
      <c r="M1778">
        <v>53200</v>
      </c>
      <c r="N1778" t="s">
        <v>95</v>
      </c>
      <c r="O1778" t="s">
        <v>96</v>
      </c>
    </row>
    <row r="1779" spans="1:15" x14ac:dyDescent="0.25">
      <c r="A1779">
        <v>3471</v>
      </c>
      <c r="B1779" s="10">
        <v>45978</v>
      </c>
      <c r="C1779">
        <v>17</v>
      </c>
      <c r="D1779" t="s">
        <v>90</v>
      </c>
      <c r="E1779" t="s">
        <v>137</v>
      </c>
      <c r="F1779" t="s">
        <v>122</v>
      </c>
      <c r="G1779" t="s">
        <v>114</v>
      </c>
      <c r="H1779" t="s">
        <v>131</v>
      </c>
      <c r="I1779" t="s">
        <v>139</v>
      </c>
      <c r="J1779" t="s">
        <v>103</v>
      </c>
      <c r="K1779">
        <v>45</v>
      </c>
      <c r="L1779">
        <v>7600</v>
      </c>
      <c r="M1779">
        <v>342000</v>
      </c>
      <c r="N1779" t="s">
        <v>108</v>
      </c>
      <c r="O1779" t="s">
        <v>96</v>
      </c>
    </row>
    <row r="1780" spans="1:15" x14ac:dyDescent="0.25">
      <c r="A1780">
        <v>3633</v>
      </c>
      <c r="B1780" s="10">
        <v>45921</v>
      </c>
      <c r="C1780">
        <v>21</v>
      </c>
      <c r="D1780" t="s">
        <v>147</v>
      </c>
      <c r="E1780" t="s">
        <v>98</v>
      </c>
      <c r="F1780" t="s">
        <v>151</v>
      </c>
      <c r="G1780" t="s">
        <v>111</v>
      </c>
      <c r="H1780" t="s">
        <v>131</v>
      </c>
      <c r="I1780" t="s">
        <v>139</v>
      </c>
      <c r="J1780" t="s">
        <v>103</v>
      </c>
      <c r="K1780">
        <v>46</v>
      </c>
      <c r="L1780">
        <v>7600</v>
      </c>
      <c r="M1780">
        <v>349600</v>
      </c>
      <c r="N1780" t="s">
        <v>108</v>
      </c>
      <c r="O1780" t="s">
        <v>115</v>
      </c>
    </row>
    <row r="1781" spans="1:15" x14ac:dyDescent="0.25">
      <c r="A1781">
        <v>3678</v>
      </c>
      <c r="B1781" s="10">
        <v>45749</v>
      </c>
      <c r="C1781">
        <v>2</v>
      </c>
      <c r="D1781" t="s">
        <v>105</v>
      </c>
      <c r="E1781" t="s">
        <v>161</v>
      </c>
      <c r="F1781" t="s">
        <v>141</v>
      </c>
      <c r="G1781" t="s">
        <v>100</v>
      </c>
      <c r="H1781" t="s">
        <v>131</v>
      </c>
      <c r="I1781" t="s">
        <v>139</v>
      </c>
      <c r="J1781" t="s">
        <v>103</v>
      </c>
      <c r="K1781">
        <v>43</v>
      </c>
      <c r="L1781">
        <v>7600</v>
      </c>
      <c r="M1781">
        <v>326800</v>
      </c>
      <c r="N1781" t="s">
        <v>108</v>
      </c>
      <c r="O1781" t="s">
        <v>96</v>
      </c>
    </row>
    <row r="1782" spans="1:15" x14ac:dyDescent="0.25">
      <c r="A1782">
        <v>3705</v>
      </c>
      <c r="B1782" s="10">
        <v>46000</v>
      </c>
      <c r="C1782">
        <v>9</v>
      </c>
      <c r="D1782" t="s">
        <v>125</v>
      </c>
      <c r="E1782" t="s">
        <v>161</v>
      </c>
      <c r="F1782" t="s">
        <v>107</v>
      </c>
      <c r="G1782" t="s">
        <v>100</v>
      </c>
      <c r="H1782" t="s">
        <v>131</v>
      </c>
      <c r="I1782" t="s">
        <v>139</v>
      </c>
      <c r="J1782" t="s">
        <v>103</v>
      </c>
      <c r="K1782">
        <v>31</v>
      </c>
      <c r="L1782">
        <v>7600</v>
      </c>
      <c r="M1782">
        <v>235600</v>
      </c>
      <c r="N1782" t="s">
        <v>108</v>
      </c>
      <c r="O1782" t="s">
        <v>104</v>
      </c>
    </row>
    <row r="1783" spans="1:15" x14ac:dyDescent="0.25">
      <c r="A1783">
        <v>3902</v>
      </c>
      <c r="B1783" s="10">
        <v>45959</v>
      </c>
      <c r="C1783">
        <v>29</v>
      </c>
      <c r="D1783" t="s">
        <v>136</v>
      </c>
      <c r="E1783" t="s">
        <v>110</v>
      </c>
      <c r="F1783" t="s">
        <v>28</v>
      </c>
      <c r="G1783" t="s">
        <v>126</v>
      </c>
      <c r="H1783" t="s">
        <v>131</v>
      </c>
      <c r="I1783" t="s">
        <v>139</v>
      </c>
      <c r="J1783" t="s">
        <v>103</v>
      </c>
      <c r="K1783">
        <v>50</v>
      </c>
      <c r="L1783">
        <v>7600</v>
      </c>
      <c r="M1783">
        <v>380000</v>
      </c>
      <c r="N1783" t="s">
        <v>95</v>
      </c>
      <c r="O1783" t="s">
        <v>96</v>
      </c>
    </row>
    <row r="1784" spans="1:15" x14ac:dyDescent="0.25">
      <c r="A1784">
        <v>4038</v>
      </c>
      <c r="B1784" s="10">
        <v>45961</v>
      </c>
      <c r="C1784">
        <v>31</v>
      </c>
      <c r="D1784" t="s">
        <v>136</v>
      </c>
      <c r="E1784" t="s">
        <v>112</v>
      </c>
      <c r="F1784" t="s">
        <v>36</v>
      </c>
      <c r="G1784" t="s">
        <v>100</v>
      </c>
      <c r="H1784" t="s">
        <v>131</v>
      </c>
      <c r="I1784" t="s">
        <v>139</v>
      </c>
      <c r="J1784" t="s">
        <v>103</v>
      </c>
      <c r="K1784">
        <v>23</v>
      </c>
      <c r="L1784">
        <v>7600</v>
      </c>
      <c r="M1784">
        <v>174800</v>
      </c>
      <c r="N1784" t="s">
        <v>108</v>
      </c>
      <c r="O1784" t="s">
        <v>96</v>
      </c>
    </row>
    <row r="1785" spans="1:15" x14ac:dyDescent="0.25">
      <c r="A1785">
        <v>109</v>
      </c>
      <c r="B1785" s="10">
        <v>45881</v>
      </c>
      <c r="C1785">
        <v>12</v>
      </c>
      <c r="D1785" t="s">
        <v>109</v>
      </c>
      <c r="E1785" t="s">
        <v>98</v>
      </c>
      <c r="F1785" t="s">
        <v>141</v>
      </c>
      <c r="G1785" t="s">
        <v>100</v>
      </c>
      <c r="H1785" t="s">
        <v>131</v>
      </c>
      <c r="I1785" t="s">
        <v>139</v>
      </c>
      <c r="J1785" t="s">
        <v>103</v>
      </c>
      <c r="K1785">
        <v>27</v>
      </c>
      <c r="L1785">
        <v>7700</v>
      </c>
      <c r="M1785">
        <v>207900</v>
      </c>
      <c r="N1785" t="s">
        <v>108</v>
      </c>
      <c r="O1785" t="s">
        <v>115</v>
      </c>
    </row>
    <row r="1786" spans="1:15" x14ac:dyDescent="0.25">
      <c r="A1786">
        <v>800</v>
      </c>
      <c r="B1786" s="10">
        <v>45792</v>
      </c>
      <c r="C1786">
        <v>15</v>
      </c>
      <c r="D1786" t="s">
        <v>120</v>
      </c>
      <c r="E1786" t="s">
        <v>138</v>
      </c>
      <c r="F1786" t="s">
        <v>107</v>
      </c>
      <c r="G1786" t="s">
        <v>100</v>
      </c>
      <c r="H1786" t="s">
        <v>131</v>
      </c>
      <c r="I1786" t="s">
        <v>139</v>
      </c>
      <c r="J1786" t="s">
        <v>103</v>
      </c>
      <c r="K1786">
        <v>33</v>
      </c>
      <c r="L1786">
        <v>7700</v>
      </c>
      <c r="M1786">
        <v>254100</v>
      </c>
      <c r="N1786" t="s">
        <v>108</v>
      </c>
      <c r="O1786" t="s">
        <v>96</v>
      </c>
    </row>
    <row r="1787" spans="1:15" x14ac:dyDescent="0.25">
      <c r="A1787">
        <v>1427</v>
      </c>
      <c r="B1787" s="10">
        <v>45975</v>
      </c>
      <c r="C1787">
        <v>14</v>
      </c>
      <c r="D1787" t="s">
        <v>90</v>
      </c>
      <c r="E1787" t="s">
        <v>137</v>
      </c>
      <c r="F1787" t="s">
        <v>49</v>
      </c>
      <c r="G1787" t="s">
        <v>118</v>
      </c>
      <c r="H1787" t="s">
        <v>131</v>
      </c>
      <c r="I1787" t="s">
        <v>149</v>
      </c>
      <c r="J1787" t="s">
        <v>94</v>
      </c>
      <c r="K1787">
        <v>5</v>
      </c>
      <c r="L1787">
        <v>7700</v>
      </c>
      <c r="M1787">
        <v>38500</v>
      </c>
      <c r="N1787" t="s">
        <v>108</v>
      </c>
      <c r="O1787" t="s">
        <v>104</v>
      </c>
    </row>
    <row r="1788" spans="1:15" x14ac:dyDescent="0.25">
      <c r="A1788">
        <v>1830</v>
      </c>
      <c r="B1788" s="10">
        <v>45673</v>
      </c>
      <c r="C1788">
        <v>16</v>
      </c>
      <c r="D1788" t="s">
        <v>130</v>
      </c>
      <c r="E1788" t="s">
        <v>98</v>
      </c>
      <c r="F1788" t="s">
        <v>144</v>
      </c>
      <c r="G1788" t="s">
        <v>91</v>
      </c>
      <c r="H1788" t="s">
        <v>131</v>
      </c>
      <c r="I1788" t="s">
        <v>139</v>
      </c>
      <c r="J1788" t="s">
        <v>103</v>
      </c>
      <c r="K1788">
        <v>10</v>
      </c>
      <c r="L1788">
        <v>7700</v>
      </c>
      <c r="M1788">
        <v>77000</v>
      </c>
      <c r="N1788" t="s">
        <v>95</v>
      </c>
      <c r="O1788" t="s">
        <v>115</v>
      </c>
    </row>
    <row r="1789" spans="1:15" x14ac:dyDescent="0.25">
      <c r="A1789">
        <v>2141</v>
      </c>
      <c r="B1789" s="10">
        <v>46007</v>
      </c>
      <c r="C1789">
        <v>16</v>
      </c>
      <c r="D1789" t="s">
        <v>125</v>
      </c>
      <c r="E1789" t="s">
        <v>137</v>
      </c>
      <c r="F1789" t="s">
        <v>49</v>
      </c>
      <c r="G1789" t="s">
        <v>118</v>
      </c>
      <c r="H1789" t="s">
        <v>131</v>
      </c>
      <c r="I1789" t="s">
        <v>139</v>
      </c>
      <c r="J1789" t="s">
        <v>103</v>
      </c>
      <c r="K1789">
        <v>41</v>
      </c>
      <c r="L1789">
        <v>7700</v>
      </c>
      <c r="M1789">
        <v>315700</v>
      </c>
      <c r="N1789" t="s">
        <v>95</v>
      </c>
      <c r="O1789" t="s">
        <v>115</v>
      </c>
    </row>
    <row r="1790" spans="1:15" x14ac:dyDescent="0.25">
      <c r="A1790">
        <v>2154</v>
      </c>
      <c r="B1790" s="10">
        <v>45876</v>
      </c>
      <c r="C1790">
        <v>7</v>
      </c>
      <c r="D1790" t="s">
        <v>109</v>
      </c>
      <c r="E1790" t="s">
        <v>112</v>
      </c>
      <c r="F1790" t="s">
        <v>22</v>
      </c>
      <c r="G1790" t="s">
        <v>91</v>
      </c>
      <c r="H1790" t="s">
        <v>131</v>
      </c>
      <c r="I1790" t="s">
        <v>139</v>
      </c>
      <c r="J1790" t="s">
        <v>103</v>
      </c>
      <c r="K1790">
        <v>27</v>
      </c>
      <c r="L1790">
        <v>7700</v>
      </c>
      <c r="M1790">
        <v>207900</v>
      </c>
      <c r="N1790" t="s">
        <v>108</v>
      </c>
      <c r="O1790" t="s">
        <v>96</v>
      </c>
    </row>
    <row r="1791" spans="1:15" x14ac:dyDescent="0.25">
      <c r="A1791">
        <v>3408</v>
      </c>
      <c r="B1791" s="10">
        <v>45982</v>
      </c>
      <c r="C1791">
        <v>21</v>
      </c>
      <c r="D1791" t="s">
        <v>90</v>
      </c>
      <c r="E1791" t="s">
        <v>150</v>
      </c>
      <c r="F1791" t="s">
        <v>44</v>
      </c>
      <c r="G1791" t="s">
        <v>111</v>
      </c>
      <c r="H1791" t="s">
        <v>131</v>
      </c>
      <c r="I1791" t="s">
        <v>139</v>
      </c>
      <c r="J1791" t="s">
        <v>103</v>
      </c>
      <c r="K1791">
        <v>42</v>
      </c>
      <c r="L1791">
        <v>7700</v>
      </c>
      <c r="M1791">
        <v>323400</v>
      </c>
      <c r="N1791" t="s">
        <v>108</v>
      </c>
      <c r="O1791" t="s">
        <v>96</v>
      </c>
    </row>
    <row r="1792" spans="1:15" x14ac:dyDescent="0.25">
      <c r="A1792">
        <v>3561</v>
      </c>
      <c r="B1792" s="10">
        <v>46015</v>
      </c>
      <c r="C1792">
        <v>24</v>
      </c>
      <c r="D1792" t="s">
        <v>125</v>
      </c>
      <c r="E1792" t="s">
        <v>116</v>
      </c>
      <c r="F1792" t="s">
        <v>117</v>
      </c>
      <c r="G1792" t="s">
        <v>118</v>
      </c>
      <c r="H1792" t="s">
        <v>131</v>
      </c>
      <c r="I1792" t="s">
        <v>139</v>
      </c>
      <c r="J1792" t="s">
        <v>103</v>
      </c>
      <c r="K1792">
        <v>50</v>
      </c>
      <c r="L1792">
        <v>7700</v>
      </c>
      <c r="M1792">
        <v>385000</v>
      </c>
      <c r="N1792" t="s">
        <v>95</v>
      </c>
      <c r="O1792" t="s">
        <v>104</v>
      </c>
    </row>
    <row r="1793" spans="1:15" x14ac:dyDescent="0.25">
      <c r="A1793">
        <v>4014</v>
      </c>
      <c r="B1793" s="10">
        <v>45867</v>
      </c>
      <c r="C1793">
        <v>29</v>
      </c>
      <c r="D1793" t="s">
        <v>145</v>
      </c>
      <c r="E1793" t="s">
        <v>106</v>
      </c>
      <c r="F1793" t="s">
        <v>22</v>
      </c>
      <c r="G1793" t="s">
        <v>91</v>
      </c>
      <c r="H1793" t="s">
        <v>131</v>
      </c>
      <c r="I1793" t="s">
        <v>139</v>
      </c>
      <c r="J1793" t="s">
        <v>103</v>
      </c>
      <c r="K1793">
        <v>13</v>
      </c>
      <c r="L1793">
        <v>7700</v>
      </c>
      <c r="M1793">
        <v>100100</v>
      </c>
      <c r="N1793" t="s">
        <v>95</v>
      </c>
      <c r="O1793" t="s">
        <v>96</v>
      </c>
    </row>
    <row r="1794" spans="1:15" x14ac:dyDescent="0.25">
      <c r="A1794">
        <v>4490</v>
      </c>
      <c r="B1794" s="10">
        <v>45713</v>
      </c>
      <c r="C1794">
        <v>25</v>
      </c>
      <c r="D1794" t="s">
        <v>97</v>
      </c>
      <c r="E1794" t="s">
        <v>110</v>
      </c>
      <c r="F1794" t="s">
        <v>117</v>
      </c>
      <c r="G1794" t="s">
        <v>118</v>
      </c>
      <c r="H1794" t="s">
        <v>131</v>
      </c>
      <c r="I1794" t="s">
        <v>139</v>
      </c>
      <c r="J1794" t="s">
        <v>103</v>
      </c>
      <c r="K1794">
        <v>27</v>
      </c>
      <c r="L1794">
        <v>7700</v>
      </c>
      <c r="M1794">
        <v>207900</v>
      </c>
      <c r="N1794" t="s">
        <v>95</v>
      </c>
      <c r="O1794" t="s">
        <v>115</v>
      </c>
    </row>
    <row r="1795" spans="1:15" x14ac:dyDescent="0.25">
      <c r="A1795">
        <v>18</v>
      </c>
      <c r="B1795" s="10">
        <v>45808</v>
      </c>
      <c r="C1795">
        <v>31</v>
      </c>
      <c r="D1795" t="s">
        <v>120</v>
      </c>
      <c r="E1795" t="s">
        <v>142</v>
      </c>
      <c r="F1795" t="s">
        <v>36</v>
      </c>
      <c r="G1795" t="s">
        <v>100</v>
      </c>
      <c r="H1795" t="s">
        <v>131</v>
      </c>
      <c r="I1795" t="s">
        <v>139</v>
      </c>
      <c r="J1795" t="s">
        <v>103</v>
      </c>
      <c r="K1795">
        <v>37</v>
      </c>
      <c r="L1795">
        <v>7800</v>
      </c>
      <c r="M1795">
        <v>288600</v>
      </c>
      <c r="N1795" t="s">
        <v>95</v>
      </c>
      <c r="O1795" t="s">
        <v>96</v>
      </c>
    </row>
    <row r="1796" spans="1:15" x14ac:dyDescent="0.25">
      <c r="A1796">
        <v>175</v>
      </c>
      <c r="B1796" s="10">
        <v>45679</v>
      </c>
      <c r="C1796">
        <v>22</v>
      </c>
      <c r="D1796" t="s">
        <v>130</v>
      </c>
      <c r="E1796" t="s">
        <v>142</v>
      </c>
      <c r="F1796" t="s">
        <v>22</v>
      </c>
      <c r="G1796" t="s">
        <v>91</v>
      </c>
      <c r="H1796" t="s">
        <v>131</v>
      </c>
      <c r="I1796" t="s">
        <v>139</v>
      </c>
      <c r="J1796" t="s">
        <v>103</v>
      </c>
      <c r="K1796">
        <v>41</v>
      </c>
      <c r="L1796">
        <v>7800</v>
      </c>
      <c r="M1796">
        <v>319800</v>
      </c>
      <c r="N1796" t="s">
        <v>108</v>
      </c>
      <c r="O1796" t="s">
        <v>96</v>
      </c>
    </row>
    <row r="1797" spans="1:15" x14ac:dyDescent="0.25">
      <c r="A1797">
        <v>788</v>
      </c>
      <c r="B1797" s="10">
        <v>45970</v>
      </c>
      <c r="C1797">
        <v>9</v>
      </c>
      <c r="D1797" t="s">
        <v>90</v>
      </c>
      <c r="E1797" t="s">
        <v>31</v>
      </c>
      <c r="F1797" t="s">
        <v>49</v>
      </c>
      <c r="G1797" t="s">
        <v>118</v>
      </c>
      <c r="H1797" t="s">
        <v>131</v>
      </c>
      <c r="I1797" t="s">
        <v>139</v>
      </c>
      <c r="J1797" t="s">
        <v>103</v>
      </c>
      <c r="K1797">
        <v>44</v>
      </c>
      <c r="L1797">
        <v>7800</v>
      </c>
      <c r="M1797">
        <v>343200</v>
      </c>
      <c r="N1797" t="s">
        <v>95</v>
      </c>
      <c r="O1797" t="s">
        <v>115</v>
      </c>
    </row>
    <row r="1798" spans="1:15" x14ac:dyDescent="0.25">
      <c r="A1798">
        <v>1258</v>
      </c>
      <c r="B1798" s="10">
        <v>45804</v>
      </c>
      <c r="C1798">
        <v>27</v>
      </c>
      <c r="D1798" t="s">
        <v>120</v>
      </c>
      <c r="E1798" t="s">
        <v>137</v>
      </c>
      <c r="F1798" t="s">
        <v>144</v>
      </c>
      <c r="G1798" t="s">
        <v>91</v>
      </c>
      <c r="H1798" t="s">
        <v>131</v>
      </c>
      <c r="I1798" t="s">
        <v>139</v>
      </c>
      <c r="J1798" t="s">
        <v>103</v>
      </c>
      <c r="K1798">
        <v>48</v>
      </c>
      <c r="L1798">
        <v>7800</v>
      </c>
      <c r="M1798">
        <v>374400</v>
      </c>
      <c r="N1798" t="s">
        <v>95</v>
      </c>
      <c r="O1798" t="s">
        <v>115</v>
      </c>
    </row>
    <row r="1799" spans="1:15" x14ac:dyDescent="0.25">
      <c r="A1799">
        <v>1717</v>
      </c>
      <c r="B1799" s="10">
        <v>45982</v>
      </c>
      <c r="C1799">
        <v>21</v>
      </c>
      <c r="D1799" t="s">
        <v>90</v>
      </c>
      <c r="E1799" t="s">
        <v>31</v>
      </c>
      <c r="F1799" t="s">
        <v>49</v>
      </c>
      <c r="G1799" t="s">
        <v>118</v>
      </c>
      <c r="H1799" t="s">
        <v>131</v>
      </c>
      <c r="I1799" t="s">
        <v>139</v>
      </c>
      <c r="J1799" t="s">
        <v>103</v>
      </c>
      <c r="K1799">
        <v>10</v>
      </c>
      <c r="L1799">
        <v>7800</v>
      </c>
      <c r="M1799">
        <v>78000</v>
      </c>
      <c r="N1799" t="s">
        <v>108</v>
      </c>
      <c r="O1799" t="s">
        <v>104</v>
      </c>
    </row>
    <row r="1800" spans="1:15" x14ac:dyDescent="0.25">
      <c r="A1800">
        <v>1995</v>
      </c>
      <c r="B1800" s="10">
        <v>45798</v>
      </c>
      <c r="C1800">
        <v>21</v>
      </c>
      <c r="D1800" t="s">
        <v>120</v>
      </c>
      <c r="E1800" t="s">
        <v>161</v>
      </c>
      <c r="F1800" t="s">
        <v>148</v>
      </c>
      <c r="G1800" t="s">
        <v>118</v>
      </c>
      <c r="H1800" t="s">
        <v>131</v>
      </c>
      <c r="I1800" t="s">
        <v>139</v>
      </c>
      <c r="J1800" t="s">
        <v>103</v>
      </c>
      <c r="K1800">
        <v>42</v>
      </c>
      <c r="L1800">
        <v>7800</v>
      </c>
      <c r="M1800">
        <v>327600</v>
      </c>
      <c r="N1800" t="s">
        <v>95</v>
      </c>
      <c r="O1800" t="s">
        <v>96</v>
      </c>
    </row>
    <row r="1801" spans="1:15" x14ac:dyDescent="0.25">
      <c r="A1801">
        <v>2065</v>
      </c>
      <c r="B1801" s="10">
        <v>45855</v>
      </c>
      <c r="C1801">
        <v>17</v>
      </c>
      <c r="D1801" t="s">
        <v>145</v>
      </c>
      <c r="E1801" t="s">
        <v>128</v>
      </c>
      <c r="F1801" t="s">
        <v>122</v>
      </c>
      <c r="G1801" t="s">
        <v>114</v>
      </c>
      <c r="H1801" t="s">
        <v>131</v>
      </c>
      <c r="I1801" t="s">
        <v>139</v>
      </c>
      <c r="J1801" t="s">
        <v>103</v>
      </c>
      <c r="K1801">
        <v>27</v>
      </c>
      <c r="L1801">
        <v>7800</v>
      </c>
      <c r="M1801">
        <v>210600</v>
      </c>
      <c r="N1801" t="s">
        <v>108</v>
      </c>
      <c r="O1801" t="s">
        <v>104</v>
      </c>
    </row>
    <row r="1802" spans="1:15" x14ac:dyDescent="0.25">
      <c r="A1802">
        <v>2091</v>
      </c>
      <c r="B1802" s="10">
        <v>45745</v>
      </c>
      <c r="C1802">
        <v>29</v>
      </c>
      <c r="D1802" t="s">
        <v>140</v>
      </c>
      <c r="E1802" t="s">
        <v>128</v>
      </c>
      <c r="F1802" t="s">
        <v>134</v>
      </c>
      <c r="G1802" t="s">
        <v>100</v>
      </c>
      <c r="H1802" t="s">
        <v>131</v>
      </c>
      <c r="I1802" t="s">
        <v>139</v>
      </c>
      <c r="J1802" t="s">
        <v>103</v>
      </c>
      <c r="K1802">
        <v>42</v>
      </c>
      <c r="L1802">
        <v>7800</v>
      </c>
      <c r="M1802">
        <v>327600</v>
      </c>
      <c r="N1802" t="s">
        <v>108</v>
      </c>
      <c r="O1802" t="s">
        <v>96</v>
      </c>
    </row>
    <row r="1803" spans="1:15" x14ac:dyDescent="0.25">
      <c r="A1803">
        <v>2259</v>
      </c>
      <c r="B1803" s="10">
        <v>45858</v>
      </c>
      <c r="C1803">
        <v>20</v>
      </c>
      <c r="D1803" t="s">
        <v>145</v>
      </c>
      <c r="E1803" t="s">
        <v>128</v>
      </c>
      <c r="F1803" t="s">
        <v>144</v>
      </c>
      <c r="G1803" t="s">
        <v>91</v>
      </c>
      <c r="H1803" t="s">
        <v>131</v>
      </c>
      <c r="I1803" t="s">
        <v>139</v>
      </c>
      <c r="J1803" t="s">
        <v>94</v>
      </c>
      <c r="K1803">
        <v>2</v>
      </c>
      <c r="L1803">
        <v>7800</v>
      </c>
      <c r="M1803">
        <v>15600</v>
      </c>
      <c r="N1803" t="s">
        <v>108</v>
      </c>
      <c r="O1803" t="s">
        <v>96</v>
      </c>
    </row>
    <row r="1804" spans="1:15" x14ac:dyDescent="0.25">
      <c r="A1804">
        <v>2314</v>
      </c>
      <c r="B1804" s="10">
        <v>45703</v>
      </c>
      <c r="C1804">
        <v>15</v>
      </c>
      <c r="D1804" t="s">
        <v>97</v>
      </c>
      <c r="E1804" t="s">
        <v>150</v>
      </c>
      <c r="F1804" t="s">
        <v>44</v>
      </c>
      <c r="G1804" t="s">
        <v>111</v>
      </c>
      <c r="H1804" t="s">
        <v>131</v>
      </c>
      <c r="I1804" t="s">
        <v>139</v>
      </c>
      <c r="J1804" t="s">
        <v>103</v>
      </c>
      <c r="K1804">
        <v>25</v>
      </c>
      <c r="L1804">
        <v>7800</v>
      </c>
      <c r="M1804">
        <v>195000</v>
      </c>
      <c r="N1804" t="s">
        <v>95</v>
      </c>
      <c r="O1804" t="s">
        <v>104</v>
      </c>
    </row>
    <row r="1805" spans="1:15" x14ac:dyDescent="0.25">
      <c r="A1805">
        <v>2418</v>
      </c>
      <c r="B1805" s="10">
        <v>45858</v>
      </c>
      <c r="C1805">
        <v>20</v>
      </c>
      <c r="D1805" t="s">
        <v>145</v>
      </c>
      <c r="E1805" t="s">
        <v>110</v>
      </c>
      <c r="F1805" t="s">
        <v>122</v>
      </c>
      <c r="G1805" t="s">
        <v>114</v>
      </c>
      <c r="H1805" t="s">
        <v>131</v>
      </c>
      <c r="I1805" t="s">
        <v>139</v>
      </c>
      <c r="J1805" t="s">
        <v>103</v>
      </c>
      <c r="K1805">
        <v>7</v>
      </c>
      <c r="L1805">
        <v>7800</v>
      </c>
      <c r="M1805">
        <v>54600</v>
      </c>
      <c r="N1805" t="s">
        <v>108</v>
      </c>
      <c r="O1805" t="s">
        <v>104</v>
      </c>
    </row>
    <row r="1806" spans="1:15" x14ac:dyDescent="0.25">
      <c r="A1806">
        <v>2546</v>
      </c>
      <c r="B1806" s="10">
        <v>45882</v>
      </c>
      <c r="C1806">
        <v>13</v>
      </c>
      <c r="D1806" t="s">
        <v>109</v>
      </c>
      <c r="E1806" t="s">
        <v>116</v>
      </c>
      <c r="F1806" t="s">
        <v>22</v>
      </c>
      <c r="G1806" t="s">
        <v>91</v>
      </c>
      <c r="H1806" t="s">
        <v>131</v>
      </c>
      <c r="I1806" t="s">
        <v>139</v>
      </c>
      <c r="J1806" t="s">
        <v>103</v>
      </c>
      <c r="K1806">
        <v>50</v>
      </c>
      <c r="L1806">
        <v>7800</v>
      </c>
      <c r="M1806">
        <v>390000</v>
      </c>
      <c r="N1806" t="s">
        <v>95</v>
      </c>
      <c r="O1806" t="s">
        <v>104</v>
      </c>
    </row>
    <row r="1807" spans="1:15" x14ac:dyDescent="0.25">
      <c r="A1807">
        <v>2687</v>
      </c>
      <c r="B1807" s="10">
        <v>45830</v>
      </c>
      <c r="C1807">
        <v>22</v>
      </c>
      <c r="D1807" t="s">
        <v>153</v>
      </c>
      <c r="E1807" t="s">
        <v>98</v>
      </c>
      <c r="F1807" t="s">
        <v>122</v>
      </c>
      <c r="G1807" t="s">
        <v>114</v>
      </c>
      <c r="H1807" t="s">
        <v>131</v>
      </c>
      <c r="I1807" t="s">
        <v>139</v>
      </c>
      <c r="J1807" t="s">
        <v>103</v>
      </c>
      <c r="K1807">
        <v>10</v>
      </c>
      <c r="L1807">
        <v>7800</v>
      </c>
      <c r="M1807">
        <v>78000</v>
      </c>
      <c r="N1807" t="s">
        <v>95</v>
      </c>
      <c r="O1807" t="s">
        <v>104</v>
      </c>
    </row>
    <row r="1808" spans="1:15" x14ac:dyDescent="0.25">
      <c r="A1808">
        <v>2879</v>
      </c>
      <c r="B1808" s="10">
        <v>45762</v>
      </c>
      <c r="C1808">
        <v>15</v>
      </c>
      <c r="D1808" t="s">
        <v>105</v>
      </c>
      <c r="E1808" t="s">
        <v>137</v>
      </c>
      <c r="F1808" t="s">
        <v>141</v>
      </c>
      <c r="G1808" t="s">
        <v>100</v>
      </c>
      <c r="H1808" t="s">
        <v>131</v>
      </c>
      <c r="I1808" t="s">
        <v>139</v>
      </c>
      <c r="J1808" t="s">
        <v>103</v>
      </c>
      <c r="K1808">
        <v>9</v>
      </c>
      <c r="L1808">
        <v>7800</v>
      </c>
      <c r="M1808">
        <v>70200</v>
      </c>
      <c r="N1808" t="s">
        <v>108</v>
      </c>
      <c r="O1808" t="s">
        <v>115</v>
      </c>
    </row>
    <row r="1809" spans="1:15" x14ac:dyDescent="0.25">
      <c r="A1809">
        <v>3094</v>
      </c>
      <c r="B1809" s="10">
        <v>45863</v>
      </c>
      <c r="C1809">
        <v>25</v>
      </c>
      <c r="D1809" t="s">
        <v>145</v>
      </c>
      <c r="E1809" t="s">
        <v>98</v>
      </c>
      <c r="F1809" t="s">
        <v>99</v>
      </c>
      <c r="G1809" t="s">
        <v>100</v>
      </c>
      <c r="H1809" t="s">
        <v>131</v>
      </c>
      <c r="I1809" t="s">
        <v>139</v>
      </c>
      <c r="J1809" t="s">
        <v>103</v>
      </c>
      <c r="K1809">
        <v>30</v>
      </c>
      <c r="L1809">
        <v>7800</v>
      </c>
      <c r="M1809">
        <v>234000</v>
      </c>
      <c r="N1809" t="s">
        <v>95</v>
      </c>
      <c r="O1809" t="s">
        <v>104</v>
      </c>
    </row>
    <row r="1810" spans="1:15" x14ac:dyDescent="0.25">
      <c r="A1810">
        <v>3182</v>
      </c>
      <c r="B1810" s="10">
        <v>46017</v>
      </c>
      <c r="C1810">
        <v>26</v>
      </c>
      <c r="D1810" t="s">
        <v>125</v>
      </c>
      <c r="E1810" t="s">
        <v>112</v>
      </c>
      <c r="F1810" t="s">
        <v>148</v>
      </c>
      <c r="G1810" t="s">
        <v>118</v>
      </c>
      <c r="H1810" t="s">
        <v>131</v>
      </c>
      <c r="I1810" t="s">
        <v>139</v>
      </c>
      <c r="J1810" t="s">
        <v>103</v>
      </c>
      <c r="K1810">
        <v>19</v>
      </c>
      <c r="L1810">
        <v>7800</v>
      </c>
      <c r="M1810">
        <v>148200</v>
      </c>
      <c r="N1810" t="s">
        <v>95</v>
      </c>
      <c r="O1810" t="s">
        <v>104</v>
      </c>
    </row>
    <row r="1811" spans="1:15" x14ac:dyDescent="0.25">
      <c r="A1811">
        <v>3838</v>
      </c>
      <c r="B1811" s="10">
        <v>45862</v>
      </c>
      <c r="C1811">
        <v>24</v>
      </c>
      <c r="D1811" t="s">
        <v>145</v>
      </c>
      <c r="E1811" t="s">
        <v>142</v>
      </c>
      <c r="F1811" t="s">
        <v>99</v>
      </c>
      <c r="G1811" t="s">
        <v>100</v>
      </c>
      <c r="H1811" t="s">
        <v>131</v>
      </c>
      <c r="I1811" t="s">
        <v>139</v>
      </c>
      <c r="J1811" t="s">
        <v>103</v>
      </c>
      <c r="K1811">
        <v>25</v>
      </c>
      <c r="L1811">
        <v>7800</v>
      </c>
      <c r="M1811">
        <v>195000</v>
      </c>
      <c r="N1811" t="s">
        <v>108</v>
      </c>
      <c r="O1811" t="s">
        <v>115</v>
      </c>
    </row>
    <row r="1812" spans="1:15" x14ac:dyDescent="0.25">
      <c r="A1812">
        <v>3941</v>
      </c>
      <c r="B1812" s="10">
        <v>45801</v>
      </c>
      <c r="C1812">
        <v>24</v>
      </c>
      <c r="D1812" t="s">
        <v>120</v>
      </c>
      <c r="E1812" t="s">
        <v>142</v>
      </c>
      <c r="F1812" t="s">
        <v>22</v>
      </c>
      <c r="G1812" t="s">
        <v>91</v>
      </c>
      <c r="H1812" t="s">
        <v>131</v>
      </c>
      <c r="I1812" t="s">
        <v>139</v>
      </c>
      <c r="J1812" t="s">
        <v>103</v>
      </c>
      <c r="K1812">
        <v>41</v>
      </c>
      <c r="L1812">
        <v>7800</v>
      </c>
      <c r="M1812">
        <v>319800</v>
      </c>
      <c r="N1812" t="s">
        <v>108</v>
      </c>
      <c r="O1812" t="s">
        <v>96</v>
      </c>
    </row>
    <row r="1813" spans="1:15" x14ac:dyDescent="0.25">
      <c r="A1813">
        <v>214</v>
      </c>
      <c r="B1813" s="10">
        <v>45690</v>
      </c>
      <c r="C1813">
        <v>2</v>
      </c>
      <c r="D1813" t="s">
        <v>97</v>
      </c>
      <c r="E1813" t="s">
        <v>161</v>
      </c>
      <c r="F1813" t="s">
        <v>117</v>
      </c>
      <c r="G1813" t="s">
        <v>118</v>
      </c>
      <c r="H1813" t="s">
        <v>131</v>
      </c>
      <c r="I1813" t="s">
        <v>139</v>
      </c>
      <c r="J1813" t="s">
        <v>103</v>
      </c>
      <c r="K1813">
        <v>17</v>
      </c>
      <c r="L1813">
        <v>7900</v>
      </c>
      <c r="M1813">
        <v>134300</v>
      </c>
      <c r="N1813" t="s">
        <v>95</v>
      </c>
      <c r="O1813" t="s">
        <v>104</v>
      </c>
    </row>
    <row r="1814" spans="1:15" x14ac:dyDescent="0.25">
      <c r="A1814">
        <v>618</v>
      </c>
      <c r="B1814" s="10">
        <v>45927</v>
      </c>
      <c r="C1814">
        <v>27</v>
      </c>
      <c r="D1814" t="s">
        <v>147</v>
      </c>
      <c r="E1814" t="s">
        <v>112</v>
      </c>
      <c r="F1814" t="s">
        <v>134</v>
      </c>
      <c r="G1814" t="s">
        <v>100</v>
      </c>
      <c r="H1814" t="s">
        <v>131</v>
      </c>
      <c r="I1814" t="s">
        <v>139</v>
      </c>
      <c r="J1814" t="s">
        <v>103</v>
      </c>
      <c r="K1814">
        <v>30</v>
      </c>
      <c r="L1814">
        <v>7900</v>
      </c>
      <c r="M1814">
        <v>237000</v>
      </c>
      <c r="N1814" t="s">
        <v>95</v>
      </c>
      <c r="O1814" t="s">
        <v>115</v>
      </c>
    </row>
    <row r="1815" spans="1:15" x14ac:dyDescent="0.25">
      <c r="A1815">
        <v>1272</v>
      </c>
      <c r="B1815" s="10">
        <v>45729</v>
      </c>
      <c r="C1815">
        <v>13</v>
      </c>
      <c r="D1815" t="s">
        <v>140</v>
      </c>
      <c r="E1815" t="s">
        <v>150</v>
      </c>
      <c r="F1815" t="s">
        <v>99</v>
      </c>
      <c r="G1815" t="s">
        <v>100</v>
      </c>
      <c r="H1815" t="s">
        <v>131</v>
      </c>
      <c r="I1815" t="s">
        <v>139</v>
      </c>
      <c r="J1815" t="s">
        <v>103</v>
      </c>
      <c r="K1815">
        <v>50</v>
      </c>
      <c r="L1815">
        <v>7900</v>
      </c>
      <c r="M1815">
        <v>395000</v>
      </c>
      <c r="N1815" t="s">
        <v>95</v>
      </c>
      <c r="O1815" t="s">
        <v>104</v>
      </c>
    </row>
    <row r="1816" spans="1:15" x14ac:dyDescent="0.25">
      <c r="A1816">
        <v>1353</v>
      </c>
      <c r="B1816" s="10">
        <v>45729</v>
      </c>
      <c r="C1816">
        <v>13</v>
      </c>
      <c r="D1816" t="s">
        <v>140</v>
      </c>
      <c r="E1816" t="s">
        <v>31</v>
      </c>
      <c r="F1816" t="s">
        <v>148</v>
      </c>
      <c r="G1816" t="s">
        <v>118</v>
      </c>
      <c r="H1816" t="s">
        <v>131</v>
      </c>
      <c r="I1816" t="s">
        <v>139</v>
      </c>
      <c r="J1816" t="s">
        <v>103</v>
      </c>
      <c r="K1816">
        <v>23</v>
      </c>
      <c r="L1816">
        <v>7900</v>
      </c>
      <c r="M1816">
        <v>181700</v>
      </c>
      <c r="N1816" t="s">
        <v>108</v>
      </c>
      <c r="O1816" t="s">
        <v>115</v>
      </c>
    </row>
    <row r="1817" spans="1:15" x14ac:dyDescent="0.25">
      <c r="A1817">
        <v>1901</v>
      </c>
      <c r="B1817" s="10">
        <v>45802</v>
      </c>
      <c r="C1817">
        <v>25</v>
      </c>
      <c r="D1817" t="s">
        <v>120</v>
      </c>
      <c r="E1817" t="s">
        <v>116</v>
      </c>
      <c r="F1817" t="s">
        <v>28</v>
      </c>
      <c r="G1817" t="s">
        <v>126</v>
      </c>
      <c r="H1817" t="s">
        <v>131</v>
      </c>
      <c r="I1817" t="s">
        <v>139</v>
      </c>
      <c r="J1817" t="s">
        <v>103</v>
      </c>
      <c r="K1817">
        <v>37</v>
      </c>
      <c r="L1817">
        <v>7900</v>
      </c>
      <c r="M1817">
        <v>292300</v>
      </c>
      <c r="N1817" t="s">
        <v>95</v>
      </c>
      <c r="O1817" t="s">
        <v>104</v>
      </c>
    </row>
    <row r="1818" spans="1:15" x14ac:dyDescent="0.25">
      <c r="A1818">
        <v>1987</v>
      </c>
      <c r="B1818" s="10">
        <v>45874</v>
      </c>
      <c r="C1818">
        <v>5</v>
      </c>
      <c r="D1818" t="s">
        <v>109</v>
      </c>
      <c r="E1818" t="s">
        <v>150</v>
      </c>
      <c r="F1818" t="s">
        <v>122</v>
      </c>
      <c r="G1818" t="s">
        <v>114</v>
      </c>
      <c r="H1818" t="s">
        <v>131</v>
      </c>
      <c r="I1818" t="s">
        <v>139</v>
      </c>
      <c r="J1818" t="s">
        <v>103</v>
      </c>
      <c r="K1818">
        <v>26</v>
      </c>
      <c r="L1818">
        <v>7900</v>
      </c>
      <c r="M1818">
        <v>205400</v>
      </c>
      <c r="N1818" t="s">
        <v>108</v>
      </c>
      <c r="O1818" t="s">
        <v>115</v>
      </c>
    </row>
    <row r="1819" spans="1:15" x14ac:dyDescent="0.25">
      <c r="A1819">
        <v>2236</v>
      </c>
      <c r="B1819" s="10">
        <v>45918</v>
      </c>
      <c r="C1819">
        <v>18</v>
      </c>
      <c r="D1819" t="s">
        <v>147</v>
      </c>
      <c r="E1819" t="s">
        <v>137</v>
      </c>
      <c r="F1819" t="s">
        <v>36</v>
      </c>
      <c r="G1819" t="s">
        <v>100</v>
      </c>
      <c r="H1819" t="s">
        <v>131</v>
      </c>
      <c r="I1819" t="s">
        <v>139</v>
      </c>
      <c r="J1819" t="s">
        <v>103</v>
      </c>
      <c r="K1819">
        <v>45</v>
      </c>
      <c r="L1819">
        <v>7900</v>
      </c>
      <c r="M1819">
        <v>355500</v>
      </c>
      <c r="N1819" t="s">
        <v>108</v>
      </c>
      <c r="O1819" t="s">
        <v>115</v>
      </c>
    </row>
    <row r="1820" spans="1:15" x14ac:dyDescent="0.25">
      <c r="A1820">
        <v>2681</v>
      </c>
      <c r="B1820" s="10">
        <v>45746</v>
      </c>
      <c r="C1820">
        <v>30</v>
      </c>
      <c r="D1820" t="s">
        <v>140</v>
      </c>
      <c r="E1820" t="s">
        <v>31</v>
      </c>
      <c r="F1820" t="s">
        <v>141</v>
      </c>
      <c r="G1820" t="s">
        <v>100</v>
      </c>
      <c r="H1820" t="s">
        <v>131</v>
      </c>
      <c r="I1820" t="s">
        <v>139</v>
      </c>
      <c r="J1820" t="s">
        <v>103</v>
      </c>
      <c r="K1820">
        <v>25</v>
      </c>
      <c r="L1820">
        <v>7900</v>
      </c>
      <c r="M1820">
        <v>197500</v>
      </c>
      <c r="N1820" t="s">
        <v>108</v>
      </c>
      <c r="O1820" t="s">
        <v>96</v>
      </c>
    </row>
    <row r="1821" spans="1:15" x14ac:dyDescent="0.25">
      <c r="A1821">
        <v>2733</v>
      </c>
      <c r="B1821" s="10">
        <v>45750</v>
      </c>
      <c r="C1821">
        <v>3</v>
      </c>
      <c r="D1821" t="s">
        <v>105</v>
      </c>
      <c r="E1821" t="s">
        <v>25</v>
      </c>
      <c r="F1821" t="s">
        <v>134</v>
      </c>
      <c r="G1821" t="s">
        <v>100</v>
      </c>
      <c r="H1821" t="s">
        <v>131</v>
      </c>
      <c r="I1821" t="s">
        <v>139</v>
      </c>
      <c r="J1821" t="s">
        <v>103</v>
      </c>
      <c r="K1821">
        <v>47</v>
      </c>
      <c r="L1821">
        <v>7900</v>
      </c>
      <c r="M1821">
        <v>371300</v>
      </c>
      <c r="N1821" t="s">
        <v>108</v>
      </c>
      <c r="O1821" t="s">
        <v>96</v>
      </c>
    </row>
    <row r="1822" spans="1:15" x14ac:dyDescent="0.25">
      <c r="A1822">
        <v>3554</v>
      </c>
      <c r="B1822" s="10">
        <v>45993</v>
      </c>
      <c r="C1822">
        <v>2</v>
      </c>
      <c r="D1822" t="s">
        <v>125</v>
      </c>
      <c r="E1822" t="s">
        <v>128</v>
      </c>
      <c r="F1822" t="s">
        <v>49</v>
      </c>
      <c r="G1822" t="s">
        <v>118</v>
      </c>
      <c r="H1822" t="s">
        <v>131</v>
      </c>
      <c r="I1822" t="s">
        <v>149</v>
      </c>
      <c r="J1822" t="s">
        <v>94</v>
      </c>
      <c r="K1822">
        <v>2</v>
      </c>
      <c r="L1822">
        <v>7900</v>
      </c>
      <c r="M1822">
        <v>15800</v>
      </c>
      <c r="N1822" t="s">
        <v>95</v>
      </c>
      <c r="O1822" t="s">
        <v>104</v>
      </c>
    </row>
    <row r="1823" spans="1:15" x14ac:dyDescent="0.25">
      <c r="A1823">
        <v>3898</v>
      </c>
      <c r="B1823" s="10">
        <v>45905</v>
      </c>
      <c r="C1823">
        <v>5</v>
      </c>
      <c r="D1823" t="s">
        <v>147</v>
      </c>
      <c r="E1823" t="s">
        <v>142</v>
      </c>
      <c r="F1823" t="s">
        <v>122</v>
      </c>
      <c r="G1823" t="s">
        <v>114</v>
      </c>
      <c r="H1823" t="s">
        <v>131</v>
      </c>
      <c r="I1823" t="s">
        <v>139</v>
      </c>
      <c r="J1823" t="s">
        <v>103</v>
      </c>
      <c r="K1823">
        <v>16</v>
      </c>
      <c r="L1823">
        <v>7900</v>
      </c>
      <c r="M1823">
        <v>126400</v>
      </c>
      <c r="N1823" t="s">
        <v>95</v>
      </c>
      <c r="O1823" t="s">
        <v>115</v>
      </c>
    </row>
    <row r="1824" spans="1:15" x14ac:dyDescent="0.25">
      <c r="A1824">
        <v>4436</v>
      </c>
      <c r="B1824" s="10">
        <v>45810</v>
      </c>
      <c r="C1824">
        <v>2</v>
      </c>
      <c r="D1824" t="s">
        <v>153</v>
      </c>
      <c r="E1824" t="s">
        <v>133</v>
      </c>
      <c r="F1824" t="s">
        <v>134</v>
      </c>
      <c r="G1824" t="s">
        <v>100</v>
      </c>
      <c r="H1824" t="s">
        <v>131</v>
      </c>
      <c r="I1824" t="s">
        <v>139</v>
      </c>
      <c r="J1824" t="s">
        <v>103</v>
      </c>
      <c r="K1824">
        <v>41</v>
      </c>
      <c r="L1824">
        <v>7900</v>
      </c>
      <c r="M1824">
        <v>323900</v>
      </c>
      <c r="N1824" t="s">
        <v>108</v>
      </c>
      <c r="O1824" t="s">
        <v>104</v>
      </c>
    </row>
    <row r="1825" spans="1:15" x14ac:dyDescent="0.25">
      <c r="A1825">
        <v>4760</v>
      </c>
      <c r="B1825" s="10">
        <v>45932</v>
      </c>
      <c r="C1825">
        <v>2</v>
      </c>
      <c r="D1825" t="s">
        <v>136</v>
      </c>
      <c r="E1825" t="s">
        <v>142</v>
      </c>
      <c r="F1825" t="s">
        <v>144</v>
      </c>
      <c r="G1825" t="s">
        <v>91</v>
      </c>
      <c r="H1825" t="s">
        <v>131</v>
      </c>
      <c r="I1825" t="s">
        <v>139</v>
      </c>
      <c r="J1825" t="s">
        <v>103</v>
      </c>
      <c r="K1825">
        <v>25</v>
      </c>
      <c r="L1825">
        <v>7900</v>
      </c>
      <c r="M1825">
        <v>197500</v>
      </c>
      <c r="N1825" t="s">
        <v>95</v>
      </c>
      <c r="O1825" t="s">
        <v>115</v>
      </c>
    </row>
    <row r="1826" spans="1:15" x14ac:dyDescent="0.25">
      <c r="A1826">
        <v>934</v>
      </c>
      <c r="B1826" s="10">
        <v>45951</v>
      </c>
      <c r="C1826">
        <v>21</v>
      </c>
      <c r="D1826" t="s">
        <v>136</v>
      </c>
      <c r="E1826" t="s">
        <v>31</v>
      </c>
      <c r="F1826" t="s">
        <v>117</v>
      </c>
      <c r="G1826" t="s">
        <v>118</v>
      </c>
      <c r="H1826" t="s">
        <v>131</v>
      </c>
      <c r="I1826" t="s">
        <v>139</v>
      </c>
      <c r="J1826" t="s">
        <v>94</v>
      </c>
      <c r="K1826">
        <v>6</v>
      </c>
      <c r="L1826">
        <v>8000</v>
      </c>
      <c r="M1826">
        <v>48000</v>
      </c>
      <c r="N1826" t="s">
        <v>108</v>
      </c>
      <c r="O1826" t="s">
        <v>96</v>
      </c>
    </row>
    <row r="1827" spans="1:15" x14ac:dyDescent="0.25">
      <c r="A1827">
        <v>1348</v>
      </c>
      <c r="B1827" s="10">
        <v>45806</v>
      </c>
      <c r="C1827">
        <v>29</v>
      </c>
      <c r="D1827" t="s">
        <v>120</v>
      </c>
      <c r="E1827" t="s">
        <v>150</v>
      </c>
      <c r="F1827" t="s">
        <v>148</v>
      </c>
      <c r="G1827" t="s">
        <v>118</v>
      </c>
      <c r="H1827" t="s">
        <v>131</v>
      </c>
      <c r="I1827" t="s">
        <v>139</v>
      </c>
      <c r="J1827" t="s">
        <v>103</v>
      </c>
      <c r="K1827">
        <v>20</v>
      </c>
      <c r="L1827">
        <v>8000</v>
      </c>
      <c r="M1827">
        <v>160000</v>
      </c>
      <c r="N1827" t="s">
        <v>95</v>
      </c>
      <c r="O1827" t="s">
        <v>96</v>
      </c>
    </row>
    <row r="1828" spans="1:15" x14ac:dyDescent="0.25">
      <c r="A1828">
        <v>1540</v>
      </c>
      <c r="B1828" s="10">
        <v>45717</v>
      </c>
      <c r="C1828">
        <v>1</v>
      </c>
      <c r="D1828" t="s">
        <v>140</v>
      </c>
      <c r="E1828" t="s">
        <v>161</v>
      </c>
      <c r="F1828" t="s">
        <v>49</v>
      </c>
      <c r="G1828" t="s">
        <v>118</v>
      </c>
      <c r="H1828" t="s">
        <v>131</v>
      </c>
      <c r="I1828" t="s">
        <v>155</v>
      </c>
      <c r="J1828" t="s">
        <v>103</v>
      </c>
      <c r="K1828">
        <v>10</v>
      </c>
      <c r="L1828">
        <v>8000</v>
      </c>
      <c r="M1828">
        <v>80000</v>
      </c>
      <c r="N1828" t="s">
        <v>108</v>
      </c>
      <c r="O1828" t="s">
        <v>96</v>
      </c>
    </row>
    <row r="1829" spans="1:15" x14ac:dyDescent="0.25">
      <c r="A1829">
        <v>1814</v>
      </c>
      <c r="B1829" s="10">
        <v>45839</v>
      </c>
      <c r="C1829">
        <v>1</v>
      </c>
      <c r="D1829" t="s">
        <v>145</v>
      </c>
      <c r="E1829" t="s">
        <v>142</v>
      </c>
      <c r="F1829" t="s">
        <v>36</v>
      </c>
      <c r="G1829" t="s">
        <v>100</v>
      </c>
      <c r="H1829" t="s">
        <v>131</v>
      </c>
      <c r="I1829" t="s">
        <v>139</v>
      </c>
      <c r="J1829" t="s">
        <v>103</v>
      </c>
      <c r="K1829">
        <v>44</v>
      </c>
      <c r="L1829">
        <v>8000</v>
      </c>
      <c r="M1829">
        <v>352000</v>
      </c>
      <c r="N1829" t="s">
        <v>95</v>
      </c>
      <c r="O1829" t="s">
        <v>115</v>
      </c>
    </row>
    <row r="1830" spans="1:15" x14ac:dyDescent="0.25">
      <c r="A1830">
        <v>2881</v>
      </c>
      <c r="B1830" s="10">
        <v>45866</v>
      </c>
      <c r="C1830">
        <v>28</v>
      </c>
      <c r="D1830" t="s">
        <v>145</v>
      </c>
      <c r="E1830" t="s">
        <v>112</v>
      </c>
      <c r="F1830" t="s">
        <v>28</v>
      </c>
      <c r="G1830" t="s">
        <v>126</v>
      </c>
      <c r="H1830" t="s">
        <v>131</v>
      </c>
      <c r="I1830" t="s">
        <v>139</v>
      </c>
      <c r="J1830" t="s">
        <v>94</v>
      </c>
      <c r="K1830">
        <v>9</v>
      </c>
      <c r="L1830">
        <v>8000</v>
      </c>
      <c r="M1830">
        <v>72000</v>
      </c>
      <c r="N1830" t="s">
        <v>95</v>
      </c>
      <c r="O1830" t="s">
        <v>115</v>
      </c>
    </row>
    <row r="1831" spans="1:15" x14ac:dyDescent="0.25">
      <c r="A1831">
        <v>3671</v>
      </c>
      <c r="B1831" s="10">
        <v>46014</v>
      </c>
      <c r="C1831">
        <v>23</v>
      </c>
      <c r="D1831" t="s">
        <v>125</v>
      </c>
      <c r="E1831" t="s">
        <v>110</v>
      </c>
      <c r="F1831" t="s">
        <v>117</v>
      </c>
      <c r="G1831" t="s">
        <v>118</v>
      </c>
      <c r="H1831" t="s">
        <v>131</v>
      </c>
      <c r="I1831" t="s">
        <v>139</v>
      </c>
      <c r="J1831" t="s">
        <v>103</v>
      </c>
      <c r="K1831">
        <v>26</v>
      </c>
      <c r="L1831">
        <v>8000</v>
      </c>
      <c r="M1831">
        <v>208000</v>
      </c>
      <c r="N1831" t="s">
        <v>108</v>
      </c>
      <c r="O1831" t="s">
        <v>96</v>
      </c>
    </row>
    <row r="1832" spans="1:15" x14ac:dyDescent="0.25">
      <c r="A1832">
        <v>4495</v>
      </c>
      <c r="B1832" s="10">
        <v>45838</v>
      </c>
      <c r="C1832">
        <v>30</v>
      </c>
      <c r="D1832" t="s">
        <v>153</v>
      </c>
      <c r="E1832" t="s">
        <v>25</v>
      </c>
      <c r="F1832" t="s">
        <v>141</v>
      </c>
      <c r="G1832" t="s">
        <v>100</v>
      </c>
      <c r="H1832" t="s">
        <v>131</v>
      </c>
      <c r="I1832" t="s">
        <v>139</v>
      </c>
      <c r="J1832" t="s">
        <v>103</v>
      </c>
      <c r="K1832">
        <v>37</v>
      </c>
      <c r="L1832">
        <v>8000</v>
      </c>
      <c r="M1832">
        <v>296000</v>
      </c>
      <c r="N1832" t="s">
        <v>95</v>
      </c>
      <c r="O1832" t="s">
        <v>115</v>
      </c>
    </row>
    <row r="1833" spans="1:15" x14ac:dyDescent="0.25">
      <c r="A1833">
        <v>702</v>
      </c>
      <c r="B1833" s="10">
        <v>45990</v>
      </c>
      <c r="C1833">
        <v>29</v>
      </c>
      <c r="D1833" t="s">
        <v>90</v>
      </c>
      <c r="E1833" t="s">
        <v>142</v>
      </c>
      <c r="F1833" t="s">
        <v>49</v>
      </c>
      <c r="G1833" t="s">
        <v>118</v>
      </c>
      <c r="H1833" t="s">
        <v>131</v>
      </c>
      <c r="I1833" t="s">
        <v>139</v>
      </c>
      <c r="J1833" t="s">
        <v>103</v>
      </c>
      <c r="K1833">
        <v>36</v>
      </c>
      <c r="L1833">
        <v>8100</v>
      </c>
      <c r="M1833">
        <v>291600</v>
      </c>
      <c r="N1833" t="s">
        <v>95</v>
      </c>
      <c r="O1833" t="s">
        <v>104</v>
      </c>
    </row>
    <row r="1834" spans="1:15" x14ac:dyDescent="0.25">
      <c r="A1834">
        <v>1626</v>
      </c>
      <c r="B1834" s="10">
        <v>45794</v>
      </c>
      <c r="C1834">
        <v>17</v>
      </c>
      <c r="D1834" t="s">
        <v>120</v>
      </c>
      <c r="E1834" t="s">
        <v>31</v>
      </c>
      <c r="F1834" t="s">
        <v>36</v>
      </c>
      <c r="G1834" t="s">
        <v>100</v>
      </c>
      <c r="H1834" t="s">
        <v>131</v>
      </c>
      <c r="I1834" t="s">
        <v>139</v>
      </c>
      <c r="J1834" t="s">
        <v>103</v>
      </c>
      <c r="K1834">
        <v>43</v>
      </c>
      <c r="L1834">
        <v>8100</v>
      </c>
      <c r="M1834">
        <v>348300</v>
      </c>
      <c r="N1834" t="s">
        <v>95</v>
      </c>
      <c r="O1834" t="s">
        <v>96</v>
      </c>
    </row>
    <row r="1835" spans="1:15" x14ac:dyDescent="0.25">
      <c r="A1835">
        <v>2375</v>
      </c>
      <c r="B1835" s="10">
        <v>45737</v>
      </c>
      <c r="C1835">
        <v>21</v>
      </c>
      <c r="D1835" t="s">
        <v>140</v>
      </c>
      <c r="E1835" t="s">
        <v>25</v>
      </c>
      <c r="F1835" t="s">
        <v>36</v>
      </c>
      <c r="G1835" t="s">
        <v>100</v>
      </c>
      <c r="H1835" t="s">
        <v>131</v>
      </c>
      <c r="I1835" t="s">
        <v>139</v>
      </c>
      <c r="J1835" t="s">
        <v>103</v>
      </c>
      <c r="K1835">
        <v>12</v>
      </c>
      <c r="L1835">
        <v>8100</v>
      </c>
      <c r="M1835">
        <v>97200</v>
      </c>
      <c r="N1835" t="s">
        <v>108</v>
      </c>
      <c r="O1835" t="s">
        <v>96</v>
      </c>
    </row>
    <row r="1836" spans="1:15" x14ac:dyDescent="0.25">
      <c r="A1836">
        <v>3970</v>
      </c>
      <c r="B1836" s="10">
        <v>46018</v>
      </c>
      <c r="C1836">
        <v>27</v>
      </c>
      <c r="D1836" t="s">
        <v>125</v>
      </c>
      <c r="E1836" t="s">
        <v>138</v>
      </c>
      <c r="F1836" t="s">
        <v>148</v>
      </c>
      <c r="G1836" t="s">
        <v>118</v>
      </c>
      <c r="H1836" t="s">
        <v>131</v>
      </c>
      <c r="I1836" t="s">
        <v>139</v>
      </c>
      <c r="J1836" t="s">
        <v>103</v>
      </c>
      <c r="K1836">
        <v>41</v>
      </c>
      <c r="L1836">
        <v>8100</v>
      </c>
      <c r="M1836">
        <v>332100</v>
      </c>
      <c r="N1836" t="s">
        <v>95</v>
      </c>
      <c r="O1836" t="s">
        <v>115</v>
      </c>
    </row>
    <row r="1837" spans="1:15" x14ac:dyDescent="0.25">
      <c r="A1837">
        <v>15</v>
      </c>
      <c r="B1837" s="10">
        <v>45770</v>
      </c>
      <c r="C1837">
        <v>23</v>
      </c>
      <c r="D1837" t="s">
        <v>105</v>
      </c>
      <c r="E1837" t="s">
        <v>138</v>
      </c>
      <c r="F1837" t="s">
        <v>107</v>
      </c>
      <c r="G1837" t="s">
        <v>100</v>
      </c>
      <c r="H1837" t="s">
        <v>131</v>
      </c>
      <c r="I1837" t="s">
        <v>139</v>
      </c>
      <c r="J1837" t="s">
        <v>94</v>
      </c>
      <c r="K1837">
        <v>2</v>
      </c>
      <c r="L1837">
        <v>8200</v>
      </c>
      <c r="M1837">
        <v>16400</v>
      </c>
      <c r="N1837" t="s">
        <v>95</v>
      </c>
      <c r="O1837" t="s">
        <v>96</v>
      </c>
    </row>
    <row r="1838" spans="1:15" x14ac:dyDescent="0.25">
      <c r="A1838">
        <v>72</v>
      </c>
      <c r="B1838" s="10">
        <v>45770</v>
      </c>
      <c r="C1838">
        <v>23</v>
      </c>
      <c r="D1838" t="s">
        <v>105</v>
      </c>
      <c r="E1838" t="s">
        <v>116</v>
      </c>
      <c r="F1838" t="s">
        <v>134</v>
      </c>
      <c r="G1838" t="s">
        <v>100</v>
      </c>
      <c r="H1838" t="s">
        <v>131</v>
      </c>
      <c r="I1838" t="s">
        <v>139</v>
      </c>
      <c r="J1838" t="s">
        <v>103</v>
      </c>
      <c r="K1838">
        <v>26</v>
      </c>
      <c r="L1838">
        <v>8200</v>
      </c>
      <c r="M1838">
        <v>213200</v>
      </c>
      <c r="N1838" t="s">
        <v>108</v>
      </c>
      <c r="O1838" t="s">
        <v>96</v>
      </c>
    </row>
    <row r="1839" spans="1:15" x14ac:dyDescent="0.25">
      <c r="A1839">
        <v>435</v>
      </c>
      <c r="B1839" s="10">
        <v>45849</v>
      </c>
      <c r="C1839">
        <v>11</v>
      </c>
      <c r="D1839" t="s">
        <v>145</v>
      </c>
      <c r="E1839" t="s">
        <v>161</v>
      </c>
      <c r="F1839" t="s">
        <v>122</v>
      </c>
      <c r="G1839" t="s">
        <v>114</v>
      </c>
      <c r="H1839" t="s">
        <v>131</v>
      </c>
      <c r="I1839" t="s">
        <v>139</v>
      </c>
      <c r="J1839" t="s">
        <v>103</v>
      </c>
      <c r="K1839">
        <v>24</v>
      </c>
      <c r="L1839">
        <v>8200</v>
      </c>
      <c r="M1839">
        <v>196800</v>
      </c>
      <c r="N1839" t="s">
        <v>108</v>
      </c>
      <c r="O1839" t="s">
        <v>104</v>
      </c>
    </row>
    <row r="1840" spans="1:15" x14ac:dyDescent="0.25">
      <c r="A1840">
        <v>526</v>
      </c>
      <c r="B1840" s="10">
        <v>45959</v>
      </c>
      <c r="C1840">
        <v>29</v>
      </c>
      <c r="D1840" t="s">
        <v>136</v>
      </c>
      <c r="E1840" t="s">
        <v>137</v>
      </c>
      <c r="F1840" t="s">
        <v>36</v>
      </c>
      <c r="G1840" t="s">
        <v>100</v>
      </c>
      <c r="H1840" t="s">
        <v>131</v>
      </c>
      <c r="I1840" t="s">
        <v>139</v>
      </c>
      <c r="J1840" t="s">
        <v>94</v>
      </c>
      <c r="K1840">
        <v>9</v>
      </c>
      <c r="L1840">
        <v>8200</v>
      </c>
      <c r="M1840">
        <v>73800</v>
      </c>
      <c r="N1840" t="s">
        <v>108</v>
      </c>
      <c r="O1840" t="s">
        <v>96</v>
      </c>
    </row>
    <row r="1841" spans="1:15" x14ac:dyDescent="0.25">
      <c r="A1841">
        <v>3134</v>
      </c>
      <c r="B1841" s="10">
        <v>45970</v>
      </c>
      <c r="C1841">
        <v>9</v>
      </c>
      <c r="D1841" t="s">
        <v>90</v>
      </c>
      <c r="E1841" t="s">
        <v>138</v>
      </c>
      <c r="F1841" t="s">
        <v>113</v>
      </c>
      <c r="G1841" t="s">
        <v>114</v>
      </c>
      <c r="H1841" t="s">
        <v>131</v>
      </c>
      <c r="I1841" t="s">
        <v>139</v>
      </c>
      <c r="J1841" t="s">
        <v>103</v>
      </c>
      <c r="K1841">
        <v>12</v>
      </c>
      <c r="L1841">
        <v>8200</v>
      </c>
      <c r="M1841">
        <v>98400</v>
      </c>
      <c r="N1841" t="s">
        <v>95</v>
      </c>
      <c r="O1841" t="s">
        <v>115</v>
      </c>
    </row>
    <row r="1842" spans="1:15" x14ac:dyDescent="0.25">
      <c r="A1842">
        <v>3545</v>
      </c>
      <c r="B1842" s="10">
        <v>45803</v>
      </c>
      <c r="C1842">
        <v>26</v>
      </c>
      <c r="D1842" t="s">
        <v>120</v>
      </c>
      <c r="E1842" t="s">
        <v>110</v>
      </c>
      <c r="F1842" t="s">
        <v>134</v>
      </c>
      <c r="G1842" t="s">
        <v>100</v>
      </c>
      <c r="H1842" t="s">
        <v>131</v>
      </c>
      <c r="I1842" t="s">
        <v>139</v>
      </c>
      <c r="J1842" t="s">
        <v>103</v>
      </c>
      <c r="K1842">
        <v>29</v>
      </c>
      <c r="L1842">
        <v>8200</v>
      </c>
      <c r="M1842">
        <v>237800</v>
      </c>
      <c r="N1842" t="s">
        <v>95</v>
      </c>
      <c r="O1842" t="s">
        <v>96</v>
      </c>
    </row>
    <row r="1843" spans="1:15" x14ac:dyDescent="0.25">
      <c r="A1843">
        <v>1149</v>
      </c>
      <c r="B1843" s="10">
        <v>45769</v>
      </c>
      <c r="C1843">
        <v>22</v>
      </c>
      <c r="D1843" t="s">
        <v>105</v>
      </c>
      <c r="E1843" t="s">
        <v>128</v>
      </c>
      <c r="F1843" t="s">
        <v>151</v>
      </c>
      <c r="G1843" t="s">
        <v>111</v>
      </c>
      <c r="H1843" t="s">
        <v>131</v>
      </c>
      <c r="I1843" t="s">
        <v>139</v>
      </c>
      <c r="J1843" t="s">
        <v>103</v>
      </c>
      <c r="K1843">
        <v>9</v>
      </c>
      <c r="L1843">
        <v>8300</v>
      </c>
      <c r="M1843">
        <v>74700</v>
      </c>
      <c r="N1843" t="s">
        <v>95</v>
      </c>
      <c r="O1843" t="s">
        <v>96</v>
      </c>
    </row>
    <row r="1844" spans="1:15" x14ac:dyDescent="0.25">
      <c r="A1844">
        <v>2482</v>
      </c>
      <c r="B1844" s="10">
        <v>45954</v>
      </c>
      <c r="C1844">
        <v>24</v>
      </c>
      <c r="D1844" t="s">
        <v>136</v>
      </c>
      <c r="E1844" t="s">
        <v>161</v>
      </c>
      <c r="F1844" t="s">
        <v>36</v>
      </c>
      <c r="G1844" t="s">
        <v>100</v>
      </c>
      <c r="H1844" t="s">
        <v>131</v>
      </c>
      <c r="I1844" t="s">
        <v>139</v>
      </c>
      <c r="J1844" t="s">
        <v>103</v>
      </c>
      <c r="K1844">
        <v>33</v>
      </c>
      <c r="L1844">
        <v>8300</v>
      </c>
      <c r="M1844">
        <v>273900</v>
      </c>
      <c r="N1844" t="s">
        <v>95</v>
      </c>
      <c r="O1844" t="s">
        <v>115</v>
      </c>
    </row>
    <row r="1845" spans="1:15" x14ac:dyDescent="0.25">
      <c r="A1845">
        <v>2929</v>
      </c>
      <c r="B1845" s="10">
        <v>45778</v>
      </c>
      <c r="C1845">
        <v>1</v>
      </c>
      <c r="D1845" t="s">
        <v>120</v>
      </c>
      <c r="E1845" t="s">
        <v>150</v>
      </c>
      <c r="F1845" t="s">
        <v>107</v>
      </c>
      <c r="G1845" t="s">
        <v>100</v>
      </c>
      <c r="H1845" t="s">
        <v>131</v>
      </c>
      <c r="I1845" t="s">
        <v>139</v>
      </c>
      <c r="J1845" t="s">
        <v>103</v>
      </c>
      <c r="K1845">
        <v>31</v>
      </c>
      <c r="L1845">
        <v>8300</v>
      </c>
      <c r="M1845">
        <v>257300</v>
      </c>
      <c r="N1845" t="s">
        <v>95</v>
      </c>
      <c r="O1845" t="s">
        <v>104</v>
      </c>
    </row>
    <row r="1846" spans="1:15" x14ac:dyDescent="0.25">
      <c r="A1846">
        <v>3323</v>
      </c>
      <c r="B1846" s="10">
        <v>45851</v>
      </c>
      <c r="C1846">
        <v>13</v>
      </c>
      <c r="D1846" t="s">
        <v>145</v>
      </c>
      <c r="E1846" t="s">
        <v>142</v>
      </c>
      <c r="F1846" t="s">
        <v>134</v>
      </c>
      <c r="G1846" t="s">
        <v>100</v>
      </c>
      <c r="H1846" t="s">
        <v>131</v>
      </c>
      <c r="I1846" t="s">
        <v>139</v>
      </c>
      <c r="J1846" t="s">
        <v>94</v>
      </c>
      <c r="K1846">
        <v>3</v>
      </c>
      <c r="L1846">
        <v>8300</v>
      </c>
      <c r="M1846">
        <v>24900</v>
      </c>
      <c r="N1846" t="s">
        <v>108</v>
      </c>
      <c r="O1846" t="s">
        <v>96</v>
      </c>
    </row>
    <row r="1847" spans="1:15" x14ac:dyDescent="0.25">
      <c r="A1847">
        <v>4231</v>
      </c>
      <c r="B1847" s="10">
        <v>46009</v>
      </c>
      <c r="C1847">
        <v>18</v>
      </c>
      <c r="D1847" t="s">
        <v>125</v>
      </c>
      <c r="E1847" t="s">
        <v>116</v>
      </c>
      <c r="F1847" t="s">
        <v>28</v>
      </c>
      <c r="G1847" t="s">
        <v>126</v>
      </c>
      <c r="H1847" t="s">
        <v>131</v>
      </c>
      <c r="I1847" t="s">
        <v>139</v>
      </c>
      <c r="J1847" t="s">
        <v>94</v>
      </c>
      <c r="K1847">
        <v>10</v>
      </c>
      <c r="L1847">
        <v>8300</v>
      </c>
      <c r="M1847">
        <v>83000</v>
      </c>
      <c r="N1847" t="s">
        <v>95</v>
      </c>
      <c r="O1847" t="s">
        <v>96</v>
      </c>
    </row>
    <row r="1848" spans="1:15" x14ac:dyDescent="0.25">
      <c r="A1848">
        <v>4503</v>
      </c>
      <c r="B1848" s="10">
        <v>45969</v>
      </c>
      <c r="C1848">
        <v>8</v>
      </c>
      <c r="D1848" t="s">
        <v>90</v>
      </c>
      <c r="E1848" t="s">
        <v>112</v>
      </c>
      <c r="F1848" t="s">
        <v>151</v>
      </c>
      <c r="G1848" t="s">
        <v>111</v>
      </c>
      <c r="H1848" t="s">
        <v>131</v>
      </c>
      <c r="I1848" t="s">
        <v>139</v>
      </c>
      <c r="J1848" t="s">
        <v>94</v>
      </c>
      <c r="K1848">
        <v>7</v>
      </c>
      <c r="L1848">
        <v>8300</v>
      </c>
      <c r="M1848">
        <v>58100</v>
      </c>
      <c r="N1848" t="s">
        <v>108</v>
      </c>
      <c r="O1848" t="s">
        <v>104</v>
      </c>
    </row>
    <row r="1849" spans="1:15" x14ac:dyDescent="0.25">
      <c r="A1849">
        <v>567</v>
      </c>
      <c r="B1849" s="10">
        <v>45827</v>
      </c>
      <c r="C1849">
        <v>19</v>
      </c>
      <c r="D1849" t="s">
        <v>153</v>
      </c>
      <c r="E1849" t="s">
        <v>128</v>
      </c>
      <c r="F1849" t="s">
        <v>151</v>
      </c>
      <c r="G1849" t="s">
        <v>111</v>
      </c>
      <c r="H1849" t="s">
        <v>131</v>
      </c>
      <c r="I1849" t="s">
        <v>155</v>
      </c>
      <c r="J1849" t="s">
        <v>103</v>
      </c>
      <c r="K1849">
        <v>24</v>
      </c>
      <c r="L1849">
        <v>8400</v>
      </c>
      <c r="M1849">
        <v>201600</v>
      </c>
      <c r="N1849" t="s">
        <v>108</v>
      </c>
      <c r="O1849" t="s">
        <v>96</v>
      </c>
    </row>
    <row r="1850" spans="1:15" x14ac:dyDescent="0.25">
      <c r="A1850">
        <v>1462</v>
      </c>
      <c r="B1850" s="10">
        <v>45896</v>
      </c>
      <c r="C1850">
        <v>27</v>
      </c>
      <c r="D1850" t="s">
        <v>109</v>
      </c>
      <c r="E1850" t="s">
        <v>142</v>
      </c>
      <c r="F1850" t="s">
        <v>134</v>
      </c>
      <c r="G1850" t="s">
        <v>100</v>
      </c>
      <c r="H1850" t="s">
        <v>131</v>
      </c>
      <c r="I1850" t="s">
        <v>139</v>
      </c>
      <c r="J1850" t="s">
        <v>94</v>
      </c>
      <c r="K1850">
        <v>7</v>
      </c>
      <c r="L1850">
        <v>8400</v>
      </c>
      <c r="M1850">
        <v>58800</v>
      </c>
      <c r="N1850" t="s">
        <v>95</v>
      </c>
      <c r="O1850" t="s">
        <v>104</v>
      </c>
    </row>
    <row r="1851" spans="1:15" x14ac:dyDescent="0.25">
      <c r="A1851">
        <v>1663</v>
      </c>
      <c r="B1851" s="10">
        <v>45678</v>
      </c>
      <c r="C1851">
        <v>21</v>
      </c>
      <c r="D1851" t="s">
        <v>130</v>
      </c>
      <c r="E1851" t="s">
        <v>31</v>
      </c>
      <c r="F1851" t="s">
        <v>141</v>
      </c>
      <c r="G1851" t="s">
        <v>100</v>
      </c>
      <c r="H1851" t="s">
        <v>131</v>
      </c>
      <c r="I1851" t="s">
        <v>155</v>
      </c>
      <c r="J1851" t="s">
        <v>103</v>
      </c>
      <c r="K1851">
        <v>8</v>
      </c>
      <c r="L1851">
        <v>8400</v>
      </c>
      <c r="M1851">
        <v>67200</v>
      </c>
      <c r="N1851" t="s">
        <v>108</v>
      </c>
      <c r="O1851" t="s">
        <v>115</v>
      </c>
    </row>
    <row r="1852" spans="1:15" x14ac:dyDescent="0.25">
      <c r="A1852">
        <v>1730</v>
      </c>
      <c r="B1852" s="10">
        <v>45946</v>
      </c>
      <c r="C1852">
        <v>16</v>
      </c>
      <c r="D1852" t="s">
        <v>136</v>
      </c>
      <c r="E1852" t="s">
        <v>142</v>
      </c>
      <c r="F1852" t="s">
        <v>117</v>
      </c>
      <c r="G1852" t="s">
        <v>118</v>
      </c>
      <c r="H1852" t="s">
        <v>131</v>
      </c>
      <c r="I1852" t="s">
        <v>139</v>
      </c>
      <c r="J1852" t="s">
        <v>103</v>
      </c>
      <c r="K1852">
        <v>8</v>
      </c>
      <c r="L1852">
        <v>8400</v>
      </c>
      <c r="M1852">
        <v>67200</v>
      </c>
      <c r="N1852" t="s">
        <v>108</v>
      </c>
      <c r="O1852" t="s">
        <v>115</v>
      </c>
    </row>
    <row r="1853" spans="1:15" x14ac:dyDescent="0.25">
      <c r="A1853">
        <v>2193</v>
      </c>
      <c r="B1853" s="10">
        <v>45734</v>
      </c>
      <c r="C1853">
        <v>18</v>
      </c>
      <c r="D1853" t="s">
        <v>140</v>
      </c>
      <c r="E1853" t="s">
        <v>150</v>
      </c>
      <c r="F1853" t="s">
        <v>113</v>
      </c>
      <c r="G1853" t="s">
        <v>114</v>
      </c>
      <c r="H1853" t="s">
        <v>131</v>
      </c>
      <c r="I1853" t="s">
        <v>139</v>
      </c>
      <c r="J1853" t="s">
        <v>103</v>
      </c>
      <c r="K1853">
        <v>23</v>
      </c>
      <c r="L1853">
        <v>8400</v>
      </c>
      <c r="M1853">
        <v>193200</v>
      </c>
      <c r="N1853" t="s">
        <v>108</v>
      </c>
      <c r="O1853" t="s">
        <v>104</v>
      </c>
    </row>
    <row r="1854" spans="1:15" x14ac:dyDescent="0.25">
      <c r="A1854">
        <v>2255</v>
      </c>
      <c r="B1854" s="10">
        <v>45665</v>
      </c>
      <c r="C1854">
        <v>8</v>
      </c>
      <c r="D1854" t="s">
        <v>130</v>
      </c>
      <c r="E1854" t="s">
        <v>137</v>
      </c>
      <c r="F1854" t="s">
        <v>151</v>
      </c>
      <c r="G1854" t="s">
        <v>111</v>
      </c>
      <c r="H1854" t="s">
        <v>131</v>
      </c>
      <c r="I1854" t="s">
        <v>139</v>
      </c>
      <c r="J1854" t="s">
        <v>94</v>
      </c>
      <c r="K1854">
        <v>4</v>
      </c>
      <c r="L1854">
        <v>8400</v>
      </c>
      <c r="M1854">
        <v>33600</v>
      </c>
      <c r="N1854" t="s">
        <v>108</v>
      </c>
      <c r="O1854" t="s">
        <v>96</v>
      </c>
    </row>
    <row r="1855" spans="1:15" x14ac:dyDescent="0.25">
      <c r="A1855">
        <v>2714</v>
      </c>
      <c r="B1855" s="10">
        <v>45682</v>
      </c>
      <c r="C1855">
        <v>25</v>
      </c>
      <c r="D1855" t="s">
        <v>130</v>
      </c>
      <c r="E1855" t="s">
        <v>31</v>
      </c>
      <c r="F1855" t="s">
        <v>107</v>
      </c>
      <c r="G1855" t="s">
        <v>100</v>
      </c>
      <c r="H1855" t="s">
        <v>131</v>
      </c>
      <c r="I1855" t="s">
        <v>139</v>
      </c>
      <c r="J1855" t="s">
        <v>94</v>
      </c>
      <c r="K1855">
        <v>6</v>
      </c>
      <c r="L1855">
        <v>8400</v>
      </c>
      <c r="M1855">
        <v>50400</v>
      </c>
      <c r="N1855" t="s">
        <v>108</v>
      </c>
      <c r="O1855" t="s">
        <v>96</v>
      </c>
    </row>
    <row r="1856" spans="1:15" x14ac:dyDescent="0.25">
      <c r="A1856">
        <v>2824</v>
      </c>
      <c r="B1856" s="10">
        <v>45883</v>
      </c>
      <c r="C1856">
        <v>14</v>
      </c>
      <c r="D1856" t="s">
        <v>109</v>
      </c>
      <c r="E1856" t="s">
        <v>161</v>
      </c>
      <c r="F1856" t="s">
        <v>148</v>
      </c>
      <c r="G1856" t="s">
        <v>118</v>
      </c>
      <c r="H1856" t="s">
        <v>131</v>
      </c>
      <c r="I1856" t="s">
        <v>139</v>
      </c>
      <c r="J1856" t="s">
        <v>94</v>
      </c>
      <c r="K1856">
        <v>5</v>
      </c>
      <c r="L1856">
        <v>8400</v>
      </c>
      <c r="M1856">
        <v>42000</v>
      </c>
      <c r="N1856" t="s">
        <v>95</v>
      </c>
      <c r="O1856" t="s">
        <v>96</v>
      </c>
    </row>
    <row r="1857" spans="1:15" x14ac:dyDescent="0.25">
      <c r="A1857">
        <v>3071</v>
      </c>
      <c r="B1857" s="10">
        <v>45857</v>
      </c>
      <c r="C1857">
        <v>19</v>
      </c>
      <c r="D1857" t="s">
        <v>145</v>
      </c>
      <c r="E1857" t="s">
        <v>110</v>
      </c>
      <c r="F1857" t="s">
        <v>44</v>
      </c>
      <c r="G1857" t="s">
        <v>111</v>
      </c>
      <c r="H1857" t="s">
        <v>131</v>
      </c>
      <c r="I1857" t="s">
        <v>139</v>
      </c>
      <c r="J1857" t="s">
        <v>94</v>
      </c>
      <c r="K1857">
        <v>6</v>
      </c>
      <c r="L1857">
        <v>8400</v>
      </c>
      <c r="M1857">
        <v>50400</v>
      </c>
      <c r="N1857" t="s">
        <v>108</v>
      </c>
      <c r="O1857" t="s">
        <v>96</v>
      </c>
    </row>
    <row r="1858" spans="1:15" x14ac:dyDescent="0.25">
      <c r="A1858">
        <v>3439</v>
      </c>
      <c r="B1858" s="10">
        <v>45820</v>
      </c>
      <c r="C1858">
        <v>12</v>
      </c>
      <c r="D1858" t="s">
        <v>153</v>
      </c>
      <c r="E1858" t="s">
        <v>138</v>
      </c>
      <c r="F1858" t="s">
        <v>151</v>
      </c>
      <c r="G1858" t="s">
        <v>111</v>
      </c>
      <c r="H1858" t="s">
        <v>131</v>
      </c>
      <c r="I1858" t="s">
        <v>139</v>
      </c>
      <c r="J1858" t="s">
        <v>94</v>
      </c>
      <c r="K1858">
        <v>7</v>
      </c>
      <c r="L1858">
        <v>8400</v>
      </c>
      <c r="M1858">
        <v>58800</v>
      </c>
      <c r="N1858" t="s">
        <v>95</v>
      </c>
      <c r="O1858" t="s">
        <v>115</v>
      </c>
    </row>
    <row r="1859" spans="1:15" x14ac:dyDescent="0.25">
      <c r="A1859">
        <v>3496</v>
      </c>
      <c r="B1859" s="10">
        <v>45862</v>
      </c>
      <c r="C1859">
        <v>24</v>
      </c>
      <c r="D1859" t="s">
        <v>145</v>
      </c>
      <c r="E1859" t="s">
        <v>112</v>
      </c>
      <c r="F1859" t="s">
        <v>99</v>
      </c>
      <c r="G1859" t="s">
        <v>100</v>
      </c>
      <c r="H1859" t="s">
        <v>131</v>
      </c>
      <c r="I1859" t="s">
        <v>139</v>
      </c>
      <c r="J1859" t="s">
        <v>103</v>
      </c>
      <c r="K1859">
        <v>17</v>
      </c>
      <c r="L1859">
        <v>8400</v>
      </c>
      <c r="M1859">
        <v>142800</v>
      </c>
      <c r="N1859" t="s">
        <v>108</v>
      </c>
      <c r="O1859" t="s">
        <v>96</v>
      </c>
    </row>
    <row r="1860" spans="1:15" x14ac:dyDescent="0.25">
      <c r="A1860">
        <v>3609</v>
      </c>
      <c r="B1860" s="10">
        <v>45790</v>
      </c>
      <c r="C1860">
        <v>13</v>
      </c>
      <c r="D1860" t="s">
        <v>120</v>
      </c>
      <c r="E1860" t="s">
        <v>98</v>
      </c>
      <c r="F1860" t="s">
        <v>117</v>
      </c>
      <c r="G1860" t="s">
        <v>118</v>
      </c>
      <c r="H1860" t="s">
        <v>131</v>
      </c>
      <c r="I1860" t="s">
        <v>139</v>
      </c>
      <c r="J1860" t="s">
        <v>94</v>
      </c>
      <c r="K1860">
        <v>10</v>
      </c>
      <c r="L1860">
        <v>8400</v>
      </c>
      <c r="M1860">
        <v>84000</v>
      </c>
      <c r="N1860" t="s">
        <v>95</v>
      </c>
      <c r="O1860" t="s">
        <v>115</v>
      </c>
    </row>
    <row r="1861" spans="1:15" x14ac:dyDescent="0.25">
      <c r="A1861">
        <v>4225</v>
      </c>
      <c r="B1861" s="10">
        <v>45937</v>
      </c>
      <c r="C1861">
        <v>7</v>
      </c>
      <c r="D1861" t="s">
        <v>136</v>
      </c>
      <c r="E1861" t="s">
        <v>116</v>
      </c>
      <c r="F1861" t="s">
        <v>36</v>
      </c>
      <c r="G1861" t="s">
        <v>100</v>
      </c>
      <c r="H1861" t="s">
        <v>131</v>
      </c>
      <c r="I1861" t="s">
        <v>139</v>
      </c>
      <c r="J1861" t="s">
        <v>94</v>
      </c>
      <c r="K1861">
        <v>9</v>
      </c>
      <c r="L1861">
        <v>8400</v>
      </c>
      <c r="M1861">
        <v>75600</v>
      </c>
      <c r="N1861" t="s">
        <v>95</v>
      </c>
      <c r="O1861" t="s">
        <v>115</v>
      </c>
    </row>
    <row r="1862" spans="1:15" x14ac:dyDescent="0.25">
      <c r="A1862">
        <v>4227</v>
      </c>
      <c r="B1862" s="10">
        <v>45658</v>
      </c>
      <c r="C1862">
        <v>1</v>
      </c>
      <c r="D1862" t="s">
        <v>130</v>
      </c>
      <c r="E1862" t="s">
        <v>150</v>
      </c>
      <c r="F1862" t="s">
        <v>49</v>
      </c>
      <c r="G1862" t="s">
        <v>118</v>
      </c>
      <c r="H1862" t="s">
        <v>131</v>
      </c>
      <c r="I1862" t="s">
        <v>139</v>
      </c>
      <c r="J1862" t="s">
        <v>103</v>
      </c>
      <c r="K1862">
        <v>7</v>
      </c>
      <c r="L1862">
        <v>8400</v>
      </c>
      <c r="M1862">
        <v>58800</v>
      </c>
      <c r="N1862" t="s">
        <v>108</v>
      </c>
      <c r="O1862" t="s">
        <v>115</v>
      </c>
    </row>
    <row r="1863" spans="1:15" x14ac:dyDescent="0.25">
      <c r="A1863">
        <v>4639</v>
      </c>
      <c r="B1863" s="10">
        <v>45886</v>
      </c>
      <c r="C1863">
        <v>17</v>
      </c>
      <c r="D1863" t="s">
        <v>109</v>
      </c>
      <c r="E1863" t="s">
        <v>112</v>
      </c>
      <c r="F1863" t="s">
        <v>141</v>
      </c>
      <c r="G1863" t="s">
        <v>100</v>
      </c>
      <c r="H1863" t="s">
        <v>131</v>
      </c>
      <c r="I1863" t="s">
        <v>155</v>
      </c>
      <c r="J1863" t="s">
        <v>103</v>
      </c>
      <c r="K1863">
        <v>22</v>
      </c>
      <c r="L1863">
        <v>8400</v>
      </c>
      <c r="M1863">
        <v>184800</v>
      </c>
      <c r="N1863" t="s">
        <v>108</v>
      </c>
      <c r="O1863" t="s">
        <v>96</v>
      </c>
    </row>
    <row r="1864" spans="1:15" x14ac:dyDescent="0.25">
      <c r="A1864">
        <v>4689</v>
      </c>
      <c r="B1864" s="10">
        <v>45938</v>
      </c>
      <c r="C1864">
        <v>8</v>
      </c>
      <c r="D1864" t="s">
        <v>136</v>
      </c>
      <c r="E1864" t="s">
        <v>31</v>
      </c>
      <c r="F1864" t="s">
        <v>22</v>
      </c>
      <c r="G1864" t="s">
        <v>91</v>
      </c>
      <c r="H1864" t="s">
        <v>131</v>
      </c>
      <c r="I1864" t="s">
        <v>139</v>
      </c>
      <c r="J1864" t="s">
        <v>94</v>
      </c>
      <c r="K1864">
        <v>8</v>
      </c>
      <c r="L1864">
        <v>8400</v>
      </c>
      <c r="M1864">
        <v>67200</v>
      </c>
      <c r="N1864" t="s">
        <v>95</v>
      </c>
      <c r="O1864" t="s">
        <v>104</v>
      </c>
    </row>
    <row r="1865" spans="1:15" x14ac:dyDescent="0.25">
      <c r="A1865">
        <v>2844</v>
      </c>
      <c r="B1865" s="10">
        <v>45852</v>
      </c>
      <c r="C1865">
        <v>14</v>
      </c>
      <c r="D1865" t="s">
        <v>145</v>
      </c>
      <c r="E1865" t="s">
        <v>116</v>
      </c>
      <c r="F1865" t="s">
        <v>49</v>
      </c>
      <c r="G1865" t="s">
        <v>118</v>
      </c>
      <c r="H1865" t="s">
        <v>131</v>
      </c>
      <c r="I1865" t="s">
        <v>139</v>
      </c>
      <c r="J1865" t="s">
        <v>94</v>
      </c>
      <c r="K1865">
        <v>9</v>
      </c>
      <c r="L1865">
        <v>8500</v>
      </c>
      <c r="M1865">
        <v>76500</v>
      </c>
      <c r="N1865" t="s">
        <v>95</v>
      </c>
      <c r="O1865" t="s">
        <v>115</v>
      </c>
    </row>
    <row r="1866" spans="1:15" x14ac:dyDescent="0.25">
      <c r="A1866">
        <v>3800</v>
      </c>
      <c r="B1866" s="10">
        <v>45725</v>
      </c>
      <c r="C1866">
        <v>9</v>
      </c>
      <c r="D1866" t="s">
        <v>140</v>
      </c>
      <c r="E1866" t="s">
        <v>137</v>
      </c>
      <c r="F1866" t="s">
        <v>122</v>
      </c>
      <c r="G1866" t="s">
        <v>114</v>
      </c>
      <c r="H1866" t="s">
        <v>131</v>
      </c>
      <c r="I1866" t="s">
        <v>139</v>
      </c>
      <c r="J1866" t="s">
        <v>94</v>
      </c>
      <c r="K1866">
        <v>3</v>
      </c>
      <c r="L1866">
        <v>8500</v>
      </c>
      <c r="M1866">
        <v>25500</v>
      </c>
      <c r="N1866" t="s">
        <v>95</v>
      </c>
      <c r="O1866" t="s">
        <v>104</v>
      </c>
    </row>
    <row r="1867" spans="1:15" x14ac:dyDescent="0.25">
      <c r="A1867">
        <v>676</v>
      </c>
      <c r="B1867" s="10">
        <v>45892</v>
      </c>
      <c r="C1867">
        <v>23</v>
      </c>
      <c r="D1867" t="s">
        <v>109</v>
      </c>
      <c r="E1867" t="s">
        <v>161</v>
      </c>
      <c r="F1867" t="s">
        <v>122</v>
      </c>
      <c r="G1867" t="s">
        <v>114</v>
      </c>
      <c r="H1867" t="s">
        <v>131</v>
      </c>
      <c r="I1867" t="s">
        <v>139</v>
      </c>
      <c r="J1867" t="s">
        <v>94</v>
      </c>
      <c r="K1867">
        <v>3</v>
      </c>
      <c r="L1867">
        <v>8600</v>
      </c>
      <c r="M1867">
        <v>25800</v>
      </c>
      <c r="N1867" t="s">
        <v>108</v>
      </c>
      <c r="O1867" t="s">
        <v>96</v>
      </c>
    </row>
    <row r="1868" spans="1:15" x14ac:dyDescent="0.25">
      <c r="A1868">
        <v>1292</v>
      </c>
      <c r="B1868" s="10">
        <v>45835</v>
      </c>
      <c r="C1868">
        <v>27</v>
      </c>
      <c r="D1868" t="s">
        <v>153</v>
      </c>
      <c r="E1868" t="s">
        <v>128</v>
      </c>
      <c r="F1868" t="s">
        <v>113</v>
      </c>
      <c r="G1868" t="s">
        <v>114</v>
      </c>
      <c r="H1868" t="s">
        <v>131</v>
      </c>
      <c r="I1868" t="s">
        <v>139</v>
      </c>
      <c r="J1868" t="s">
        <v>103</v>
      </c>
      <c r="K1868">
        <v>9</v>
      </c>
      <c r="L1868">
        <v>8600</v>
      </c>
      <c r="M1868">
        <v>77400</v>
      </c>
      <c r="N1868" t="s">
        <v>108</v>
      </c>
      <c r="O1868" t="s">
        <v>115</v>
      </c>
    </row>
    <row r="1869" spans="1:15" x14ac:dyDescent="0.25">
      <c r="A1869">
        <v>1612</v>
      </c>
      <c r="B1869" s="10">
        <v>45944</v>
      </c>
      <c r="C1869">
        <v>14</v>
      </c>
      <c r="D1869" t="s">
        <v>136</v>
      </c>
      <c r="E1869" t="s">
        <v>142</v>
      </c>
      <c r="F1869" t="s">
        <v>134</v>
      </c>
      <c r="G1869" t="s">
        <v>100</v>
      </c>
      <c r="H1869" t="s">
        <v>131</v>
      </c>
      <c r="I1869" t="s">
        <v>155</v>
      </c>
      <c r="J1869" t="s">
        <v>103</v>
      </c>
      <c r="K1869">
        <v>24</v>
      </c>
      <c r="L1869">
        <v>8600</v>
      </c>
      <c r="M1869">
        <v>206400</v>
      </c>
      <c r="N1869" t="s">
        <v>108</v>
      </c>
      <c r="O1869" t="s">
        <v>96</v>
      </c>
    </row>
    <row r="1870" spans="1:15" x14ac:dyDescent="0.25">
      <c r="A1870">
        <v>1766</v>
      </c>
      <c r="B1870" s="10">
        <v>45671</v>
      </c>
      <c r="C1870">
        <v>14</v>
      </c>
      <c r="D1870" t="s">
        <v>130</v>
      </c>
      <c r="E1870" t="s">
        <v>150</v>
      </c>
      <c r="F1870" t="s">
        <v>22</v>
      </c>
      <c r="G1870" t="s">
        <v>91</v>
      </c>
      <c r="H1870" t="s">
        <v>131</v>
      </c>
      <c r="I1870" t="s">
        <v>139</v>
      </c>
      <c r="J1870" t="s">
        <v>94</v>
      </c>
      <c r="K1870">
        <v>7</v>
      </c>
      <c r="L1870">
        <v>8600</v>
      </c>
      <c r="M1870">
        <v>60200</v>
      </c>
      <c r="N1870" t="s">
        <v>95</v>
      </c>
      <c r="O1870" t="s">
        <v>96</v>
      </c>
    </row>
    <row r="1871" spans="1:15" x14ac:dyDescent="0.25">
      <c r="A1871">
        <v>2796</v>
      </c>
      <c r="B1871" s="10">
        <v>45773</v>
      </c>
      <c r="C1871">
        <v>26</v>
      </c>
      <c r="D1871" t="s">
        <v>105</v>
      </c>
      <c r="E1871" t="s">
        <v>150</v>
      </c>
      <c r="F1871" t="s">
        <v>22</v>
      </c>
      <c r="G1871" t="s">
        <v>91</v>
      </c>
      <c r="H1871" t="s">
        <v>131</v>
      </c>
      <c r="I1871" t="s">
        <v>139</v>
      </c>
      <c r="J1871" t="s">
        <v>94</v>
      </c>
      <c r="K1871">
        <v>5</v>
      </c>
      <c r="L1871">
        <v>8600</v>
      </c>
      <c r="M1871">
        <v>43000</v>
      </c>
      <c r="N1871" t="s">
        <v>108</v>
      </c>
      <c r="O1871" t="s">
        <v>96</v>
      </c>
    </row>
    <row r="1872" spans="1:15" x14ac:dyDescent="0.25">
      <c r="A1872">
        <v>3332</v>
      </c>
      <c r="B1872" s="10">
        <v>45751</v>
      </c>
      <c r="C1872">
        <v>4</v>
      </c>
      <c r="D1872" t="s">
        <v>105</v>
      </c>
      <c r="E1872" t="s">
        <v>133</v>
      </c>
      <c r="F1872" t="s">
        <v>122</v>
      </c>
      <c r="G1872" t="s">
        <v>114</v>
      </c>
      <c r="H1872" t="s">
        <v>131</v>
      </c>
      <c r="I1872" t="s">
        <v>155</v>
      </c>
      <c r="J1872" t="s">
        <v>103</v>
      </c>
      <c r="K1872">
        <v>10</v>
      </c>
      <c r="L1872">
        <v>8600</v>
      </c>
      <c r="M1872">
        <v>86000</v>
      </c>
      <c r="N1872" t="s">
        <v>108</v>
      </c>
      <c r="O1872" t="s">
        <v>96</v>
      </c>
    </row>
    <row r="1873" spans="1:15" x14ac:dyDescent="0.25">
      <c r="A1873">
        <v>4246</v>
      </c>
      <c r="B1873" s="10">
        <v>45971</v>
      </c>
      <c r="C1873">
        <v>10</v>
      </c>
      <c r="D1873" t="s">
        <v>90</v>
      </c>
      <c r="E1873" t="s">
        <v>112</v>
      </c>
      <c r="F1873" t="s">
        <v>49</v>
      </c>
      <c r="G1873" t="s">
        <v>118</v>
      </c>
      <c r="H1873" t="s">
        <v>131</v>
      </c>
      <c r="I1873" t="s">
        <v>155</v>
      </c>
      <c r="J1873" t="s">
        <v>103</v>
      </c>
      <c r="K1873">
        <v>41</v>
      </c>
      <c r="L1873">
        <v>8600</v>
      </c>
      <c r="M1873">
        <v>352600</v>
      </c>
      <c r="N1873" t="s">
        <v>108</v>
      </c>
      <c r="O1873" t="s">
        <v>115</v>
      </c>
    </row>
    <row r="1874" spans="1:15" x14ac:dyDescent="0.25">
      <c r="A1874">
        <v>4447</v>
      </c>
      <c r="B1874" s="10">
        <v>45691</v>
      </c>
      <c r="C1874">
        <v>3</v>
      </c>
      <c r="D1874" t="s">
        <v>97</v>
      </c>
      <c r="E1874" t="s">
        <v>142</v>
      </c>
      <c r="F1874" t="s">
        <v>122</v>
      </c>
      <c r="G1874" t="s">
        <v>114</v>
      </c>
      <c r="H1874" t="s">
        <v>131</v>
      </c>
      <c r="I1874" t="s">
        <v>139</v>
      </c>
      <c r="J1874" t="s">
        <v>94</v>
      </c>
      <c r="K1874">
        <v>10</v>
      </c>
      <c r="L1874">
        <v>8600</v>
      </c>
      <c r="M1874">
        <v>86000</v>
      </c>
      <c r="N1874" t="s">
        <v>95</v>
      </c>
      <c r="O1874" t="s">
        <v>104</v>
      </c>
    </row>
    <row r="1875" spans="1:15" x14ac:dyDescent="0.25">
      <c r="A1875">
        <v>101</v>
      </c>
      <c r="B1875" s="10">
        <v>45696</v>
      </c>
      <c r="C1875">
        <v>8</v>
      </c>
      <c r="D1875" t="s">
        <v>97</v>
      </c>
      <c r="E1875" t="s">
        <v>138</v>
      </c>
      <c r="F1875" t="s">
        <v>22</v>
      </c>
      <c r="G1875" t="s">
        <v>91</v>
      </c>
      <c r="H1875" t="s">
        <v>131</v>
      </c>
      <c r="I1875" t="s">
        <v>155</v>
      </c>
      <c r="J1875" t="s">
        <v>103</v>
      </c>
      <c r="K1875">
        <v>23</v>
      </c>
      <c r="L1875">
        <v>8700</v>
      </c>
      <c r="M1875">
        <v>200100</v>
      </c>
      <c r="N1875" t="s">
        <v>95</v>
      </c>
      <c r="O1875" t="s">
        <v>104</v>
      </c>
    </row>
    <row r="1876" spans="1:15" x14ac:dyDescent="0.25">
      <c r="A1876">
        <v>153</v>
      </c>
      <c r="B1876" s="10">
        <v>45684</v>
      </c>
      <c r="C1876">
        <v>27</v>
      </c>
      <c r="D1876" t="s">
        <v>130</v>
      </c>
      <c r="E1876" t="s">
        <v>138</v>
      </c>
      <c r="F1876" t="s">
        <v>99</v>
      </c>
      <c r="G1876" t="s">
        <v>100</v>
      </c>
      <c r="H1876" t="s">
        <v>131</v>
      </c>
      <c r="I1876" t="s">
        <v>139</v>
      </c>
      <c r="J1876" t="s">
        <v>94</v>
      </c>
      <c r="K1876">
        <v>8</v>
      </c>
      <c r="L1876">
        <v>8700</v>
      </c>
      <c r="M1876">
        <v>69600</v>
      </c>
      <c r="N1876" t="s">
        <v>108</v>
      </c>
      <c r="O1876" t="s">
        <v>115</v>
      </c>
    </row>
    <row r="1877" spans="1:15" x14ac:dyDescent="0.25">
      <c r="A1877">
        <v>761</v>
      </c>
      <c r="B1877" s="10">
        <v>46003</v>
      </c>
      <c r="C1877">
        <v>12</v>
      </c>
      <c r="D1877" t="s">
        <v>125</v>
      </c>
      <c r="E1877" t="s">
        <v>25</v>
      </c>
      <c r="F1877" t="s">
        <v>28</v>
      </c>
      <c r="G1877" t="s">
        <v>126</v>
      </c>
      <c r="H1877" t="s">
        <v>131</v>
      </c>
      <c r="I1877" t="s">
        <v>139</v>
      </c>
      <c r="J1877" t="s">
        <v>94</v>
      </c>
      <c r="K1877">
        <v>7</v>
      </c>
      <c r="L1877">
        <v>8700</v>
      </c>
      <c r="M1877">
        <v>60900</v>
      </c>
      <c r="N1877" t="s">
        <v>108</v>
      </c>
      <c r="O1877" t="s">
        <v>104</v>
      </c>
    </row>
    <row r="1878" spans="1:15" x14ac:dyDescent="0.25">
      <c r="A1878">
        <v>1102</v>
      </c>
      <c r="B1878" s="10">
        <v>45898</v>
      </c>
      <c r="C1878">
        <v>29</v>
      </c>
      <c r="D1878" t="s">
        <v>109</v>
      </c>
      <c r="E1878" t="s">
        <v>116</v>
      </c>
      <c r="F1878" t="s">
        <v>148</v>
      </c>
      <c r="G1878" t="s">
        <v>118</v>
      </c>
      <c r="H1878" t="s">
        <v>37</v>
      </c>
      <c r="I1878" t="s">
        <v>160</v>
      </c>
      <c r="J1878" t="s">
        <v>103</v>
      </c>
      <c r="K1878">
        <v>5</v>
      </c>
      <c r="L1878">
        <v>8700</v>
      </c>
      <c r="M1878">
        <v>43500</v>
      </c>
      <c r="N1878" t="s">
        <v>95</v>
      </c>
      <c r="O1878" t="s">
        <v>104</v>
      </c>
    </row>
    <row r="1879" spans="1:15" x14ac:dyDescent="0.25">
      <c r="A1879">
        <v>2196</v>
      </c>
      <c r="B1879" s="10">
        <v>45678</v>
      </c>
      <c r="C1879">
        <v>21</v>
      </c>
      <c r="D1879" t="s">
        <v>130</v>
      </c>
      <c r="E1879" t="s">
        <v>137</v>
      </c>
      <c r="F1879" t="s">
        <v>134</v>
      </c>
      <c r="G1879" t="s">
        <v>100</v>
      </c>
      <c r="H1879" t="s">
        <v>131</v>
      </c>
      <c r="I1879" t="s">
        <v>139</v>
      </c>
      <c r="J1879" t="s">
        <v>94</v>
      </c>
      <c r="K1879">
        <v>10</v>
      </c>
      <c r="L1879">
        <v>8700</v>
      </c>
      <c r="M1879">
        <v>87000</v>
      </c>
      <c r="N1879" t="s">
        <v>95</v>
      </c>
      <c r="O1879" t="s">
        <v>104</v>
      </c>
    </row>
    <row r="1880" spans="1:15" x14ac:dyDescent="0.25">
      <c r="A1880">
        <v>2273</v>
      </c>
      <c r="B1880" s="10">
        <v>45937</v>
      </c>
      <c r="C1880">
        <v>7</v>
      </c>
      <c r="D1880" t="s">
        <v>136</v>
      </c>
      <c r="E1880" t="s">
        <v>110</v>
      </c>
      <c r="F1880" t="s">
        <v>113</v>
      </c>
      <c r="G1880" t="s">
        <v>114</v>
      </c>
      <c r="H1880" t="s">
        <v>131</v>
      </c>
      <c r="I1880" t="s">
        <v>139</v>
      </c>
      <c r="J1880" t="s">
        <v>94</v>
      </c>
      <c r="K1880">
        <v>4</v>
      </c>
      <c r="L1880">
        <v>8700</v>
      </c>
      <c r="M1880">
        <v>34800</v>
      </c>
      <c r="N1880" t="s">
        <v>108</v>
      </c>
      <c r="O1880" t="s">
        <v>104</v>
      </c>
    </row>
    <row r="1881" spans="1:15" x14ac:dyDescent="0.25">
      <c r="A1881">
        <v>2362</v>
      </c>
      <c r="B1881" s="10">
        <v>46009</v>
      </c>
      <c r="C1881">
        <v>18</v>
      </c>
      <c r="D1881" t="s">
        <v>125</v>
      </c>
      <c r="E1881" t="s">
        <v>128</v>
      </c>
      <c r="F1881" t="s">
        <v>99</v>
      </c>
      <c r="G1881" t="s">
        <v>100</v>
      </c>
      <c r="H1881" t="s">
        <v>131</v>
      </c>
      <c r="I1881" t="s">
        <v>155</v>
      </c>
      <c r="J1881" t="s">
        <v>103</v>
      </c>
      <c r="K1881">
        <v>47</v>
      </c>
      <c r="L1881">
        <v>8700</v>
      </c>
      <c r="M1881">
        <v>408900</v>
      </c>
      <c r="N1881" t="s">
        <v>95</v>
      </c>
      <c r="O1881" t="s">
        <v>104</v>
      </c>
    </row>
    <row r="1882" spans="1:15" x14ac:dyDescent="0.25">
      <c r="A1882">
        <v>2396</v>
      </c>
      <c r="B1882" s="10">
        <v>45674</v>
      </c>
      <c r="C1882">
        <v>17</v>
      </c>
      <c r="D1882" t="s">
        <v>130</v>
      </c>
      <c r="E1882" t="s">
        <v>25</v>
      </c>
      <c r="F1882" t="s">
        <v>44</v>
      </c>
      <c r="G1882" t="s">
        <v>111</v>
      </c>
      <c r="H1882" t="s">
        <v>131</v>
      </c>
      <c r="I1882" t="s">
        <v>155</v>
      </c>
      <c r="J1882" t="s">
        <v>103</v>
      </c>
      <c r="K1882">
        <v>11</v>
      </c>
      <c r="L1882">
        <v>8700</v>
      </c>
      <c r="M1882">
        <v>95700</v>
      </c>
      <c r="N1882" t="s">
        <v>108</v>
      </c>
      <c r="O1882" t="s">
        <v>115</v>
      </c>
    </row>
    <row r="1883" spans="1:15" x14ac:dyDescent="0.25">
      <c r="A1883">
        <v>2597</v>
      </c>
      <c r="B1883" s="10">
        <v>45744</v>
      </c>
      <c r="C1883">
        <v>28</v>
      </c>
      <c r="D1883" t="s">
        <v>140</v>
      </c>
      <c r="E1883" t="s">
        <v>142</v>
      </c>
      <c r="F1883" t="s">
        <v>36</v>
      </c>
      <c r="G1883" t="s">
        <v>100</v>
      </c>
      <c r="H1883" t="s">
        <v>131</v>
      </c>
      <c r="I1883" t="s">
        <v>139</v>
      </c>
      <c r="J1883" t="s">
        <v>94</v>
      </c>
      <c r="K1883">
        <v>5</v>
      </c>
      <c r="L1883">
        <v>8700</v>
      </c>
      <c r="M1883">
        <v>43500</v>
      </c>
      <c r="N1883" t="s">
        <v>95</v>
      </c>
      <c r="O1883" t="s">
        <v>115</v>
      </c>
    </row>
    <row r="1884" spans="1:15" x14ac:dyDescent="0.25">
      <c r="A1884">
        <v>3122</v>
      </c>
      <c r="B1884" s="10">
        <v>45970</v>
      </c>
      <c r="C1884">
        <v>9</v>
      </c>
      <c r="D1884" t="s">
        <v>90</v>
      </c>
      <c r="E1884" t="s">
        <v>142</v>
      </c>
      <c r="F1884" t="s">
        <v>122</v>
      </c>
      <c r="G1884" t="s">
        <v>114</v>
      </c>
      <c r="H1884" t="s">
        <v>131</v>
      </c>
      <c r="I1884" t="s">
        <v>139</v>
      </c>
      <c r="J1884" t="s">
        <v>94</v>
      </c>
      <c r="K1884">
        <v>5</v>
      </c>
      <c r="L1884">
        <v>8700</v>
      </c>
      <c r="M1884">
        <v>43500</v>
      </c>
      <c r="N1884" t="s">
        <v>95</v>
      </c>
      <c r="O1884" t="s">
        <v>115</v>
      </c>
    </row>
    <row r="1885" spans="1:15" x14ac:dyDescent="0.25">
      <c r="A1885">
        <v>3632</v>
      </c>
      <c r="B1885" s="10">
        <v>45893</v>
      </c>
      <c r="C1885">
        <v>24</v>
      </c>
      <c r="D1885" t="s">
        <v>109</v>
      </c>
      <c r="E1885" t="s">
        <v>142</v>
      </c>
      <c r="F1885" t="s">
        <v>117</v>
      </c>
      <c r="G1885" t="s">
        <v>118</v>
      </c>
      <c r="H1885" t="s">
        <v>131</v>
      </c>
      <c r="I1885" t="s">
        <v>139</v>
      </c>
      <c r="J1885" t="s">
        <v>94</v>
      </c>
      <c r="K1885">
        <v>6</v>
      </c>
      <c r="L1885">
        <v>8700</v>
      </c>
      <c r="M1885">
        <v>52200</v>
      </c>
      <c r="N1885" t="s">
        <v>95</v>
      </c>
      <c r="O1885" t="s">
        <v>96</v>
      </c>
    </row>
    <row r="1886" spans="1:15" x14ac:dyDescent="0.25">
      <c r="A1886">
        <v>3711</v>
      </c>
      <c r="B1886" s="10">
        <v>45903</v>
      </c>
      <c r="C1886">
        <v>3</v>
      </c>
      <c r="D1886" t="s">
        <v>147</v>
      </c>
      <c r="E1886" t="s">
        <v>142</v>
      </c>
      <c r="F1886" t="s">
        <v>99</v>
      </c>
      <c r="G1886" t="s">
        <v>100</v>
      </c>
      <c r="H1886" t="s">
        <v>131</v>
      </c>
      <c r="I1886" t="s">
        <v>155</v>
      </c>
      <c r="J1886" t="s">
        <v>103</v>
      </c>
      <c r="K1886">
        <v>43</v>
      </c>
      <c r="L1886">
        <v>8700</v>
      </c>
      <c r="M1886">
        <v>374100</v>
      </c>
      <c r="N1886" t="s">
        <v>95</v>
      </c>
      <c r="O1886" t="s">
        <v>104</v>
      </c>
    </row>
    <row r="1887" spans="1:15" x14ac:dyDescent="0.25">
      <c r="A1887">
        <v>4336</v>
      </c>
      <c r="B1887" s="10">
        <v>46014</v>
      </c>
      <c r="C1887">
        <v>23</v>
      </c>
      <c r="D1887" t="s">
        <v>125</v>
      </c>
      <c r="E1887" t="s">
        <v>31</v>
      </c>
      <c r="F1887" t="s">
        <v>144</v>
      </c>
      <c r="G1887" t="s">
        <v>91</v>
      </c>
      <c r="H1887" t="s">
        <v>131</v>
      </c>
      <c r="I1887" t="s">
        <v>139</v>
      </c>
      <c r="J1887" t="s">
        <v>94</v>
      </c>
      <c r="K1887">
        <v>4</v>
      </c>
      <c r="L1887">
        <v>8700</v>
      </c>
      <c r="M1887">
        <v>34800</v>
      </c>
      <c r="N1887" t="s">
        <v>95</v>
      </c>
      <c r="O1887" t="s">
        <v>96</v>
      </c>
    </row>
    <row r="1888" spans="1:15" x14ac:dyDescent="0.25">
      <c r="A1888">
        <v>159</v>
      </c>
      <c r="B1888" s="10">
        <v>45869</v>
      </c>
      <c r="C1888">
        <v>31</v>
      </c>
      <c r="D1888" t="s">
        <v>145</v>
      </c>
      <c r="E1888" t="s">
        <v>150</v>
      </c>
      <c r="F1888" t="s">
        <v>141</v>
      </c>
      <c r="G1888" t="s">
        <v>100</v>
      </c>
      <c r="H1888" t="s">
        <v>131</v>
      </c>
      <c r="I1888" t="s">
        <v>155</v>
      </c>
      <c r="J1888" t="s">
        <v>103</v>
      </c>
      <c r="K1888">
        <v>11</v>
      </c>
      <c r="L1888">
        <v>8800</v>
      </c>
      <c r="M1888">
        <v>96800</v>
      </c>
      <c r="N1888" t="s">
        <v>108</v>
      </c>
      <c r="O1888" t="s">
        <v>115</v>
      </c>
    </row>
    <row r="1889" spans="1:15" x14ac:dyDescent="0.25">
      <c r="A1889">
        <v>719</v>
      </c>
      <c r="B1889" s="10">
        <v>45852</v>
      </c>
      <c r="C1889">
        <v>14</v>
      </c>
      <c r="D1889" t="s">
        <v>145</v>
      </c>
      <c r="E1889" t="s">
        <v>161</v>
      </c>
      <c r="F1889" t="s">
        <v>113</v>
      </c>
      <c r="G1889" t="s">
        <v>114</v>
      </c>
      <c r="H1889" t="s">
        <v>131</v>
      </c>
      <c r="I1889" t="s">
        <v>139</v>
      </c>
      <c r="J1889" t="s">
        <v>94</v>
      </c>
      <c r="K1889">
        <v>8</v>
      </c>
      <c r="L1889">
        <v>8800</v>
      </c>
      <c r="M1889">
        <v>70400</v>
      </c>
      <c r="N1889" t="s">
        <v>108</v>
      </c>
      <c r="O1889" t="s">
        <v>104</v>
      </c>
    </row>
    <row r="1890" spans="1:15" x14ac:dyDescent="0.25">
      <c r="A1890">
        <v>919</v>
      </c>
      <c r="B1890" s="10">
        <v>45919</v>
      </c>
      <c r="C1890">
        <v>19</v>
      </c>
      <c r="D1890" t="s">
        <v>147</v>
      </c>
      <c r="E1890" t="s">
        <v>116</v>
      </c>
      <c r="F1890" t="s">
        <v>36</v>
      </c>
      <c r="G1890" t="s">
        <v>100</v>
      </c>
      <c r="H1890" t="s">
        <v>131</v>
      </c>
      <c r="I1890" t="s">
        <v>139</v>
      </c>
      <c r="J1890" t="s">
        <v>94</v>
      </c>
      <c r="K1890">
        <v>5</v>
      </c>
      <c r="L1890">
        <v>8800</v>
      </c>
      <c r="M1890">
        <v>44000</v>
      </c>
      <c r="N1890" t="s">
        <v>108</v>
      </c>
      <c r="O1890" t="s">
        <v>115</v>
      </c>
    </row>
    <row r="1891" spans="1:15" x14ac:dyDescent="0.25">
      <c r="A1891">
        <v>1357</v>
      </c>
      <c r="B1891" s="10">
        <v>45850</v>
      </c>
      <c r="C1891">
        <v>12</v>
      </c>
      <c r="D1891" t="s">
        <v>145</v>
      </c>
      <c r="E1891" t="s">
        <v>138</v>
      </c>
      <c r="F1891" t="s">
        <v>148</v>
      </c>
      <c r="G1891" t="s">
        <v>118</v>
      </c>
      <c r="H1891" t="s">
        <v>131</v>
      </c>
      <c r="I1891" t="s">
        <v>139</v>
      </c>
      <c r="J1891" t="s">
        <v>94</v>
      </c>
      <c r="K1891">
        <v>7</v>
      </c>
      <c r="L1891">
        <v>8800</v>
      </c>
      <c r="M1891">
        <v>61600</v>
      </c>
      <c r="N1891" t="s">
        <v>108</v>
      </c>
      <c r="O1891" t="s">
        <v>96</v>
      </c>
    </row>
    <row r="1892" spans="1:15" x14ac:dyDescent="0.25">
      <c r="A1892">
        <v>1871</v>
      </c>
      <c r="B1892" s="10">
        <v>45990</v>
      </c>
      <c r="C1892">
        <v>29</v>
      </c>
      <c r="D1892" t="s">
        <v>90</v>
      </c>
      <c r="E1892" t="s">
        <v>121</v>
      </c>
      <c r="F1892" t="s">
        <v>144</v>
      </c>
      <c r="G1892" t="s">
        <v>91</v>
      </c>
      <c r="H1892" t="s">
        <v>131</v>
      </c>
      <c r="I1892" t="s">
        <v>155</v>
      </c>
      <c r="J1892" t="s">
        <v>103</v>
      </c>
      <c r="K1892">
        <v>48</v>
      </c>
      <c r="L1892">
        <v>8800</v>
      </c>
      <c r="M1892">
        <v>422400</v>
      </c>
      <c r="N1892" t="s">
        <v>108</v>
      </c>
      <c r="O1892" t="s">
        <v>115</v>
      </c>
    </row>
    <row r="1893" spans="1:15" x14ac:dyDescent="0.25">
      <c r="A1893">
        <v>2116</v>
      </c>
      <c r="B1893" s="10">
        <v>45826</v>
      </c>
      <c r="C1893">
        <v>18</v>
      </c>
      <c r="D1893" t="s">
        <v>153</v>
      </c>
      <c r="E1893" t="s">
        <v>98</v>
      </c>
      <c r="F1893" t="s">
        <v>49</v>
      </c>
      <c r="G1893" t="s">
        <v>118</v>
      </c>
      <c r="H1893" t="s">
        <v>131</v>
      </c>
      <c r="I1893" t="s">
        <v>139</v>
      </c>
      <c r="J1893" t="s">
        <v>94</v>
      </c>
      <c r="K1893">
        <v>3</v>
      </c>
      <c r="L1893">
        <v>8800</v>
      </c>
      <c r="M1893">
        <v>26400</v>
      </c>
      <c r="N1893" t="s">
        <v>108</v>
      </c>
      <c r="O1893" t="s">
        <v>104</v>
      </c>
    </row>
    <row r="1894" spans="1:15" x14ac:dyDescent="0.25">
      <c r="A1894">
        <v>2211</v>
      </c>
      <c r="B1894" s="10">
        <v>45669</v>
      </c>
      <c r="C1894">
        <v>12</v>
      </c>
      <c r="D1894" t="s">
        <v>130</v>
      </c>
      <c r="E1894" t="s">
        <v>98</v>
      </c>
      <c r="F1894" t="s">
        <v>28</v>
      </c>
      <c r="G1894" t="s">
        <v>126</v>
      </c>
      <c r="H1894" t="s">
        <v>131</v>
      </c>
      <c r="I1894" t="s">
        <v>155</v>
      </c>
      <c r="J1894" t="s">
        <v>103</v>
      </c>
      <c r="K1894">
        <v>31</v>
      </c>
      <c r="L1894">
        <v>8800</v>
      </c>
      <c r="M1894">
        <v>272800</v>
      </c>
      <c r="N1894" t="s">
        <v>108</v>
      </c>
      <c r="O1894" t="s">
        <v>115</v>
      </c>
    </row>
    <row r="1895" spans="1:15" x14ac:dyDescent="0.25">
      <c r="A1895">
        <v>2889</v>
      </c>
      <c r="B1895" s="10">
        <v>45934</v>
      </c>
      <c r="C1895">
        <v>4</v>
      </c>
      <c r="D1895" t="s">
        <v>136</v>
      </c>
      <c r="E1895" t="s">
        <v>150</v>
      </c>
      <c r="F1895" t="s">
        <v>28</v>
      </c>
      <c r="G1895" t="s">
        <v>126</v>
      </c>
      <c r="H1895" t="s">
        <v>131</v>
      </c>
      <c r="I1895" t="s">
        <v>139</v>
      </c>
      <c r="J1895" t="s">
        <v>94</v>
      </c>
      <c r="K1895">
        <v>2</v>
      </c>
      <c r="L1895">
        <v>8800</v>
      </c>
      <c r="M1895">
        <v>17600</v>
      </c>
      <c r="N1895" t="s">
        <v>95</v>
      </c>
      <c r="O1895" t="s">
        <v>96</v>
      </c>
    </row>
    <row r="1896" spans="1:15" x14ac:dyDescent="0.25">
      <c r="A1896">
        <v>3003</v>
      </c>
      <c r="B1896" s="10">
        <v>46005</v>
      </c>
      <c r="C1896">
        <v>14</v>
      </c>
      <c r="D1896" t="s">
        <v>125</v>
      </c>
      <c r="E1896" t="s">
        <v>142</v>
      </c>
      <c r="F1896" t="s">
        <v>44</v>
      </c>
      <c r="G1896" t="s">
        <v>111</v>
      </c>
      <c r="H1896" t="s">
        <v>131</v>
      </c>
      <c r="I1896" t="s">
        <v>139</v>
      </c>
      <c r="J1896" t="s">
        <v>94</v>
      </c>
      <c r="K1896">
        <v>7</v>
      </c>
      <c r="L1896">
        <v>8800</v>
      </c>
      <c r="M1896">
        <v>61600</v>
      </c>
      <c r="N1896" t="s">
        <v>95</v>
      </c>
      <c r="O1896" t="s">
        <v>104</v>
      </c>
    </row>
    <row r="1897" spans="1:15" x14ac:dyDescent="0.25">
      <c r="A1897">
        <v>3163</v>
      </c>
      <c r="B1897" s="10">
        <v>45682</v>
      </c>
      <c r="C1897">
        <v>25</v>
      </c>
      <c r="D1897" t="s">
        <v>130</v>
      </c>
      <c r="E1897" t="s">
        <v>98</v>
      </c>
      <c r="F1897" t="s">
        <v>151</v>
      </c>
      <c r="G1897" t="s">
        <v>111</v>
      </c>
      <c r="H1897" t="s">
        <v>131</v>
      </c>
      <c r="I1897" t="s">
        <v>139</v>
      </c>
      <c r="J1897" t="s">
        <v>94</v>
      </c>
      <c r="K1897">
        <v>5</v>
      </c>
      <c r="L1897">
        <v>8800</v>
      </c>
      <c r="M1897">
        <v>44000</v>
      </c>
      <c r="N1897" t="s">
        <v>95</v>
      </c>
      <c r="O1897" t="s">
        <v>96</v>
      </c>
    </row>
    <row r="1898" spans="1:15" x14ac:dyDescent="0.25">
      <c r="A1898">
        <v>3218</v>
      </c>
      <c r="B1898" s="10">
        <v>45728</v>
      </c>
      <c r="C1898">
        <v>12</v>
      </c>
      <c r="D1898" t="s">
        <v>140</v>
      </c>
      <c r="E1898" t="s">
        <v>106</v>
      </c>
      <c r="F1898" t="s">
        <v>44</v>
      </c>
      <c r="G1898" t="s">
        <v>111</v>
      </c>
      <c r="H1898" t="s">
        <v>131</v>
      </c>
      <c r="I1898" t="s">
        <v>139</v>
      </c>
      <c r="J1898" t="s">
        <v>94</v>
      </c>
      <c r="K1898">
        <v>10</v>
      </c>
      <c r="L1898">
        <v>8800</v>
      </c>
      <c r="M1898">
        <v>88000</v>
      </c>
      <c r="N1898" t="s">
        <v>95</v>
      </c>
      <c r="O1898" t="s">
        <v>96</v>
      </c>
    </row>
    <row r="1899" spans="1:15" x14ac:dyDescent="0.25">
      <c r="A1899">
        <v>3500</v>
      </c>
      <c r="B1899" s="10">
        <v>45889</v>
      </c>
      <c r="C1899">
        <v>20</v>
      </c>
      <c r="D1899" t="s">
        <v>109</v>
      </c>
      <c r="E1899" t="s">
        <v>98</v>
      </c>
      <c r="F1899" t="s">
        <v>148</v>
      </c>
      <c r="G1899" t="s">
        <v>118</v>
      </c>
      <c r="H1899" t="s">
        <v>131</v>
      </c>
      <c r="I1899" t="s">
        <v>139</v>
      </c>
      <c r="J1899" t="s">
        <v>94</v>
      </c>
      <c r="K1899">
        <v>9</v>
      </c>
      <c r="L1899">
        <v>8800</v>
      </c>
      <c r="M1899">
        <v>79200</v>
      </c>
      <c r="N1899" t="s">
        <v>108</v>
      </c>
      <c r="O1899" t="s">
        <v>115</v>
      </c>
    </row>
    <row r="1900" spans="1:15" x14ac:dyDescent="0.25">
      <c r="A1900">
        <v>3534</v>
      </c>
      <c r="B1900" s="10">
        <v>45970</v>
      </c>
      <c r="C1900">
        <v>9</v>
      </c>
      <c r="D1900" t="s">
        <v>90</v>
      </c>
      <c r="E1900" t="s">
        <v>142</v>
      </c>
      <c r="F1900" t="s">
        <v>113</v>
      </c>
      <c r="G1900" t="s">
        <v>114</v>
      </c>
      <c r="H1900" t="s">
        <v>131</v>
      </c>
      <c r="I1900" t="s">
        <v>155</v>
      </c>
      <c r="J1900" t="s">
        <v>103</v>
      </c>
      <c r="K1900">
        <v>31</v>
      </c>
      <c r="L1900">
        <v>8800</v>
      </c>
      <c r="M1900">
        <v>272800</v>
      </c>
      <c r="N1900" t="s">
        <v>108</v>
      </c>
      <c r="O1900" t="s">
        <v>104</v>
      </c>
    </row>
    <row r="1901" spans="1:15" x14ac:dyDescent="0.25">
      <c r="A1901">
        <v>3729</v>
      </c>
      <c r="B1901" s="10">
        <v>45887</v>
      </c>
      <c r="C1901">
        <v>18</v>
      </c>
      <c r="D1901" t="s">
        <v>109</v>
      </c>
      <c r="E1901" t="s">
        <v>31</v>
      </c>
      <c r="F1901" t="s">
        <v>113</v>
      </c>
      <c r="G1901" t="s">
        <v>114</v>
      </c>
      <c r="H1901" t="s">
        <v>131</v>
      </c>
      <c r="I1901" t="s">
        <v>155</v>
      </c>
      <c r="J1901" t="s">
        <v>103</v>
      </c>
      <c r="K1901">
        <v>31</v>
      </c>
      <c r="L1901">
        <v>8800</v>
      </c>
      <c r="M1901">
        <v>272800</v>
      </c>
      <c r="N1901" t="s">
        <v>108</v>
      </c>
      <c r="O1901" t="s">
        <v>96</v>
      </c>
    </row>
    <row r="1902" spans="1:15" x14ac:dyDescent="0.25">
      <c r="A1902">
        <v>3854</v>
      </c>
      <c r="B1902" s="10">
        <v>45814</v>
      </c>
      <c r="C1902">
        <v>6</v>
      </c>
      <c r="D1902" t="s">
        <v>153</v>
      </c>
      <c r="E1902" t="s">
        <v>106</v>
      </c>
      <c r="F1902" t="s">
        <v>117</v>
      </c>
      <c r="G1902" t="s">
        <v>118</v>
      </c>
      <c r="H1902" t="s">
        <v>131</v>
      </c>
      <c r="I1902" t="s">
        <v>155</v>
      </c>
      <c r="J1902" t="s">
        <v>103</v>
      </c>
      <c r="K1902">
        <v>11</v>
      </c>
      <c r="L1902">
        <v>8800</v>
      </c>
      <c r="M1902">
        <v>96800</v>
      </c>
      <c r="N1902" t="s">
        <v>108</v>
      </c>
      <c r="O1902" t="s">
        <v>115</v>
      </c>
    </row>
    <row r="1903" spans="1:15" x14ac:dyDescent="0.25">
      <c r="A1903">
        <v>3895</v>
      </c>
      <c r="B1903" s="10">
        <v>45935</v>
      </c>
      <c r="C1903">
        <v>5</v>
      </c>
      <c r="D1903" t="s">
        <v>136</v>
      </c>
      <c r="E1903" t="s">
        <v>106</v>
      </c>
      <c r="F1903" t="s">
        <v>144</v>
      </c>
      <c r="G1903" t="s">
        <v>91</v>
      </c>
      <c r="H1903" t="s">
        <v>131</v>
      </c>
      <c r="I1903" t="s">
        <v>139</v>
      </c>
      <c r="J1903" t="s">
        <v>94</v>
      </c>
      <c r="K1903">
        <v>1</v>
      </c>
      <c r="L1903">
        <v>8800</v>
      </c>
      <c r="M1903">
        <v>8800</v>
      </c>
      <c r="N1903" t="s">
        <v>108</v>
      </c>
      <c r="O1903" t="s">
        <v>115</v>
      </c>
    </row>
    <row r="1904" spans="1:15" x14ac:dyDescent="0.25">
      <c r="A1904">
        <v>3929</v>
      </c>
      <c r="B1904" s="10">
        <v>45711</v>
      </c>
      <c r="C1904">
        <v>23</v>
      </c>
      <c r="D1904" t="s">
        <v>97</v>
      </c>
      <c r="E1904" t="s">
        <v>31</v>
      </c>
      <c r="F1904" t="s">
        <v>22</v>
      </c>
      <c r="G1904" t="s">
        <v>91</v>
      </c>
      <c r="H1904" t="s">
        <v>131</v>
      </c>
      <c r="I1904" t="s">
        <v>155</v>
      </c>
      <c r="J1904" t="s">
        <v>103</v>
      </c>
      <c r="K1904">
        <v>24</v>
      </c>
      <c r="L1904">
        <v>8800</v>
      </c>
      <c r="M1904">
        <v>211200</v>
      </c>
      <c r="N1904" t="s">
        <v>108</v>
      </c>
      <c r="O1904" t="s">
        <v>115</v>
      </c>
    </row>
    <row r="1905" spans="1:15" x14ac:dyDescent="0.25">
      <c r="A1905">
        <v>4079</v>
      </c>
      <c r="B1905" s="10">
        <v>45787</v>
      </c>
      <c r="C1905">
        <v>10</v>
      </c>
      <c r="D1905" t="s">
        <v>120</v>
      </c>
      <c r="E1905" t="s">
        <v>137</v>
      </c>
      <c r="F1905" t="s">
        <v>28</v>
      </c>
      <c r="G1905" t="s">
        <v>126</v>
      </c>
      <c r="H1905" t="s">
        <v>131</v>
      </c>
      <c r="I1905" t="s">
        <v>139</v>
      </c>
      <c r="J1905" t="s">
        <v>94</v>
      </c>
      <c r="K1905">
        <v>7</v>
      </c>
      <c r="L1905">
        <v>8800</v>
      </c>
      <c r="M1905">
        <v>61600</v>
      </c>
      <c r="N1905" t="s">
        <v>95</v>
      </c>
      <c r="O1905" t="s">
        <v>104</v>
      </c>
    </row>
    <row r="1906" spans="1:15" x14ac:dyDescent="0.25">
      <c r="A1906">
        <v>4901</v>
      </c>
      <c r="B1906" s="10">
        <v>45995</v>
      </c>
      <c r="C1906">
        <v>4</v>
      </c>
      <c r="D1906" t="s">
        <v>125</v>
      </c>
      <c r="E1906" t="s">
        <v>112</v>
      </c>
      <c r="F1906" t="s">
        <v>36</v>
      </c>
      <c r="G1906" t="s">
        <v>100</v>
      </c>
      <c r="H1906" t="s">
        <v>131</v>
      </c>
      <c r="I1906" t="s">
        <v>139</v>
      </c>
      <c r="J1906" t="s">
        <v>94</v>
      </c>
      <c r="K1906">
        <v>3</v>
      </c>
      <c r="L1906">
        <v>8800</v>
      </c>
      <c r="M1906">
        <v>26400</v>
      </c>
      <c r="N1906" t="s">
        <v>95</v>
      </c>
      <c r="O1906" t="s">
        <v>96</v>
      </c>
    </row>
    <row r="1907" spans="1:15" x14ac:dyDescent="0.25">
      <c r="A1907">
        <v>465</v>
      </c>
      <c r="B1907" s="10">
        <v>45817</v>
      </c>
      <c r="C1907">
        <v>9</v>
      </c>
      <c r="D1907" t="s">
        <v>153</v>
      </c>
      <c r="E1907" t="s">
        <v>116</v>
      </c>
      <c r="F1907" t="s">
        <v>141</v>
      </c>
      <c r="G1907" t="s">
        <v>100</v>
      </c>
      <c r="H1907" t="s">
        <v>131</v>
      </c>
      <c r="I1907" t="s">
        <v>139</v>
      </c>
      <c r="J1907" t="s">
        <v>94</v>
      </c>
      <c r="K1907">
        <v>3</v>
      </c>
      <c r="L1907">
        <v>8900</v>
      </c>
      <c r="M1907">
        <v>26700</v>
      </c>
      <c r="N1907" t="s">
        <v>108</v>
      </c>
      <c r="O1907" t="s">
        <v>96</v>
      </c>
    </row>
    <row r="1908" spans="1:15" x14ac:dyDescent="0.25">
      <c r="A1908">
        <v>537</v>
      </c>
      <c r="B1908" s="10">
        <v>45998</v>
      </c>
      <c r="C1908">
        <v>7</v>
      </c>
      <c r="D1908" t="s">
        <v>125</v>
      </c>
      <c r="E1908" t="s">
        <v>25</v>
      </c>
      <c r="F1908" t="s">
        <v>144</v>
      </c>
      <c r="G1908" t="s">
        <v>91</v>
      </c>
      <c r="H1908" t="s">
        <v>131</v>
      </c>
      <c r="I1908" t="s">
        <v>155</v>
      </c>
      <c r="J1908" t="s">
        <v>103</v>
      </c>
      <c r="K1908">
        <v>48</v>
      </c>
      <c r="L1908">
        <v>8900</v>
      </c>
      <c r="M1908">
        <v>427200</v>
      </c>
      <c r="N1908" t="s">
        <v>108</v>
      </c>
      <c r="O1908" t="s">
        <v>96</v>
      </c>
    </row>
    <row r="1909" spans="1:15" x14ac:dyDescent="0.25">
      <c r="A1909">
        <v>2392</v>
      </c>
      <c r="B1909" s="10">
        <v>45928</v>
      </c>
      <c r="C1909">
        <v>28</v>
      </c>
      <c r="D1909" t="s">
        <v>147</v>
      </c>
      <c r="E1909" t="s">
        <v>98</v>
      </c>
      <c r="F1909" t="s">
        <v>113</v>
      </c>
      <c r="G1909" t="s">
        <v>114</v>
      </c>
      <c r="H1909" t="s">
        <v>131</v>
      </c>
      <c r="I1909" t="s">
        <v>155</v>
      </c>
      <c r="J1909" t="s">
        <v>103</v>
      </c>
      <c r="K1909">
        <v>43</v>
      </c>
      <c r="L1909">
        <v>8900</v>
      </c>
      <c r="M1909">
        <v>382700</v>
      </c>
      <c r="N1909" t="s">
        <v>108</v>
      </c>
      <c r="O1909" t="s">
        <v>115</v>
      </c>
    </row>
    <row r="1910" spans="1:15" x14ac:dyDescent="0.25">
      <c r="A1910">
        <v>2555</v>
      </c>
      <c r="B1910" s="10">
        <v>45688</v>
      </c>
      <c r="C1910">
        <v>31</v>
      </c>
      <c r="D1910" t="s">
        <v>130</v>
      </c>
      <c r="E1910" t="s">
        <v>31</v>
      </c>
      <c r="F1910" t="s">
        <v>107</v>
      </c>
      <c r="G1910" t="s">
        <v>100</v>
      </c>
      <c r="H1910" t="s">
        <v>131</v>
      </c>
      <c r="I1910" t="s">
        <v>155</v>
      </c>
      <c r="J1910" t="s">
        <v>103</v>
      </c>
      <c r="K1910">
        <v>21</v>
      </c>
      <c r="L1910">
        <v>8900</v>
      </c>
      <c r="M1910">
        <v>186900</v>
      </c>
      <c r="N1910" t="s">
        <v>95</v>
      </c>
      <c r="O1910" t="s">
        <v>96</v>
      </c>
    </row>
    <row r="1911" spans="1:15" x14ac:dyDescent="0.25">
      <c r="A1911">
        <v>2570</v>
      </c>
      <c r="B1911" s="10">
        <v>45963</v>
      </c>
      <c r="C1911">
        <v>2</v>
      </c>
      <c r="D1911" t="s">
        <v>90</v>
      </c>
      <c r="E1911" t="s">
        <v>138</v>
      </c>
      <c r="F1911" t="s">
        <v>22</v>
      </c>
      <c r="G1911" t="s">
        <v>91</v>
      </c>
      <c r="H1911" t="s">
        <v>131</v>
      </c>
      <c r="I1911" t="s">
        <v>139</v>
      </c>
      <c r="J1911" t="s">
        <v>94</v>
      </c>
      <c r="K1911">
        <v>6</v>
      </c>
      <c r="L1911">
        <v>8900</v>
      </c>
      <c r="M1911">
        <v>53400</v>
      </c>
      <c r="N1911" t="s">
        <v>95</v>
      </c>
      <c r="O1911" t="s">
        <v>104</v>
      </c>
    </row>
    <row r="1912" spans="1:15" x14ac:dyDescent="0.25">
      <c r="A1912">
        <v>2664</v>
      </c>
      <c r="B1912" s="10">
        <v>45683</v>
      </c>
      <c r="C1912">
        <v>26</v>
      </c>
      <c r="D1912" t="s">
        <v>130</v>
      </c>
      <c r="E1912" t="s">
        <v>25</v>
      </c>
      <c r="F1912" t="s">
        <v>36</v>
      </c>
      <c r="G1912" t="s">
        <v>100</v>
      </c>
      <c r="H1912" t="s">
        <v>131</v>
      </c>
      <c r="I1912" t="s">
        <v>155</v>
      </c>
      <c r="J1912" t="s">
        <v>103</v>
      </c>
      <c r="K1912">
        <v>24</v>
      </c>
      <c r="L1912">
        <v>8900</v>
      </c>
      <c r="M1912">
        <v>213600</v>
      </c>
      <c r="N1912" t="s">
        <v>108</v>
      </c>
      <c r="O1912" t="s">
        <v>96</v>
      </c>
    </row>
    <row r="1913" spans="1:15" x14ac:dyDescent="0.25">
      <c r="A1913">
        <v>3322</v>
      </c>
      <c r="B1913" s="10">
        <v>45943</v>
      </c>
      <c r="C1913">
        <v>13</v>
      </c>
      <c r="D1913" t="s">
        <v>136</v>
      </c>
      <c r="E1913" t="s">
        <v>128</v>
      </c>
      <c r="F1913" t="s">
        <v>49</v>
      </c>
      <c r="G1913" t="s">
        <v>118</v>
      </c>
      <c r="H1913" t="s">
        <v>131</v>
      </c>
      <c r="I1913" t="s">
        <v>155</v>
      </c>
      <c r="J1913" t="s">
        <v>103</v>
      </c>
      <c r="K1913">
        <v>34</v>
      </c>
      <c r="L1913">
        <v>8900</v>
      </c>
      <c r="M1913">
        <v>302600</v>
      </c>
      <c r="N1913" t="s">
        <v>95</v>
      </c>
      <c r="O1913" t="s">
        <v>96</v>
      </c>
    </row>
    <row r="1914" spans="1:15" x14ac:dyDescent="0.25">
      <c r="A1914">
        <v>3377</v>
      </c>
      <c r="B1914" s="10">
        <v>45972</v>
      </c>
      <c r="C1914">
        <v>11</v>
      </c>
      <c r="D1914" t="s">
        <v>90</v>
      </c>
      <c r="E1914" t="s">
        <v>142</v>
      </c>
      <c r="F1914" t="s">
        <v>141</v>
      </c>
      <c r="G1914" t="s">
        <v>100</v>
      </c>
      <c r="H1914" t="s">
        <v>131</v>
      </c>
      <c r="I1914" t="s">
        <v>139</v>
      </c>
      <c r="J1914" t="s">
        <v>94</v>
      </c>
      <c r="K1914">
        <v>7</v>
      </c>
      <c r="L1914">
        <v>8900</v>
      </c>
      <c r="M1914">
        <v>62300</v>
      </c>
      <c r="N1914" t="s">
        <v>108</v>
      </c>
      <c r="O1914" t="s">
        <v>96</v>
      </c>
    </row>
    <row r="1915" spans="1:15" x14ac:dyDescent="0.25">
      <c r="A1915">
        <v>3482</v>
      </c>
      <c r="B1915" s="10">
        <v>45731</v>
      </c>
      <c r="C1915">
        <v>15</v>
      </c>
      <c r="D1915" t="s">
        <v>140</v>
      </c>
      <c r="E1915" t="s">
        <v>133</v>
      </c>
      <c r="F1915" t="s">
        <v>36</v>
      </c>
      <c r="G1915" t="s">
        <v>100</v>
      </c>
      <c r="H1915" t="s">
        <v>37</v>
      </c>
      <c r="I1915" t="s">
        <v>160</v>
      </c>
      <c r="J1915" t="s">
        <v>103</v>
      </c>
      <c r="K1915">
        <v>19</v>
      </c>
      <c r="L1915">
        <v>8900</v>
      </c>
      <c r="M1915">
        <v>169100</v>
      </c>
      <c r="N1915" t="s">
        <v>95</v>
      </c>
      <c r="O1915" t="s">
        <v>115</v>
      </c>
    </row>
    <row r="1916" spans="1:15" x14ac:dyDescent="0.25">
      <c r="A1916">
        <v>4060</v>
      </c>
      <c r="B1916" s="10">
        <v>45951</v>
      </c>
      <c r="C1916">
        <v>21</v>
      </c>
      <c r="D1916" t="s">
        <v>136</v>
      </c>
      <c r="E1916" t="s">
        <v>142</v>
      </c>
      <c r="F1916" t="s">
        <v>22</v>
      </c>
      <c r="G1916" t="s">
        <v>91</v>
      </c>
      <c r="H1916" t="s">
        <v>131</v>
      </c>
      <c r="I1916" t="s">
        <v>139</v>
      </c>
      <c r="J1916" t="s">
        <v>94</v>
      </c>
      <c r="K1916">
        <v>5</v>
      </c>
      <c r="L1916">
        <v>8900</v>
      </c>
      <c r="M1916">
        <v>44500</v>
      </c>
      <c r="N1916" t="s">
        <v>108</v>
      </c>
      <c r="O1916" t="s">
        <v>104</v>
      </c>
    </row>
    <row r="1917" spans="1:15" x14ac:dyDescent="0.25">
      <c r="A1917">
        <v>4168</v>
      </c>
      <c r="B1917" s="10">
        <v>45925</v>
      </c>
      <c r="C1917">
        <v>25</v>
      </c>
      <c r="D1917" t="s">
        <v>147</v>
      </c>
      <c r="E1917" t="s">
        <v>110</v>
      </c>
      <c r="F1917" t="s">
        <v>117</v>
      </c>
      <c r="G1917" t="s">
        <v>118</v>
      </c>
      <c r="H1917" t="s">
        <v>131</v>
      </c>
      <c r="I1917" t="s">
        <v>139</v>
      </c>
      <c r="J1917" t="s">
        <v>94</v>
      </c>
      <c r="K1917">
        <v>9</v>
      </c>
      <c r="L1917">
        <v>8900</v>
      </c>
      <c r="M1917">
        <v>80100</v>
      </c>
      <c r="N1917" t="s">
        <v>95</v>
      </c>
      <c r="O1917" t="s">
        <v>115</v>
      </c>
    </row>
    <row r="1918" spans="1:15" x14ac:dyDescent="0.25">
      <c r="A1918">
        <v>4582</v>
      </c>
      <c r="B1918" s="10">
        <v>45885</v>
      </c>
      <c r="C1918">
        <v>16</v>
      </c>
      <c r="D1918" t="s">
        <v>109</v>
      </c>
      <c r="E1918" t="s">
        <v>98</v>
      </c>
      <c r="F1918" t="s">
        <v>99</v>
      </c>
      <c r="G1918" t="s">
        <v>100</v>
      </c>
      <c r="H1918" t="s">
        <v>131</v>
      </c>
      <c r="I1918" t="s">
        <v>155</v>
      </c>
      <c r="J1918" t="s">
        <v>103</v>
      </c>
      <c r="K1918">
        <v>42</v>
      </c>
      <c r="L1918">
        <v>8900</v>
      </c>
      <c r="M1918">
        <v>373800</v>
      </c>
      <c r="N1918" t="s">
        <v>108</v>
      </c>
      <c r="O1918" t="s">
        <v>115</v>
      </c>
    </row>
    <row r="1919" spans="1:15" x14ac:dyDescent="0.25">
      <c r="A1919">
        <v>4851</v>
      </c>
      <c r="B1919" s="10">
        <v>45696</v>
      </c>
      <c r="C1919">
        <v>8</v>
      </c>
      <c r="D1919" t="s">
        <v>97</v>
      </c>
      <c r="E1919" t="s">
        <v>112</v>
      </c>
      <c r="F1919" t="s">
        <v>113</v>
      </c>
      <c r="G1919" t="s">
        <v>114</v>
      </c>
      <c r="H1919" t="s">
        <v>29</v>
      </c>
      <c r="I1919" t="s">
        <v>163</v>
      </c>
      <c r="J1919" t="s">
        <v>103</v>
      </c>
      <c r="K1919">
        <v>16</v>
      </c>
      <c r="L1919">
        <v>8900</v>
      </c>
      <c r="M1919">
        <v>142400</v>
      </c>
      <c r="N1919" t="s">
        <v>95</v>
      </c>
      <c r="O1919" t="s">
        <v>96</v>
      </c>
    </row>
    <row r="1920" spans="1:15" x14ac:dyDescent="0.25">
      <c r="A1920">
        <v>170</v>
      </c>
      <c r="B1920" s="10">
        <v>45875</v>
      </c>
      <c r="C1920">
        <v>6</v>
      </c>
      <c r="D1920" t="s">
        <v>109</v>
      </c>
      <c r="E1920" t="s">
        <v>133</v>
      </c>
      <c r="F1920" t="s">
        <v>148</v>
      </c>
      <c r="G1920" t="s">
        <v>118</v>
      </c>
      <c r="H1920" t="s">
        <v>131</v>
      </c>
      <c r="I1920" t="s">
        <v>155</v>
      </c>
      <c r="J1920" t="s">
        <v>103</v>
      </c>
      <c r="K1920">
        <v>18</v>
      </c>
      <c r="L1920">
        <v>9000</v>
      </c>
      <c r="M1920">
        <v>162000</v>
      </c>
      <c r="N1920" t="s">
        <v>95</v>
      </c>
      <c r="O1920" t="s">
        <v>115</v>
      </c>
    </row>
    <row r="1921" spans="1:15" x14ac:dyDescent="0.25">
      <c r="A1921">
        <v>217</v>
      </c>
      <c r="B1921" s="10">
        <v>45721</v>
      </c>
      <c r="C1921">
        <v>5</v>
      </c>
      <c r="D1921" t="s">
        <v>140</v>
      </c>
      <c r="E1921" t="s">
        <v>112</v>
      </c>
      <c r="F1921" t="s">
        <v>113</v>
      </c>
      <c r="G1921" t="s">
        <v>114</v>
      </c>
      <c r="H1921" t="s">
        <v>131</v>
      </c>
      <c r="I1921" t="s">
        <v>155</v>
      </c>
      <c r="J1921" t="s">
        <v>103</v>
      </c>
      <c r="K1921">
        <v>29</v>
      </c>
      <c r="L1921">
        <v>9000</v>
      </c>
      <c r="M1921">
        <v>261000</v>
      </c>
      <c r="N1921" t="s">
        <v>108</v>
      </c>
      <c r="O1921" t="s">
        <v>104</v>
      </c>
    </row>
    <row r="1922" spans="1:15" x14ac:dyDescent="0.25">
      <c r="A1922">
        <v>316</v>
      </c>
      <c r="B1922" s="10">
        <v>45661</v>
      </c>
      <c r="C1922">
        <v>4</v>
      </c>
      <c r="D1922" t="s">
        <v>130</v>
      </c>
      <c r="E1922" t="s">
        <v>137</v>
      </c>
      <c r="F1922" t="s">
        <v>107</v>
      </c>
      <c r="G1922" t="s">
        <v>100</v>
      </c>
      <c r="H1922" t="s">
        <v>131</v>
      </c>
      <c r="I1922" t="s">
        <v>139</v>
      </c>
      <c r="J1922" t="s">
        <v>94</v>
      </c>
      <c r="K1922">
        <v>9</v>
      </c>
      <c r="L1922">
        <v>9000</v>
      </c>
      <c r="M1922">
        <v>81000</v>
      </c>
      <c r="N1922" t="s">
        <v>108</v>
      </c>
      <c r="O1922" t="s">
        <v>96</v>
      </c>
    </row>
    <row r="1923" spans="1:15" x14ac:dyDescent="0.25">
      <c r="A1923">
        <v>924</v>
      </c>
      <c r="B1923" s="10">
        <v>45854</v>
      </c>
      <c r="C1923">
        <v>16</v>
      </c>
      <c r="D1923" t="s">
        <v>145</v>
      </c>
      <c r="E1923" t="s">
        <v>133</v>
      </c>
      <c r="F1923" t="s">
        <v>113</v>
      </c>
      <c r="G1923" t="s">
        <v>114</v>
      </c>
      <c r="H1923" t="s">
        <v>131</v>
      </c>
      <c r="I1923" t="s">
        <v>155</v>
      </c>
      <c r="J1923" t="s">
        <v>103</v>
      </c>
      <c r="K1923">
        <v>7</v>
      </c>
      <c r="L1923">
        <v>9000</v>
      </c>
      <c r="M1923">
        <v>63000</v>
      </c>
      <c r="N1923" t="s">
        <v>95</v>
      </c>
      <c r="O1923" t="s">
        <v>104</v>
      </c>
    </row>
    <row r="1924" spans="1:15" x14ac:dyDescent="0.25">
      <c r="A1924">
        <v>994</v>
      </c>
      <c r="B1924" s="10">
        <v>45920</v>
      </c>
      <c r="C1924">
        <v>20</v>
      </c>
      <c r="D1924" t="s">
        <v>147</v>
      </c>
      <c r="E1924" t="s">
        <v>106</v>
      </c>
      <c r="F1924" t="s">
        <v>151</v>
      </c>
      <c r="G1924" t="s">
        <v>111</v>
      </c>
      <c r="H1924" t="s">
        <v>131</v>
      </c>
      <c r="I1924" t="s">
        <v>155</v>
      </c>
      <c r="J1924" t="s">
        <v>103</v>
      </c>
      <c r="K1924">
        <v>22</v>
      </c>
      <c r="L1924">
        <v>9000</v>
      </c>
      <c r="M1924">
        <v>198000</v>
      </c>
      <c r="N1924" t="s">
        <v>108</v>
      </c>
      <c r="O1924" t="s">
        <v>104</v>
      </c>
    </row>
    <row r="1925" spans="1:15" x14ac:dyDescent="0.25">
      <c r="A1925">
        <v>1023</v>
      </c>
      <c r="B1925" s="10">
        <v>45683</v>
      </c>
      <c r="C1925">
        <v>26</v>
      </c>
      <c r="D1925" t="s">
        <v>130</v>
      </c>
      <c r="E1925" t="s">
        <v>128</v>
      </c>
      <c r="F1925" t="s">
        <v>151</v>
      </c>
      <c r="G1925" t="s">
        <v>111</v>
      </c>
      <c r="H1925" t="s">
        <v>131</v>
      </c>
      <c r="I1925" t="s">
        <v>139</v>
      </c>
      <c r="J1925" t="s">
        <v>94</v>
      </c>
      <c r="K1925">
        <v>10</v>
      </c>
      <c r="L1925">
        <v>9000</v>
      </c>
      <c r="M1925">
        <v>90000</v>
      </c>
      <c r="N1925" t="s">
        <v>95</v>
      </c>
      <c r="O1925" t="s">
        <v>96</v>
      </c>
    </row>
    <row r="1926" spans="1:15" x14ac:dyDescent="0.25">
      <c r="A1926">
        <v>1584</v>
      </c>
      <c r="B1926" s="10">
        <v>46018</v>
      </c>
      <c r="C1926">
        <v>27</v>
      </c>
      <c r="D1926" t="s">
        <v>125</v>
      </c>
      <c r="E1926" t="s">
        <v>112</v>
      </c>
      <c r="F1926" t="s">
        <v>99</v>
      </c>
      <c r="G1926" t="s">
        <v>100</v>
      </c>
      <c r="H1926" t="s">
        <v>131</v>
      </c>
      <c r="I1926" t="s">
        <v>139</v>
      </c>
      <c r="J1926" t="s">
        <v>94</v>
      </c>
      <c r="K1926">
        <v>9</v>
      </c>
      <c r="L1926">
        <v>9000</v>
      </c>
      <c r="M1926">
        <v>81000</v>
      </c>
      <c r="N1926" t="s">
        <v>95</v>
      </c>
      <c r="O1926" t="s">
        <v>104</v>
      </c>
    </row>
    <row r="1927" spans="1:15" x14ac:dyDescent="0.25">
      <c r="A1927">
        <v>1839</v>
      </c>
      <c r="B1927" s="10">
        <v>45734</v>
      </c>
      <c r="C1927">
        <v>18</v>
      </c>
      <c r="D1927" t="s">
        <v>140</v>
      </c>
      <c r="E1927" t="s">
        <v>121</v>
      </c>
      <c r="F1927" t="s">
        <v>141</v>
      </c>
      <c r="G1927" t="s">
        <v>100</v>
      </c>
      <c r="H1927" t="s">
        <v>131</v>
      </c>
      <c r="I1927" t="s">
        <v>139</v>
      </c>
      <c r="J1927" t="s">
        <v>94</v>
      </c>
      <c r="K1927">
        <v>9</v>
      </c>
      <c r="L1927">
        <v>9000</v>
      </c>
      <c r="M1927">
        <v>81000</v>
      </c>
      <c r="N1927" t="s">
        <v>95</v>
      </c>
      <c r="O1927" t="s">
        <v>115</v>
      </c>
    </row>
    <row r="1928" spans="1:15" x14ac:dyDescent="0.25">
      <c r="A1928">
        <v>1856</v>
      </c>
      <c r="B1928" s="10">
        <v>45663</v>
      </c>
      <c r="C1928">
        <v>6</v>
      </c>
      <c r="D1928" t="s">
        <v>130</v>
      </c>
      <c r="E1928" t="s">
        <v>142</v>
      </c>
      <c r="F1928" t="s">
        <v>141</v>
      </c>
      <c r="G1928" t="s">
        <v>100</v>
      </c>
      <c r="H1928" t="s">
        <v>131</v>
      </c>
      <c r="I1928" t="s">
        <v>155</v>
      </c>
      <c r="J1928" t="s">
        <v>103</v>
      </c>
      <c r="K1928">
        <v>17</v>
      </c>
      <c r="L1928">
        <v>9000</v>
      </c>
      <c r="M1928">
        <v>153000</v>
      </c>
      <c r="N1928" t="s">
        <v>108</v>
      </c>
      <c r="O1928" t="s">
        <v>115</v>
      </c>
    </row>
    <row r="1929" spans="1:15" x14ac:dyDescent="0.25">
      <c r="A1929">
        <v>3147</v>
      </c>
      <c r="B1929" s="10">
        <v>45979</v>
      </c>
      <c r="C1929">
        <v>18</v>
      </c>
      <c r="D1929" t="s">
        <v>90</v>
      </c>
      <c r="E1929" t="s">
        <v>128</v>
      </c>
      <c r="F1929" t="s">
        <v>22</v>
      </c>
      <c r="G1929" t="s">
        <v>91</v>
      </c>
      <c r="H1929" t="s">
        <v>131</v>
      </c>
      <c r="I1929" t="s">
        <v>155</v>
      </c>
      <c r="J1929" t="s">
        <v>103</v>
      </c>
      <c r="K1929">
        <v>11</v>
      </c>
      <c r="L1929">
        <v>9000</v>
      </c>
      <c r="M1929">
        <v>99000</v>
      </c>
      <c r="N1929" t="s">
        <v>108</v>
      </c>
      <c r="O1929" t="s">
        <v>96</v>
      </c>
    </row>
    <row r="1930" spans="1:15" x14ac:dyDescent="0.25">
      <c r="A1930">
        <v>4148</v>
      </c>
      <c r="B1930" s="10">
        <v>45858</v>
      </c>
      <c r="C1930">
        <v>20</v>
      </c>
      <c r="D1930" t="s">
        <v>145</v>
      </c>
      <c r="E1930" t="s">
        <v>116</v>
      </c>
      <c r="F1930" t="s">
        <v>148</v>
      </c>
      <c r="G1930" t="s">
        <v>118</v>
      </c>
      <c r="H1930" t="s">
        <v>131</v>
      </c>
      <c r="I1930" t="s">
        <v>139</v>
      </c>
      <c r="J1930" t="s">
        <v>94</v>
      </c>
      <c r="K1930">
        <v>9</v>
      </c>
      <c r="L1930">
        <v>9000</v>
      </c>
      <c r="M1930">
        <v>81000</v>
      </c>
      <c r="N1930" t="s">
        <v>108</v>
      </c>
      <c r="O1930" t="s">
        <v>115</v>
      </c>
    </row>
    <row r="1931" spans="1:15" x14ac:dyDescent="0.25">
      <c r="A1931">
        <v>4788</v>
      </c>
      <c r="B1931" s="10">
        <v>45721</v>
      </c>
      <c r="C1931">
        <v>5</v>
      </c>
      <c r="D1931" t="s">
        <v>140</v>
      </c>
      <c r="E1931" t="s">
        <v>106</v>
      </c>
      <c r="F1931" t="s">
        <v>122</v>
      </c>
      <c r="G1931" t="s">
        <v>114</v>
      </c>
      <c r="H1931" t="s">
        <v>131</v>
      </c>
      <c r="I1931" t="s">
        <v>155</v>
      </c>
      <c r="J1931" t="s">
        <v>103</v>
      </c>
      <c r="K1931">
        <v>43</v>
      </c>
      <c r="L1931">
        <v>9000</v>
      </c>
      <c r="M1931">
        <v>387000</v>
      </c>
      <c r="N1931" t="s">
        <v>95</v>
      </c>
      <c r="O1931" t="s">
        <v>115</v>
      </c>
    </row>
    <row r="1932" spans="1:15" x14ac:dyDescent="0.25">
      <c r="A1932">
        <v>4863</v>
      </c>
      <c r="B1932" s="10">
        <v>45726</v>
      </c>
      <c r="C1932">
        <v>10</v>
      </c>
      <c r="D1932" t="s">
        <v>140</v>
      </c>
      <c r="E1932" t="s">
        <v>116</v>
      </c>
      <c r="F1932" t="s">
        <v>141</v>
      </c>
      <c r="G1932" t="s">
        <v>100</v>
      </c>
      <c r="H1932" t="s">
        <v>131</v>
      </c>
      <c r="I1932" t="s">
        <v>155</v>
      </c>
      <c r="J1932" t="s">
        <v>103</v>
      </c>
      <c r="K1932">
        <v>47</v>
      </c>
      <c r="L1932">
        <v>9000</v>
      </c>
      <c r="M1932">
        <v>423000</v>
      </c>
      <c r="N1932" t="s">
        <v>108</v>
      </c>
      <c r="O1932" t="s">
        <v>96</v>
      </c>
    </row>
    <row r="1933" spans="1:15" x14ac:dyDescent="0.25">
      <c r="A1933">
        <v>86</v>
      </c>
      <c r="B1933" s="10">
        <v>45888</v>
      </c>
      <c r="C1933">
        <v>19</v>
      </c>
      <c r="D1933" t="s">
        <v>109</v>
      </c>
      <c r="E1933" t="s">
        <v>106</v>
      </c>
      <c r="F1933" t="s">
        <v>117</v>
      </c>
      <c r="G1933" t="s">
        <v>118</v>
      </c>
      <c r="H1933" t="s">
        <v>131</v>
      </c>
      <c r="I1933" t="s">
        <v>155</v>
      </c>
      <c r="J1933" t="s">
        <v>103</v>
      </c>
      <c r="K1933">
        <v>6</v>
      </c>
      <c r="L1933">
        <v>9100</v>
      </c>
      <c r="M1933">
        <v>54600</v>
      </c>
      <c r="N1933" t="s">
        <v>108</v>
      </c>
      <c r="O1933" t="s">
        <v>115</v>
      </c>
    </row>
    <row r="1934" spans="1:15" x14ac:dyDescent="0.25">
      <c r="A1934">
        <v>586</v>
      </c>
      <c r="B1934" s="10">
        <v>46009</v>
      </c>
      <c r="C1934">
        <v>18</v>
      </c>
      <c r="D1934" t="s">
        <v>125</v>
      </c>
      <c r="E1934" t="s">
        <v>150</v>
      </c>
      <c r="F1934" t="s">
        <v>144</v>
      </c>
      <c r="G1934" t="s">
        <v>91</v>
      </c>
      <c r="H1934" t="s">
        <v>131</v>
      </c>
      <c r="I1934" t="s">
        <v>139</v>
      </c>
      <c r="J1934" t="s">
        <v>94</v>
      </c>
      <c r="K1934">
        <v>7</v>
      </c>
      <c r="L1934">
        <v>9100</v>
      </c>
      <c r="M1934">
        <v>63700</v>
      </c>
      <c r="N1934" t="s">
        <v>108</v>
      </c>
      <c r="O1934" t="s">
        <v>104</v>
      </c>
    </row>
    <row r="1935" spans="1:15" x14ac:dyDescent="0.25">
      <c r="A1935">
        <v>883</v>
      </c>
      <c r="B1935" s="10">
        <v>45702</v>
      </c>
      <c r="C1935">
        <v>14</v>
      </c>
      <c r="D1935" t="s">
        <v>97</v>
      </c>
      <c r="E1935" t="s">
        <v>106</v>
      </c>
      <c r="F1935" t="s">
        <v>99</v>
      </c>
      <c r="G1935" t="s">
        <v>100</v>
      </c>
      <c r="H1935" t="s">
        <v>131</v>
      </c>
      <c r="I1935" t="s">
        <v>155</v>
      </c>
      <c r="J1935" t="s">
        <v>103</v>
      </c>
      <c r="K1935">
        <v>23</v>
      </c>
      <c r="L1935">
        <v>9100</v>
      </c>
      <c r="M1935">
        <v>209300</v>
      </c>
      <c r="N1935" t="s">
        <v>95</v>
      </c>
      <c r="O1935" t="s">
        <v>96</v>
      </c>
    </row>
    <row r="1936" spans="1:15" x14ac:dyDescent="0.25">
      <c r="A1936">
        <v>1531</v>
      </c>
      <c r="B1936" s="10">
        <v>45713</v>
      </c>
      <c r="C1936">
        <v>25</v>
      </c>
      <c r="D1936" t="s">
        <v>97</v>
      </c>
      <c r="E1936" t="s">
        <v>31</v>
      </c>
      <c r="F1936" t="s">
        <v>107</v>
      </c>
      <c r="G1936" t="s">
        <v>100</v>
      </c>
      <c r="H1936" t="s">
        <v>131</v>
      </c>
      <c r="I1936" t="s">
        <v>139</v>
      </c>
      <c r="J1936" t="s">
        <v>94</v>
      </c>
      <c r="K1936">
        <v>4</v>
      </c>
      <c r="L1936">
        <v>9100</v>
      </c>
      <c r="M1936">
        <v>36400</v>
      </c>
      <c r="N1936" t="s">
        <v>95</v>
      </c>
      <c r="O1936" t="s">
        <v>115</v>
      </c>
    </row>
    <row r="1937" spans="1:15" x14ac:dyDescent="0.25">
      <c r="A1937">
        <v>1581</v>
      </c>
      <c r="B1937" s="10">
        <v>45710</v>
      </c>
      <c r="C1937">
        <v>22</v>
      </c>
      <c r="D1937" t="s">
        <v>97</v>
      </c>
      <c r="E1937" t="s">
        <v>137</v>
      </c>
      <c r="F1937" t="s">
        <v>134</v>
      </c>
      <c r="G1937" t="s">
        <v>100</v>
      </c>
      <c r="H1937" t="s">
        <v>131</v>
      </c>
      <c r="I1937" t="s">
        <v>139</v>
      </c>
      <c r="J1937" t="s">
        <v>94</v>
      </c>
      <c r="K1937">
        <v>5</v>
      </c>
      <c r="L1937">
        <v>9100</v>
      </c>
      <c r="M1937">
        <v>45500</v>
      </c>
      <c r="N1937" t="s">
        <v>108</v>
      </c>
      <c r="O1937" t="s">
        <v>104</v>
      </c>
    </row>
    <row r="1938" spans="1:15" x14ac:dyDescent="0.25">
      <c r="A1938">
        <v>2416</v>
      </c>
      <c r="B1938" s="10">
        <v>45701</v>
      </c>
      <c r="C1938">
        <v>13</v>
      </c>
      <c r="D1938" t="s">
        <v>97</v>
      </c>
      <c r="E1938" t="s">
        <v>116</v>
      </c>
      <c r="F1938" t="s">
        <v>148</v>
      </c>
      <c r="G1938" t="s">
        <v>118</v>
      </c>
      <c r="H1938" t="s">
        <v>131</v>
      </c>
      <c r="I1938" t="s">
        <v>139</v>
      </c>
      <c r="J1938" t="s">
        <v>94</v>
      </c>
      <c r="K1938">
        <v>3</v>
      </c>
      <c r="L1938">
        <v>9100</v>
      </c>
      <c r="M1938">
        <v>27300</v>
      </c>
      <c r="N1938" t="s">
        <v>108</v>
      </c>
      <c r="O1938" t="s">
        <v>96</v>
      </c>
    </row>
    <row r="1939" spans="1:15" x14ac:dyDescent="0.25">
      <c r="A1939">
        <v>2521</v>
      </c>
      <c r="B1939" s="10">
        <v>45970</v>
      </c>
      <c r="C1939">
        <v>9</v>
      </c>
      <c r="D1939" t="s">
        <v>90</v>
      </c>
      <c r="E1939" t="s">
        <v>138</v>
      </c>
      <c r="F1939" t="s">
        <v>141</v>
      </c>
      <c r="G1939" t="s">
        <v>100</v>
      </c>
      <c r="H1939" t="s">
        <v>131</v>
      </c>
      <c r="I1939" t="s">
        <v>139</v>
      </c>
      <c r="J1939" t="s">
        <v>94</v>
      </c>
      <c r="K1939">
        <v>6</v>
      </c>
      <c r="L1939">
        <v>9100</v>
      </c>
      <c r="M1939">
        <v>54600</v>
      </c>
      <c r="N1939" t="s">
        <v>95</v>
      </c>
      <c r="O1939" t="s">
        <v>115</v>
      </c>
    </row>
    <row r="1940" spans="1:15" x14ac:dyDescent="0.25">
      <c r="A1940">
        <v>2789</v>
      </c>
      <c r="B1940" s="10">
        <v>45965</v>
      </c>
      <c r="C1940">
        <v>4</v>
      </c>
      <c r="D1940" t="s">
        <v>90</v>
      </c>
      <c r="E1940" t="s">
        <v>110</v>
      </c>
      <c r="F1940" t="s">
        <v>22</v>
      </c>
      <c r="G1940" t="s">
        <v>91</v>
      </c>
      <c r="H1940" t="s">
        <v>131</v>
      </c>
      <c r="I1940" t="s">
        <v>155</v>
      </c>
      <c r="J1940" t="s">
        <v>103</v>
      </c>
      <c r="K1940">
        <v>47</v>
      </c>
      <c r="L1940">
        <v>9100</v>
      </c>
      <c r="M1940">
        <v>427700</v>
      </c>
      <c r="N1940" t="s">
        <v>108</v>
      </c>
      <c r="O1940" t="s">
        <v>115</v>
      </c>
    </row>
    <row r="1941" spans="1:15" x14ac:dyDescent="0.25">
      <c r="A1941">
        <v>2942</v>
      </c>
      <c r="B1941" s="10">
        <v>45872</v>
      </c>
      <c r="C1941">
        <v>3</v>
      </c>
      <c r="D1941" t="s">
        <v>109</v>
      </c>
      <c r="E1941" t="s">
        <v>137</v>
      </c>
      <c r="F1941" t="s">
        <v>22</v>
      </c>
      <c r="G1941" t="s">
        <v>91</v>
      </c>
      <c r="H1941" t="s">
        <v>131</v>
      </c>
      <c r="I1941" t="s">
        <v>155</v>
      </c>
      <c r="J1941" t="s">
        <v>103</v>
      </c>
      <c r="K1941">
        <v>6</v>
      </c>
      <c r="L1941">
        <v>9100</v>
      </c>
      <c r="M1941">
        <v>54600</v>
      </c>
      <c r="N1941" t="s">
        <v>108</v>
      </c>
      <c r="O1941" t="s">
        <v>104</v>
      </c>
    </row>
    <row r="1942" spans="1:15" x14ac:dyDescent="0.25">
      <c r="A1942">
        <v>3116</v>
      </c>
      <c r="B1942" s="10">
        <v>45780</v>
      </c>
      <c r="C1942">
        <v>3</v>
      </c>
      <c r="D1942" t="s">
        <v>120</v>
      </c>
      <c r="E1942" t="s">
        <v>110</v>
      </c>
      <c r="F1942" t="s">
        <v>28</v>
      </c>
      <c r="G1942" t="s">
        <v>126</v>
      </c>
      <c r="H1942" t="s">
        <v>131</v>
      </c>
      <c r="I1942" t="s">
        <v>139</v>
      </c>
      <c r="J1942" t="s">
        <v>94</v>
      </c>
      <c r="K1942">
        <v>7</v>
      </c>
      <c r="L1942">
        <v>9100</v>
      </c>
      <c r="M1942">
        <v>63700</v>
      </c>
      <c r="N1942" t="s">
        <v>95</v>
      </c>
      <c r="O1942" t="s">
        <v>96</v>
      </c>
    </row>
    <row r="1943" spans="1:15" x14ac:dyDescent="0.25">
      <c r="A1943">
        <v>3144</v>
      </c>
      <c r="B1943" s="10">
        <v>45673</v>
      </c>
      <c r="C1943">
        <v>16</v>
      </c>
      <c r="D1943" t="s">
        <v>130</v>
      </c>
      <c r="E1943" t="s">
        <v>110</v>
      </c>
      <c r="F1943" t="s">
        <v>144</v>
      </c>
      <c r="G1943" t="s">
        <v>91</v>
      </c>
      <c r="H1943" t="s">
        <v>131</v>
      </c>
      <c r="I1943" t="s">
        <v>155</v>
      </c>
      <c r="J1943" t="s">
        <v>103</v>
      </c>
      <c r="K1943">
        <v>43</v>
      </c>
      <c r="L1943">
        <v>9100</v>
      </c>
      <c r="M1943">
        <v>391300</v>
      </c>
      <c r="N1943" t="s">
        <v>95</v>
      </c>
      <c r="O1943" t="s">
        <v>96</v>
      </c>
    </row>
    <row r="1944" spans="1:15" x14ac:dyDescent="0.25">
      <c r="A1944">
        <v>3465</v>
      </c>
      <c r="B1944" s="10">
        <v>45805</v>
      </c>
      <c r="C1944">
        <v>28</v>
      </c>
      <c r="D1944" t="s">
        <v>120</v>
      </c>
      <c r="E1944" t="s">
        <v>121</v>
      </c>
      <c r="F1944" t="s">
        <v>49</v>
      </c>
      <c r="G1944" t="s">
        <v>118</v>
      </c>
      <c r="H1944" t="s">
        <v>131</v>
      </c>
      <c r="I1944" t="s">
        <v>139</v>
      </c>
      <c r="J1944" t="s">
        <v>94</v>
      </c>
      <c r="K1944">
        <v>10</v>
      </c>
      <c r="L1944">
        <v>9100</v>
      </c>
      <c r="M1944">
        <v>91000</v>
      </c>
      <c r="N1944" t="s">
        <v>108</v>
      </c>
      <c r="O1944" t="s">
        <v>115</v>
      </c>
    </row>
    <row r="1945" spans="1:15" x14ac:dyDescent="0.25">
      <c r="A1945">
        <v>3636</v>
      </c>
      <c r="B1945" s="10">
        <v>45924</v>
      </c>
      <c r="C1945">
        <v>24</v>
      </c>
      <c r="D1945" t="s">
        <v>147</v>
      </c>
      <c r="E1945" t="s">
        <v>106</v>
      </c>
      <c r="F1945" t="s">
        <v>107</v>
      </c>
      <c r="G1945" t="s">
        <v>100</v>
      </c>
      <c r="H1945" t="s">
        <v>131</v>
      </c>
      <c r="I1945" t="s">
        <v>139</v>
      </c>
      <c r="J1945" t="s">
        <v>94</v>
      </c>
      <c r="K1945">
        <v>5</v>
      </c>
      <c r="L1945">
        <v>9100</v>
      </c>
      <c r="M1945">
        <v>45500</v>
      </c>
      <c r="N1945" t="s">
        <v>108</v>
      </c>
      <c r="O1945" t="s">
        <v>104</v>
      </c>
    </row>
    <row r="1946" spans="1:15" x14ac:dyDescent="0.25">
      <c r="A1946">
        <v>4052</v>
      </c>
      <c r="B1946" s="10">
        <v>45693</v>
      </c>
      <c r="C1946">
        <v>5</v>
      </c>
      <c r="D1946" t="s">
        <v>97</v>
      </c>
      <c r="E1946" t="s">
        <v>142</v>
      </c>
      <c r="F1946" t="s">
        <v>134</v>
      </c>
      <c r="G1946" t="s">
        <v>100</v>
      </c>
      <c r="H1946" t="s">
        <v>131</v>
      </c>
      <c r="I1946" t="s">
        <v>139</v>
      </c>
      <c r="J1946" t="s">
        <v>94</v>
      </c>
      <c r="K1946">
        <v>3</v>
      </c>
      <c r="L1946">
        <v>9100</v>
      </c>
      <c r="M1946">
        <v>27300</v>
      </c>
      <c r="N1946" t="s">
        <v>95</v>
      </c>
      <c r="O1946" t="s">
        <v>96</v>
      </c>
    </row>
    <row r="1947" spans="1:15" x14ac:dyDescent="0.25">
      <c r="A1947">
        <v>4544</v>
      </c>
      <c r="B1947" s="10">
        <v>45942</v>
      </c>
      <c r="C1947">
        <v>12</v>
      </c>
      <c r="D1947" t="s">
        <v>136</v>
      </c>
      <c r="E1947" t="s">
        <v>133</v>
      </c>
      <c r="F1947" t="s">
        <v>44</v>
      </c>
      <c r="G1947" t="s">
        <v>111</v>
      </c>
      <c r="H1947" t="s">
        <v>131</v>
      </c>
      <c r="I1947" t="s">
        <v>155</v>
      </c>
      <c r="J1947" t="s">
        <v>103</v>
      </c>
      <c r="K1947">
        <v>21</v>
      </c>
      <c r="L1947">
        <v>9100</v>
      </c>
      <c r="M1947">
        <v>191100</v>
      </c>
      <c r="N1947" t="s">
        <v>95</v>
      </c>
      <c r="O1947" t="s">
        <v>115</v>
      </c>
    </row>
    <row r="1948" spans="1:15" x14ac:dyDescent="0.25">
      <c r="A1948">
        <v>4559</v>
      </c>
      <c r="B1948" s="10">
        <v>45908</v>
      </c>
      <c r="C1948">
        <v>8</v>
      </c>
      <c r="D1948" t="s">
        <v>147</v>
      </c>
      <c r="E1948" t="s">
        <v>142</v>
      </c>
      <c r="F1948" t="s">
        <v>151</v>
      </c>
      <c r="G1948" t="s">
        <v>111</v>
      </c>
      <c r="H1948" t="s">
        <v>131</v>
      </c>
      <c r="I1948" t="s">
        <v>155</v>
      </c>
      <c r="J1948" t="s">
        <v>103</v>
      </c>
      <c r="K1948">
        <v>36</v>
      </c>
      <c r="L1948">
        <v>9100</v>
      </c>
      <c r="M1948">
        <v>327600</v>
      </c>
      <c r="N1948" t="s">
        <v>108</v>
      </c>
      <c r="O1948" t="s">
        <v>96</v>
      </c>
    </row>
    <row r="1949" spans="1:15" x14ac:dyDescent="0.25">
      <c r="A1949">
        <v>4589</v>
      </c>
      <c r="B1949" s="10">
        <v>45968</v>
      </c>
      <c r="C1949">
        <v>7</v>
      </c>
      <c r="D1949" t="s">
        <v>90</v>
      </c>
      <c r="E1949" t="s">
        <v>31</v>
      </c>
      <c r="F1949" t="s">
        <v>49</v>
      </c>
      <c r="G1949" t="s">
        <v>118</v>
      </c>
      <c r="H1949" t="s">
        <v>131</v>
      </c>
      <c r="I1949" t="s">
        <v>155</v>
      </c>
      <c r="J1949" t="s">
        <v>103</v>
      </c>
      <c r="K1949">
        <v>38</v>
      </c>
      <c r="L1949">
        <v>9100</v>
      </c>
      <c r="M1949">
        <v>345800</v>
      </c>
      <c r="N1949" t="s">
        <v>95</v>
      </c>
      <c r="O1949" t="s">
        <v>96</v>
      </c>
    </row>
    <row r="1950" spans="1:15" x14ac:dyDescent="0.25">
      <c r="A1950">
        <v>4664</v>
      </c>
      <c r="B1950" s="10">
        <v>45808</v>
      </c>
      <c r="C1950">
        <v>31</v>
      </c>
      <c r="D1950" t="s">
        <v>120</v>
      </c>
      <c r="E1950" t="s">
        <v>138</v>
      </c>
      <c r="F1950" t="s">
        <v>99</v>
      </c>
      <c r="G1950" t="s">
        <v>100</v>
      </c>
      <c r="H1950" t="s">
        <v>131</v>
      </c>
      <c r="I1950" t="s">
        <v>155</v>
      </c>
      <c r="J1950" t="s">
        <v>103</v>
      </c>
      <c r="K1950">
        <v>35</v>
      </c>
      <c r="L1950">
        <v>9100</v>
      </c>
      <c r="M1950">
        <v>318500</v>
      </c>
      <c r="N1950" t="s">
        <v>108</v>
      </c>
      <c r="O1950" t="s">
        <v>104</v>
      </c>
    </row>
    <row r="1951" spans="1:15" x14ac:dyDescent="0.25">
      <c r="A1951">
        <v>4869</v>
      </c>
      <c r="B1951" s="10">
        <v>45962</v>
      </c>
      <c r="C1951">
        <v>1</v>
      </c>
      <c r="D1951" t="s">
        <v>90</v>
      </c>
      <c r="E1951" t="s">
        <v>31</v>
      </c>
      <c r="F1951" t="s">
        <v>144</v>
      </c>
      <c r="G1951" t="s">
        <v>91</v>
      </c>
      <c r="H1951" t="s">
        <v>131</v>
      </c>
      <c r="I1951" t="s">
        <v>139</v>
      </c>
      <c r="J1951" t="s">
        <v>94</v>
      </c>
      <c r="K1951">
        <v>4</v>
      </c>
      <c r="L1951">
        <v>9100</v>
      </c>
      <c r="M1951">
        <v>36400</v>
      </c>
      <c r="N1951" t="s">
        <v>108</v>
      </c>
      <c r="O1951" t="s">
        <v>104</v>
      </c>
    </row>
    <row r="1952" spans="1:15" x14ac:dyDescent="0.25">
      <c r="A1952">
        <v>4907</v>
      </c>
      <c r="B1952" s="10">
        <v>45927</v>
      </c>
      <c r="C1952">
        <v>27</v>
      </c>
      <c r="D1952" t="s">
        <v>147</v>
      </c>
      <c r="E1952" t="s">
        <v>161</v>
      </c>
      <c r="F1952" t="s">
        <v>36</v>
      </c>
      <c r="G1952" t="s">
        <v>100</v>
      </c>
      <c r="H1952" t="s">
        <v>131</v>
      </c>
      <c r="I1952" t="s">
        <v>155</v>
      </c>
      <c r="J1952" t="s">
        <v>103</v>
      </c>
      <c r="K1952">
        <v>35</v>
      </c>
      <c r="L1952">
        <v>9100</v>
      </c>
      <c r="M1952">
        <v>318500</v>
      </c>
      <c r="N1952" t="s">
        <v>108</v>
      </c>
      <c r="O1952" t="s">
        <v>104</v>
      </c>
    </row>
    <row r="1953" spans="1:15" x14ac:dyDescent="0.25">
      <c r="A1953">
        <v>4951</v>
      </c>
      <c r="B1953" s="10">
        <v>45913</v>
      </c>
      <c r="C1953">
        <v>13</v>
      </c>
      <c r="D1953" t="s">
        <v>147</v>
      </c>
      <c r="E1953" t="s">
        <v>112</v>
      </c>
      <c r="F1953" t="s">
        <v>22</v>
      </c>
      <c r="G1953" t="s">
        <v>91</v>
      </c>
      <c r="H1953" t="s">
        <v>131</v>
      </c>
      <c r="I1953" t="s">
        <v>139</v>
      </c>
      <c r="J1953" t="s">
        <v>94</v>
      </c>
      <c r="K1953">
        <v>8</v>
      </c>
      <c r="L1953">
        <v>9100</v>
      </c>
      <c r="M1953">
        <v>72800</v>
      </c>
      <c r="N1953" t="s">
        <v>108</v>
      </c>
      <c r="O1953" t="s">
        <v>115</v>
      </c>
    </row>
    <row r="1954" spans="1:15" x14ac:dyDescent="0.25">
      <c r="A1954">
        <v>643</v>
      </c>
      <c r="B1954" s="10">
        <v>45931</v>
      </c>
      <c r="C1954">
        <v>1</v>
      </c>
      <c r="D1954" t="s">
        <v>136</v>
      </c>
      <c r="E1954" t="s">
        <v>25</v>
      </c>
      <c r="F1954" t="s">
        <v>99</v>
      </c>
      <c r="G1954" t="s">
        <v>100</v>
      </c>
      <c r="H1954" t="s">
        <v>131</v>
      </c>
      <c r="I1954" t="s">
        <v>155</v>
      </c>
      <c r="J1954" t="s">
        <v>103</v>
      </c>
      <c r="K1954">
        <v>5</v>
      </c>
      <c r="L1954">
        <v>9200</v>
      </c>
      <c r="M1954">
        <v>46000</v>
      </c>
      <c r="N1954" t="s">
        <v>108</v>
      </c>
      <c r="O1954" t="s">
        <v>115</v>
      </c>
    </row>
    <row r="1955" spans="1:15" x14ac:dyDescent="0.25">
      <c r="A1955">
        <v>1019</v>
      </c>
      <c r="B1955" s="10">
        <v>45968</v>
      </c>
      <c r="C1955">
        <v>7</v>
      </c>
      <c r="D1955" t="s">
        <v>90</v>
      </c>
      <c r="E1955" t="s">
        <v>133</v>
      </c>
      <c r="F1955" t="s">
        <v>28</v>
      </c>
      <c r="G1955" t="s">
        <v>126</v>
      </c>
      <c r="H1955" t="s">
        <v>131</v>
      </c>
      <c r="I1955" t="s">
        <v>155</v>
      </c>
      <c r="J1955" t="s">
        <v>103</v>
      </c>
      <c r="K1955">
        <v>20</v>
      </c>
      <c r="L1955">
        <v>9200</v>
      </c>
      <c r="M1955">
        <v>184000</v>
      </c>
      <c r="N1955" t="s">
        <v>95</v>
      </c>
      <c r="O1955" t="s">
        <v>96</v>
      </c>
    </row>
    <row r="1956" spans="1:15" x14ac:dyDescent="0.25">
      <c r="A1956">
        <v>1322</v>
      </c>
      <c r="B1956" s="10">
        <v>45886</v>
      </c>
      <c r="C1956">
        <v>17</v>
      </c>
      <c r="D1956" t="s">
        <v>109</v>
      </c>
      <c r="E1956" t="s">
        <v>161</v>
      </c>
      <c r="F1956" t="s">
        <v>117</v>
      </c>
      <c r="G1956" t="s">
        <v>118</v>
      </c>
      <c r="H1956" t="s">
        <v>131</v>
      </c>
      <c r="I1956" t="s">
        <v>139</v>
      </c>
      <c r="J1956" t="s">
        <v>94</v>
      </c>
      <c r="K1956">
        <v>10</v>
      </c>
      <c r="L1956">
        <v>9200</v>
      </c>
      <c r="M1956">
        <v>92000</v>
      </c>
      <c r="N1956" t="s">
        <v>108</v>
      </c>
      <c r="O1956" t="s">
        <v>96</v>
      </c>
    </row>
    <row r="1957" spans="1:15" x14ac:dyDescent="0.25">
      <c r="A1957">
        <v>1646</v>
      </c>
      <c r="B1957" s="10">
        <v>45892</v>
      </c>
      <c r="C1957">
        <v>23</v>
      </c>
      <c r="D1957" t="s">
        <v>109</v>
      </c>
      <c r="E1957" t="s">
        <v>142</v>
      </c>
      <c r="F1957" t="s">
        <v>36</v>
      </c>
      <c r="G1957" t="s">
        <v>100</v>
      </c>
      <c r="H1957" t="s">
        <v>131</v>
      </c>
      <c r="I1957" t="s">
        <v>139</v>
      </c>
      <c r="J1957" t="s">
        <v>94</v>
      </c>
      <c r="K1957">
        <v>4</v>
      </c>
      <c r="L1957">
        <v>9200</v>
      </c>
      <c r="M1957">
        <v>36800</v>
      </c>
      <c r="N1957" t="s">
        <v>95</v>
      </c>
      <c r="O1957" t="s">
        <v>115</v>
      </c>
    </row>
    <row r="1958" spans="1:15" x14ac:dyDescent="0.25">
      <c r="A1958">
        <v>1823</v>
      </c>
      <c r="B1958" s="10">
        <v>45685</v>
      </c>
      <c r="C1958">
        <v>28</v>
      </c>
      <c r="D1958" t="s">
        <v>130</v>
      </c>
      <c r="E1958" t="s">
        <v>133</v>
      </c>
      <c r="F1958" t="s">
        <v>148</v>
      </c>
      <c r="G1958" t="s">
        <v>118</v>
      </c>
      <c r="H1958" t="s">
        <v>131</v>
      </c>
      <c r="I1958" t="s">
        <v>155</v>
      </c>
      <c r="J1958" t="s">
        <v>103</v>
      </c>
      <c r="K1958">
        <v>9</v>
      </c>
      <c r="L1958">
        <v>9200</v>
      </c>
      <c r="M1958">
        <v>82800</v>
      </c>
      <c r="N1958" t="s">
        <v>95</v>
      </c>
      <c r="O1958" t="s">
        <v>104</v>
      </c>
    </row>
    <row r="1959" spans="1:15" x14ac:dyDescent="0.25">
      <c r="A1959">
        <v>2229</v>
      </c>
      <c r="B1959" s="10">
        <v>45780</v>
      </c>
      <c r="C1959">
        <v>3</v>
      </c>
      <c r="D1959" t="s">
        <v>120</v>
      </c>
      <c r="E1959" t="s">
        <v>133</v>
      </c>
      <c r="F1959" t="s">
        <v>44</v>
      </c>
      <c r="G1959" t="s">
        <v>111</v>
      </c>
      <c r="H1959" t="s">
        <v>37</v>
      </c>
      <c r="I1959" t="s">
        <v>160</v>
      </c>
      <c r="J1959" t="s">
        <v>103</v>
      </c>
      <c r="K1959">
        <v>9</v>
      </c>
      <c r="L1959">
        <v>9200</v>
      </c>
      <c r="M1959">
        <v>82800</v>
      </c>
      <c r="N1959" t="s">
        <v>95</v>
      </c>
      <c r="O1959" t="s">
        <v>115</v>
      </c>
    </row>
    <row r="1960" spans="1:15" x14ac:dyDescent="0.25">
      <c r="A1960">
        <v>2448</v>
      </c>
      <c r="B1960" s="10">
        <v>45682</v>
      </c>
      <c r="C1960">
        <v>25</v>
      </c>
      <c r="D1960" t="s">
        <v>130</v>
      </c>
      <c r="E1960" t="s">
        <v>116</v>
      </c>
      <c r="F1960" t="s">
        <v>144</v>
      </c>
      <c r="G1960" t="s">
        <v>91</v>
      </c>
      <c r="H1960" t="s">
        <v>131</v>
      </c>
      <c r="I1960" t="s">
        <v>155</v>
      </c>
      <c r="J1960" t="s">
        <v>103</v>
      </c>
      <c r="K1960">
        <v>40</v>
      </c>
      <c r="L1960">
        <v>9200</v>
      </c>
      <c r="M1960">
        <v>368000</v>
      </c>
      <c r="N1960" t="s">
        <v>108</v>
      </c>
      <c r="O1960" t="s">
        <v>115</v>
      </c>
    </row>
    <row r="1961" spans="1:15" x14ac:dyDescent="0.25">
      <c r="A1961">
        <v>2692</v>
      </c>
      <c r="B1961" s="10">
        <v>45812</v>
      </c>
      <c r="C1961">
        <v>4</v>
      </c>
      <c r="D1961" t="s">
        <v>153</v>
      </c>
      <c r="E1961" t="s">
        <v>106</v>
      </c>
      <c r="F1961" t="s">
        <v>122</v>
      </c>
      <c r="G1961" t="s">
        <v>114</v>
      </c>
      <c r="H1961" t="s">
        <v>131</v>
      </c>
      <c r="I1961" t="s">
        <v>155</v>
      </c>
      <c r="J1961" t="s">
        <v>103</v>
      </c>
      <c r="K1961">
        <v>39</v>
      </c>
      <c r="L1961">
        <v>9200</v>
      </c>
      <c r="M1961">
        <v>358800</v>
      </c>
      <c r="N1961" t="s">
        <v>95</v>
      </c>
      <c r="O1961" t="s">
        <v>104</v>
      </c>
    </row>
    <row r="1962" spans="1:15" x14ac:dyDescent="0.25">
      <c r="A1962">
        <v>3109</v>
      </c>
      <c r="B1962" s="10">
        <v>45980</v>
      </c>
      <c r="C1962">
        <v>19</v>
      </c>
      <c r="D1962" t="s">
        <v>90</v>
      </c>
      <c r="E1962" t="s">
        <v>116</v>
      </c>
      <c r="F1962" t="s">
        <v>22</v>
      </c>
      <c r="G1962" t="s">
        <v>91</v>
      </c>
      <c r="H1962" t="s">
        <v>131</v>
      </c>
      <c r="I1962" t="s">
        <v>139</v>
      </c>
      <c r="J1962" t="s">
        <v>94</v>
      </c>
      <c r="K1962">
        <v>1</v>
      </c>
      <c r="L1962">
        <v>9200</v>
      </c>
      <c r="M1962">
        <v>9200</v>
      </c>
      <c r="N1962" t="s">
        <v>95</v>
      </c>
      <c r="O1962" t="s">
        <v>96</v>
      </c>
    </row>
    <row r="1963" spans="1:15" x14ac:dyDescent="0.25">
      <c r="A1963">
        <v>3359</v>
      </c>
      <c r="B1963" s="10">
        <v>45810</v>
      </c>
      <c r="C1963">
        <v>2</v>
      </c>
      <c r="D1963" t="s">
        <v>153</v>
      </c>
      <c r="E1963" t="s">
        <v>110</v>
      </c>
      <c r="F1963" t="s">
        <v>151</v>
      </c>
      <c r="G1963" t="s">
        <v>111</v>
      </c>
      <c r="H1963" t="s">
        <v>131</v>
      </c>
      <c r="I1963" t="s">
        <v>139</v>
      </c>
      <c r="J1963" t="s">
        <v>94</v>
      </c>
      <c r="K1963">
        <v>5</v>
      </c>
      <c r="L1963">
        <v>9200</v>
      </c>
      <c r="M1963">
        <v>46000</v>
      </c>
      <c r="N1963" t="s">
        <v>108</v>
      </c>
      <c r="O1963" t="s">
        <v>115</v>
      </c>
    </row>
    <row r="1964" spans="1:15" x14ac:dyDescent="0.25">
      <c r="A1964">
        <v>3397</v>
      </c>
      <c r="B1964" s="10">
        <v>45698</v>
      </c>
      <c r="C1964">
        <v>10</v>
      </c>
      <c r="D1964" t="s">
        <v>97</v>
      </c>
      <c r="E1964" t="s">
        <v>150</v>
      </c>
      <c r="F1964" t="s">
        <v>117</v>
      </c>
      <c r="G1964" t="s">
        <v>118</v>
      </c>
      <c r="H1964" t="s">
        <v>131</v>
      </c>
      <c r="I1964" t="s">
        <v>139</v>
      </c>
      <c r="J1964" t="s">
        <v>94</v>
      </c>
      <c r="K1964">
        <v>8</v>
      </c>
      <c r="L1964">
        <v>9200</v>
      </c>
      <c r="M1964">
        <v>73600</v>
      </c>
      <c r="N1964" t="s">
        <v>95</v>
      </c>
      <c r="O1964" t="s">
        <v>104</v>
      </c>
    </row>
    <row r="1965" spans="1:15" x14ac:dyDescent="0.25">
      <c r="A1965">
        <v>3623</v>
      </c>
      <c r="B1965" s="10">
        <v>45788</v>
      </c>
      <c r="C1965">
        <v>11</v>
      </c>
      <c r="D1965" t="s">
        <v>120</v>
      </c>
      <c r="E1965" t="s">
        <v>138</v>
      </c>
      <c r="F1965" t="s">
        <v>151</v>
      </c>
      <c r="G1965" t="s">
        <v>111</v>
      </c>
      <c r="H1965" t="s">
        <v>37</v>
      </c>
      <c r="I1965" t="s">
        <v>160</v>
      </c>
      <c r="J1965" t="s">
        <v>103</v>
      </c>
      <c r="K1965">
        <v>29</v>
      </c>
      <c r="L1965">
        <v>9200</v>
      </c>
      <c r="M1965">
        <v>266800</v>
      </c>
      <c r="N1965" t="s">
        <v>108</v>
      </c>
      <c r="O1965" t="s">
        <v>104</v>
      </c>
    </row>
    <row r="1966" spans="1:15" x14ac:dyDescent="0.25">
      <c r="A1966">
        <v>3653</v>
      </c>
      <c r="B1966" s="10">
        <v>45753</v>
      </c>
      <c r="C1966">
        <v>6</v>
      </c>
      <c r="D1966" t="s">
        <v>105</v>
      </c>
      <c r="E1966" t="s">
        <v>133</v>
      </c>
      <c r="F1966" t="s">
        <v>134</v>
      </c>
      <c r="G1966" t="s">
        <v>100</v>
      </c>
      <c r="H1966" t="s">
        <v>131</v>
      </c>
      <c r="I1966" t="s">
        <v>139</v>
      </c>
      <c r="J1966" t="s">
        <v>94</v>
      </c>
      <c r="K1966">
        <v>8</v>
      </c>
      <c r="L1966">
        <v>9200</v>
      </c>
      <c r="M1966">
        <v>73600</v>
      </c>
      <c r="N1966" t="s">
        <v>108</v>
      </c>
      <c r="O1966" t="s">
        <v>96</v>
      </c>
    </row>
    <row r="1967" spans="1:15" x14ac:dyDescent="0.25">
      <c r="A1967">
        <v>4404</v>
      </c>
      <c r="B1967" s="10">
        <v>45773</v>
      </c>
      <c r="C1967">
        <v>26</v>
      </c>
      <c r="D1967" t="s">
        <v>105</v>
      </c>
      <c r="E1967" t="s">
        <v>138</v>
      </c>
      <c r="F1967" t="s">
        <v>22</v>
      </c>
      <c r="G1967" t="s">
        <v>91</v>
      </c>
      <c r="H1967" t="s">
        <v>131</v>
      </c>
      <c r="I1967" t="s">
        <v>139</v>
      </c>
      <c r="J1967" t="s">
        <v>94</v>
      </c>
      <c r="K1967">
        <v>5</v>
      </c>
      <c r="L1967">
        <v>9200</v>
      </c>
      <c r="M1967">
        <v>46000</v>
      </c>
      <c r="N1967" t="s">
        <v>108</v>
      </c>
      <c r="O1967" t="s">
        <v>96</v>
      </c>
    </row>
    <row r="1968" spans="1:15" x14ac:dyDescent="0.25">
      <c r="A1968">
        <v>4468</v>
      </c>
      <c r="B1968" s="10">
        <v>45818</v>
      </c>
      <c r="C1968">
        <v>10</v>
      </c>
      <c r="D1968" t="s">
        <v>153</v>
      </c>
      <c r="E1968" t="s">
        <v>150</v>
      </c>
      <c r="F1968" t="s">
        <v>107</v>
      </c>
      <c r="G1968" t="s">
        <v>100</v>
      </c>
      <c r="H1968" t="s">
        <v>131</v>
      </c>
      <c r="I1968" t="s">
        <v>139</v>
      </c>
      <c r="J1968" t="s">
        <v>94</v>
      </c>
      <c r="K1968">
        <v>1</v>
      </c>
      <c r="L1968">
        <v>9200</v>
      </c>
      <c r="M1968">
        <v>9200</v>
      </c>
      <c r="N1968" t="s">
        <v>108</v>
      </c>
      <c r="O1968" t="s">
        <v>104</v>
      </c>
    </row>
    <row r="1969" spans="1:15" x14ac:dyDescent="0.25">
      <c r="A1969">
        <v>4662</v>
      </c>
      <c r="B1969" s="10">
        <v>45888</v>
      </c>
      <c r="C1969">
        <v>19</v>
      </c>
      <c r="D1969" t="s">
        <v>109</v>
      </c>
      <c r="E1969" t="s">
        <v>137</v>
      </c>
      <c r="F1969" t="s">
        <v>28</v>
      </c>
      <c r="G1969" t="s">
        <v>126</v>
      </c>
      <c r="H1969" t="s">
        <v>131</v>
      </c>
      <c r="I1969" t="s">
        <v>155</v>
      </c>
      <c r="J1969" t="s">
        <v>103</v>
      </c>
      <c r="K1969">
        <v>30</v>
      </c>
      <c r="L1969">
        <v>9200</v>
      </c>
      <c r="M1969">
        <v>276000</v>
      </c>
      <c r="N1969" t="s">
        <v>95</v>
      </c>
      <c r="O1969" t="s">
        <v>96</v>
      </c>
    </row>
    <row r="1970" spans="1:15" x14ac:dyDescent="0.25">
      <c r="A1970">
        <v>4850</v>
      </c>
      <c r="B1970" s="10">
        <v>45818</v>
      </c>
      <c r="C1970">
        <v>10</v>
      </c>
      <c r="D1970" t="s">
        <v>153</v>
      </c>
      <c r="E1970" t="s">
        <v>121</v>
      </c>
      <c r="F1970" t="s">
        <v>134</v>
      </c>
      <c r="G1970" t="s">
        <v>100</v>
      </c>
      <c r="H1970" t="s">
        <v>131</v>
      </c>
      <c r="I1970" t="s">
        <v>139</v>
      </c>
      <c r="J1970" t="s">
        <v>94</v>
      </c>
      <c r="K1970">
        <v>1</v>
      </c>
      <c r="L1970">
        <v>9200</v>
      </c>
      <c r="M1970">
        <v>9200</v>
      </c>
      <c r="N1970" t="s">
        <v>108</v>
      </c>
      <c r="O1970" t="s">
        <v>96</v>
      </c>
    </row>
    <row r="1971" spans="1:15" x14ac:dyDescent="0.25">
      <c r="A1971">
        <v>242</v>
      </c>
      <c r="B1971" s="10">
        <v>45688</v>
      </c>
      <c r="C1971">
        <v>31</v>
      </c>
      <c r="D1971" t="s">
        <v>130</v>
      </c>
      <c r="E1971" t="s">
        <v>138</v>
      </c>
      <c r="F1971" t="s">
        <v>151</v>
      </c>
      <c r="G1971" t="s">
        <v>111</v>
      </c>
      <c r="H1971" t="s">
        <v>131</v>
      </c>
      <c r="I1971" t="s">
        <v>155</v>
      </c>
      <c r="J1971" t="s">
        <v>103</v>
      </c>
      <c r="K1971">
        <v>18</v>
      </c>
      <c r="L1971">
        <v>9300</v>
      </c>
      <c r="M1971">
        <v>167400</v>
      </c>
      <c r="N1971" t="s">
        <v>108</v>
      </c>
      <c r="O1971" t="s">
        <v>96</v>
      </c>
    </row>
    <row r="1972" spans="1:15" x14ac:dyDescent="0.25">
      <c r="A1972">
        <v>304</v>
      </c>
      <c r="B1972" s="10">
        <v>45755</v>
      </c>
      <c r="C1972">
        <v>8</v>
      </c>
      <c r="D1972" t="s">
        <v>105</v>
      </c>
      <c r="E1972" t="s">
        <v>25</v>
      </c>
      <c r="F1972" t="s">
        <v>44</v>
      </c>
      <c r="G1972" t="s">
        <v>111</v>
      </c>
      <c r="H1972" t="s">
        <v>131</v>
      </c>
      <c r="I1972" t="s">
        <v>139</v>
      </c>
      <c r="J1972" t="s">
        <v>94</v>
      </c>
      <c r="K1972">
        <v>4</v>
      </c>
      <c r="L1972">
        <v>9300</v>
      </c>
      <c r="M1972">
        <v>37200</v>
      </c>
      <c r="N1972" t="s">
        <v>95</v>
      </c>
      <c r="O1972" t="s">
        <v>115</v>
      </c>
    </row>
    <row r="1973" spans="1:15" x14ac:dyDescent="0.25">
      <c r="A1973">
        <v>789</v>
      </c>
      <c r="B1973" s="10">
        <v>45931</v>
      </c>
      <c r="C1973">
        <v>1</v>
      </c>
      <c r="D1973" t="s">
        <v>136</v>
      </c>
      <c r="E1973" t="s">
        <v>112</v>
      </c>
      <c r="F1973" t="s">
        <v>22</v>
      </c>
      <c r="G1973" t="s">
        <v>91</v>
      </c>
      <c r="H1973" t="s">
        <v>131</v>
      </c>
      <c r="I1973" t="s">
        <v>155</v>
      </c>
      <c r="J1973" t="s">
        <v>103</v>
      </c>
      <c r="K1973">
        <v>41</v>
      </c>
      <c r="L1973">
        <v>9300</v>
      </c>
      <c r="M1973">
        <v>381300</v>
      </c>
      <c r="N1973" t="s">
        <v>108</v>
      </c>
      <c r="O1973" t="s">
        <v>115</v>
      </c>
    </row>
    <row r="1974" spans="1:15" x14ac:dyDescent="0.25">
      <c r="A1974">
        <v>917</v>
      </c>
      <c r="B1974" s="10">
        <v>45760</v>
      </c>
      <c r="C1974">
        <v>13</v>
      </c>
      <c r="D1974" t="s">
        <v>105</v>
      </c>
      <c r="E1974" t="s">
        <v>110</v>
      </c>
      <c r="F1974" t="s">
        <v>141</v>
      </c>
      <c r="G1974" t="s">
        <v>100</v>
      </c>
      <c r="H1974" t="s">
        <v>131</v>
      </c>
      <c r="I1974" t="s">
        <v>139</v>
      </c>
      <c r="J1974" t="s">
        <v>94</v>
      </c>
      <c r="K1974">
        <v>7</v>
      </c>
      <c r="L1974">
        <v>9300</v>
      </c>
      <c r="M1974">
        <v>65100</v>
      </c>
      <c r="N1974" t="s">
        <v>108</v>
      </c>
      <c r="O1974" t="s">
        <v>115</v>
      </c>
    </row>
    <row r="1975" spans="1:15" x14ac:dyDescent="0.25">
      <c r="A1975">
        <v>1045</v>
      </c>
      <c r="B1975" s="10">
        <v>45957</v>
      </c>
      <c r="C1975">
        <v>27</v>
      </c>
      <c r="D1975" t="s">
        <v>136</v>
      </c>
      <c r="E1975" t="s">
        <v>133</v>
      </c>
      <c r="F1975" t="s">
        <v>122</v>
      </c>
      <c r="G1975" t="s">
        <v>114</v>
      </c>
      <c r="H1975" t="s">
        <v>131</v>
      </c>
      <c r="I1975" t="s">
        <v>155</v>
      </c>
      <c r="J1975" t="s">
        <v>103</v>
      </c>
      <c r="K1975">
        <v>31</v>
      </c>
      <c r="L1975">
        <v>9300</v>
      </c>
      <c r="M1975">
        <v>288300</v>
      </c>
      <c r="N1975" t="s">
        <v>95</v>
      </c>
      <c r="O1975" t="s">
        <v>104</v>
      </c>
    </row>
    <row r="1976" spans="1:15" x14ac:dyDescent="0.25">
      <c r="A1976">
        <v>1333</v>
      </c>
      <c r="B1976" s="10">
        <v>45928</v>
      </c>
      <c r="C1976">
        <v>28</v>
      </c>
      <c r="D1976" t="s">
        <v>147</v>
      </c>
      <c r="E1976" t="s">
        <v>161</v>
      </c>
      <c r="F1976" t="s">
        <v>44</v>
      </c>
      <c r="G1976" t="s">
        <v>111</v>
      </c>
      <c r="H1976" t="s">
        <v>131</v>
      </c>
      <c r="I1976" t="s">
        <v>155</v>
      </c>
      <c r="J1976" t="s">
        <v>103</v>
      </c>
      <c r="K1976">
        <v>33</v>
      </c>
      <c r="L1976">
        <v>9300</v>
      </c>
      <c r="M1976">
        <v>306900</v>
      </c>
      <c r="N1976" t="s">
        <v>95</v>
      </c>
      <c r="O1976" t="s">
        <v>115</v>
      </c>
    </row>
    <row r="1977" spans="1:15" x14ac:dyDescent="0.25">
      <c r="A1977">
        <v>1805</v>
      </c>
      <c r="B1977" s="10">
        <v>45672</v>
      </c>
      <c r="C1977">
        <v>15</v>
      </c>
      <c r="D1977" t="s">
        <v>130</v>
      </c>
      <c r="E1977" t="s">
        <v>161</v>
      </c>
      <c r="F1977" t="s">
        <v>151</v>
      </c>
      <c r="G1977" t="s">
        <v>111</v>
      </c>
      <c r="H1977" t="s">
        <v>37</v>
      </c>
      <c r="I1977" t="s">
        <v>160</v>
      </c>
      <c r="J1977" t="s">
        <v>103</v>
      </c>
      <c r="K1977">
        <v>27</v>
      </c>
      <c r="L1977">
        <v>9300</v>
      </c>
      <c r="M1977">
        <v>251100</v>
      </c>
      <c r="N1977" t="s">
        <v>95</v>
      </c>
      <c r="O1977" t="s">
        <v>115</v>
      </c>
    </row>
    <row r="1978" spans="1:15" x14ac:dyDescent="0.25">
      <c r="A1978">
        <v>1890</v>
      </c>
      <c r="B1978" s="10">
        <v>45727</v>
      </c>
      <c r="C1978">
        <v>11</v>
      </c>
      <c r="D1978" t="s">
        <v>140</v>
      </c>
      <c r="E1978" t="s">
        <v>128</v>
      </c>
      <c r="F1978" t="s">
        <v>134</v>
      </c>
      <c r="G1978" t="s">
        <v>100</v>
      </c>
      <c r="H1978" t="s">
        <v>131</v>
      </c>
      <c r="I1978" t="s">
        <v>155</v>
      </c>
      <c r="J1978" t="s">
        <v>103</v>
      </c>
      <c r="K1978">
        <v>15</v>
      </c>
      <c r="L1978">
        <v>9300</v>
      </c>
      <c r="M1978">
        <v>139500</v>
      </c>
      <c r="N1978" t="s">
        <v>95</v>
      </c>
      <c r="O1978" t="s">
        <v>96</v>
      </c>
    </row>
    <row r="1979" spans="1:15" x14ac:dyDescent="0.25">
      <c r="A1979">
        <v>1969</v>
      </c>
      <c r="B1979" s="10">
        <v>45851</v>
      </c>
      <c r="C1979">
        <v>13</v>
      </c>
      <c r="D1979" t="s">
        <v>145</v>
      </c>
      <c r="E1979" t="s">
        <v>25</v>
      </c>
      <c r="F1979" t="s">
        <v>22</v>
      </c>
      <c r="G1979" t="s">
        <v>91</v>
      </c>
      <c r="H1979" t="s">
        <v>131</v>
      </c>
      <c r="I1979" t="s">
        <v>155</v>
      </c>
      <c r="J1979" t="s">
        <v>103</v>
      </c>
      <c r="K1979">
        <v>31</v>
      </c>
      <c r="L1979">
        <v>9300</v>
      </c>
      <c r="M1979">
        <v>288300</v>
      </c>
      <c r="N1979" t="s">
        <v>95</v>
      </c>
      <c r="O1979" t="s">
        <v>104</v>
      </c>
    </row>
    <row r="1980" spans="1:15" x14ac:dyDescent="0.25">
      <c r="A1980">
        <v>2223</v>
      </c>
      <c r="B1980" s="10">
        <v>45712</v>
      </c>
      <c r="C1980">
        <v>24</v>
      </c>
      <c r="D1980" t="s">
        <v>97</v>
      </c>
      <c r="E1980" t="s">
        <v>150</v>
      </c>
      <c r="F1980" t="s">
        <v>117</v>
      </c>
      <c r="G1980" t="s">
        <v>118</v>
      </c>
      <c r="H1980" t="s">
        <v>131</v>
      </c>
      <c r="I1980" t="s">
        <v>139</v>
      </c>
      <c r="J1980" t="s">
        <v>94</v>
      </c>
      <c r="K1980">
        <v>10</v>
      </c>
      <c r="L1980">
        <v>9300</v>
      </c>
      <c r="M1980">
        <v>93000</v>
      </c>
      <c r="N1980" t="s">
        <v>95</v>
      </c>
      <c r="O1980" t="s">
        <v>104</v>
      </c>
    </row>
    <row r="1981" spans="1:15" x14ac:dyDescent="0.25">
      <c r="A1981">
        <v>2224</v>
      </c>
      <c r="B1981" s="10">
        <v>46010</v>
      </c>
      <c r="C1981">
        <v>19</v>
      </c>
      <c r="D1981" t="s">
        <v>125</v>
      </c>
      <c r="E1981" t="s">
        <v>142</v>
      </c>
      <c r="F1981" t="s">
        <v>113</v>
      </c>
      <c r="G1981" t="s">
        <v>114</v>
      </c>
      <c r="H1981" t="s">
        <v>131</v>
      </c>
      <c r="I1981" t="s">
        <v>155</v>
      </c>
      <c r="J1981" t="s">
        <v>103</v>
      </c>
      <c r="K1981">
        <v>23</v>
      </c>
      <c r="L1981">
        <v>9300</v>
      </c>
      <c r="M1981">
        <v>213900</v>
      </c>
      <c r="N1981" t="s">
        <v>95</v>
      </c>
      <c r="O1981" t="s">
        <v>96</v>
      </c>
    </row>
    <row r="1982" spans="1:15" x14ac:dyDescent="0.25">
      <c r="A1982">
        <v>2994</v>
      </c>
      <c r="B1982" s="10">
        <v>45900</v>
      </c>
      <c r="C1982">
        <v>31</v>
      </c>
      <c r="D1982" t="s">
        <v>109</v>
      </c>
      <c r="E1982" t="s">
        <v>137</v>
      </c>
      <c r="F1982" t="s">
        <v>148</v>
      </c>
      <c r="G1982" t="s">
        <v>118</v>
      </c>
      <c r="H1982" t="s">
        <v>131</v>
      </c>
      <c r="I1982" t="s">
        <v>155</v>
      </c>
      <c r="J1982" t="s">
        <v>103</v>
      </c>
      <c r="K1982">
        <v>27</v>
      </c>
      <c r="L1982">
        <v>9300</v>
      </c>
      <c r="M1982">
        <v>251100</v>
      </c>
      <c r="N1982" t="s">
        <v>108</v>
      </c>
      <c r="O1982" t="s">
        <v>104</v>
      </c>
    </row>
    <row r="1983" spans="1:15" x14ac:dyDescent="0.25">
      <c r="A1983">
        <v>3224</v>
      </c>
      <c r="B1983" s="10">
        <v>45902</v>
      </c>
      <c r="C1983">
        <v>2</v>
      </c>
      <c r="D1983" t="s">
        <v>147</v>
      </c>
      <c r="E1983" t="s">
        <v>25</v>
      </c>
      <c r="F1983" t="s">
        <v>144</v>
      </c>
      <c r="G1983" t="s">
        <v>91</v>
      </c>
      <c r="H1983" t="s">
        <v>131</v>
      </c>
      <c r="I1983" t="s">
        <v>139</v>
      </c>
      <c r="J1983" t="s">
        <v>94</v>
      </c>
      <c r="K1983">
        <v>9</v>
      </c>
      <c r="L1983">
        <v>9300</v>
      </c>
      <c r="M1983">
        <v>83700</v>
      </c>
      <c r="N1983" t="s">
        <v>108</v>
      </c>
      <c r="O1983" t="s">
        <v>104</v>
      </c>
    </row>
    <row r="1984" spans="1:15" x14ac:dyDescent="0.25">
      <c r="A1984">
        <v>4308</v>
      </c>
      <c r="B1984" s="10">
        <v>45759</v>
      </c>
      <c r="C1984">
        <v>12</v>
      </c>
      <c r="D1984" t="s">
        <v>105</v>
      </c>
      <c r="E1984" t="s">
        <v>150</v>
      </c>
      <c r="F1984" t="s">
        <v>134</v>
      </c>
      <c r="G1984" t="s">
        <v>100</v>
      </c>
      <c r="H1984" t="s">
        <v>131</v>
      </c>
      <c r="I1984" t="s">
        <v>139</v>
      </c>
      <c r="J1984" t="s">
        <v>94</v>
      </c>
      <c r="K1984">
        <v>8</v>
      </c>
      <c r="L1984">
        <v>9300</v>
      </c>
      <c r="M1984">
        <v>74400</v>
      </c>
      <c r="N1984" t="s">
        <v>108</v>
      </c>
      <c r="O1984" t="s">
        <v>104</v>
      </c>
    </row>
    <row r="1985" spans="1:15" x14ac:dyDescent="0.25">
      <c r="A1985">
        <v>4528</v>
      </c>
      <c r="B1985" s="10">
        <v>46014</v>
      </c>
      <c r="C1985">
        <v>23</v>
      </c>
      <c r="D1985" t="s">
        <v>125</v>
      </c>
      <c r="E1985" t="s">
        <v>121</v>
      </c>
      <c r="F1985" t="s">
        <v>107</v>
      </c>
      <c r="G1985" t="s">
        <v>100</v>
      </c>
      <c r="H1985" t="s">
        <v>131</v>
      </c>
      <c r="I1985" t="s">
        <v>139</v>
      </c>
      <c r="J1985" t="s">
        <v>94</v>
      </c>
      <c r="K1985">
        <v>1</v>
      </c>
      <c r="L1985">
        <v>9300</v>
      </c>
      <c r="M1985">
        <v>9300</v>
      </c>
      <c r="N1985" t="s">
        <v>108</v>
      </c>
      <c r="O1985" t="s">
        <v>115</v>
      </c>
    </row>
    <row r="1986" spans="1:15" x14ac:dyDescent="0.25">
      <c r="A1986">
        <v>277</v>
      </c>
      <c r="B1986" s="10">
        <v>45970</v>
      </c>
      <c r="C1986">
        <v>9</v>
      </c>
      <c r="D1986" t="s">
        <v>90</v>
      </c>
      <c r="E1986" t="s">
        <v>121</v>
      </c>
      <c r="F1986" t="s">
        <v>122</v>
      </c>
      <c r="G1986" t="s">
        <v>114</v>
      </c>
      <c r="H1986" t="s">
        <v>131</v>
      </c>
      <c r="I1986" t="s">
        <v>155</v>
      </c>
      <c r="J1986" t="s">
        <v>103</v>
      </c>
      <c r="K1986">
        <v>10</v>
      </c>
      <c r="L1986">
        <v>9400</v>
      </c>
      <c r="M1986">
        <v>94000</v>
      </c>
      <c r="N1986" t="s">
        <v>108</v>
      </c>
      <c r="O1986" t="s">
        <v>96</v>
      </c>
    </row>
    <row r="1987" spans="1:15" x14ac:dyDescent="0.25">
      <c r="A1987">
        <v>575</v>
      </c>
      <c r="B1987" s="10">
        <v>45842</v>
      </c>
      <c r="C1987">
        <v>4</v>
      </c>
      <c r="D1987" t="s">
        <v>145</v>
      </c>
      <c r="E1987" t="s">
        <v>142</v>
      </c>
      <c r="F1987" t="s">
        <v>151</v>
      </c>
      <c r="G1987" t="s">
        <v>111</v>
      </c>
      <c r="H1987" t="s">
        <v>131</v>
      </c>
      <c r="I1987" t="s">
        <v>139</v>
      </c>
      <c r="J1987" t="s">
        <v>94</v>
      </c>
      <c r="K1987">
        <v>6</v>
      </c>
      <c r="L1987">
        <v>9400</v>
      </c>
      <c r="M1987">
        <v>56400</v>
      </c>
      <c r="N1987" t="s">
        <v>95</v>
      </c>
      <c r="O1987" t="s">
        <v>96</v>
      </c>
    </row>
    <row r="1988" spans="1:15" x14ac:dyDescent="0.25">
      <c r="A1988">
        <v>839</v>
      </c>
      <c r="B1988" s="10">
        <v>45973</v>
      </c>
      <c r="C1988">
        <v>12</v>
      </c>
      <c r="D1988" t="s">
        <v>90</v>
      </c>
      <c r="E1988" t="s">
        <v>112</v>
      </c>
      <c r="F1988" t="s">
        <v>144</v>
      </c>
      <c r="G1988" t="s">
        <v>91</v>
      </c>
      <c r="H1988" t="s">
        <v>131</v>
      </c>
      <c r="I1988" t="s">
        <v>139</v>
      </c>
      <c r="J1988" t="s">
        <v>94</v>
      </c>
      <c r="K1988">
        <v>1</v>
      </c>
      <c r="L1988">
        <v>9400</v>
      </c>
      <c r="M1988">
        <v>9400</v>
      </c>
      <c r="N1988" t="s">
        <v>95</v>
      </c>
      <c r="O1988" t="s">
        <v>104</v>
      </c>
    </row>
    <row r="1989" spans="1:15" x14ac:dyDescent="0.25">
      <c r="A1989">
        <v>979</v>
      </c>
      <c r="B1989" s="10">
        <v>45723</v>
      </c>
      <c r="C1989">
        <v>7</v>
      </c>
      <c r="D1989" t="s">
        <v>140</v>
      </c>
      <c r="E1989" t="s">
        <v>133</v>
      </c>
      <c r="F1989" t="s">
        <v>141</v>
      </c>
      <c r="G1989" t="s">
        <v>100</v>
      </c>
      <c r="H1989" t="s">
        <v>37</v>
      </c>
      <c r="I1989" t="s">
        <v>160</v>
      </c>
      <c r="J1989" t="s">
        <v>103</v>
      </c>
      <c r="K1989">
        <v>23</v>
      </c>
      <c r="L1989">
        <v>9400</v>
      </c>
      <c r="M1989">
        <v>216200</v>
      </c>
      <c r="N1989" t="s">
        <v>108</v>
      </c>
      <c r="O1989" t="s">
        <v>96</v>
      </c>
    </row>
    <row r="1990" spans="1:15" x14ac:dyDescent="0.25">
      <c r="A1990">
        <v>981</v>
      </c>
      <c r="B1990" s="10">
        <v>45994</v>
      </c>
      <c r="C1990">
        <v>3</v>
      </c>
      <c r="D1990" t="s">
        <v>125</v>
      </c>
      <c r="E1990" t="s">
        <v>98</v>
      </c>
      <c r="F1990" t="s">
        <v>117</v>
      </c>
      <c r="G1990" t="s">
        <v>118</v>
      </c>
      <c r="H1990" t="s">
        <v>131</v>
      </c>
      <c r="I1990" t="s">
        <v>139</v>
      </c>
      <c r="J1990" t="s">
        <v>94</v>
      </c>
      <c r="K1990">
        <v>3</v>
      </c>
      <c r="L1990">
        <v>9400</v>
      </c>
      <c r="M1990">
        <v>28200</v>
      </c>
      <c r="N1990" t="s">
        <v>95</v>
      </c>
      <c r="O1990" t="s">
        <v>104</v>
      </c>
    </row>
    <row r="1991" spans="1:15" x14ac:dyDescent="0.25">
      <c r="A1991">
        <v>1159</v>
      </c>
      <c r="B1991" s="10">
        <v>45760</v>
      </c>
      <c r="C1991">
        <v>13</v>
      </c>
      <c r="D1991" t="s">
        <v>105</v>
      </c>
      <c r="E1991" t="s">
        <v>31</v>
      </c>
      <c r="F1991" t="s">
        <v>22</v>
      </c>
      <c r="G1991" t="s">
        <v>91</v>
      </c>
      <c r="H1991" t="s">
        <v>131</v>
      </c>
      <c r="I1991" t="s">
        <v>139</v>
      </c>
      <c r="J1991" t="s">
        <v>94</v>
      </c>
      <c r="K1991">
        <v>6</v>
      </c>
      <c r="L1991">
        <v>9400</v>
      </c>
      <c r="M1991">
        <v>56400</v>
      </c>
      <c r="N1991" t="s">
        <v>95</v>
      </c>
      <c r="O1991" t="s">
        <v>96</v>
      </c>
    </row>
    <row r="1992" spans="1:15" x14ac:dyDescent="0.25">
      <c r="A1992">
        <v>1295</v>
      </c>
      <c r="B1992" s="10">
        <v>45882</v>
      </c>
      <c r="C1992">
        <v>13</v>
      </c>
      <c r="D1992" t="s">
        <v>109</v>
      </c>
      <c r="E1992" t="s">
        <v>112</v>
      </c>
      <c r="F1992" t="s">
        <v>107</v>
      </c>
      <c r="G1992" t="s">
        <v>100</v>
      </c>
      <c r="H1992" t="s">
        <v>131</v>
      </c>
      <c r="I1992" t="s">
        <v>155</v>
      </c>
      <c r="J1992" t="s">
        <v>103</v>
      </c>
      <c r="K1992">
        <v>43</v>
      </c>
      <c r="L1992">
        <v>9400</v>
      </c>
      <c r="M1992">
        <v>404200</v>
      </c>
      <c r="N1992" t="s">
        <v>108</v>
      </c>
      <c r="O1992" t="s">
        <v>104</v>
      </c>
    </row>
    <row r="1993" spans="1:15" x14ac:dyDescent="0.25">
      <c r="A1993">
        <v>1641</v>
      </c>
      <c r="B1993" s="10">
        <v>45753</v>
      </c>
      <c r="C1993">
        <v>6</v>
      </c>
      <c r="D1993" t="s">
        <v>105</v>
      </c>
      <c r="E1993" t="s">
        <v>112</v>
      </c>
      <c r="F1993" t="s">
        <v>22</v>
      </c>
      <c r="G1993" t="s">
        <v>91</v>
      </c>
      <c r="H1993" t="s">
        <v>131</v>
      </c>
      <c r="I1993" t="s">
        <v>155</v>
      </c>
      <c r="J1993" t="s">
        <v>103</v>
      </c>
      <c r="K1993">
        <v>30</v>
      </c>
      <c r="L1993">
        <v>9400</v>
      </c>
      <c r="M1993">
        <v>282000</v>
      </c>
      <c r="N1993" t="s">
        <v>108</v>
      </c>
      <c r="O1993" t="s">
        <v>104</v>
      </c>
    </row>
    <row r="1994" spans="1:15" x14ac:dyDescent="0.25">
      <c r="A1994">
        <v>3282</v>
      </c>
      <c r="B1994" s="10">
        <v>45790</v>
      </c>
      <c r="C1994">
        <v>13</v>
      </c>
      <c r="D1994" t="s">
        <v>120</v>
      </c>
      <c r="E1994" t="s">
        <v>31</v>
      </c>
      <c r="F1994" t="s">
        <v>122</v>
      </c>
      <c r="G1994" t="s">
        <v>114</v>
      </c>
      <c r="H1994" t="s">
        <v>131</v>
      </c>
      <c r="I1994" t="s">
        <v>155</v>
      </c>
      <c r="J1994" t="s">
        <v>103</v>
      </c>
      <c r="K1994">
        <v>25</v>
      </c>
      <c r="L1994">
        <v>9400</v>
      </c>
      <c r="M1994">
        <v>235000</v>
      </c>
      <c r="N1994" t="s">
        <v>108</v>
      </c>
      <c r="O1994" t="s">
        <v>104</v>
      </c>
    </row>
    <row r="1995" spans="1:15" x14ac:dyDescent="0.25">
      <c r="A1995">
        <v>3721</v>
      </c>
      <c r="B1995" s="10">
        <v>45797</v>
      </c>
      <c r="C1995">
        <v>20</v>
      </c>
      <c r="D1995" t="s">
        <v>120</v>
      </c>
      <c r="E1995" t="s">
        <v>128</v>
      </c>
      <c r="F1995" t="s">
        <v>144</v>
      </c>
      <c r="G1995" t="s">
        <v>91</v>
      </c>
      <c r="H1995" t="s">
        <v>131</v>
      </c>
      <c r="I1995" t="s">
        <v>139</v>
      </c>
      <c r="J1995" t="s">
        <v>94</v>
      </c>
      <c r="K1995">
        <v>10</v>
      </c>
      <c r="L1995">
        <v>9400</v>
      </c>
      <c r="M1995">
        <v>94000</v>
      </c>
      <c r="N1995" t="s">
        <v>108</v>
      </c>
      <c r="O1995" t="s">
        <v>96</v>
      </c>
    </row>
    <row r="1996" spans="1:15" x14ac:dyDescent="0.25">
      <c r="A1996">
        <v>3870</v>
      </c>
      <c r="B1996" s="10">
        <v>45864</v>
      </c>
      <c r="C1996">
        <v>26</v>
      </c>
      <c r="D1996" t="s">
        <v>145</v>
      </c>
      <c r="E1996" t="s">
        <v>25</v>
      </c>
      <c r="F1996" t="s">
        <v>28</v>
      </c>
      <c r="G1996" t="s">
        <v>126</v>
      </c>
      <c r="H1996" t="s">
        <v>131</v>
      </c>
      <c r="I1996" t="s">
        <v>139</v>
      </c>
      <c r="J1996" t="s">
        <v>94</v>
      </c>
      <c r="K1996">
        <v>10</v>
      </c>
      <c r="L1996">
        <v>9400</v>
      </c>
      <c r="M1996">
        <v>94000</v>
      </c>
      <c r="N1996" t="s">
        <v>108</v>
      </c>
      <c r="O1996" t="s">
        <v>104</v>
      </c>
    </row>
    <row r="1997" spans="1:15" x14ac:dyDescent="0.25">
      <c r="A1997">
        <v>4392</v>
      </c>
      <c r="B1997" s="10">
        <v>45953</v>
      </c>
      <c r="C1997">
        <v>23</v>
      </c>
      <c r="D1997" t="s">
        <v>136</v>
      </c>
      <c r="E1997" t="s">
        <v>31</v>
      </c>
      <c r="F1997" t="s">
        <v>28</v>
      </c>
      <c r="G1997" t="s">
        <v>126</v>
      </c>
      <c r="H1997" t="s">
        <v>131</v>
      </c>
      <c r="I1997" t="s">
        <v>139</v>
      </c>
      <c r="J1997" t="s">
        <v>94</v>
      </c>
      <c r="K1997">
        <v>5</v>
      </c>
      <c r="L1997">
        <v>9400</v>
      </c>
      <c r="M1997">
        <v>47000</v>
      </c>
      <c r="N1997" t="s">
        <v>108</v>
      </c>
      <c r="O1997" t="s">
        <v>115</v>
      </c>
    </row>
    <row r="1998" spans="1:15" x14ac:dyDescent="0.25">
      <c r="A1998">
        <v>4602</v>
      </c>
      <c r="B1998" s="10">
        <v>45986</v>
      </c>
      <c r="C1998">
        <v>25</v>
      </c>
      <c r="D1998" t="s">
        <v>90</v>
      </c>
      <c r="E1998" t="s">
        <v>98</v>
      </c>
      <c r="F1998" t="s">
        <v>36</v>
      </c>
      <c r="G1998" t="s">
        <v>100</v>
      </c>
      <c r="H1998" t="s">
        <v>131</v>
      </c>
      <c r="I1998" t="s">
        <v>139</v>
      </c>
      <c r="J1998" t="s">
        <v>94</v>
      </c>
      <c r="K1998">
        <v>8</v>
      </c>
      <c r="L1998">
        <v>9400</v>
      </c>
      <c r="M1998">
        <v>75200</v>
      </c>
      <c r="N1998" t="s">
        <v>95</v>
      </c>
      <c r="O1998" t="s">
        <v>96</v>
      </c>
    </row>
    <row r="1999" spans="1:15" x14ac:dyDescent="0.25">
      <c r="A1999">
        <v>4649</v>
      </c>
      <c r="B1999" s="10">
        <v>45683</v>
      </c>
      <c r="C1999">
        <v>26</v>
      </c>
      <c r="D1999" t="s">
        <v>130</v>
      </c>
      <c r="E1999" t="s">
        <v>25</v>
      </c>
      <c r="F1999" t="s">
        <v>113</v>
      </c>
      <c r="G1999" t="s">
        <v>114</v>
      </c>
      <c r="H1999" t="s">
        <v>37</v>
      </c>
      <c r="I1999" t="s">
        <v>160</v>
      </c>
      <c r="J1999" t="s">
        <v>103</v>
      </c>
      <c r="K1999">
        <v>40</v>
      </c>
      <c r="L1999">
        <v>9400</v>
      </c>
      <c r="M1999">
        <v>376000</v>
      </c>
      <c r="N1999" t="s">
        <v>95</v>
      </c>
      <c r="O1999" t="s">
        <v>115</v>
      </c>
    </row>
    <row r="2000" spans="1:15" x14ac:dyDescent="0.25">
      <c r="A2000">
        <v>155</v>
      </c>
      <c r="B2000" s="10">
        <v>45987</v>
      </c>
      <c r="C2000">
        <v>26</v>
      </c>
      <c r="D2000" t="s">
        <v>90</v>
      </c>
      <c r="E2000" t="s">
        <v>25</v>
      </c>
      <c r="F2000" t="s">
        <v>22</v>
      </c>
      <c r="G2000" t="s">
        <v>91</v>
      </c>
      <c r="H2000" t="s">
        <v>131</v>
      </c>
      <c r="I2000" t="s">
        <v>155</v>
      </c>
      <c r="J2000" t="s">
        <v>103</v>
      </c>
      <c r="K2000">
        <v>48</v>
      </c>
      <c r="L2000">
        <v>9500</v>
      </c>
      <c r="M2000">
        <v>456000</v>
      </c>
      <c r="N2000" t="s">
        <v>95</v>
      </c>
      <c r="O2000" t="s">
        <v>115</v>
      </c>
    </row>
    <row r="2001" spans="1:15" x14ac:dyDescent="0.25">
      <c r="A2001">
        <v>205</v>
      </c>
      <c r="B2001" s="10">
        <v>45899</v>
      </c>
      <c r="C2001">
        <v>30</v>
      </c>
      <c r="D2001" t="s">
        <v>109</v>
      </c>
      <c r="E2001" t="s">
        <v>161</v>
      </c>
      <c r="F2001" t="s">
        <v>141</v>
      </c>
      <c r="G2001" t="s">
        <v>100</v>
      </c>
      <c r="H2001" t="s">
        <v>29</v>
      </c>
      <c r="I2001" t="s">
        <v>163</v>
      </c>
      <c r="J2001" t="s">
        <v>103</v>
      </c>
      <c r="K2001">
        <v>44</v>
      </c>
      <c r="L2001">
        <v>9500</v>
      </c>
      <c r="M2001">
        <v>418000</v>
      </c>
      <c r="N2001" t="s">
        <v>95</v>
      </c>
      <c r="O2001" t="s">
        <v>104</v>
      </c>
    </row>
    <row r="2002" spans="1:15" x14ac:dyDescent="0.25">
      <c r="A2002">
        <v>783</v>
      </c>
      <c r="B2002" s="10">
        <v>45701</v>
      </c>
      <c r="C2002">
        <v>13</v>
      </c>
      <c r="D2002" t="s">
        <v>97</v>
      </c>
      <c r="E2002" t="s">
        <v>138</v>
      </c>
      <c r="F2002" t="s">
        <v>122</v>
      </c>
      <c r="G2002" t="s">
        <v>114</v>
      </c>
      <c r="H2002" t="s">
        <v>131</v>
      </c>
      <c r="I2002" t="s">
        <v>155</v>
      </c>
      <c r="J2002" t="s">
        <v>103</v>
      </c>
      <c r="K2002">
        <v>44</v>
      </c>
      <c r="L2002">
        <v>9500</v>
      </c>
      <c r="M2002">
        <v>418000</v>
      </c>
      <c r="N2002" t="s">
        <v>95</v>
      </c>
      <c r="O2002" t="s">
        <v>115</v>
      </c>
    </row>
    <row r="2003" spans="1:15" x14ac:dyDescent="0.25">
      <c r="A2003">
        <v>868</v>
      </c>
      <c r="B2003" s="10">
        <v>45988</v>
      </c>
      <c r="C2003">
        <v>27</v>
      </c>
      <c r="D2003" t="s">
        <v>90</v>
      </c>
      <c r="E2003" t="s">
        <v>112</v>
      </c>
      <c r="F2003" t="s">
        <v>113</v>
      </c>
      <c r="G2003" t="s">
        <v>114</v>
      </c>
      <c r="H2003" t="s">
        <v>131</v>
      </c>
      <c r="I2003" t="s">
        <v>155</v>
      </c>
      <c r="J2003" t="s">
        <v>103</v>
      </c>
      <c r="K2003">
        <v>24</v>
      </c>
      <c r="L2003">
        <v>9500</v>
      </c>
      <c r="M2003">
        <v>228000</v>
      </c>
      <c r="N2003" t="s">
        <v>95</v>
      </c>
      <c r="O2003" t="s">
        <v>115</v>
      </c>
    </row>
    <row r="2004" spans="1:15" x14ac:dyDescent="0.25">
      <c r="A2004">
        <v>1444</v>
      </c>
      <c r="B2004" s="10">
        <v>45789</v>
      </c>
      <c r="C2004">
        <v>12</v>
      </c>
      <c r="D2004" t="s">
        <v>120</v>
      </c>
      <c r="E2004" t="s">
        <v>98</v>
      </c>
      <c r="F2004" t="s">
        <v>151</v>
      </c>
      <c r="G2004" t="s">
        <v>111</v>
      </c>
      <c r="H2004" t="s">
        <v>37</v>
      </c>
      <c r="I2004" t="s">
        <v>160</v>
      </c>
      <c r="J2004" t="s">
        <v>103</v>
      </c>
      <c r="K2004">
        <v>5</v>
      </c>
      <c r="L2004">
        <v>9500</v>
      </c>
      <c r="M2004">
        <v>47500</v>
      </c>
      <c r="N2004" t="s">
        <v>108</v>
      </c>
      <c r="O2004" t="s">
        <v>115</v>
      </c>
    </row>
    <row r="2005" spans="1:15" x14ac:dyDescent="0.25">
      <c r="A2005">
        <v>1574</v>
      </c>
      <c r="B2005" s="10">
        <v>45689</v>
      </c>
      <c r="C2005">
        <v>1</v>
      </c>
      <c r="D2005" t="s">
        <v>97</v>
      </c>
      <c r="E2005" t="s">
        <v>137</v>
      </c>
      <c r="F2005" t="s">
        <v>117</v>
      </c>
      <c r="G2005" t="s">
        <v>118</v>
      </c>
      <c r="H2005" t="s">
        <v>37</v>
      </c>
      <c r="I2005" t="s">
        <v>160</v>
      </c>
      <c r="J2005" t="s">
        <v>103</v>
      </c>
      <c r="K2005">
        <v>31</v>
      </c>
      <c r="L2005">
        <v>9500</v>
      </c>
      <c r="M2005">
        <v>294500</v>
      </c>
      <c r="N2005" t="s">
        <v>108</v>
      </c>
      <c r="O2005" t="s">
        <v>115</v>
      </c>
    </row>
    <row r="2006" spans="1:15" x14ac:dyDescent="0.25">
      <c r="A2006">
        <v>1868</v>
      </c>
      <c r="B2006" s="10">
        <v>45715</v>
      </c>
      <c r="C2006">
        <v>27</v>
      </c>
      <c r="D2006" t="s">
        <v>97</v>
      </c>
      <c r="E2006" t="s">
        <v>98</v>
      </c>
      <c r="F2006" t="s">
        <v>28</v>
      </c>
      <c r="G2006" t="s">
        <v>126</v>
      </c>
      <c r="H2006" t="s">
        <v>131</v>
      </c>
      <c r="I2006" t="s">
        <v>139</v>
      </c>
      <c r="J2006" t="s">
        <v>94</v>
      </c>
      <c r="K2006">
        <v>6</v>
      </c>
      <c r="L2006">
        <v>9500</v>
      </c>
      <c r="M2006">
        <v>57000</v>
      </c>
      <c r="N2006" t="s">
        <v>108</v>
      </c>
      <c r="O2006" t="s">
        <v>104</v>
      </c>
    </row>
    <row r="2007" spans="1:15" x14ac:dyDescent="0.25">
      <c r="A2007">
        <v>2316</v>
      </c>
      <c r="B2007" s="10">
        <v>45926</v>
      </c>
      <c r="C2007">
        <v>26</v>
      </c>
      <c r="D2007" t="s">
        <v>147</v>
      </c>
      <c r="E2007" t="s">
        <v>31</v>
      </c>
      <c r="F2007" t="s">
        <v>49</v>
      </c>
      <c r="G2007" t="s">
        <v>118</v>
      </c>
      <c r="H2007" t="s">
        <v>131</v>
      </c>
      <c r="I2007" t="s">
        <v>155</v>
      </c>
      <c r="J2007" t="s">
        <v>103</v>
      </c>
      <c r="K2007">
        <v>7</v>
      </c>
      <c r="L2007">
        <v>9500</v>
      </c>
      <c r="M2007">
        <v>66500</v>
      </c>
      <c r="N2007" t="s">
        <v>95</v>
      </c>
      <c r="O2007" t="s">
        <v>96</v>
      </c>
    </row>
    <row r="2008" spans="1:15" x14ac:dyDescent="0.25">
      <c r="A2008">
        <v>2510</v>
      </c>
      <c r="B2008" s="10">
        <v>46022</v>
      </c>
      <c r="C2008">
        <v>31</v>
      </c>
      <c r="D2008" t="s">
        <v>125</v>
      </c>
      <c r="E2008" t="s">
        <v>110</v>
      </c>
      <c r="F2008" t="s">
        <v>134</v>
      </c>
      <c r="G2008" t="s">
        <v>100</v>
      </c>
      <c r="H2008" t="s">
        <v>29</v>
      </c>
      <c r="I2008" t="s">
        <v>163</v>
      </c>
      <c r="J2008" t="s">
        <v>103</v>
      </c>
      <c r="K2008">
        <v>16</v>
      </c>
      <c r="L2008">
        <v>9500</v>
      </c>
      <c r="M2008">
        <v>152000</v>
      </c>
      <c r="N2008" t="s">
        <v>95</v>
      </c>
      <c r="O2008" t="s">
        <v>104</v>
      </c>
    </row>
    <row r="2009" spans="1:15" x14ac:dyDescent="0.25">
      <c r="A2009">
        <v>2648</v>
      </c>
      <c r="B2009" s="10">
        <v>45845</v>
      </c>
      <c r="C2009">
        <v>7</v>
      </c>
      <c r="D2009" t="s">
        <v>145</v>
      </c>
      <c r="E2009" t="s">
        <v>142</v>
      </c>
      <c r="F2009" t="s">
        <v>28</v>
      </c>
      <c r="G2009" t="s">
        <v>126</v>
      </c>
      <c r="H2009" t="s">
        <v>37</v>
      </c>
      <c r="I2009" t="s">
        <v>160</v>
      </c>
      <c r="J2009" t="s">
        <v>103</v>
      </c>
      <c r="K2009">
        <v>7</v>
      </c>
      <c r="L2009">
        <v>9500</v>
      </c>
      <c r="M2009">
        <v>66500</v>
      </c>
      <c r="N2009" t="s">
        <v>108</v>
      </c>
      <c r="O2009" t="s">
        <v>115</v>
      </c>
    </row>
    <row r="2010" spans="1:15" x14ac:dyDescent="0.25">
      <c r="A2010">
        <v>2738</v>
      </c>
      <c r="B2010" s="10">
        <v>45936</v>
      </c>
      <c r="C2010">
        <v>6</v>
      </c>
      <c r="D2010" t="s">
        <v>136</v>
      </c>
      <c r="E2010" t="s">
        <v>142</v>
      </c>
      <c r="F2010" t="s">
        <v>107</v>
      </c>
      <c r="G2010" t="s">
        <v>100</v>
      </c>
      <c r="H2010" t="s">
        <v>131</v>
      </c>
      <c r="I2010" t="s">
        <v>155</v>
      </c>
      <c r="J2010" t="s">
        <v>103</v>
      </c>
      <c r="K2010">
        <v>5</v>
      </c>
      <c r="L2010">
        <v>9500</v>
      </c>
      <c r="M2010">
        <v>47500</v>
      </c>
      <c r="N2010" t="s">
        <v>95</v>
      </c>
      <c r="O2010" t="s">
        <v>96</v>
      </c>
    </row>
    <row r="2011" spans="1:15" x14ac:dyDescent="0.25">
      <c r="A2011">
        <v>2741</v>
      </c>
      <c r="B2011" s="10">
        <v>45915</v>
      </c>
      <c r="C2011">
        <v>15</v>
      </c>
      <c r="D2011" t="s">
        <v>147</v>
      </c>
      <c r="E2011" t="s">
        <v>128</v>
      </c>
      <c r="F2011" t="s">
        <v>144</v>
      </c>
      <c r="G2011" t="s">
        <v>91</v>
      </c>
      <c r="H2011" t="s">
        <v>131</v>
      </c>
      <c r="I2011" t="s">
        <v>155</v>
      </c>
      <c r="J2011" t="s">
        <v>103</v>
      </c>
      <c r="K2011">
        <v>20</v>
      </c>
      <c r="L2011">
        <v>9500</v>
      </c>
      <c r="M2011">
        <v>190000</v>
      </c>
      <c r="N2011" t="s">
        <v>108</v>
      </c>
      <c r="O2011" t="s">
        <v>96</v>
      </c>
    </row>
    <row r="2012" spans="1:15" x14ac:dyDescent="0.25">
      <c r="A2012">
        <v>2973</v>
      </c>
      <c r="B2012" s="10">
        <v>45913</v>
      </c>
      <c r="C2012">
        <v>13</v>
      </c>
      <c r="D2012" t="s">
        <v>147</v>
      </c>
      <c r="E2012" t="s">
        <v>142</v>
      </c>
      <c r="F2012" t="s">
        <v>44</v>
      </c>
      <c r="G2012" t="s">
        <v>111</v>
      </c>
      <c r="H2012" t="s">
        <v>29</v>
      </c>
      <c r="I2012" t="s">
        <v>163</v>
      </c>
      <c r="J2012" t="s">
        <v>103</v>
      </c>
      <c r="K2012">
        <v>12</v>
      </c>
      <c r="L2012">
        <v>9500</v>
      </c>
      <c r="M2012">
        <v>114000</v>
      </c>
      <c r="N2012" t="s">
        <v>108</v>
      </c>
      <c r="O2012" t="s">
        <v>115</v>
      </c>
    </row>
    <row r="2013" spans="1:15" x14ac:dyDescent="0.25">
      <c r="A2013">
        <v>3016</v>
      </c>
      <c r="B2013" s="10">
        <v>45911</v>
      </c>
      <c r="C2013">
        <v>11</v>
      </c>
      <c r="D2013" t="s">
        <v>147</v>
      </c>
      <c r="E2013" t="s">
        <v>150</v>
      </c>
      <c r="F2013" t="s">
        <v>117</v>
      </c>
      <c r="G2013" t="s">
        <v>118</v>
      </c>
      <c r="H2013" t="s">
        <v>131</v>
      </c>
      <c r="I2013" t="s">
        <v>139</v>
      </c>
      <c r="J2013" t="s">
        <v>94</v>
      </c>
      <c r="K2013">
        <v>1</v>
      </c>
      <c r="L2013">
        <v>9500</v>
      </c>
      <c r="M2013">
        <v>9500</v>
      </c>
      <c r="N2013" t="s">
        <v>95</v>
      </c>
      <c r="O2013" t="s">
        <v>96</v>
      </c>
    </row>
    <row r="2014" spans="1:15" x14ac:dyDescent="0.25">
      <c r="A2014">
        <v>3303</v>
      </c>
      <c r="B2014" s="10">
        <v>45677</v>
      </c>
      <c r="C2014">
        <v>20</v>
      </c>
      <c r="D2014" t="s">
        <v>130</v>
      </c>
      <c r="E2014" t="s">
        <v>110</v>
      </c>
      <c r="F2014" t="s">
        <v>122</v>
      </c>
      <c r="G2014" t="s">
        <v>114</v>
      </c>
      <c r="H2014" t="s">
        <v>131</v>
      </c>
      <c r="I2014" t="s">
        <v>155</v>
      </c>
      <c r="J2014" t="s">
        <v>103</v>
      </c>
      <c r="K2014">
        <v>39</v>
      </c>
      <c r="L2014">
        <v>9500</v>
      </c>
      <c r="M2014">
        <v>370500</v>
      </c>
      <c r="N2014" t="s">
        <v>95</v>
      </c>
      <c r="O2014" t="s">
        <v>104</v>
      </c>
    </row>
    <row r="2015" spans="1:15" x14ac:dyDescent="0.25">
      <c r="A2015">
        <v>3438</v>
      </c>
      <c r="B2015" s="10">
        <v>45777</v>
      </c>
      <c r="C2015">
        <v>30</v>
      </c>
      <c r="D2015" t="s">
        <v>105</v>
      </c>
      <c r="E2015" t="s">
        <v>133</v>
      </c>
      <c r="F2015" t="s">
        <v>117</v>
      </c>
      <c r="G2015" t="s">
        <v>118</v>
      </c>
      <c r="H2015" t="s">
        <v>37</v>
      </c>
      <c r="I2015" t="s">
        <v>160</v>
      </c>
      <c r="J2015" t="s">
        <v>103</v>
      </c>
      <c r="K2015">
        <v>7</v>
      </c>
      <c r="L2015">
        <v>9500</v>
      </c>
      <c r="M2015">
        <v>66500</v>
      </c>
      <c r="N2015" t="s">
        <v>95</v>
      </c>
      <c r="O2015" t="s">
        <v>115</v>
      </c>
    </row>
    <row r="2016" spans="1:15" x14ac:dyDescent="0.25">
      <c r="A2016">
        <v>3569</v>
      </c>
      <c r="B2016" s="10">
        <v>45739</v>
      </c>
      <c r="C2016">
        <v>23</v>
      </c>
      <c r="D2016" t="s">
        <v>140</v>
      </c>
      <c r="E2016" t="s">
        <v>138</v>
      </c>
      <c r="F2016" t="s">
        <v>134</v>
      </c>
      <c r="G2016" t="s">
        <v>100</v>
      </c>
      <c r="H2016" t="s">
        <v>131</v>
      </c>
      <c r="I2016" t="s">
        <v>155</v>
      </c>
      <c r="J2016" t="s">
        <v>103</v>
      </c>
      <c r="K2016">
        <v>37</v>
      </c>
      <c r="L2016">
        <v>9500</v>
      </c>
      <c r="M2016">
        <v>351500</v>
      </c>
      <c r="N2016" t="s">
        <v>95</v>
      </c>
      <c r="O2016" t="s">
        <v>96</v>
      </c>
    </row>
    <row r="2017" spans="1:15" x14ac:dyDescent="0.25">
      <c r="A2017">
        <v>3752</v>
      </c>
      <c r="B2017" s="10">
        <v>45901</v>
      </c>
      <c r="C2017">
        <v>1</v>
      </c>
      <c r="D2017" t="s">
        <v>147</v>
      </c>
      <c r="E2017" t="s">
        <v>142</v>
      </c>
      <c r="F2017" t="s">
        <v>151</v>
      </c>
      <c r="G2017" t="s">
        <v>111</v>
      </c>
      <c r="H2017" t="s">
        <v>131</v>
      </c>
      <c r="I2017" t="s">
        <v>155</v>
      </c>
      <c r="J2017" t="s">
        <v>103</v>
      </c>
      <c r="K2017">
        <v>6</v>
      </c>
      <c r="L2017">
        <v>9500</v>
      </c>
      <c r="M2017">
        <v>57000</v>
      </c>
      <c r="N2017" t="s">
        <v>108</v>
      </c>
      <c r="O2017" t="s">
        <v>104</v>
      </c>
    </row>
    <row r="2018" spans="1:15" x14ac:dyDescent="0.25">
      <c r="A2018">
        <v>3765</v>
      </c>
      <c r="B2018" s="10">
        <v>45894</v>
      </c>
      <c r="C2018">
        <v>25</v>
      </c>
      <c r="D2018" t="s">
        <v>109</v>
      </c>
      <c r="E2018" t="s">
        <v>161</v>
      </c>
      <c r="F2018" t="s">
        <v>148</v>
      </c>
      <c r="G2018" t="s">
        <v>118</v>
      </c>
      <c r="H2018" t="s">
        <v>131</v>
      </c>
      <c r="I2018" t="s">
        <v>155</v>
      </c>
      <c r="J2018" t="s">
        <v>103</v>
      </c>
      <c r="K2018">
        <v>40</v>
      </c>
      <c r="L2018">
        <v>9500</v>
      </c>
      <c r="M2018">
        <v>380000</v>
      </c>
      <c r="N2018" t="s">
        <v>95</v>
      </c>
      <c r="O2018" t="s">
        <v>96</v>
      </c>
    </row>
    <row r="2019" spans="1:15" x14ac:dyDescent="0.25">
      <c r="A2019">
        <v>3896</v>
      </c>
      <c r="B2019" s="10">
        <v>45807</v>
      </c>
      <c r="C2019">
        <v>30</v>
      </c>
      <c r="D2019" t="s">
        <v>120</v>
      </c>
      <c r="E2019" t="s">
        <v>133</v>
      </c>
      <c r="F2019" t="s">
        <v>144</v>
      </c>
      <c r="G2019" t="s">
        <v>91</v>
      </c>
      <c r="H2019" t="s">
        <v>131</v>
      </c>
      <c r="I2019" t="s">
        <v>139</v>
      </c>
      <c r="J2019" t="s">
        <v>94</v>
      </c>
      <c r="K2019">
        <v>7</v>
      </c>
      <c r="L2019">
        <v>9500</v>
      </c>
      <c r="M2019">
        <v>66500</v>
      </c>
      <c r="N2019" t="s">
        <v>108</v>
      </c>
      <c r="O2019" t="s">
        <v>115</v>
      </c>
    </row>
    <row r="2020" spans="1:15" x14ac:dyDescent="0.25">
      <c r="A2020">
        <v>4256</v>
      </c>
      <c r="B2020" s="10">
        <v>45840</v>
      </c>
      <c r="C2020">
        <v>2</v>
      </c>
      <c r="D2020" t="s">
        <v>145</v>
      </c>
      <c r="E2020" t="s">
        <v>121</v>
      </c>
      <c r="F2020" t="s">
        <v>148</v>
      </c>
      <c r="G2020" t="s">
        <v>118</v>
      </c>
      <c r="H2020" t="s">
        <v>131</v>
      </c>
      <c r="I2020" t="s">
        <v>139</v>
      </c>
      <c r="J2020" t="s">
        <v>94</v>
      </c>
      <c r="K2020">
        <v>1</v>
      </c>
      <c r="L2020">
        <v>9500</v>
      </c>
      <c r="M2020">
        <v>9500</v>
      </c>
      <c r="N2020" t="s">
        <v>108</v>
      </c>
      <c r="O2020" t="s">
        <v>96</v>
      </c>
    </row>
    <row r="2021" spans="1:15" x14ac:dyDescent="0.25">
      <c r="A2021">
        <v>4357</v>
      </c>
      <c r="B2021" s="10">
        <v>45844</v>
      </c>
      <c r="C2021">
        <v>6</v>
      </c>
      <c r="D2021" t="s">
        <v>145</v>
      </c>
      <c r="E2021" t="s">
        <v>137</v>
      </c>
      <c r="F2021" t="s">
        <v>44</v>
      </c>
      <c r="G2021" t="s">
        <v>111</v>
      </c>
      <c r="H2021" t="s">
        <v>131</v>
      </c>
      <c r="I2021" t="s">
        <v>155</v>
      </c>
      <c r="J2021" t="s">
        <v>103</v>
      </c>
      <c r="K2021">
        <v>38</v>
      </c>
      <c r="L2021">
        <v>9500</v>
      </c>
      <c r="M2021">
        <v>361000</v>
      </c>
      <c r="N2021" t="s">
        <v>108</v>
      </c>
      <c r="O2021" t="s">
        <v>96</v>
      </c>
    </row>
    <row r="2022" spans="1:15" x14ac:dyDescent="0.25">
      <c r="A2022">
        <v>4545</v>
      </c>
      <c r="B2022" s="10">
        <v>45667</v>
      </c>
      <c r="C2022">
        <v>10</v>
      </c>
      <c r="D2022" t="s">
        <v>130</v>
      </c>
      <c r="E2022" t="s">
        <v>106</v>
      </c>
      <c r="F2022" t="s">
        <v>134</v>
      </c>
      <c r="G2022" t="s">
        <v>100</v>
      </c>
      <c r="H2022" t="s">
        <v>131</v>
      </c>
      <c r="I2022" t="s">
        <v>155</v>
      </c>
      <c r="J2022" t="s">
        <v>103</v>
      </c>
      <c r="K2022">
        <v>30</v>
      </c>
      <c r="L2022">
        <v>9500</v>
      </c>
      <c r="M2022">
        <v>285000</v>
      </c>
      <c r="N2022" t="s">
        <v>95</v>
      </c>
      <c r="O2022" t="s">
        <v>104</v>
      </c>
    </row>
    <row r="2023" spans="1:15" x14ac:dyDescent="0.25">
      <c r="A2023">
        <v>467</v>
      </c>
      <c r="B2023" s="10">
        <v>45884</v>
      </c>
      <c r="C2023">
        <v>15</v>
      </c>
      <c r="D2023" t="s">
        <v>109</v>
      </c>
      <c r="E2023" t="s">
        <v>106</v>
      </c>
      <c r="F2023" t="s">
        <v>144</v>
      </c>
      <c r="G2023" t="s">
        <v>91</v>
      </c>
      <c r="H2023" t="s">
        <v>131</v>
      </c>
      <c r="I2023" t="s">
        <v>155</v>
      </c>
      <c r="J2023" t="s">
        <v>103</v>
      </c>
      <c r="K2023">
        <v>8</v>
      </c>
      <c r="L2023">
        <v>9600</v>
      </c>
      <c r="M2023">
        <v>76800</v>
      </c>
      <c r="N2023" t="s">
        <v>95</v>
      </c>
      <c r="O2023" t="s">
        <v>104</v>
      </c>
    </row>
    <row r="2024" spans="1:15" x14ac:dyDescent="0.25">
      <c r="A2024">
        <v>784</v>
      </c>
      <c r="B2024" s="10">
        <v>45918</v>
      </c>
      <c r="C2024">
        <v>18</v>
      </c>
      <c r="D2024" t="s">
        <v>147</v>
      </c>
      <c r="E2024" t="s">
        <v>142</v>
      </c>
      <c r="F2024" t="s">
        <v>107</v>
      </c>
      <c r="G2024" t="s">
        <v>100</v>
      </c>
      <c r="H2024" t="s">
        <v>131</v>
      </c>
      <c r="I2024" t="s">
        <v>155</v>
      </c>
      <c r="J2024" t="s">
        <v>103</v>
      </c>
      <c r="K2024">
        <v>19</v>
      </c>
      <c r="L2024">
        <v>9600</v>
      </c>
      <c r="M2024">
        <v>182400</v>
      </c>
      <c r="N2024" t="s">
        <v>95</v>
      </c>
      <c r="O2024" t="s">
        <v>115</v>
      </c>
    </row>
    <row r="2025" spans="1:15" x14ac:dyDescent="0.25">
      <c r="A2025">
        <v>959</v>
      </c>
      <c r="B2025" s="10">
        <v>45798</v>
      </c>
      <c r="C2025">
        <v>21</v>
      </c>
      <c r="D2025" t="s">
        <v>120</v>
      </c>
      <c r="E2025" t="s">
        <v>121</v>
      </c>
      <c r="F2025" t="s">
        <v>28</v>
      </c>
      <c r="G2025" t="s">
        <v>126</v>
      </c>
      <c r="H2025" t="s">
        <v>131</v>
      </c>
      <c r="I2025" t="s">
        <v>155</v>
      </c>
      <c r="J2025" t="s">
        <v>103</v>
      </c>
      <c r="K2025">
        <v>26</v>
      </c>
      <c r="L2025">
        <v>9600</v>
      </c>
      <c r="M2025">
        <v>249600</v>
      </c>
      <c r="N2025" t="s">
        <v>108</v>
      </c>
      <c r="O2025" t="s">
        <v>104</v>
      </c>
    </row>
    <row r="2026" spans="1:15" x14ac:dyDescent="0.25">
      <c r="A2026">
        <v>1134</v>
      </c>
      <c r="B2026" s="10">
        <v>45839</v>
      </c>
      <c r="C2026">
        <v>1</v>
      </c>
      <c r="D2026" t="s">
        <v>145</v>
      </c>
      <c r="E2026" t="s">
        <v>150</v>
      </c>
      <c r="F2026" t="s">
        <v>49</v>
      </c>
      <c r="G2026" t="s">
        <v>118</v>
      </c>
      <c r="H2026" t="s">
        <v>131</v>
      </c>
      <c r="I2026" t="s">
        <v>155</v>
      </c>
      <c r="J2026" t="s">
        <v>103</v>
      </c>
      <c r="K2026">
        <v>49</v>
      </c>
      <c r="L2026">
        <v>9600</v>
      </c>
      <c r="M2026">
        <v>470400</v>
      </c>
      <c r="N2026" t="s">
        <v>108</v>
      </c>
      <c r="O2026" t="s">
        <v>115</v>
      </c>
    </row>
    <row r="2027" spans="1:15" x14ac:dyDescent="0.25">
      <c r="A2027">
        <v>1223</v>
      </c>
      <c r="B2027" s="10">
        <v>45938</v>
      </c>
      <c r="C2027">
        <v>8</v>
      </c>
      <c r="D2027" t="s">
        <v>136</v>
      </c>
      <c r="E2027" t="s">
        <v>142</v>
      </c>
      <c r="F2027" t="s">
        <v>113</v>
      </c>
      <c r="G2027" t="s">
        <v>114</v>
      </c>
      <c r="H2027" t="s">
        <v>131</v>
      </c>
      <c r="I2027" t="s">
        <v>155</v>
      </c>
      <c r="J2027" t="s">
        <v>103</v>
      </c>
      <c r="K2027">
        <v>30</v>
      </c>
      <c r="L2027">
        <v>9600</v>
      </c>
      <c r="M2027">
        <v>288000</v>
      </c>
      <c r="N2027" t="s">
        <v>108</v>
      </c>
      <c r="O2027" t="s">
        <v>104</v>
      </c>
    </row>
    <row r="2028" spans="1:15" x14ac:dyDescent="0.25">
      <c r="A2028">
        <v>1263</v>
      </c>
      <c r="B2028" s="10">
        <v>45921</v>
      </c>
      <c r="C2028">
        <v>21</v>
      </c>
      <c r="D2028" t="s">
        <v>147</v>
      </c>
      <c r="E2028" t="s">
        <v>150</v>
      </c>
      <c r="F2028" t="s">
        <v>22</v>
      </c>
      <c r="G2028" t="s">
        <v>91</v>
      </c>
      <c r="H2028" t="s">
        <v>131</v>
      </c>
      <c r="I2028" t="s">
        <v>155</v>
      </c>
      <c r="J2028" t="s">
        <v>103</v>
      </c>
      <c r="K2028">
        <v>15</v>
      </c>
      <c r="L2028">
        <v>9600</v>
      </c>
      <c r="M2028">
        <v>144000</v>
      </c>
      <c r="N2028" t="s">
        <v>108</v>
      </c>
      <c r="O2028" t="s">
        <v>104</v>
      </c>
    </row>
    <row r="2029" spans="1:15" x14ac:dyDescent="0.25">
      <c r="A2029">
        <v>1273</v>
      </c>
      <c r="B2029" s="10">
        <v>45755</v>
      </c>
      <c r="C2029">
        <v>8</v>
      </c>
      <c r="D2029" t="s">
        <v>105</v>
      </c>
      <c r="E2029" t="s">
        <v>116</v>
      </c>
      <c r="F2029" t="s">
        <v>22</v>
      </c>
      <c r="G2029" t="s">
        <v>91</v>
      </c>
      <c r="H2029" t="s">
        <v>29</v>
      </c>
      <c r="I2029" t="s">
        <v>163</v>
      </c>
      <c r="J2029" t="s">
        <v>103</v>
      </c>
      <c r="K2029">
        <v>26</v>
      </c>
      <c r="L2029">
        <v>9600</v>
      </c>
      <c r="M2029">
        <v>249600</v>
      </c>
      <c r="N2029" t="s">
        <v>95</v>
      </c>
      <c r="O2029" t="s">
        <v>104</v>
      </c>
    </row>
    <row r="2030" spans="1:15" x14ac:dyDescent="0.25">
      <c r="A2030">
        <v>1756</v>
      </c>
      <c r="B2030" s="10">
        <v>45862</v>
      </c>
      <c r="C2030">
        <v>24</v>
      </c>
      <c r="D2030" t="s">
        <v>145</v>
      </c>
      <c r="E2030" t="s">
        <v>106</v>
      </c>
      <c r="F2030" t="s">
        <v>49</v>
      </c>
      <c r="G2030" t="s">
        <v>118</v>
      </c>
      <c r="H2030" t="s">
        <v>131</v>
      </c>
      <c r="I2030" t="s">
        <v>139</v>
      </c>
      <c r="J2030" t="s">
        <v>94</v>
      </c>
      <c r="K2030">
        <v>3</v>
      </c>
      <c r="L2030">
        <v>9600</v>
      </c>
      <c r="M2030">
        <v>28800</v>
      </c>
      <c r="N2030" t="s">
        <v>95</v>
      </c>
      <c r="O2030" t="s">
        <v>104</v>
      </c>
    </row>
    <row r="2031" spans="1:15" x14ac:dyDescent="0.25">
      <c r="A2031">
        <v>1908</v>
      </c>
      <c r="B2031" s="10">
        <v>45911</v>
      </c>
      <c r="C2031">
        <v>11</v>
      </c>
      <c r="D2031" t="s">
        <v>147</v>
      </c>
      <c r="E2031" t="s">
        <v>110</v>
      </c>
      <c r="F2031" t="s">
        <v>99</v>
      </c>
      <c r="G2031" t="s">
        <v>100</v>
      </c>
      <c r="H2031" t="s">
        <v>29</v>
      </c>
      <c r="I2031" t="s">
        <v>163</v>
      </c>
      <c r="J2031" t="s">
        <v>103</v>
      </c>
      <c r="K2031">
        <v>48</v>
      </c>
      <c r="L2031">
        <v>9600</v>
      </c>
      <c r="M2031">
        <v>460800</v>
      </c>
      <c r="N2031" t="s">
        <v>95</v>
      </c>
      <c r="O2031" t="s">
        <v>115</v>
      </c>
    </row>
    <row r="2032" spans="1:15" x14ac:dyDescent="0.25">
      <c r="A2032">
        <v>1932</v>
      </c>
      <c r="B2032" s="10">
        <v>45822</v>
      </c>
      <c r="C2032">
        <v>14</v>
      </c>
      <c r="D2032" t="s">
        <v>153</v>
      </c>
      <c r="E2032" t="s">
        <v>31</v>
      </c>
      <c r="F2032" t="s">
        <v>107</v>
      </c>
      <c r="G2032" t="s">
        <v>100</v>
      </c>
      <c r="H2032" t="s">
        <v>131</v>
      </c>
      <c r="I2032" t="s">
        <v>155</v>
      </c>
      <c r="J2032" t="s">
        <v>103</v>
      </c>
      <c r="K2032">
        <v>9</v>
      </c>
      <c r="L2032">
        <v>9600</v>
      </c>
      <c r="M2032">
        <v>86400</v>
      </c>
      <c r="N2032" t="s">
        <v>108</v>
      </c>
      <c r="O2032" t="s">
        <v>115</v>
      </c>
    </row>
    <row r="2033" spans="1:15" x14ac:dyDescent="0.25">
      <c r="A2033">
        <v>2459</v>
      </c>
      <c r="B2033" s="10">
        <v>45900</v>
      </c>
      <c r="C2033">
        <v>31</v>
      </c>
      <c r="D2033" t="s">
        <v>109</v>
      </c>
      <c r="E2033" t="s">
        <v>110</v>
      </c>
      <c r="F2033" t="s">
        <v>107</v>
      </c>
      <c r="G2033" t="s">
        <v>100</v>
      </c>
      <c r="H2033" t="s">
        <v>131</v>
      </c>
      <c r="I2033" t="s">
        <v>155</v>
      </c>
      <c r="J2033" t="s">
        <v>103</v>
      </c>
      <c r="K2033">
        <v>40</v>
      </c>
      <c r="L2033">
        <v>9600</v>
      </c>
      <c r="M2033">
        <v>384000</v>
      </c>
      <c r="N2033" t="s">
        <v>95</v>
      </c>
      <c r="O2033" t="s">
        <v>104</v>
      </c>
    </row>
    <row r="2034" spans="1:15" x14ac:dyDescent="0.25">
      <c r="A2034">
        <v>2665</v>
      </c>
      <c r="B2034" s="10">
        <v>45998</v>
      </c>
      <c r="C2034">
        <v>7</v>
      </c>
      <c r="D2034" t="s">
        <v>125</v>
      </c>
      <c r="E2034" t="s">
        <v>112</v>
      </c>
      <c r="F2034" t="s">
        <v>134</v>
      </c>
      <c r="G2034" t="s">
        <v>100</v>
      </c>
      <c r="H2034" t="s">
        <v>131</v>
      </c>
      <c r="I2034" t="s">
        <v>155</v>
      </c>
      <c r="J2034" t="s">
        <v>103</v>
      </c>
      <c r="K2034">
        <v>41</v>
      </c>
      <c r="L2034">
        <v>9600</v>
      </c>
      <c r="M2034">
        <v>393600</v>
      </c>
      <c r="N2034" t="s">
        <v>108</v>
      </c>
      <c r="O2034" t="s">
        <v>96</v>
      </c>
    </row>
    <row r="2035" spans="1:15" x14ac:dyDescent="0.25">
      <c r="A2035">
        <v>2742</v>
      </c>
      <c r="B2035" s="10">
        <v>45825</v>
      </c>
      <c r="C2035">
        <v>17</v>
      </c>
      <c r="D2035" t="s">
        <v>153</v>
      </c>
      <c r="E2035" t="s">
        <v>112</v>
      </c>
      <c r="F2035" t="s">
        <v>99</v>
      </c>
      <c r="G2035" t="s">
        <v>100</v>
      </c>
      <c r="H2035" t="s">
        <v>131</v>
      </c>
      <c r="I2035" t="s">
        <v>155</v>
      </c>
      <c r="J2035" t="s">
        <v>103</v>
      </c>
      <c r="K2035">
        <v>30</v>
      </c>
      <c r="L2035">
        <v>9600</v>
      </c>
      <c r="M2035">
        <v>288000</v>
      </c>
      <c r="N2035" t="s">
        <v>108</v>
      </c>
      <c r="O2035" t="s">
        <v>96</v>
      </c>
    </row>
    <row r="2036" spans="1:15" x14ac:dyDescent="0.25">
      <c r="A2036">
        <v>2748</v>
      </c>
      <c r="B2036" s="10">
        <v>45939</v>
      </c>
      <c r="C2036">
        <v>9</v>
      </c>
      <c r="D2036" t="s">
        <v>136</v>
      </c>
      <c r="E2036" t="s">
        <v>25</v>
      </c>
      <c r="F2036" t="s">
        <v>22</v>
      </c>
      <c r="G2036" t="s">
        <v>91</v>
      </c>
      <c r="H2036" t="s">
        <v>29</v>
      </c>
      <c r="I2036" t="s">
        <v>163</v>
      </c>
      <c r="J2036" t="s">
        <v>103</v>
      </c>
      <c r="K2036">
        <v>31</v>
      </c>
      <c r="L2036">
        <v>9600</v>
      </c>
      <c r="M2036">
        <v>297600</v>
      </c>
      <c r="N2036" t="s">
        <v>95</v>
      </c>
      <c r="O2036" t="s">
        <v>96</v>
      </c>
    </row>
    <row r="2037" spans="1:15" x14ac:dyDescent="0.25">
      <c r="A2037">
        <v>3515</v>
      </c>
      <c r="B2037" s="10">
        <v>45701</v>
      </c>
      <c r="C2037">
        <v>13</v>
      </c>
      <c r="D2037" t="s">
        <v>97</v>
      </c>
      <c r="E2037" t="s">
        <v>110</v>
      </c>
      <c r="F2037" t="s">
        <v>148</v>
      </c>
      <c r="G2037" t="s">
        <v>118</v>
      </c>
      <c r="H2037" t="s">
        <v>131</v>
      </c>
      <c r="I2037" t="s">
        <v>155</v>
      </c>
      <c r="J2037" t="s">
        <v>103</v>
      </c>
      <c r="K2037">
        <v>27</v>
      </c>
      <c r="L2037">
        <v>9600</v>
      </c>
      <c r="M2037">
        <v>259200</v>
      </c>
      <c r="N2037" t="s">
        <v>95</v>
      </c>
      <c r="O2037" t="s">
        <v>96</v>
      </c>
    </row>
    <row r="2038" spans="1:15" x14ac:dyDescent="0.25">
      <c r="A2038">
        <v>4335</v>
      </c>
      <c r="B2038" s="10">
        <v>45884</v>
      </c>
      <c r="C2038">
        <v>15</v>
      </c>
      <c r="D2038" t="s">
        <v>109</v>
      </c>
      <c r="E2038" t="s">
        <v>138</v>
      </c>
      <c r="F2038" t="s">
        <v>49</v>
      </c>
      <c r="G2038" t="s">
        <v>118</v>
      </c>
      <c r="H2038" t="s">
        <v>131</v>
      </c>
      <c r="I2038" t="s">
        <v>155</v>
      </c>
      <c r="J2038" t="s">
        <v>103</v>
      </c>
      <c r="K2038">
        <v>8</v>
      </c>
      <c r="L2038">
        <v>9600</v>
      </c>
      <c r="M2038">
        <v>76800</v>
      </c>
      <c r="N2038" t="s">
        <v>108</v>
      </c>
      <c r="O2038" t="s">
        <v>96</v>
      </c>
    </row>
    <row r="2039" spans="1:15" x14ac:dyDescent="0.25">
      <c r="A2039">
        <v>4981</v>
      </c>
      <c r="B2039" s="10">
        <v>45703</v>
      </c>
      <c r="C2039">
        <v>15</v>
      </c>
      <c r="D2039" t="s">
        <v>97</v>
      </c>
      <c r="E2039" t="s">
        <v>98</v>
      </c>
      <c r="F2039" t="s">
        <v>49</v>
      </c>
      <c r="G2039" t="s">
        <v>118</v>
      </c>
      <c r="H2039" t="s">
        <v>37</v>
      </c>
      <c r="I2039" t="s">
        <v>160</v>
      </c>
      <c r="J2039" t="s">
        <v>103</v>
      </c>
      <c r="K2039">
        <v>32</v>
      </c>
      <c r="L2039">
        <v>9600</v>
      </c>
      <c r="M2039">
        <v>307200</v>
      </c>
      <c r="N2039" t="s">
        <v>108</v>
      </c>
      <c r="O2039" t="s">
        <v>104</v>
      </c>
    </row>
    <row r="2040" spans="1:15" x14ac:dyDescent="0.25">
      <c r="A2040">
        <v>146</v>
      </c>
      <c r="B2040" s="10">
        <v>45993</v>
      </c>
      <c r="C2040">
        <v>2</v>
      </c>
      <c r="D2040" t="s">
        <v>125</v>
      </c>
      <c r="E2040" t="s">
        <v>31</v>
      </c>
      <c r="F2040" t="s">
        <v>141</v>
      </c>
      <c r="G2040" t="s">
        <v>100</v>
      </c>
      <c r="H2040" t="s">
        <v>131</v>
      </c>
      <c r="I2040" t="s">
        <v>155</v>
      </c>
      <c r="J2040" t="s">
        <v>103</v>
      </c>
      <c r="K2040">
        <v>7</v>
      </c>
      <c r="L2040">
        <v>9700</v>
      </c>
      <c r="M2040">
        <v>67900</v>
      </c>
      <c r="N2040" t="s">
        <v>108</v>
      </c>
      <c r="O2040" t="s">
        <v>104</v>
      </c>
    </row>
    <row r="2041" spans="1:15" x14ac:dyDescent="0.25">
      <c r="A2041">
        <v>197</v>
      </c>
      <c r="B2041" s="10">
        <v>45844</v>
      </c>
      <c r="C2041">
        <v>6</v>
      </c>
      <c r="D2041" t="s">
        <v>145</v>
      </c>
      <c r="E2041" t="s">
        <v>98</v>
      </c>
      <c r="F2041" t="s">
        <v>99</v>
      </c>
      <c r="G2041" t="s">
        <v>100</v>
      </c>
      <c r="H2041" t="s">
        <v>29</v>
      </c>
      <c r="I2041" t="s">
        <v>163</v>
      </c>
      <c r="J2041" t="s">
        <v>103</v>
      </c>
      <c r="K2041">
        <v>33</v>
      </c>
      <c r="L2041">
        <v>9700</v>
      </c>
      <c r="M2041">
        <v>320100</v>
      </c>
      <c r="N2041" t="s">
        <v>95</v>
      </c>
      <c r="O2041" t="s">
        <v>96</v>
      </c>
    </row>
    <row r="2042" spans="1:15" x14ac:dyDescent="0.25">
      <c r="A2042">
        <v>1030</v>
      </c>
      <c r="B2042" s="10">
        <v>45922</v>
      </c>
      <c r="C2042">
        <v>22</v>
      </c>
      <c r="D2042" t="s">
        <v>147</v>
      </c>
      <c r="E2042" t="s">
        <v>31</v>
      </c>
      <c r="F2042" t="s">
        <v>28</v>
      </c>
      <c r="G2042" t="s">
        <v>126</v>
      </c>
      <c r="H2042" t="s">
        <v>37</v>
      </c>
      <c r="I2042" t="s">
        <v>160</v>
      </c>
      <c r="J2042" t="s">
        <v>103</v>
      </c>
      <c r="K2042">
        <v>15</v>
      </c>
      <c r="L2042">
        <v>9700</v>
      </c>
      <c r="M2042">
        <v>145500</v>
      </c>
      <c r="N2042" t="s">
        <v>108</v>
      </c>
      <c r="O2042" t="s">
        <v>104</v>
      </c>
    </row>
    <row r="2043" spans="1:15" x14ac:dyDescent="0.25">
      <c r="A2043">
        <v>1049</v>
      </c>
      <c r="B2043" s="10">
        <v>45849</v>
      </c>
      <c r="C2043">
        <v>11</v>
      </c>
      <c r="D2043" t="s">
        <v>145</v>
      </c>
      <c r="E2043" t="s">
        <v>116</v>
      </c>
      <c r="F2043" t="s">
        <v>44</v>
      </c>
      <c r="G2043" t="s">
        <v>111</v>
      </c>
      <c r="H2043" t="s">
        <v>131</v>
      </c>
      <c r="I2043" t="s">
        <v>139</v>
      </c>
      <c r="J2043" t="s">
        <v>94</v>
      </c>
      <c r="K2043">
        <v>3</v>
      </c>
      <c r="L2043">
        <v>9700</v>
      </c>
      <c r="M2043">
        <v>29100</v>
      </c>
      <c r="N2043" t="s">
        <v>108</v>
      </c>
      <c r="O2043" t="s">
        <v>104</v>
      </c>
    </row>
    <row r="2044" spans="1:15" x14ac:dyDescent="0.25">
      <c r="A2044">
        <v>1179</v>
      </c>
      <c r="B2044" s="10">
        <v>45842</v>
      </c>
      <c r="C2044">
        <v>4</v>
      </c>
      <c r="D2044" t="s">
        <v>145</v>
      </c>
      <c r="E2044" t="s">
        <v>142</v>
      </c>
      <c r="F2044" t="s">
        <v>134</v>
      </c>
      <c r="G2044" t="s">
        <v>100</v>
      </c>
      <c r="H2044" t="s">
        <v>29</v>
      </c>
      <c r="I2044" t="s">
        <v>163</v>
      </c>
      <c r="J2044" t="s">
        <v>103</v>
      </c>
      <c r="K2044">
        <v>32</v>
      </c>
      <c r="L2044">
        <v>9700</v>
      </c>
      <c r="M2044">
        <v>310400</v>
      </c>
      <c r="N2044" t="s">
        <v>108</v>
      </c>
      <c r="O2044" t="s">
        <v>104</v>
      </c>
    </row>
    <row r="2045" spans="1:15" x14ac:dyDescent="0.25">
      <c r="A2045">
        <v>1190</v>
      </c>
      <c r="B2045" s="10">
        <v>45742</v>
      </c>
      <c r="C2045">
        <v>26</v>
      </c>
      <c r="D2045" t="s">
        <v>140</v>
      </c>
      <c r="E2045" t="s">
        <v>121</v>
      </c>
      <c r="F2045" t="s">
        <v>134</v>
      </c>
      <c r="G2045" t="s">
        <v>100</v>
      </c>
      <c r="H2045" t="s">
        <v>37</v>
      </c>
      <c r="I2045" t="s">
        <v>160</v>
      </c>
      <c r="J2045" t="s">
        <v>103</v>
      </c>
      <c r="K2045">
        <v>42</v>
      </c>
      <c r="L2045">
        <v>9700</v>
      </c>
      <c r="M2045">
        <v>407400</v>
      </c>
      <c r="N2045" t="s">
        <v>108</v>
      </c>
      <c r="O2045" t="s">
        <v>96</v>
      </c>
    </row>
    <row r="2046" spans="1:15" x14ac:dyDescent="0.25">
      <c r="A2046">
        <v>1244</v>
      </c>
      <c r="B2046" s="10">
        <v>45853</v>
      </c>
      <c r="C2046">
        <v>15</v>
      </c>
      <c r="D2046" t="s">
        <v>145</v>
      </c>
      <c r="E2046" t="s">
        <v>98</v>
      </c>
      <c r="F2046" t="s">
        <v>144</v>
      </c>
      <c r="G2046" t="s">
        <v>91</v>
      </c>
      <c r="H2046" t="s">
        <v>29</v>
      </c>
      <c r="I2046" t="s">
        <v>163</v>
      </c>
      <c r="J2046" t="s">
        <v>103</v>
      </c>
      <c r="K2046">
        <v>10</v>
      </c>
      <c r="L2046">
        <v>9700</v>
      </c>
      <c r="M2046">
        <v>97000</v>
      </c>
      <c r="N2046" t="s">
        <v>108</v>
      </c>
      <c r="O2046" t="s">
        <v>96</v>
      </c>
    </row>
    <row r="2047" spans="1:15" x14ac:dyDescent="0.25">
      <c r="A2047">
        <v>1831</v>
      </c>
      <c r="B2047" s="10">
        <v>45951</v>
      </c>
      <c r="C2047">
        <v>21</v>
      </c>
      <c r="D2047" t="s">
        <v>136</v>
      </c>
      <c r="E2047" t="s">
        <v>161</v>
      </c>
      <c r="F2047" t="s">
        <v>122</v>
      </c>
      <c r="G2047" t="s">
        <v>114</v>
      </c>
      <c r="H2047" t="s">
        <v>131</v>
      </c>
      <c r="I2047" t="s">
        <v>155</v>
      </c>
      <c r="J2047" t="s">
        <v>103</v>
      </c>
      <c r="K2047">
        <v>49</v>
      </c>
      <c r="L2047">
        <v>9700</v>
      </c>
      <c r="M2047">
        <v>475300</v>
      </c>
      <c r="N2047" t="s">
        <v>108</v>
      </c>
      <c r="O2047" t="s">
        <v>104</v>
      </c>
    </row>
    <row r="2048" spans="1:15" x14ac:dyDescent="0.25">
      <c r="A2048">
        <v>2382</v>
      </c>
      <c r="B2048" s="10">
        <v>46004</v>
      </c>
      <c r="C2048">
        <v>13</v>
      </c>
      <c r="D2048" t="s">
        <v>125</v>
      </c>
      <c r="E2048" t="s">
        <v>112</v>
      </c>
      <c r="F2048" t="s">
        <v>113</v>
      </c>
      <c r="G2048" t="s">
        <v>114</v>
      </c>
      <c r="H2048" t="s">
        <v>37</v>
      </c>
      <c r="I2048" t="s">
        <v>160</v>
      </c>
      <c r="J2048" t="s">
        <v>103</v>
      </c>
      <c r="K2048">
        <v>16</v>
      </c>
      <c r="L2048">
        <v>9700</v>
      </c>
      <c r="M2048">
        <v>155200</v>
      </c>
      <c r="N2048" t="s">
        <v>95</v>
      </c>
      <c r="O2048" t="s">
        <v>115</v>
      </c>
    </row>
    <row r="2049" spans="1:15" x14ac:dyDescent="0.25">
      <c r="A2049">
        <v>3343</v>
      </c>
      <c r="B2049" s="10">
        <v>45705</v>
      </c>
      <c r="C2049">
        <v>17</v>
      </c>
      <c r="D2049" t="s">
        <v>97</v>
      </c>
      <c r="E2049" t="s">
        <v>31</v>
      </c>
      <c r="F2049" t="s">
        <v>44</v>
      </c>
      <c r="G2049" t="s">
        <v>111</v>
      </c>
      <c r="H2049" t="s">
        <v>29</v>
      </c>
      <c r="I2049" t="s">
        <v>163</v>
      </c>
      <c r="J2049" t="s">
        <v>103</v>
      </c>
      <c r="K2049">
        <v>39</v>
      </c>
      <c r="L2049">
        <v>9700</v>
      </c>
      <c r="M2049">
        <v>378300</v>
      </c>
      <c r="N2049" t="s">
        <v>108</v>
      </c>
      <c r="O2049" t="s">
        <v>104</v>
      </c>
    </row>
    <row r="2050" spans="1:15" x14ac:dyDescent="0.25">
      <c r="A2050">
        <v>3346</v>
      </c>
      <c r="B2050" s="10">
        <v>45890</v>
      </c>
      <c r="C2050">
        <v>21</v>
      </c>
      <c r="D2050" t="s">
        <v>109</v>
      </c>
      <c r="E2050" t="s">
        <v>121</v>
      </c>
      <c r="F2050" t="s">
        <v>22</v>
      </c>
      <c r="G2050" t="s">
        <v>91</v>
      </c>
      <c r="H2050" t="s">
        <v>131</v>
      </c>
      <c r="I2050" t="s">
        <v>139</v>
      </c>
      <c r="J2050" t="s">
        <v>94</v>
      </c>
      <c r="K2050">
        <v>7</v>
      </c>
      <c r="L2050">
        <v>9700</v>
      </c>
      <c r="M2050">
        <v>67900</v>
      </c>
      <c r="N2050" t="s">
        <v>95</v>
      </c>
      <c r="O2050" t="s">
        <v>104</v>
      </c>
    </row>
    <row r="2051" spans="1:15" x14ac:dyDescent="0.25">
      <c r="A2051">
        <v>4299</v>
      </c>
      <c r="B2051" s="10">
        <v>45852</v>
      </c>
      <c r="C2051">
        <v>14</v>
      </c>
      <c r="D2051" t="s">
        <v>145</v>
      </c>
      <c r="E2051" t="s">
        <v>110</v>
      </c>
      <c r="F2051" t="s">
        <v>22</v>
      </c>
      <c r="G2051" t="s">
        <v>91</v>
      </c>
      <c r="H2051" t="s">
        <v>37</v>
      </c>
      <c r="I2051" t="s">
        <v>160</v>
      </c>
      <c r="J2051" t="s">
        <v>103</v>
      </c>
      <c r="K2051">
        <v>47</v>
      </c>
      <c r="L2051">
        <v>9700</v>
      </c>
      <c r="M2051">
        <v>455900</v>
      </c>
      <c r="N2051" t="s">
        <v>108</v>
      </c>
      <c r="O2051" t="s">
        <v>115</v>
      </c>
    </row>
    <row r="2052" spans="1:15" x14ac:dyDescent="0.25">
      <c r="A2052">
        <v>4740</v>
      </c>
      <c r="B2052" s="10">
        <v>45724</v>
      </c>
      <c r="C2052">
        <v>8</v>
      </c>
      <c r="D2052" t="s">
        <v>140</v>
      </c>
      <c r="E2052" t="s">
        <v>161</v>
      </c>
      <c r="F2052" t="s">
        <v>28</v>
      </c>
      <c r="G2052" t="s">
        <v>126</v>
      </c>
      <c r="H2052" t="s">
        <v>131</v>
      </c>
      <c r="I2052" t="s">
        <v>155</v>
      </c>
      <c r="J2052" t="s">
        <v>103</v>
      </c>
      <c r="K2052">
        <v>37</v>
      </c>
      <c r="L2052">
        <v>9700</v>
      </c>
      <c r="M2052">
        <v>358900</v>
      </c>
      <c r="N2052" t="s">
        <v>108</v>
      </c>
      <c r="O2052" t="s">
        <v>115</v>
      </c>
    </row>
    <row r="2053" spans="1:15" x14ac:dyDescent="0.25">
      <c r="A2053">
        <v>360</v>
      </c>
      <c r="B2053" s="10">
        <v>45662</v>
      </c>
      <c r="C2053">
        <v>5</v>
      </c>
      <c r="D2053" t="s">
        <v>130</v>
      </c>
      <c r="E2053" t="s">
        <v>133</v>
      </c>
      <c r="F2053" t="s">
        <v>36</v>
      </c>
      <c r="G2053" t="s">
        <v>100</v>
      </c>
      <c r="H2053" t="s">
        <v>29</v>
      </c>
      <c r="I2053" t="s">
        <v>163</v>
      </c>
      <c r="J2053" t="s">
        <v>103</v>
      </c>
      <c r="K2053">
        <v>31</v>
      </c>
      <c r="L2053">
        <v>9800</v>
      </c>
      <c r="M2053">
        <v>303800</v>
      </c>
      <c r="N2053" t="s">
        <v>108</v>
      </c>
      <c r="O2053" t="s">
        <v>115</v>
      </c>
    </row>
    <row r="2054" spans="1:15" x14ac:dyDescent="0.25">
      <c r="A2054">
        <v>490</v>
      </c>
      <c r="B2054" s="10">
        <v>45972</v>
      </c>
      <c r="C2054">
        <v>11</v>
      </c>
      <c r="D2054" t="s">
        <v>90</v>
      </c>
      <c r="E2054" t="s">
        <v>142</v>
      </c>
      <c r="F2054" t="s">
        <v>122</v>
      </c>
      <c r="G2054" t="s">
        <v>114</v>
      </c>
      <c r="H2054" t="s">
        <v>131</v>
      </c>
      <c r="I2054" t="s">
        <v>155</v>
      </c>
      <c r="J2054" t="s">
        <v>103</v>
      </c>
      <c r="K2054">
        <v>35</v>
      </c>
      <c r="L2054">
        <v>9800</v>
      </c>
      <c r="M2054">
        <v>343000</v>
      </c>
      <c r="N2054" t="s">
        <v>108</v>
      </c>
      <c r="O2054" t="s">
        <v>104</v>
      </c>
    </row>
    <row r="2055" spans="1:15" x14ac:dyDescent="0.25">
      <c r="A2055">
        <v>988</v>
      </c>
      <c r="B2055" s="10">
        <v>45736</v>
      </c>
      <c r="C2055">
        <v>20</v>
      </c>
      <c r="D2055" t="s">
        <v>140</v>
      </c>
      <c r="E2055" t="s">
        <v>25</v>
      </c>
      <c r="F2055" t="s">
        <v>28</v>
      </c>
      <c r="G2055" t="s">
        <v>126</v>
      </c>
      <c r="H2055" t="s">
        <v>131</v>
      </c>
      <c r="I2055" t="s">
        <v>155</v>
      </c>
      <c r="J2055" t="s">
        <v>103</v>
      </c>
      <c r="K2055">
        <v>45</v>
      </c>
      <c r="L2055">
        <v>9800</v>
      </c>
      <c r="M2055">
        <v>441000</v>
      </c>
      <c r="N2055" t="s">
        <v>108</v>
      </c>
      <c r="O2055" t="s">
        <v>96</v>
      </c>
    </row>
    <row r="2056" spans="1:15" x14ac:dyDescent="0.25">
      <c r="A2056">
        <v>1009</v>
      </c>
      <c r="B2056" s="10">
        <v>45736</v>
      </c>
      <c r="C2056">
        <v>20</v>
      </c>
      <c r="D2056" t="s">
        <v>140</v>
      </c>
      <c r="E2056" t="s">
        <v>161</v>
      </c>
      <c r="F2056" t="s">
        <v>99</v>
      </c>
      <c r="G2056" t="s">
        <v>100</v>
      </c>
      <c r="H2056" t="s">
        <v>131</v>
      </c>
      <c r="I2056" t="s">
        <v>155</v>
      </c>
      <c r="J2056" t="s">
        <v>103</v>
      </c>
      <c r="K2056">
        <v>6</v>
      </c>
      <c r="L2056">
        <v>9800</v>
      </c>
      <c r="M2056">
        <v>58800</v>
      </c>
      <c r="N2056" t="s">
        <v>108</v>
      </c>
      <c r="O2056" t="s">
        <v>96</v>
      </c>
    </row>
    <row r="2057" spans="1:15" x14ac:dyDescent="0.25">
      <c r="A2057">
        <v>1798</v>
      </c>
      <c r="B2057" s="10">
        <v>45687</v>
      </c>
      <c r="C2057">
        <v>30</v>
      </c>
      <c r="D2057" t="s">
        <v>130</v>
      </c>
      <c r="E2057" t="s">
        <v>98</v>
      </c>
      <c r="F2057" t="s">
        <v>28</v>
      </c>
      <c r="G2057" t="s">
        <v>126</v>
      </c>
      <c r="H2057" t="s">
        <v>37</v>
      </c>
      <c r="I2057" t="s">
        <v>160</v>
      </c>
      <c r="J2057" t="s">
        <v>103</v>
      </c>
      <c r="K2057">
        <v>45</v>
      </c>
      <c r="L2057">
        <v>9800</v>
      </c>
      <c r="M2057">
        <v>441000</v>
      </c>
      <c r="N2057" t="s">
        <v>108</v>
      </c>
      <c r="O2057" t="s">
        <v>115</v>
      </c>
    </row>
    <row r="2058" spans="1:15" x14ac:dyDescent="0.25">
      <c r="A2058">
        <v>2452</v>
      </c>
      <c r="B2058" s="10">
        <v>45724</v>
      </c>
      <c r="C2058">
        <v>8</v>
      </c>
      <c r="D2058" t="s">
        <v>140</v>
      </c>
      <c r="E2058" t="s">
        <v>106</v>
      </c>
      <c r="F2058" t="s">
        <v>141</v>
      </c>
      <c r="G2058" t="s">
        <v>100</v>
      </c>
      <c r="H2058" t="s">
        <v>37</v>
      </c>
      <c r="I2058" t="s">
        <v>160</v>
      </c>
      <c r="J2058" t="s">
        <v>103</v>
      </c>
      <c r="K2058">
        <v>29</v>
      </c>
      <c r="L2058">
        <v>9800</v>
      </c>
      <c r="M2058">
        <v>284200</v>
      </c>
      <c r="N2058" t="s">
        <v>95</v>
      </c>
      <c r="O2058" t="s">
        <v>96</v>
      </c>
    </row>
    <row r="2059" spans="1:15" x14ac:dyDescent="0.25">
      <c r="A2059">
        <v>2727</v>
      </c>
      <c r="B2059" s="10">
        <v>45777</v>
      </c>
      <c r="C2059">
        <v>30</v>
      </c>
      <c r="D2059" t="s">
        <v>105</v>
      </c>
      <c r="E2059" t="s">
        <v>116</v>
      </c>
      <c r="F2059" t="s">
        <v>36</v>
      </c>
      <c r="G2059" t="s">
        <v>100</v>
      </c>
      <c r="H2059" t="s">
        <v>131</v>
      </c>
      <c r="I2059" t="s">
        <v>155</v>
      </c>
      <c r="J2059" t="s">
        <v>103</v>
      </c>
      <c r="K2059">
        <v>25</v>
      </c>
      <c r="L2059">
        <v>9800</v>
      </c>
      <c r="M2059">
        <v>245000</v>
      </c>
      <c r="N2059" t="s">
        <v>95</v>
      </c>
      <c r="O2059" t="s">
        <v>104</v>
      </c>
    </row>
    <row r="2060" spans="1:15" x14ac:dyDescent="0.25">
      <c r="A2060">
        <v>2931</v>
      </c>
      <c r="B2060" s="10">
        <v>45889</v>
      </c>
      <c r="C2060">
        <v>20</v>
      </c>
      <c r="D2060" t="s">
        <v>109</v>
      </c>
      <c r="E2060" t="s">
        <v>25</v>
      </c>
      <c r="F2060" t="s">
        <v>107</v>
      </c>
      <c r="G2060" t="s">
        <v>100</v>
      </c>
      <c r="H2060" t="s">
        <v>131</v>
      </c>
      <c r="I2060" t="s">
        <v>155</v>
      </c>
      <c r="J2060" t="s">
        <v>103</v>
      </c>
      <c r="K2060">
        <v>27</v>
      </c>
      <c r="L2060">
        <v>9800</v>
      </c>
      <c r="M2060">
        <v>264600</v>
      </c>
      <c r="N2060" t="s">
        <v>108</v>
      </c>
      <c r="O2060" t="s">
        <v>104</v>
      </c>
    </row>
    <row r="2061" spans="1:15" x14ac:dyDescent="0.25">
      <c r="A2061">
        <v>3248</v>
      </c>
      <c r="B2061" s="10">
        <v>45661</v>
      </c>
      <c r="C2061">
        <v>4</v>
      </c>
      <c r="D2061" t="s">
        <v>130</v>
      </c>
      <c r="E2061" t="s">
        <v>31</v>
      </c>
      <c r="F2061" t="s">
        <v>134</v>
      </c>
      <c r="G2061" t="s">
        <v>100</v>
      </c>
      <c r="H2061" t="s">
        <v>37</v>
      </c>
      <c r="I2061" t="s">
        <v>160</v>
      </c>
      <c r="J2061" t="s">
        <v>103</v>
      </c>
      <c r="K2061">
        <v>33</v>
      </c>
      <c r="L2061">
        <v>9800</v>
      </c>
      <c r="M2061">
        <v>323400</v>
      </c>
      <c r="N2061" t="s">
        <v>108</v>
      </c>
      <c r="O2061" t="s">
        <v>115</v>
      </c>
    </row>
    <row r="2062" spans="1:15" x14ac:dyDescent="0.25">
      <c r="A2062">
        <v>3587</v>
      </c>
      <c r="B2062" s="10">
        <v>45705</v>
      </c>
      <c r="C2062">
        <v>17</v>
      </c>
      <c r="D2062" t="s">
        <v>97</v>
      </c>
      <c r="E2062" t="s">
        <v>112</v>
      </c>
      <c r="F2062" t="s">
        <v>122</v>
      </c>
      <c r="G2062" t="s">
        <v>114</v>
      </c>
      <c r="H2062" t="s">
        <v>37</v>
      </c>
      <c r="I2062" t="s">
        <v>160</v>
      </c>
      <c r="J2062" t="s">
        <v>103</v>
      </c>
      <c r="K2062">
        <v>47</v>
      </c>
      <c r="L2062">
        <v>9800</v>
      </c>
      <c r="M2062">
        <v>460600</v>
      </c>
      <c r="N2062" t="s">
        <v>108</v>
      </c>
      <c r="O2062" t="s">
        <v>115</v>
      </c>
    </row>
    <row r="2063" spans="1:15" x14ac:dyDescent="0.25">
      <c r="A2063">
        <v>4154</v>
      </c>
      <c r="B2063" s="10">
        <v>45915</v>
      </c>
      <c r="C2063">
        <v>15</v>
      </c>
      <c r="D2063" t="s">
        <v>147</v>
      </c>
      <c r="E2063" t="s">
        <v>121</v>
      </c>
      <c r="F2063" t="s">
        <v>107</v>
      </c>
      <c r="G2063" t="s">
        <v>100</v>
      </c>
      <c r="H2063" t="s">
        <v>29</v>
      </c>
      <c r="I2063" t="s">
        <v>163</v>
      </c>
      <c r="J2063" t="s">
        <v>103</v>
      </c>
      <c r="K2063">
        <v>45</v>
      </c>
      <c r="L2063">
        <v>9800</v>
      </c>
      <c r="M2063">
        <v>441000</v>
      </c>
      <c r="N2063" t="s">
        <v>108</v>
      </c>
      <c r="O2063" t="s">
        <v>104</v>
      </c>
    </row>
    <row r="2064" spans="1:15" x14ac:dyDescent="0.25">
      <c r="A2064">
        <v>4285</v>
      </c>
      <c r="B2064" s="10">
        <v>45739</v>
      </c>
      <c r="C2064">
        <v>23</v>
      </c>
      <c r="D2064" t="s">
        <v>140</v>
      </c>
      <c r="E2064" t="s">
        <v>128</v>
      </c>
      <c r="F2064" t="s">
        <v>22</v>
      </c>
      <c r="G2064" t="s">
        <v>91</v>
      </c>
      <c r="H2064" t="s">
        <v>29</v>
      </c>
      <c r="I2064" t="s">
        <v>163</v>
      </c>
      <c r="J2064" t="s">
        <v>103</v>
      </c>
      <c r="K2064">
        <v>38</v>
      </c>
      <c r="L2064">
        <v>9800</v>
      </c>
      <c r="M2064">
        <v>372400</v>
      </c>
      <c r="N2064" t="s">
        <v>108</v>
      </c>
      <c r="O2064" t="s">
        <v>115</v>
      </c>
    </row>
    <row r="2065" spans="1:15" x14ac:dyDescent="0.25">
      <c r="A2065">
        <v>307</v>
      </c>
      <c r="B2065" s="10">
        <v>45822</v>
      </c>
      <c r="C2065">
        <v>14</v>
      </c>
      <c r="D2065" t="s">
        <v>153</v>
      </c>
      <c r="E2065" t="s">
        <v>112</v>
      </c>
      <c r="F2065" t="s">
        <v>44</v>
      </c>
      <c r="G2065" t="s">
        <v>111</v>
      </c>
      <c r="H2065" t="s">
        <v>131</v>
      </c>
      <c r="I2065" t="s">
        <v>155</v>
      </c>
      <c r="J2065" t="s">
        <v>103</v>
      </c>
      <c r="K2065">
        <v>24</v>
      </c>
      <c r="L2065">
        <v>9900</v>
      </c>
      <c r="M2065">
        <v>237600</v>
      </c>
      <c r="N2065" t="s">
        <v>108</v>
      </c>
      <c r="O2065" t="s">
        <v>115</v>
      </c>
    </row>
    <row r="2066" spans="1:15" x14ac:dyDescent="0.25">
      <c r="A2066">
        <v>334</v>
      </c>
      <c r="B2066" s="10">
        <v>45852</v>
      </c>
      <c r="C2066">
        <v>14</v>
      </c>
      <c r="D2066" t="s">
        <v>145</v>
      </c>
      <c r="E2066" t="s">
        <v>138</v>
      </c>
      <c r="F2066" t="s">
        <v>36</v>
      </c>
      <c r="G2066" t="s">
        <v>100</v>
      </c>
      <c r="H2066" t="s">
        <v>37</v>
      </c>
      <c r="I2066" t="s">
        <v>160</v>
      </c>
      <c r="J2066" t="s">
        <v>103</v>
      </c>
      <c r="K2066">
        <v>36</v>
      </c>
      <c r="L2066">
        <v>9900</v>
      </c>
      <c r="M2066">
        <v>356400</v>
      </c>
      <c r="N2066" t="s">
        <v>95</v>
      </c>
      <c r="O2066" t="s">
        <v>104</v>
      </c>
    </row>
    <row r="2067" spans="1:15" x14ac:dyDescent="0.25">
      <c r="A2067">
        <v>670</v>
      </c>
      <c r="B2067" s="10">
        <v>45674</v>
      </c>
      <c r="C2067">
        <v>17</v>
      </c>
      <c r="D2067" t="s">
        <v>130</v>
      </c>
      <c r="E2067" t="s">
        <v>110</v>
      </c>
      <c r="F2067" t="s">
        <v>122</v>
      </c>
      <c r="G2067" t="s">
        <v>114</v>
      </c>
      <c r="H2067" t="s">
        <v>131</v>
      </c>
      <c r="I2067" t="s">
        <v>155</v>
      </c>
      <c r="J2067" t="s">
        <v>103</v>
      </c>
      <c r="K2067">
        <v>8</v>
      </c>
      <c r="L2067">
        <v>9900</v>
      </c>
      <c r="M2067">
        <v>79200</v>
      </c>
      <c r="N2067" t="s">
        <v>108</v>
      </c>
      <c r="O2067" t="s">
        <v>104</v>
      </c>
    </row>
    <row r="2068" spans="1:15" x14ac:dyDescent="0.25">
      <c r="A2068">
        <v>882</v>
      </c>
      <c r="B2068" s="10">
        <v>45855</v>
      </c>
      <c r="C2068">
        <v>17</v>
      </c>
      <c r="D2068" t="s">
        <v>145</v>
      </c>
      <c r="E2068" t="s">
        <v>150</v>
      </c>
      <c r="F2068" t="s">
        <v>22</v>
      </c>
      <c r="G2068" t="s">
        <v>91</v>
      </c>
      <c r="H2068" t="s">
        <v>37</v>
      </c>
      <c r="I2068" t="s">
        <v>160</v>
      </c>
      <c r="J2068" t="s">
        <v>103</v>
      </c>
      <c r="K2068">
        <v>24</v>
      </c>
      <c r="L2068">
        <v>9900</v>
      </c>
      <c r="M2068">
        <v>237600</v>
      </c>
      <c r="N2068" t="s">
        <v>108</v>
      </c>
      <c r="O2068" t="s">
        <v>96</v>
      </c>
    </row>
    <row r="2069" spans="1:15" x14ac:dyDescent="0.25">
      <c r="A2069">
        <v>1004</v>
      </c>
      <c r="B2069" s="10">
        <v>45860</v>
      </c>
      <c r="C2069">
        <v>22</v>
      </c>
      <c r="D2069" t="s">
        <v>145</v>
      </c>
      <c r="E2069" t="s">
        <v>31</v>
      </c>
      <c r="F2069" t="s">
        <v>22</v>
      </c>
      <c r="G2069" t="s">
        <v>91</v>
      </c>
      <c r="H2069" t="s">
        <v>29</v>
      </c>
      <c r="I2069" t="s">
        <v>163</v>
      </c>
      <c r="J2069" t="s">
        <v>103</v>
      </c>
      <c r="K2069">
        <v>49</v>
      </c>
      <c r="L2069">
        <v>9900</v>
      </c>
      <c r="M2069">
        <v>485100</v>
      </c>
      <c r="N2069" t="s">
        <v>108</v>
      </c>
      <c r="O2069" t="s">
        <v>96</v>
      </c>
    </row>
    <row r="2070" spans="1:15" x14ac:dyDescent="0.25">
      <c r="A2070">
        <v>1270</v>
      </c>
      <c r="B2070" s="10">
        <v>45994</v>
      </c>
      <c r="C2070">
        <v>3</v>
      </c>
      <c r="D2070" t="s">
        <v>125</v>
      </c>
      <c r="E2070" t="s">
        <v>116</v>
      </c>
      <c r="F2070" t="s">
        <v>49</v>
      </c>
      <c r="G2070" t="s">
        <v>118</v>
      </c>
      <c r="H2070" t="s">
        <v>131</v>
      </c>
      <c r="I2070" t="s">
        <v>155</v>
      </c>
      <c r="J2070" t="s">
        <v>103</v>
      </c>
      <c r="K2070">
        <v>24</v>
      </c>
      <c r="L2070">
        <v>9900</v>
      </c>
      <c r="M2070">
        <v>237600</v>
      </c>
      <c r="N2070" t="s">
        <v>108</v>
      </c>
      <c r="O2070" t="s">
        <v>115</v>
      </c>
    </row>
    <row r="2071" spans="1:15" x14ac:dyDescent="0.25">
      <c r="A2071">
        <v>1301</v>
      </c>
      <c r="B2071" s="10">
        <v>45939</v>
      </c>
      <c r="C2071">
        <v>9</v>
      </c>
      <c r="D2071" t="s">
        <v>136</v>
      </c>
      <c r="E2071" t="s">
        <v>116</v>
      </c>
      <c r="F2071" t="s">
        <v>99</v>
      </c>
      <c r="G2071" t="s">
        <v>100</v>
      </c>
      <c r="H2071" t="s">
        <v>29</v>
      </c>
      <c r="I2071" t="s">
        <v>163</v>
      </c>
      <c r="J2071" t="s">
        <v>103</v>
      </c>
      <c r="K2071">
        <v>25</v>
      </c>
      <c r="L2071">
        <v>9900</v>
      </c>
      <c r="M2071">
        <v>247500</v>
      </c>
      <c r="N2071" t="s">
        <v>95</v>
      </c>
      <c r="O2071" t="s">
        <v>96</v>
      </c>
    </row>
    <row r="2072" spans="1:15" x14ac:dyDescent="0.25">
      <c r="A2072">
        <v>1496</v>
      </c>
      <c r="B2072" s="10">
        <v>45970</v>
      </c>
      <c r="C2072">
        <v>9</v>
      </c>
      <c r="D2072" t="s">
        <v>90</v>
      </c>
      <c r="E2072" t="s">
        <v>137</v>
      </c>
      <c r="F2072" t="s">
        <v>44</v>
      </c>
      <c r="G2072" t="s">
        <v>111</v>
      </c>
      <c r="H2072" t="s">
        <v>131</v>
      </c>
      <c r="I2072" t="s">
        <v>139</v>
      </c>
      <c r="J2072" t="s">
        <v>94</v>
      </c>
      <c r="K2072">
        <v>10</v>
      </c>
      <c r="L2072">
        <v>9900</v>
      </c>
      <c r="M2072">
        <v>99000</v>
      </c>
      <c r="N2072" t="s">
        <v>108</v>
      </c>
      <c r="O2072" t="s">
        <v>115</v>
      </c>
    </row>
    <row r="2073" spans="1:15" x14ac:dyDescent="0.25">
      <c r="A2073">
        <v>1620</v>
      </c>
      <c r="B2073" s="10">
        <v>45673</v>
      </c>
      <c r="C2073">
        <v>16</v>
      </c>
      <c r="D2073" t="s">
        <v>130</v>
      </c>
      <c r="E2073" t="s">
        <v>121</v>
      </c>
      <c r="F2073" t="s">
        <v>99</v>
      </c>
      <c r="G2073" t="s">
        <v>100</v>
      </c>
      <c r="H2073" t="s">
        <v>131</v>
      </c>
      <c r="I2073" t="s">
        <v>155</v>
      </c>
      <c r="J2073" t="s">
        <v>103</v>
      </c>
      <c r="K2073">
        <v>16</v>
      </c>
      <c r="L2073">
        <v>9900</v>
      </c>
      <c r="M2073">
        <v>158400</v>
      </c>
      <c r="N2073" t="s">
        <v>108</v>
      </c>
      <c r="O2073" t="s">
        <v>96</v>
      </c>
    </row>
    <row r="2074" spans="1:15" x14ac:dyDescent="0.25">
      <c r="A2074">
        <v>2367</v>
      </c>
      <c r="B2074" s="10">
        <v>45932</v>
      </c>
      <c r="C2074">
        <v>2</v>
      </c>
      <c r="D2074" t="s">
        <v>136</v>
      </c>
      <c r="E2074" t="s">
        <v>25</v>
      </c>
      <c r="F2074" t="s">
        <v>122</v>
      </c>
      <c r="G2074" t="s">
        <v>114</v>
      </c>
      <c r="H2074" t="s">
        <v>29</v>
      </c>
      <c r="I2074" t="s">
        <v>163</v>
      </c>
      <c r="J2074" t="s">
        <v>103</v>
      </c>
      <c r="K2074">
        <v>38</v>
      </c>
      <c r="L2074">
        <v>9900</v>
      </c>
      <c r="M2074">
        <v>376200</v>
      </c>
      <c r="N2074" t="s">
        <v>95</v>
      </c>
      <c r="O2074" t="s">
        <v>104</v>
      </c>
    </row>
    <row r="2075" spans="1:15" x14ac:dyDescent="0.25">
      <c r="A2075">
        <v>2605</v>
      </c>
      <c r="B2075" s="10">
        <v>45672</v>
      </c>
      <c r="C2075">
        <v>15</v>
      </c>
      <c r="D2075" t="s">
        <v>130</v>
      </c>
      <c r="E2075" t="s">
        <v>150</v>
      </c>
      <c r="F2075" t="s">
        <v>99</v>
      </c>
      <c r="G2075" t="s">
        <v>100</v>
      </c>
      <c r="H2075" t="s">
        <v>37</v>
      </c>
      <c r="I2075" t="s">
        <v>160</v>
      </c>
      <c r="J2075" t="s">
        <v>103</v>
      </c>
      <c r="K2075">
        <v>29</v>
      </c>
      <c r="L2075">
        <v>9900</v>
      </c>
      <c r="M2075">
        <v>287100</v>
      </c>
      <c r="N2075" t="s">
        <v>108</v>
      </c>
      <c r="O2075" t="s">
        <v>115</v>
      </c>
    </row>
    <row r="2076" spans="1:15" x14ac:dyDescent="0.25">
      <c r="A2076">
        <v>2874</v>
      </c>
      <c r="B2076" s="10">
        <v>45962</v>
      </c>
      <c r="C2076">
        <v>1</v>
      </c>
      <c r="D2076" t="s">
        <v>90</v>
      </c>
      <c r="E2076" t="s">
        <v>150</v>
      </c>
      <c r="F2076" t="s">
        <v>117</v>
      </c>
      <c r="G2076" t="s">
        <v>118</v>
      </c>
      <c r="H2076" t="s">
        <v>29</v>
      </c>
      <c r="I2076" t="s">
        <v>163</v>
      </c>
      <c r="J2076" t="s">
        <v>103</v>
      </c>
      <c r="K2076">
        <v>13</v>
      </c>
      <c r="L2076">
        <v>9900</v>
      </c>
      <c r="M2076">
        <v>128700</v>
      </c>
      <c r="N2076" t="s">
        <v>95</v>
      </c>
      <c r="O2076" t="s">
        <v>96</v>
      </c>
    </row>
    <row r="2077" spans="1:15" x14ac:dyDescent="0.25">
      <c r="A2077">
        <v>2887</v>
      </c>
      <c r="B2077" s="10">
        <v>45706</v>
      </c>
      <c r="C2077">
        <v>18</v>
      </c>
      <c r="D2077" t="s">
        <v>97</v>
      </c>
      <c r="E2077" t="s">
        <v>106</v>
      </c>
      <c r="F2077" t="s">
        <v>144</v>
      </c>
      <c r="G2077" t="s">
        <v>91</v>
      </c>
      <c r="H2077" t="s">
        <v>29</v>
      </c>
      <c r="I2077" t="s">
        <v>163</v>
      </c>
      <c r="J2077" t="s">
        <v>103</v>
      </c>
      <c r="K2077">
        <v>10</v>
      </c>
      <c r="L2077">
        <v>9900</v>
      </c>
      <c r="M2077">
        <v>99000</v>
      </c>
      <c r="N2077" t="s">
        <v>108</v>
      </c>
      <c r="O2077" t="s">
        <v>96</v>
      </c>
    </row>
    <row r="2078" spans="1:15" x14ac:dyDescent="0.25">
      <c r="A2078">
        <v>3178</v>
      </c>
      <c r="B2078" s="10">
        <v>45661</v>
      </c>
      <c r="C2078">
        <v>4</v>
      </c>
      <c r="D2078" t="s">
        <v>130</v>
      </c>
      <c r="E2078" t="s">
        <v>133</v>
      </c>
      <c r="F2078" t="s">
        <v>151</v>
      </c>
      <c r="G2078" t="s">
        <v>111</v>
      </c>
      <c r="H2078" t="s">
        <v>37</v>
      </c>
      <c r="I2078" t="s">
        <v>160</v>
      </c>
      <c r="J2078" t="s">
        <v>103</v>
      </c>
      <c r="K2078">
        <v>23</v>
      </c>
      <c r="L2078">
        <v>9900</v>
      </c>
      <c r="M2078">
        <v>227700</v>
      </c>
      <c r="N2078" t="s">
        <v>108</v>
      </c>
      <c r="O2078" t="s">
        <v>96</v>
      </c>
    </row>
    <row r="2079" spans="1:15" x14ac:dyDescent="0.25">
      <c r="A2079">
        <v>3505</v>
      </c>
      <c r="B2079" s="10">
        <v>45658</v>
      </c>
      <c r="C2079">
        <v>1</v>
      </c>
      <c r="D2079" t="s">
        <v>130</v>
      </c>
      <c r="E2079" t="s">
        <v>31</v>
      </c>
      <c r="F2079" t="s">
        <v>28</v>
      </c>
      <c r="G2079" t="s">
        <v>126</v>
      </c>
      <c r="H2079" t="s">
        <v>37</v>
      </c>
      <c r="I2079" t="s">
        <v>160</v>
      </c>
      <c r="J2079" t="s">
        <v>103</v>
      </c>
      <c r="K2079">
        <v>12</v>
      </c>
      <c r="L2079">
        <v>9900</v>
      </c>
      <c r="M2079">
        <v>118800</v>
      </c>
      <c r="N2079" t="s">
        <v>108</v>
      </c>
      <c r="O2079" t="s">
        <v>115</v>
      </c>
    </row>
    <row r="2080" spans="1:15" x14ac:dyDescent="0.25">
      <c r="A2080">
        <v>3733</v>
      </c>
      <c r="B2080" s="10">
        <v>45666</v>
      </c>
      <c r="C2080">
        <v>9</v>
      </c>
      <c r="D2080" t="s">
        <v>130</v>
      </c>
      <c r="E2080" t="s">
        <v>98</v>
      </c>
      <c r="F2080" t="s">
        <v>113</v>
      </c>
      <c r="G2080" t="s">
        <v>114</v>
      </c>
      <c r="H2080" t="s">
        <v>131</v>
      </c>
      <c r="I2080" t="s">
        <v>155</v>
      </c>
      <c r="J2080" t="s">
        <v>94</v>
      </c>
      <c r="K2080">
        <v>8</v>
      </c>
      <c r="L2080">
        <v>9900</v>
      </c>
      <c r="M2080">
        <v>79200</v>
      </c>
      <c r="N2080" t="s">
        <v>108</v>
      </c>
      <c r="O2080" t="s">
        <v>115</v>
      </c>
    </row>
    <row r="2081" spans="1:15" x14ac:dyDescent="0.25">
      <c r="A2081">
        <v>3751</v>
      </c>
      <c r="B2081" s="10">
        <v>45958</v>
      </c>
      <c r="C2081">
        <v>28</v>
      </c>
      <c r="D2081" t="s">
        <v>136</v>
      </c>
      <c r="E2081" t="s">
        <v>150</v>
      </c>
      <c r="F2081" t="s">
        <v>141</v>
      </c>
      <c r="G2081" t="s">
        <v>100</v>
      </c>
      <c r="H2081" t="s">
        <v>29</v>
      </c>
      <c r="I2081" t="s">
        <v>163</v>
      </c>
      <c r="J2081" t="s">
        <v>103</v>
      </c>
      <c r="K2081">
        <v>21</v>
      </c>
      <c r="L2081">
        <v>9900</v>
      </c>
      <c r="M2081">
        <v>207900</v>
      </c>
      <c r="N2081" t="s">
        <v>95</v>
      </c>
      <c r="O2081" t="s">
        <v>104</v>
      </c>
    </row>
    <row r="2082" spans="1:15" x14ac:dyDescent="0.25">
      <c r="A2082">
        <v>3753</v>
      </c>
      <c r="B2082" s="10">
        <v>45669</v>
      </c>
      <c r="C2082">
        <v>12</v>
      </c>
      <c r="D2082" t="s">
        <v>130</v>
      </c>
      <c r="E2082" t="s">
        <v>121</v>
      </c>
      <c r="F2082" t="s">
        <v>151</v>
      </c>
      <c r="G2082" t="s">
        <v>111</v>
      </c>
      <c r="H2082" t="s">
        <v>131</v>
      </c>
      <c r="I2082" t="s">
        <v>155</v>
      </c>
      <c r="J2082" t="s">
        <v>103</v>
      </c>
      <c r="K2082">
        <v>10</v>
      </c>
      <c r="L2082">
        <v>9900</v>
      </c>
      <c r="M2082">
        <v>99000</v>
      </c>
      <c r="N2082" t="s">
        <v>108</v>
      </c>
      <c r="O2082" t="s">
        <v>96</v>
      </c>
    </row>
    <row r="2083" spans="1:15" x14ac:dyDescent="0.25">
      <c r="A2083">
        <v>3841</v>
      </c>
      <c r="B2083" s="10">
        <v>45980</v>
      </c>
      <c r="C2083">
        <v>19</v>
      </c>
      <c r="D2083" t="s">
        <v>90</v>
      </c>
      <c r="E2083" t="s">
        <v>150</v>
      </c>
      <c r="F2083" t="s">
        <v>99</v>
      </c>
      <c r="G2083" t="s">
        <v>100</v>
      </c>
      <c r="H2083" t="s">
        <v>29</v>
      </c>
      <c r="I2083" t="s">
        <v>163</v>
      </c>
      <c r="J2083" t="s">
        <v>103</v>
      </c>
      <c r="K2083">
        <v>44</v>
      </c>
      <c r="L2083">
        <v>9900</v>
      </c>
      <c r="M2083">
        <v>435600</v>
      </c>
      <c r="N2083" t="s">
        <v>95</v>
      </c>
      <c r="O2083" t="s">
        <v>104</v>
      </c>
    </row>
    <row r="2084" spans="1:15" x14ac:dyDescent="0.25">
      <c r="A2084">
        <v>4066</v>
      </c>
      <c r="B2084" s="10">
        <v>45958</v>
      </c>
      <c r="C2084">
        <v>28</v>
      </c>
      <c r="D2084" t="s">
        <v>136</v>
      </c>
      <c r="E2084" t="s">
        <v>98</v>
      </c>
      <c r="F2084" t="s">
        <v>22</v>
      </c>
      <c r="G2084" t="s">
        <v>91</v>
      </c>
      <c r="H2084" t="s">
        <v>37</v>
      </c>
      <c r="I2084" t="s">
        <v>160</v>
      </c>
      <c r="J2084" t="s">
        <v>103</v>
      </c>
      <c r="K2084">
        <v>7</v>
      </c>
      <c r="L2084">
        <v>9900</v>
      </c>
      <c r="M2084">
        <v>69300</v>
      </c>
      <c r="N2084" t="s">
        <v>108</v>
      </c>
      <c r="O2084" t="s">
        <v>115</v>
      </c>
    </row>
    <row r="2085" spans="1:15" x14ac:dyDescent="0.25">
      <c r="A2085">
        <v>4098</v>
      </c>
      <c r="B2085" s="10">
        <v>45997</v>
      </c>
      <c r="C2085">
        <v>6</v>
      </c>
      <c r="D2085" t="s">
        <v>125</v>
      </c>
      <c r="E2085" t="s">
        <v>98</v>
      </c>
      <c r="F2085" t="s">
        <v>122</v>
      </c>
      <c r="G2085" t="s">
        <v>114</v>
      </c>
      <c r="H2085" t="s">
        <v>37</v>
      </c>
      <c r="I2085" t="s">
        <v>160</v>
      </c>
      <c r="J2085" t="s">
        <v>103</v>
      </c>
      <c r="K2085">
        <v>5</v>
      </c>
      <c r="L2085">
        <v>9900</v>
      </c>
      <c r="M2085">
        <v>49500</v>
      </c>
      <c r="N2085" t="s">
        <v>95</v>
      </c>
      <c r="O2085" t="s">
        <v>96</v>
      </c>
    </row>
    <row r="2086" spans="1:15" x14ac:dyDescent="0.25">
      <c r="A2086">
        <v>4465</v>
      </c>
      <c r="B2086" s="10">
        <v>45958</v>
      </c>
      <c r="C2086">
        <v>28</v>
      </c>
      <c r="D2086" t="s">
        <v>136</v>
      </c>
      <c r="E2086" t="s">
        <v>112</v>
      </c>
      <c r="F2086" t="s">
        <v>22</v>
      </c>
      <c r="G2086" t="s">
        <v>91</v>
      </c>
      <c r="H2086" t="s">
        <v>29</v>
      </c>
      <c r="I2086" t="s">
        <v>163</v>
      </c>
      <c r="J2086" t="s">
        <v>103</v>
      </c>
      <c r="K2086">
        <v>21</v>
      </c>
      <c r="L2086">
        <v>9900</v>
      </c>
      <c r="M2086">
        <v>207900</v>
      </c>
      <c r="N2086" t="s">
        <v>108</v>
      </c>
      <c r="O2086" t="s">
        <v>115</v>
      </c>
    </row>
    <row r="2087" spans="1:15" x14ac:dyDescent="0.25">
      <c r="A2087">
        <v>4574</v>
      </c>
      <c r="B2087" s="10">
        <v>45885</v>
      </c>
      <c r="C2087">
        <v>16</v>
      </c>
      <c r="D2087" t="s">
        <v>109</v>
      </c>
      <c r="E2087" t="s">
        <v>110</v>
      </c>
      <c r="F2087" t="s">
        <v>49</v>
      </c>
      <c r="G2087" t="s">
        <v>118</v>
      </c>
      <c r="H2087" t="s">
        <v>29</v>
      </c>
      <c r="I2087" t="s">
        <v>163</v>
      </c>
      <c r="J2087" t="s">
        <v>103</v>
      </c>
      <c r="K2087">
        <v>5</v>
      </c>
      <c r="L2087">
        <v>9900</v>
      </c>
      <c r="M2087">
        <v>49500</v>
      </c>
      <c r="N2087" t="s">
        <v>95</v>
      </c>
      <c r="O2087" t="s">
        <v>104</v>
      </c>
    </row>
    <row r="2088" spans="1:15" x14ac:dyDescent="0.25">
      <c r="A2088">
        <v>4635</v>
      </c>
      <c r="B2088" s="10">
        <v>45950</v>
      </c>
      <c r="C2088">
        <v>20</v>
      </c>
      <c r="D2088" t="s">
        <v>136</v>
      </c>
      <c r="E2088" t="s">
        <v>138</v>
      </c>
      <c r="F2088" t="s">
        <v>122</v>
      </c>
      <c r="G2088" t="s">
        <v>114</v>
      </c>
      <c r="H2088" t="s">
        <v>37</v>
      </c>
      <c r="I2088" t="s">
        <v>160</v>
      </c>
      <c r="J2088" t="s">
        <v>103</v>
      </c>
      <c r="K2088">
        <v>50</v>
      </c>
      <c r="L2088">
        <v>9900</v>
      </c>
      <c r="M2088">
        <v>495000</v>
      </c>
      <c r="N2088" t="s">
        <v>108</v>
      </c>
      <c r="O2088" t="s">
        <v>104</v>
      </c>
    </row>
    <row r="2089" spans="1:15" x14ac:dyDescent="0.25">
      <c r="A2089">
        <v>4698</v>
      </c>
      <c r="B2089" s="10">
        <v>45702</v>
      </c>
      <c r="C2089">
        <v>14</v>
      </c>
      <c r="D2089" t="s">
        <v>97</v>
      </c>
      <c r="E2089" t="s">
        <v>138</v>
      </c>
      <c r="F2089" t="s">
        <v>134</v>
      </c>
      <c r="G2089" t="s">
        <v>100</v>
      </c>
      <c r="H2089" t="s">
        <v>131</v>
      </c>
      <c r="I2089" t="s">
        <v>155</v>
      </c>
      <c r="J2089" t="s">
        <v>103</v>
      </c>
      <c r="K2089">
        <v>30</v>
      </c>
      <c r="L2089">
        <v>9900</v>
      </c>
      <c r="M2089">
        <v>297000</v>
      </c>
      <c r="N2089" t="s">
        <v>95</v>
      </c>
      <c r="O2089" t="s">
        <v>104</v>
      </c>
    </row>
    <row r="2090" spans="1:15" x14ac:dyDescent="0.25">
      <c r="A2090">
        <v>52</v>
      </c>
      <c r="B2090" s="10">
        <v>45800</v>
      </c>
      <c r="C2090">
        <v>23</v>
      </c>
      <c r="D2090" t="s">
        <v>120</v>
      </c>
      <c r="E2090" t="s">
        <v>121</v>
      </c>
      <c r="F2090" t="s">
        <v>28</v>
      </c>
      <c r="G2090" t="s">
        <v>126</v>
      </c>
      <c r="H2090" t="s">
        <v>37</v>
      </c>
      <c r="I2090" t="s">
        <v>160</v>
      </c>
      <c r="J2090" t="s">
        <v>103</v>
      </c>
      <c r="K2090">
        <v>48</v>
      </c>
      <c r="L2090">
        <v>10000</v>
      </c>
      <c r="M2090">
        <v>480000</v>
      </c>
      <c r="N2090" t="s">
        <v>108</v>
      </c>
      <c r="O2090" t="s">
        <v>104</v>
      </c>
    </row>
    <row r="2091" spans="1:15" x14ac:dyDescent="0.25">
      <c r="A2091">
        <v>126</v>
      </c>
      <c r="B2091" s="10">
        <v>45978</v>
      </c>
      <c r="C2091">
        <v>17</v>
      </c>
      <c r="D2091" t="s">
        <v>90</v>
      </c>
      <c r="E2091" t="s">
        <v>161</v>
      </c>
      <c r="F2091" t="s">
        <v>144</v>
      </c>
      <c r="G2091" t="s">
        <v>91</v>
      </c>
      <c r="H2091" t="s">
        <v>131</v>
      </c>
      <c r="I2091" t="s">
        <v>139</v>
      </c>
      <c r="J2091" t="s">
        <v>94</v>
      </c>
      <c r="K2091">
        <v>4</v>
      </c>
      <c r="L2091">
        <v>10000</v>
      </c>
      <c r="M2091">
        <v>40000</v>
      </c>
      <c r="N2091" t="s">
        <v>108</v>
      </c>
      <c r="O2091" t="s">
        <v>104</v>
      </c>
    </row>
    <row r="2092" spans="1:15" x14ac:dyDescent="0.25">
      <c r="A2092">
        <v>375</v>
      </c>
      <c r="B2092" s="10">
        <v>45708</v>
      </c>
      <c r="C2092">
        <v>20</v>
      </c>
      <c r="D2092" t="s">
        <v>97</v>
      </c>
      <c r="E2092" t="s">
        <v>98</v>
      </c>
      <c r="F2092" t="s">
        <v>117</v>
      </c>
      <c r="G2092" t="s">
        <v>118</v>
      </c>
      <c r="H2092" t="s">
        <v>131</v>
      </c>
      <c r="I2092" t="s">
        <v>139</v>
      </c>
      <c r="J2092" t="s">
        <v>94</v>
      </c>
      <c r="K2092">
        <v>3</v>
      </c>
      <c r="L2092">
        <v>10000</v>
      </c>
      <c r="M2092">
        <v>30000</v>
      </c>
      <c r="N2092" t="s">
        <v>108</v>
      </c>
      <c r="O2092" t="s">
        <v>115</v>
      </c>
    </row>
    <row r="2093" spans="1:15" x14ac:dyDescent="0.25">
      <c r="A2093">
        <v>396</v>
      </c>
      <c r="B2093" s="10">
        <v>45728</v>
      </c>
      <c r="C2093">
        <v>12</v>
      </c>
      <c r="D2093" t="s">
        <v>140</v>
      </c>
      <c r="E2093" t="s">
        <v>161</v>
      </c>
      <c r="F2093" t="s">
        <v>22</v>
      </c>
      <c r="G2093" t="s">
        <v>91</v>
      </c>
      <c r="H2093" t="s">
        <v>29</v>
      </c>
      <c r="I2093" t="s">
        <v>163</v>
      </c>
      <c r="J2093" t="s">
        <v>103</v>
      </c>
      <c r="K2093">
        <v>38</v>
      </c>
      <c r="L2093">
        <v>10000</v>
      </c>
      <c r="M2093">
        <v>380000</v>
      </c>
      <c r="N2093" t="s">
        <v>108</v>
      </c>
      <c r="O2093" t="s">
        <v>104</v>
      </c>
    </row>
    <row r="2094" spans="1:15" x14ac:dyDescent="0.25">
      <c r="A2094">
        <v>566</v>
      </c>
      <c r="B2094" s="10">
        <v>45818</v>
      </c>
      <c r="C2094">
        <v>10</v>
      </c>
      <c r="D2094" t="s">
        <v>153</v>
      </c>
      <c r="E2094" t="s">
        <v>106</v>
      </c>
      <c r="F2094" t="s">
        <v>117</v>
      </c>
      <c r="G2094" t="s">
        <v>118</v>
      </c>
      <c r="H2094" t="s">
        <v>29</v>
      </c>
      <c r="I2094" t="s">
        <v>163</v>
      </c>
      <c r="J2094" t="s">
        <v>103</v>
      </c>
      <c r="K2094">
        <v>28</v>
      </c>
      <c r="L2094">
        <v>10000</v>
      </c>
      <c r="M2094">
        <v>280000</v>
      </c>
      <c r="N2094" t="s">
        <v>95</v>
      </c>
      <c r="O2094" t="s">
        <v>96</v>
      </c>
    </row>
    <row r="2095" spans="1:15" x14ac:dyDescent="0.25">
      <c r="A2095">
        <v>1011</v>
      </c>
      <c r="B2095" s="10">
        <v>45980</v>
      </c>
      <c r="C2095">
        <v>19</v>
      </c>
      <c r="D2095" t="s">
        <v>90</v>
      </c>
      <c r="E2095" t="s">
        <v>121</v>
      </c>
      <c r="F2095" t="s">
        <v>99</v>
      </c>
      <c r="G2095" t="s">
        <v>100</v>
      </c>
      <c r="H2095" t="s">
        <v>131</v>
      </c>
      <c r="I2095" t="s">
        <v>155</v>
      </c>
      <c r="J2095" t="s">
        <v>103</v>
      </c>
      <c r="K2095">
        <v>42</v>
      </c>
      <c r="L2095">
        <v>10000</v>
      </c>
      <c r="M2095">
        <v>420000</v>
      </c>
      <c r="N2095" t="s">
        <v>108</v>
      </c>
      <c r="O2095" t="s">
        <v>104</v>
      </c>
    </row>
    <row r="2096" spans="1:15" x14ac:dyDescent="0.25">
      <c r="A2096">
        <v>1680</v>
      </c>
      <c r="B2096" s="10">
        <v>45764</v>
      </c>
      <c r="C2096">
        <v>17</v>
      </c>
      <c r="D2096" t="s">
        <v>105</v>
      </c>
      <c r="E2096" t="s">
        <v>161</v>
      </c>
      <c r="F2096" t="s">
        <v>107</v>
      </c>
      <c r="G2096" t="s">
        <v>100</v>
      </c>
      <c r="H2096" t="s">
        <v>37</v>
      </c>
      <c r="I2096" t="s">
        <v>160</v>
      </c>
      <c r="J2096" t="s">
        <v>103</v>
      </c>
      <c r="K2096">
        <v>25</v>
      </c>
      <c r="L2096">
        <v>10000</v>
      </c>
      <c r="M2096">
        <v>250000</v>
      </c>
      <c r="N2096" t="s">
        <v>108</v>
      </c>
      <c r="O2096" t="s">
        <v>96</v>
      </c>
    </row>
    <row r="2097" spans="1:15" x14ac:dyDescent="0.25">
      <c r="A2097">
        <v>1876</v>
      </c>
      <c r="B2097" s="10">
        <v>45865</v>
      </c>
      <c r="C2097">
        <v>27</v>
      </c>
      <c r="D2097" t="s">
        <v>145</v>
      </c>
      <c r="E2097" t="s">
        <v>142</v>
      </c>
      <c r="F2097" t="s">
        <v>144</v>
      </c>
      <c r="G2097" t="s">
        <v>91</v>
      </c>
      <c r="H2097" t="s">
        <v>131</v>
      </c>
      <c r="I2097" t="s">
        <v>155</v>
      </c>
      <c r="J2097" t="s">
        <v>103</v>
      </c>
      <c r="K2097">
        <v>33</v>
      </c>
      <c r="L2097">
        <v>10000</v>
      </c>
      <c r="M2097">
        <v>330000</v>
      </c>
      <c r="N2097" t="s">
        <v>108</v>
      </c>
      <c r="O2097" t="s">
        <v>115</v>
      </c>
    </row>
    <row r="2098" spans="1:15" x14ac:dyDescent="0.25">
      <c r="A2098">
        <v>2209</v>
      </c>
      <c r="B2098" s="10">
        <v>45981</v>
      </c>
      <c r="C2098">
        <v>20</v>
      </c>
      <c r="D2098" t="s">
        <v>90</v>
      </c>
      <c r="E2098" t="s">
        <v>142</v>
      </c>
      <c r="F2098" t="s">
        <v>36</v>
      </c>
      <c r="G2098" t="s">
        <v>100</v>
      </c>
      <c r="H2098" t="s">
        <v>37</v>
      </c>
      <c r="I2098" t="s">
        <v>160</v>
      </c>
      <c r="J2098" t="s">
        <v>103</v>
      </c>
      <c r="K2098">
        <v>7</v>
      </c>
      <c r="L2098">
        <v>10000</v>
      </c>
      <c r="M2098">
        <v>70000</v>
      </c>
      <c r="N2098" t="s">
        <v>95</v>
      </c>
      <c r="O2098" t="s">
        <v>115</v>
      </c>
    </row>
    <row r="2099" spans="1:15" x14ac:dyDescent="0.25">
      <c r="A2099">
        <v>2347</v>
      </c>
      <c r="B2099" s="10">
        <v>45784</v>
      </c>
      <c r="C2099">
        <v>7</v>
      </c>
      <c r="D2099" t="s">
        <v>120</v>
      </c>
      <c r="E2099" t="s">
        <v>25</v>
      </c>
      <c r="F2099" t="s">
        <v>148</v>
      </c>
      <c r="G2099" t="s">
        <v>118</v>
      </c>
      <c r="H2099" t="s">
        <v>37</v>
      </c>
      <c r="I2099" t="s">
        <v>160</v>
      </c>
      <c r="J2099" t="s">
        <v>103</v>
      </c>
      <c r="K2099">
        <v>41</v>
      </c>
      <c r="L2099">
        <v>10000</v>
      </c>
      <c r="M2099">
        <v>410000</v>
      </c>
      <c r="N2099" t="s">
        <v>108</v>
      </c>
      <c r="O2099" t="s">
        <v>96</v>
      </c>
    </row>
    <row r="2100" spans="1:15" x14ac:dyDescent="0.25">
      <c r="A2100">
        <v>2909</v>
      </c>
      <c r="B2100" s="10">
        <v>45967</v>
      </c>
      <c r="C2100">
        <v>6</v>
      </c>
      <c r="D2100" t="s">
        <v>90</v>
      </c>
      <c r="E2100" t="s">
        <v>137</v>
      </c>
      <c r="F2100" t="s">
        <v>122</v>
      </c>
      <c r="G2100" t="s">
        <v>114</v>
      </c>
      <c r="H2100" t="s">
        <v>37</v>
      </c>
      <c r="I2100" t="s">
        <v>160</v>
      </c>
      <c r="J2100" t="s">
        <v>103</v>
      </c>
      <c r="K2100">
        <v>37</v>
      </c>
      <c r="L2100">
        <v>10000</v>
      </c>
      <c r="M2100">
        <v>370000</v>
      </c>
      <c r="N2100" t="s">
        <v>95</v>
      </c>
      <c r="O2100" t="s">
        <v>96</v>
      </c>
    </row>
    <row r="2101" spans="1:15" x14ac:dyDescent="0.25">
      <c r="A2101">
        <v>3128</v>
      </c>
      <c r="B2101" s="10">
        <v>45853</v>
      </c>
      <c r="C2101">
        <v>15</v>
      </c>
      <c r="D2101" t="s">
        <v>145</v>
      </c>
      <c r="E2101" t="s">
        <v>142</v>
      </c>
      <c r="F2101" t="s">
        <v>117</v>
      </c>
      <c r="G2101" t="s">
        <v>118</v>
      </c>
      <c r="H2101" t="s">
        <v>131</v>
      </c>
      <c r="I2101" t="s">
        <v>155</v>
      </c>
      <c r="J2101" t="s">
        <v>103</v>
      </c>
      <c r="K2101">
        <v>42</v>
      </c>
      <c r="L2101">
        <v>10000</v>
      </c>
      <c r="M2101">
        <v>420000</v>
      </c>
      <c r="N2101" t="s">
        <v>95</v>
      </c>
      <c r="O2101" t="s">
        <v>104</v>
      </c>
    </row>
    <row r="2102" spans="1:15" x14ac:dyDescent="0.25">
      <c r="A2102">
        <v>3481</v>
      </c>
      <c r="B2102" s="10">
        <v>45877</v>
      </c>
      <c r="C2102">
        <v>8</v>
      </c>
      <c r="D2102" t="s">
        <v>109</v>
      </c>
      <c r="E2102" t="s">
        <v>142</v>
      </c>
      <c r="F2102" t="s">
        <v>44</v>
      </c>
      <c r="G2102" t="s">
        <v>111</v>
      </c>
      <c r="H2102" t="s">
        <v>29</v>
      </c>
      <c r="I2102" t="s">
        <v>163</v>
      </c>
      <c r="J2102" t="s">
        <v>103</v>
      </c>
      <c r="K2102">
        <v>19</v>
      </c>
      <c r="L2102">
        <v>10000</v>
      </c>
      <c r="M2102">
        <v>190000</v>
      </c>
      <c r="N2102" t="s">
        <v>108</v>
      </c>
      <c r="O2102" t="s">
        <v>104</v>
      </c>
    </row>
    <row r="2103" spans="1:15" x14ac:dyDescent="0.25">
      <c r="A2103">
        <v>3737</v>
      </c>
      <c r="B2103" s="10">
        <v>45909</v>
      </c>
      <c r="C2103">
        <v>9</v>
      </c>
      <c r="D2103" t="s">
        <v>147</v>
      </c>
      <c r="E2103" t="s">
        <v>142</v>
      </c>
      <c r="F2103" t="s">
        <v>99</v>
      </c>
      <c r="G2103" t="s">
        <v>100</v>
      </c>
      <c r="H2103" t="s">
        <v>29</v>
      </c>
      <c r="I2103" t="s">
        <v>163</v>
      </c>
      <c r="J2103" t="s">
        <v>103</v>
      </c>
      <c r="K2103">
        <v>37</v>
      </c>
      <c r="L2103">
        <v>10000</v>
      </c>
      <c r="M2103">
        <v>370000</v>
      </c>
      <c r="N2103" t="s">
        <v>95</v>
      </c>
      <c r="O2103" t="s">
        <v>96</v>
      </c>
    </row>
    <row r="2104" spans="1:15" x14ac:dyDescent="0.25">
      <c r="A2104">
        <v>3992</v>
      </c>
      <c r="B2104" s="10">
        <v>45812</v>
      </c>
      <c r="C2104">
        <v>4</v>
      </c>
      <c r="D2104" t="s">
        <v>153</v>
      </c>
      <c r="E2104" t="s">
        <v>133</v>
      </c>
      <c r="F2104" t="s">
        <v>99</v>
      </c>
      <c r="G2104" t="s">
        <v>100</v>
      </c>
      <c r="H2104" t="s">
        <v>29</v>
      </c>
      <c r="I2104" t="s">
        <v>163</v>
      </c>
      <c r="J2104" t="s">
        <v>103</v>
      </c>
      <c r="K2104">
        <v>5</v>
      </c>
      <c r="L2104">
        <v>10000</v>
      </c>
      <c r="M2104">
        <v>50000</v>
      </c>
      <c r="N2104" t="s">
        <v>95</v>
      </c>
      <c r="O2104" t="s">
        <v>96</v>
      </c>
    </row>
    <row r="2105" spans="1:15" x14ac:dyDescent="0.25">
      <c r="A2105">
        <v>4218</v>
      </c>
      <c r="B2105" s="10">
        <v>45941</v>
      </c>
      <c r="C2105">
        <v>11</v>
      </c>
      <c r="D2105" t="s">
        <v>136</v>
      </c>
      <c r="E2105" t="s">
        <v>25</v>
      </c>
      <c r="F2105" t="s">
        <v>144</v>
      </c>
      <c r="G2105" t="s">
        <v>91</v>
      </c>
      <c r="H2105" t="s">
        <v>37</v>
      </c>
      <c r="I2105" t="s">
        <v>160</v>
      </c>
      <c r="J2105" t="s">
        <v>103</v>
      </c>
      <c r="K2105">
        <v>50</v>
      </c>
      <c r="L2105">
        <v>10000</v>
      </c>
      <c r="M2105">
        <v>500000</v>
      </c>
      <c r="N2105" t="s">
        <v>108</v>
      </c>
      <c r="O2105" t="s">
        <v>115</v>
      </c>
    </row>
    <row r="2106" spans="1:15" x14ac:dyDescent="0.25">
      <c r="A2106">
        <v>4607</v>
      </c>
      <c r="B2106" s="10">
        <v>45764</v>
      </c>
      <c r="C2106">
        <v>17</v>
      </c>
      <c r="D2106" t="s">
        <v>105</v>
      </c>
      <c r="E2106" t="s">
        <v>128</v>
      </c>
      <c r="F2106" t="s">
        <v>144</v>
      </c>
      <c r="G2106" t="s">
        <v>91</v>
      </c>
      <c r="H2106" t="s">
        <v>29</v>
      </c>
      <c r="I2106" t="s">
        <v>163</v>
      </c>
      <c r="J2106" t="s">
        <v>103</v>
      </c>
      <c r="K2106">
        <v>37</v>
      </c>
      <c r="L2106">
        <v>10000</v>
      </c>
      <c r="M2106">
        <v>370000</v>
      </c>
      <c r="N2106" t="s">
        <v>108</v>
      </c>
      <c r="O2106" t="s">
        <v>104</v>
      </c>
    </row>
    <row r="2107" spans="1:15" x14ac:dyDescent="0.25">
      <c r="A2107">
        <v>4683</v>
      </c>
      <c r="B2107" s="10">
        <v>45702</v>
      </c>
      <c r="C2107">
        <v>14</v>
      </c>
      <c r="D2107" t="s">
        <v>97</v>
      </c>
      <c r="E2107" t="s">
        <v>98</v>
      </c>
      <c r="F2107" t="s">
        <v>107</v>
      </c>
      <c r="G2107" t="s">
        <v>100</v>
      </c>
      <c r="H2107" t="s">
        <v>131</v>
      </c>
      <c r="I2107" t="s">
        <v>155</v>
      </c>
      <c r="J2107" t="s">
        <v>103</v>
      </c>
      <c r="K2107">
        <v>34</v>
      </c>
      <c r="L2107">
        <v>10000</v>
      </c>
      <c r="M2107">
        <v>340000</v>
      </c>
      <c r="N2107" t="s">
        <v>95</v>
      </c>
      <c r="O2107" t="s">
        <v>115</v>
      </c>
    </row>
    <row r="2108" spans="1:15" x14ac:dyDescent="0.25">
      <c r="A2108">
        <v>4700</v>
      </c>
      <c r="B2108" s="10">
        <v>45732</v>
      </c>
      <c r="C2108">
        <v>16</v>
      </c>
      <c r="D2108" t="s">
        <v>140</v>
      </c>
      <c r="E2108" t="s">
        <v>116</v>
      </c>
      <c r="F2108" t="s">
        <v>151</v>
      </c>
      <c r="G2108" t="s">
        <v>111</v>
      </c>
      <c r="H2108" t="s">
        <v>37</v>
      </c>
      <c r="I2108" t="s">
        <v>160</v>
      </c>
      <c r="J2108" t="s">
        <v>103</v>
      </c>
      <c r="K2108">
        <v>14</v>
      </c>
      <c r="L2108">
        <v>10000</v>
      </c>
      <c r="M2108">
        <v>140000</v>
      </c>
      <c r="N2108" t="s">
        <v>108</v>
      </c>
      <c r="O2108" t="s">
        <v>115</v>
      </c>
    </row>
    <row r="2109" spans="1:15" x14ac:dyDescent="0.25">
      <c r="A2109">
        <v>311</v>
      </c>
      <c r="B2109" s="10">
        <v>45852</v>
      </c>
      <c r="C2109">
        <v>14</v>
      </c>
      <c r="D2109" t="s">
        <v>145</v>
      </c>
      <c r="E2109" t="s">
        <v>110</v>
      </c>
      <c r="F2109" t="s">
        <v>141</v>
      </c>
      <c r="G2109" t="s">
        <v>100</v>
      </c>
      <c r="H2109" t="s">
        <v>29</v>
      </c>
      <c r="I2109" t="s">
        <v>163</v>
      </c>
      <c r="J2109" t="s">
        <v>103</v>
      </c>
      <c r="K2109">
        <v>21</v>
      </c>
      <c r="L2109">
        <v>10100</v>
      </c>
      <c r="M2109">
        <v>212100</v>
      </c>
      <c r="N2109" t="s">
        <v>108</v>
      </c>
      <c r="O2109" t="s">
        <v>96</v>
      </c>
    </row>
    <row r="2110" spans="1:15" x14ac:dyDescent="0.25">
      <c r="A2110">
        <v>466</v>
      </c>
      <c r="B2110" s="10">
        <v>45884</v>
      </c>
      <c r="C2110">
        <v>15</v>
      </c>
      <c r="D2110" t="s">
        <v>109</v>
      </c>
      <c r="E2110" t="s">
        <v>112</v>
      </c>
      <c r="F2110" t="s">
        <v>141</v>
      </c>
      <c r="G2110" t="s">
        <v>100</v>
      </c>
      <c r="H2110" t="s">
        <v>37</v>
      </c>
      <c r="I2110" t="s">
        <v>160</v>
      </c>
      <c r="J2110" t="s">
        <v>103</v>
      </c>
      <c r="K2110">
        <v>43</v>
      </c>
      <c r="L2110">
        <v>10100</v>
      </c>
      <c r="M2110">
        <v>434300</v>
      </c>
      <c r="N2110" t="s">
        <v>95</v>
      </c>
      <c r="O2110" t="s">
        <v>104</v>
      </c>
    </row>
    <row r="2111" spans="1:15" x14ac:dyDescent="0.25">
      <c r="A2111">
        <v>471</v>
      </c>
      <c r="B2111" s="10">
        <v>45908</v>
      </c>
      <c r="C2111">
        <v>8</v>
      </c>
      <c r="D2111" t="s">
        <v>147</v>
      </c>
      <c r="E2111" t="s">
        <v>110</v>
      </c>
      <c r="F2111" t="s">
        <v>151</v>
      </c>
      <c r="G2111" t="s">
        <v>111</v>
      </c>
      <c r="H2111" t="s">
        <v>29</v>
      </c>
      <c r="I2111" t="s">
        <v>163</v>
      </c>
      <c r="J2111" t="s">
        <v>103</v>
      </c>
      <c r="K2111">
        <v>27</v>
      </c>
      <c r="L2111">
        <v>10100</v>
      </c>
      <c r="M2111">
        <v>272700</v>
      </c>
      <c r="N2111" t="s">
        <v>95</v>
      </c>
      <c r="O2111" t="s">
        <v>115</v>
      </c>
    </row>
    <row r="2112" spans="1:15" x14ac:dyDescent="0.25">
      <c r="A2112">
        <v>645</v>
      </c>
      <c r="B2112" s="10">
        <v>45881</v>
      </c>
      <c r="C2112">
        <v>12</v>
      </c>
      <c r="D2112" t="s">
        <v>109</v>
      </c>
      <c r="E2112" t="s">
        <v>142</v>
      </c>
      <c r="F2112" t="s">
        <v>49</v>
      </c>
      <c r="G2112" t="s">
        <v>118</v>
      </c>
      <c r="H2112" t="s">
        <v>29</v>
      </c>
      <c r="I2112" t="s">
        <v>163</v>
      </c>
      <c r="J2112" t="s">
        <v>103</v>
      </c>
      <c r="K2112">
        <v>19</v>
      </c>
      <c r="L2112">
        <v>10100</v>
      </c>
      <c r="M2112">
        <v>191900</v>
      </c>
      <c r="N2112" t="s">
        <v>108</v>
      </c>
      <c r="O2112" t="s">
        <v>104</v>
      </c>
    </row>
    <row r="2113" spans="1:15" x14ac:dyDescent="0.25">
      <c r="A2113">
        <v>1819</v>
      </c>
      <c r="B2113" s="10">
        <v>45791</v>
      </c>
      <c r="C2113">
        <v>14</v>
      </c>
      <c r="D2113" t="s">
        <v>120</v>
      </c>
      <c r="E2113" t="s">
        <v>161</v>
      </c>
      <c r="F2113" t="s">
        <v>117</v>
      </c>
      <c r="G2113" t="s">
        <v>118</v>
      </c>
      <c r="H2113" t="s">
        <v>37</v>
      </c>
      <c r="I2113" t="s">
        <v>160</v>
      </c>
      <c r="J2113" t="s">
        <v>103</v>
      </c>
      <c r="K2113">
        <v>28</v>
      </c>
      <c r="L2113">
        <v>10100</v>
      </c>
      <c r="M2113">
        <v>282800</v>
      </c>
      <c r="N2113" t="s">
        <v>108</v>
      </c>
      <c r="O2113" t="s">
        <v>104</v>
      </c>
    </row>
    <row r="2114" spans="1:15" x14ac:dyDescent="0.25">
      <c r="A2114">
        <v>1934</v>
      </c>
      <c r="B2114" s="10">
        <v>45772</v>
      </c>
      <c r="C2114">
        <v>25</v>
      </c>
      <c r="D2114" t="s">
        <v>105</v>
      </c>
      <c r="E2114" t="s">
        <v>98</v>
      </c>
      <c r="F2114" t="s">
        <v>22</v>
      </c>
      <c r="G2114" t="s">
        <v>91</v>
      </c>
      <c r="H2114" t="s">
        <v>37</v>
      </c>
      <c r="I2114" t="s">
        <v>160</v>
      </c>
      <c r="J2114" t="s">
        <v>103</v>
      </c>
      <c r="K2114">
        <v>40</v>
      </c>
      <c r="L2114">
        <v>10100</v>
      </c>
      <c r="M2114">
        <v>404000</v>
      </c>
      <c r="N2114" t="s">
        <v>95</v>
      </c>
      <c r="O2114" t="s">
        <v>115</v>
      </c>
    </row>
    <row r="2115" spans="1:15" x14ac:dyDescent="0.25">
      <c r="A2115">
        <v>1967</v>
      </c>
      <c r="B2115" s="10">
        <v>45715</v>
      </c>
      <c r="C2115">
        <v>27</v>
      </c>
      <c r="D2115" t="s">
        <v>97</v>
      </c>
      <c r="E2115" t="s">
        <v>31</v>
      </c>
      <c r="F2115" t="s">
        <v>99</v>
      </c>
      <c r="G2115" t="s">
        <v>100</v>
      </c>
      <c r="H2115" t="s">
        <v>29</v>
      </c>
      <c r="I2115" t="s">
        <v>163</v>
      </c>
      <c r="J2115" t="s">
        <v>103</v>
      </c>
      <c r="K2115">
        <v>22</v>
      </c>
      <c r="L2115">
        <v>10100</v>
      </c>
      <c r="M2115">
        <v>222200</v>
      </c>
      <c r="N2115" t="s">
        <v>95</v>
      </c>
      <c r="O2115" t="s">
        <v>96</v>
      </c>
    </row>
    <row r="2116" spans="1:15" x14ac:dyDescent="0.25">
      <c r="A2116">
        <v>2079</v>
      </c>
      <c r="B2116" s="10">
        <v>45669</v>
      </c>
      <c r="C2116">
        <v>12</v>
      </c>
      <c r="D2116" t="s">
        <v>130</v>
      </c>
      <c r="E2116" t="s">
        <v>142</v>
      </c>
      <c r="F2116" t="s">
        <v>151</v>
      </c>
      <c r="G2116" t="s">
        <v>111</v>
      </c>
      <c r="H2116" t="s">
        <v>37</v>
      </c>
      <c r="I2116" t="s">
        <v>160</v>
      </c>
      <c r="J2116" t="s">
        <v>103</v>
      </c>
      <c r="K2116">
        <v>36</v>
      </c>
      <c r="L2116">
        <v>10100</v>
      </c>
      <c r="M2116">
        <v>363600</v>
      </c>
      <c r="N2116" t="s">
        <v>108</v>
      </c>
      <c r="O2116" t="s">
        <v>104</v>
      </c>
    </row>
    <row r="2117" spans="1:15" x14ac:dyDescent="0.25">
      <c r="A2117">
        <v>2149</v>
      </c>
      <c r="B2117" s="10">
        <v>45989</v>
      </c>
      <c r="C2117">
        <v>28</v>
      </c>
      <c r="D2117" t="s">
        <v>90</v>
      </c>
      <c r="E2117" t="s">
        <v>112</v>
      </c>
      <c r="F2117" t="s">
        <v>28</v>
      </c>
      <c r="G2117" t="s">
        <v>126</v>
      </c>
      <c r="H2117" t="s">
        <v>37</v>
      </c>
      <c r="I2117" t="s">
        <v>160</v>
      </c>
      <c r="J2117" t="s">
        <v>103</v>
      </c>
      <c r="K2117">
        <v>29</v>
      </c>
      <c r="L2117">
        <v>10100</v>
      </c>
      <c r="M2117">
        <v>292900</v>
      </c>
      <c r="N2117" t="s">
        <v>108</v>
      </c>
      <c r="O2117" t="s">
        <v>115</v>
      </c>
    </row>
    <row r="2118" spans="1:15" x14ac:dyDescent="0.25">
      <c r="A2118">
        <v>2151</v>
      </c>
      <c r="B2118" s="10">
        <v>45998</v>
      </c>
      <c r="C2118">
        <v>7</v>
      </c>
      <c r="D2118" t="s">
        <v>125</v>
      </c>
      <c r="E2118" t="s">
        <v>121</v>
      </c>
      <c r="F2118" t="s">
        <v>122</v>
      </c>
      <c r="G2118" t="s">
        <v>114</v>
      </c>
      <c r="H2118" t="s">
        <v>29</v>
      </c>
      <c r="I2118" t="s">
        <v>163</v>
      </c>
      <c r="J2118" t="s">
        <v>103</v>
      </c>
      <c r="K2118">
        <v>22</v>
      </c>
      <c r="L2118">
        <v>10100</v>
      </c>
      <c r="M2118">
        <v>222200</v>
      </c>
      <c r="N2118" t="s">
        <v>108</v>
      </c>
      <c r="O2118" t="s">
        <v>104</v>
      </c>
    </row>
    <row r="2119" spans="1:15" x14ac:dyDescent="0.25">
      <c r="A2119">
        <v>2181</v>
      </c>
      <c r="B2119" s="10">
        <v>45930</v>
      </c>
      <c r="C2119">
        <v>30</v>
      </c>
      <c r="D2119" t="s">
        <v>147</v>
      </c>
      <c r="E2119" t="s">
        <v>98</v>
      </c>
      <c r="F2119" t="s">
        <v>148</v>
      </c>
      <c r="G2119" t="s">
        <v>118</v>
      </c>
      <c r="H2119" t="s">
        <v>29</v>
      </c>
      <c r="I2119" t="s">
        <v>163</v>
      </c>
      <c r="J2119" t="s">
        <v>103</v>
      </c>
      <c r="K2119">
        <v>16</v>
      </c>
      <c r="L2119">
        <v>10100</v>
      </c>
      <c r="M2119">
        <v>161600</v>
      </c>
      <c r="N2119" t="s">
        <v>108</v>
      </c>
      <c r="O2119" t="s">
        <v>115</v>
      </c>
    </row>
    <row r="2120" spans="1:15" x14ac:dyDescent="0.25">
      <c r="A2120">
        <v>2477</v>
      </c>
      <c r="B2120" s="10">
        <v>45788</v>
      </c>
      <c r="C2120">
        <v>11</v>
      </c>
      <c r="D2120" t="s">
        <v>120</v>
      </c>
      <c r="E2120" t="s">
        <v>128</v>
      </c>
      <c r="F2120" t="s">
        <v>122</v>
      </c>
      <c r="G2120" t="s">
        <v>114</v>
      </c>
      <c r="H2120" t="s">
        <v>37</v>
      </c>
      <c r="I2120" t="s">
        <v>160</v>
      </c>
      <c r="J2120" t="s">
        <v>103</v>
      </c>
      <c r="K2120">
        <v>32</v>
      </c>
      <c r="L2120">
        <v>10100</v>
      </c>
      <c r="M2120">
        <v>323200</v>
      </c>
      <c r="N2120" t="s">
        <v>95</v>
      </c>
      <c r="O2120" t="s">
        <v>96</v>
      </c>
    </row>
    <row r="2121" spans="1:15" x14ac:dyDescent="0.25">
      <c r="A2121">
        <v>3125</v>
      </c>
      <c r="B2121" s="10">
        <v>45800</v>
      </c>
      <c r="C2121">
        <v>23</v>
      </c>
      <c r="D2121" t="s">
        <v>120</v>
      </c>
      <c r="E2121" t="s">
        <v>98</v>
      </c>
      <c r="F2121" t="s">
        <v>22</v>
      </c>
      <c r="G2121" t="s">
        <v>91</v>
      </c>
      <c r="H2121" t="s">
        <v>29</v>
      </c>
      <c r="I2121" t="s">
        <v>163</v>
      </c>
      <c r="J2121" t="s">
        <v>103</v>
      </c>
      <c r="K2121">
        <v>37</v>
      </c>
      <c r="L2121">
        <v>10100</v>
      </c>
      <c r="M2121">
        <v>373700</v>
      </c>
      <c r="N2121" t="s">
        <v>95</v>
      </c>
      <c r="O2121" t="s">
        <v>104</v>
      </c>
    </row>
    <row r="2122" spans="1:15" x14ac:dyDescent="0.25">
      <c r="A2122">
        <v>3818</v>
      </c>
      <c r="B2122" s="10">
        <v>45827</v>
      </c>
      <c r="C2122">
        <v>19</v>
      </c>
      <c r="D2122" t="s">
        <v>153</v>
      </c>
      <c r="E2122" t="s">
        <v>161</v>
      </c>
      <c r="F2122" t="s">
        <v>49</v>
      </c>
      <c r="G2122" t="s">
        <v>118</v>
      </c>
      <c r="H2122" t="s">
        <v>29</v>
      </c>
      <c r="I2122" t="s">
        <v>163</v>
      </c>
      <c r="J2122" t="s">
        <v>103</v>
      </c>
      <c r="K2122">
        <v>5</v>
      </c>
      <c r="L2122">
        <v>10100</v>
      </c>
      <c r="M2122">
        <v>50500</v>
      </c>
      <c r="N2122" t="s">
        <v>108</v>
      </c>
      <c r="O2122" t="s">
        <v>96</v>
      </c>
    </row>
    <row r="2123" spans="1:15" x14ac:dyDescent="0.25">
      <c r="A2123">
        <v>4438</v>
      </c>
      <c r="B2123" s="10">
        <v>45829</v>
      </c>
      <c r="C2123">
        <v>21</v>
      </c>
      <c r="D2123" t="s">
        <v>153</v>
      </c>
      <c r="E2123" t="s">
        <v>138</v>
      </c>
      <c r="F2123" t="s">
        <v>44</v>
      </c>
      <c r="G2123" t="s">
        <v>111</v>
      </c>
      <c r="H2123" t="s">
        <v>29</v>
      </c>
      <c r="I2123" t="s">
        <v>163</v>
      </c>
      <c r="J2123" t="s">
        <v>103</v>
      </c>
      <c r="K2123">
        <v>15</v>
      </c>
      <c r="L2123">
        <v>10100</v>
      </c>
      <c r="M2123">
        <v>151500</v>
      </c>
      <c r="N2123" t="s">
        <v>95</v>
      </c>
      <c r="O2123" t="s">
        <v>104</v>
      </c>
    </row>
    <row r="2124" spans="1:15" x14ac:dyDescent="0.25">
      <c r="A2124">
        <v>4650</v>
      </c>
      <c r="B2124" s="10">
        <v>45838</v>
      </c>
      <c r="C2124">
        <v>30</v>
      </c>
      <c r="D2124" t="s">
        <v>153</v>
      </c>
      <c r="E2124" t="s">
        <v>150</v>
      </c>
      <c r="F2124" t="s">
        <v>148</v>
      </c>
      <c r="G2124" t="s">
        <v>118</v>
      </c>
      <c r="H2124" t="s">
        <v>37</v>
      </c>
      <c r="I2124" t="s">
        <v>160</v>
      </c>
      <c r="J2124" t="s">
        <v>103</v>
      </c>
      <c r="K2124">
        <v>16</v>
      </c>
      <c r="L2124">
        <v>10100</v>
      </c>
      <c r="M2124">
        <v>161600</v>
      </c>
      <c r="N2124" t="s">
        <v>95</v>
      </c>
      <c r="O2124" t="s">
        <v>115</v>
      </c>
    </row>
    <row r="2125" spans="1:15" x14ac:dyDescent="0.25">
      <c r="A2125">
        <v>4768</v>
      </c>
      <c r="B2125" s="10">
        <v>45753</v>
      </c>
      <c r="C2125">
        <v>6</v>
      </c>
      <c r="D2125" t="s">
        <v>105</v>
      </c>
      <c r="E2125" t="s">
        <v>116</v>
      </c>
      <c r="F2125" t="s">
        <v>141</v>
      </c>
      <c r="G2125" t="s">
        <v>100</v>
      </c>
      <c r="H2125" t="s">
        <v>37</v>
      </c>
      <c r="I2125" t="s">
        <v>160</v>
      </c>
      <c r="J2125" t="s">
        <v>103</v>
      </c>
      <c r="K2125">
        <v>31</v>
      </c>
      <c r="L2125">
        <v>10100</v>
      </c>
      <c r="M2125">
        <v>313100</v>
      </c>
      <c r="N2125" t="s">
        <v>95</v>
      </c>
      <c r="O2125" t="s">
        <v>104</v>
      </c>
    </row>
    <row r="2126" spans="1:15" x14ac:dyDescent="0.25">
      <c r="A2126">
        <v>274</v>
      </c>
      <c r="B2126" s="10">
        <v>45966</v>
      </c>
      <c r="C2126">
        <v>5</v>
      </c>
      <c r="D2126" t="s">
        <v>90</v>
      </c>
      <c r="E2126" t="s">
        <v>31</v>
      </c>
      <c r="F2126" t="s">
        <v>144</v>
      </c>
      <c r="G2126" t="s">
        <v>91</v>
      </c>
      <c r="H2126" t="s">
        <v>37</v>
      </c>
      <c r="I2126" t="s">
        <v>160</v>
      </c>
      <c r="J2126" t="s">
        <v>103</v>
      </c>
      <c r="K2126">
        <v>46</v>
      </c>
      <c r="L2126">
        <v>10200</v>
      </c>
      <c r="M2126">
        <v>469200</v>
      </c>
      <c r="N2126" t="s">
        <v>108</v>
      </c>
      <c r="O2126" t="s">
        <v>104</v>
      </c>
    </row>
    <row r="2127" spans="1:15" x14ac:dyDescent="0.25">
      <c r="A2127">
        <v>279</v>
      </c>
      <c r="B2127" s="10">
        <v>45778</v>
      </c>
      <c r="C2127">
        <v>1</v>
      </c>
      <c r="D2127" t="s">
        <v>120</v>
      </c>
      <c r="E2127" t="s">
        <v>133</v>
      </c>
      <c r="F2127" t="s">
        <v>117</v>
      </c>
      <c r="G2127" t="s">
        <v>118</v>
      </c>
      <c r="H2127" t="s">
        <v>37</v>
      </c>
      <c r="I2127" t="s">
        <v>160</v>
      </c>
      <c r="J2127" t="s">
        <v>103</v>
      </c>
      <c r="K2127">
        <v>42</v>
      </c>
      <c r="L2127">
        <v>10200</v>
      </c>
      <c r="M2127">
        <v>428400</v>
      </c>
      <c r="N2127" t="s">
        <v>95</v>
      </c>
      <c r="O2127" t="s">
        <v>115</v>
      </c>
    </row>
    <row r="2128" spans="1:15" x14ac:dyDescent="0.25">
      <c r="A2128">
        <v>404</v>
      </c>
      <c r="B2128" s="10">
        <v>45693</v>
      </c>
      <c r="C2128">
        <v>5</v>
      </c>
      <c r="D2128" t="s">
        <v>97</v>
      </c>
      <c r="E2128" t="s">
        <v>128</v>
      </c>
      <c r="F2128" t="s">
        <v>151</v>
      </c>
      <c r="G2128" t="s">
        <v>111</v>
      </c>
      <c r="H2128" t="s">
        <v>37</v>
      </c>
      <c r="I2128" t="s">
        <v>160</v>
      </c>
      <c r="J2128" t="s">
        <v>103</v>
      </c>
      <c r="K2128">
        <v>10</v>
      </c>
      <c r="L2128">
        <v>10200</v>
      </c>
      <c r="M2128">
        <v>102000</v>
      </c>
      <c r="N2128" t="s">
        <v>108</v>
      </c>
      <c r="O2128" t="s">
        <v>104</v>
      </c>
    </row>
    <row r="2129" spans="1:15" x14ac:dyDescent="0.25">
      <c r="A2129">
        <v>678</v>
      </c>
      <c r="B2129" s="10">
        <v>45824</v>
      </c>
      <c r="C2129">
        <v>16</v>
      </c>
      <c r="D2129" t="s">
        <v>153</v>
      </c>
      <c r="E2129" t="s">
        <v>121</v>
      </c>
      <c r="F2129" t="s">
        <v>113</v>
      </c>
      <c r="G2129" t="s">
        <v>114</v>
      </c>
      <c r="H2129" t="s">
        <v>131</v>
      </c>
      <c r="I2129" t="s">
        <v>155</v>
      </c>
      <c r="J2129" t="s">
        <v>103</v>
      </c>
      <c r="K2129">
        <v>43</v>
      </c>
      <c r="L2129">
        <v>10200</v>
      </c>
      <c r="M2129">
        <v>438600</v>
      </c>
      <c r="N2129" t="s">
        <v>95</v>
      </c>
      <c r="O2129" t="s">
        <v>96</v>
      </c>
    </row>
    <row r="2130" spans="1:15" x14ac:dyDescent="0.25">
      <c r="A2130">
        <v>1359</v>
      </c>
      <c r="B2130" s="10">
        <v>45713</v>
      </c>
      <c r="C2130">
        <v>25</v>
      </c>
      <c r="D2130" t="s">
        <v>97</v>
      </c>
      <c r="E2130" t="s">
        <v>128</v>
      </c>
      <c r="F2130" t="s">
        <v>144</v>
      </c>
      <c r="G2130" t="s">
        <v>91</v>
      </c>
      <c r="H2130" t="s">
        <v>131</v>
      </c>
      <c r="I2130" t="s">
        <v>155</v>
      </c>
      <c r="J2130" t="s">
        <v>94</v>
      </c>
      <c r="K2130">
        <v>7</v>
      </c>
      <c r="L2130">
        <v>10200</v>
      </c>
      <c r="M2130">
        <v>71400</v>
      </c>
      <c r="N2130" t="s">
        <v>108</v>
      </c>
      <c r="O2130" t="s">
        <v>104</v>
      </c>
    </row>
    <row r="2131" spans="1:15" x14ac:dyDescent="0.25">
      <c r="A2131">
        <v>2433</v>
      </c>
      <c r="B2131" s="10">
        <v>45669</v>
      </c>
      <c r="C2131">
        <v>12</v>
      </c>
      <c r="D2131" t="s">
        <v>130</v>
      </c>
      <c r="E2131" t="s">
        <v>128</v>
      </c>
      <c r="F2131" t="s">
        <v>36</v>
      </c>
      <c r="G2131" t="s">
        <v>100</v>
      </c>
      <c r="H2131" t="s">
        <v>37</v>
      </c>
      <c r="I2131" t="s">
        <v>160</v>
      </c>
      <c r="J2131" t="s">
        <v>103</v>
      </c>
      <c r="K2131">
        <v>36</v>
      </c>
      <c r="L2131">
        <v>10200</v>
      </c>
      <c r="M2131">
        <v>367200</v>
      </c>
      <c r="N2131" t="s">
        <v>95</v>
      </c>
      <c r="O2131" t="s">
        <v>115</v>
      </c>
    </row>
    <row r="2132" spans="1:15" x14ac:dyDescent="0.25">
      <c r="A2132">
        <v>2708</v>
      </c>
      <c r="B2132" s="10">
        <v>45983</v>
      </c>
      <c r="C2132">
        <v>22</v>
      </c>
      <c r="D2132" t="s">
        <v>90</v>
      </c>
      <c r="E2132" t="s">
        <v>161</v>
      </c>
      <c r="F2132" t="s">
        <v>151</v>
      </c>
      <c r="G2132" t="s">
        <v>111</v>
      </c>
      <c r="H2132" t="s">
        <v>37</v>
      </c>
      <c r="I2132" t="s">
        <v>160</v>
      </c>
      <c r="J2132" t="s">
        <v>103</v>
      </c>
      <c r="K2132">
        <v>11</v>
      </c>
      <c r="L2132">
        <v>10200</v>
      </c>
      <c r="M2132">
        <v>112200</v>
      </c>
      <c r="N2132" t="s">
        <v>95</v>
      </c>
      <c r="O2132" t="s">
        <v>115</v>
      </c>
    </row>
    <row r="2133" spans="1:15" x14ac:dyDescent="0.25">
      <c r="A2133">
        <v>3051</v>
      </c>
      <c r="B2133" s="10">
        <v>45968</v>
      </c>
      <c r="C2133">
        <v>7</v>
      </c>
      <c r="D2133" t="s">
        <v>90</v>
      </c>
      <c r="E2133" t="s">
        <v>161</v>
      </c>
      <c r="F2133" t="s">
        <v>122</v>
      </c>
      <c r="G2133" t="s">
        <v>114</v>
      </c>
      <c r="H2133" t="s">
        <v>131</v>
      </c>
      <c r="I2133" t="s">
        <v>155</v>
      </c>
      <c r="J2133" t="s">
        <v>94</v>
      </c>
      <c r="K2133">
        <v>8</v>
      </c>
      <c r="L2133">
        <v>10200</v>
      </c>
      <c r="M2133">
        <v>81600</v>
      </c>
      <c r="N2133" t="s">
        <v>95</v>
      </c>
      <c r="O2133" t="s">
        <v>104</v>
      </c>
    </row>
    <row r="2134" spans="1:15" x14ac:dyDescent="0.25">
      <c r="A2134">
        <v>3065</v>
      </c>
      <c r="B2134" s="10">
        <v>45856</v>
      </c>
      <c r="C2134">
        <v>18</v>
      </c>
      <c r="D2134" t="s">
        <v>145</v>
      </c>
      <c r="E2134" t="s">
        <v>137</v>
      </c>
      <c r="F2134" t="s">
        <v>113</v>
      </c>
      <c r="G2134" t="s">
        <v>114</v>
      </c>
      <c r="H2134" t="s">
        <v>131</v>
      </c>
      <c r="I2134" t="s">
        <v>155</v>
      </c>
      <c r="J2134" t="s">
        <v>94</v>
      </c>
      <c r="K2134">
        <v>7</v>
      </c>
      <c r="L2134">
        <v>10200</v>
      </c>
      <c r="M2134">
        <v>71400</v>
      </c>
      <c r="N2134" t="s">
        <v>95</v>
      </c>
      <c r="O2134" t="s">
        <v>115</v>
      </c>
    </row>
    <row r="2135" spans="1:15" x14ac:dyDescent="0.25">
      <c r="A2135">
        <v>4190</v>
      </c>
      <c r="B2135" s="10">
        <v>45753</v>
      </c>
      <c r="C2135">
        <v>6</v>
      </c>
      <c r="D2135" t="s">
        <v>105</v>
      </c>
      <c r="E2135" t="s">
        <v>106</v>
      </c>
      <c r="F2135" t="s">
        <v>28</v>
      </c>
      <c r="G2135" t="s">
        <v>126</v>
      </c>
      <c r="H2135" t="s">
        <v>29</v>
      </c>
      <c r="I2135" t="s">
        <v>163</v>
      </c>
      <c r="J2135" t="s">
        <v>103</v>
      </c>
      <c r="K2135">
        <v>17</v>
      </c>
      <c r="L2135">
        <v>10200</v>
      </c>
      <c r="M2135">
        <v>173400</v>
      </c>
      <c r="N2135" t="s">
        <v>95</v>
      </c>
      <c r="O2135" t="s">
        <v>115</v>
      </c>
    </row>
    <row r="2136" spans="1:15" x14ac:dyDescent="0.25">
      <c r="A2136">
        <v>4215</v>
      </c>
      <c r="B2136" s="10">
        <v>45890</v>
      </c>
      <c r="C2136">
        <v>21</v>
      </c>
      <c r="D2136" t="s">
        <v>109</v>
      </c>
      <c r="E2136" t="s">
        <v>112</v>
      </c>
      <c r="F2136" t="s">
        <v>22</v>
      </c>
      <c r="G2136" t="s">
        <v>91</v>
      </c>
      <c r="H2136" t="s">
        <v>37</v>
      </c>
      <c r="I2136" t="s">
        <v>160</v>
      </c>
      <c r="J2136" t="s">
        <v>103</v>
      </c>
      <c r="K2136">
        <v>36</v>
      </c>
      <c r="L2136">
        <v>10200</v>
      </c>
      <c r="M2136">
        <v>367200</v>
      </c>
      <c r="N2136" t="s">
        <v>108</v>
      </c>
      <c r="O2136" t="s">
        <v>104</v>
      </c>
    </row>
    <row r="2137" spans="1:15" x14ac:dyDescent="0.25">
      <c r="A2137">
        <v>4529</v>
      </c>
      <c r="B2137" s="10">
        <v>45764</v>
      </c>
      <c r="C2137">
        <v>17</v>
      </c>
      <c r="D2137" t="s">
        <v>105</v>
      </c>
      <c r="E2137" t="s">
        <v>31</v>
      </c>
      <c r="F2137" t="s">
        <v>122</v>
      </c>
      <c r="G2137" t="s">
        <v>114</v>
      </c>
      <c r="H2137" t="s">
        <v>29</v>
      </c>
      <c r="I2137" t="s">
        <v>163</v>
      </c>
      <c r="J2137" t="s">
        <v>103</v>
      </c>
      <c r="K2137">
        <v>43</v>
      </c>
      <c r="L2137">
        <v>10200</v>
      </c>
      <c r="M2137">
        <v>438600</v>
      </c>
      <c r="N2137" t="s">
        <v>95</v>
      </c>
      <c r="O2137" t="s">
        <v>104</v>
      </c>
    </row>
    <row r="2138" spans="1:15" x14ac:dyDescent="0.25">
      <c r="A2138">
        <v>4548</v>
      </c>
      <c r="B2138" s="10">
        <v>45870</v>
      </c>
      <c r="C2138">
        <v>1</v>
      </c>
      <c r="D2138" t="s">
        <v>109</v>
      </c>
      <c r="E2138" t="s">
        <v>121</v>
      </c>
      <c r="F2138" t="s">
        <v>107</v>
      </c>
      <c r="G2138" t="s">
        <v>100</v>
      </c>
      <c r="H2138" t="s">
        <v>29</v>
      </c>
      <c r="I2138" t="s">
        <v>163</v>
      </c>
      <c r="J2138" t="s">
        <v>103</v>
      </c>
      <c r="K2138">
        <v>33</v>
      </c>
      <c r="L2138">
        <v>10200</v>
      </c>
      <c r="M2138">
        <v>336600</v>
      </c>
      <c r="N2138" t="s">
        <v>95</v>
      </c>
      <c r="O2138" t="s">
        <v>115</v>
      </c>
    </row>
    <row r="2139" spans="1:15" x14ac:dyDescent="0.25">
      <c r="A2139">
        <v>108</v>
      </c>
      <c r="B2139" s="10">
        <v>45795</v>
      </c>
      <c r="C2139">
        <v>18</v>
      </c>
      <c r="D2139" t="s">
        <v>120</v>
      </c>
      <c r="E2139" t="s">
        <v>110</v>
      </c>
      <c r="F2139" t="s">
        <v>22</v>
      </c>
      <c r="G2139" t="s">
        <v>91</v>
      </c>
      <c r="H2139" t="s">
        <v>29</v>
      </c>
      <c r="I2139" t="s">
        <v>163</v>
      </c>
      <c r="J2139" t="s">
        <v>103</v>
      </c>
      <c r="K2139">
        <v>22</v>
      </c>
      <c r="L2139">
        <v>10300</v>
      </c>
      <c r="M2139">
        <v>226600</v>
      </c>
      <c r="N2139" t="s">
        <v>95</v>
      </c>
      <c r="O2139" t="s">
        <v>96</v>
      </c>
    </row>
    <row r="2140" spans="1:15" x14ac:dyDescent="0.25">
      <c r="A2140">
        <v>1587</v>
      </c>
      <c r="B2140" s="10">
        <v>45807</v>
      </c>
      <c r="C2140">
        <v>30</v>
      </c>
      <c r="D2140" t="s">
        <v>120</v>
      </c>
      <c r="E2140" t="s">
        <v>142</v>
      </c>
      <c r="F2140" t="s">
        <v>28</v>
      </c>
      <c r="G2140" t="s">
        <v>126</v>
      </c>
      <c r="H2140" t="s">
        <v>29</v>
      </c>
      <c r="I2140" t="s">
        <v>163</v>
      </c>
      <c r="J2140" t="s">
        <v>103</v>
      </c>
      <c r="K2140">
        <v>35</v>
      </c>
      <c r="L2140">
        <v>10300</v>
      </c>
      <c r="M2140">
        <v>360500</v>
      </c>
      <c r="N2140" t="s">
        <v>108</v>
      </c>
      <c r="O2140" t="s">
        <v>96</v>
      </c>
    </row>
    <row r="2141" spans="1:15" x14ac:dyDescent="0.25">
      <c r="A2141">
        <v>2402</v>
      </c>
      <c r="B2141" s="10">
        <v>45772</v>
      </c>
      <c r="C2141">
        <v>25</v>
      </c>
      <c r="D2141" t="s">
        <v>105</v>
      </c>
      <c r="E2141" t="s">
        <v>98</v>
      </c>
      <c r="F2141" t="s">
        <v>28</v>
      </c>
      <c r="G2141" t="s">
        <v>126</v>
      </c>
      <c r="H2141" t="s">
        <v>29</v>
      </c>
      <c r="I2141" t="s">
        <v>163</v>
      </c>
      <c r="J2141" t="s">
        <v>103</v>
      </c>
      <c r="K2141">
        <v>48</v>
      </c>
      <c r="L2141">
        <v>10300</v>
      </c>
      <c r="M2141">
        <v>494400</v>
      </c>
      <c r="N2141" t="s">
        <v>95</v>
      </c>
      <c r="O2141" t="s">
        <v>115</v>
      </c>
    </row>
    <row r="2142" spans="1:15" x14ac:dyDescent="0.25">
      <c r="A2142">
        <v>2976</v>
      </c>
      <c r="B2142" s="10">
        <v>45912</v>
      </c>
      <c r="C2142">
        <v>12</v>
      </c>
      <c r="D2142" t="s">
        <v>147</v>
      </c>
      <c r="E2142" t="s">
        <v>137</v>
      </c>
      <c r="F2142" t="s">
        <v>28</v>
      </c>
      <c r="G2142" t="s">
        <v>126</v>
      </c>
      <c r="H2142" t="s">
        <v>37</v>
      </c>
      <c r="I2142" t="s">
        <v>160</v>
      </c>
      <c r="J2142" t="s">
        <v>103</v>
      </c>
      <c r="K2142">
        <v>14</v>
      </c>
      <c r="L2142">
        <v>10300</v>
      </c>
      <c r="M2142">
        <v>144200</v>
      </c>
      <c r="N2142" t="s">
        <v>108</v>
      </c>
      <c r="O2142" t="s">
        <v>96</v>
      </c>
    </row>
    <row r="2143" spans="1:15" x14ac:dyDescent="0.25">
      <c r="A2143">
        <v>3069</v>
      </c>
      <c r="B2143" s="10">
        <v>45744</v>
      </c>
      <c r="C2143">
        <v>28</v>
      </c>
      <c r="D2143" t="s">
        <v>140</v>
      </c>
      <c r="E2143" t="s">
        <v>116</v>
      </c>
      <c r="F2143" t="s">
        <v>107</v>
      </c>
      <c r="G2143" t="s">
        <v>100</v>
      </c>
      <c r="H2143" t="s">
        <v>29</v>
      </c>
      <c r="I2143" t="s">
        <v>163</v>
      </c>
      <c r="J2143" t="s">
        <v>103</v>
      </c>
      <c r="K2143">
        <v>22</v>
      </c>
      <c r="L2143">
        <v>10300</v>
      </c>
      <c r="M2143">
        <v>226600</v>
      </c>
      <c r="N2143" t="s">
        <v>108</v>
      </c>
      <c r="O2143" t="s">
        <v>104</v>
      </c>
    </row>
    <row r="2144" spans="1:15" x14ac:dyDescent="0.25">
      <c r="A2144">
        <v>3238</v>
      </c>
      <c r="B2144" s="10">
        <v>45695</v>
      </c>
      <c r="C2144">
        <v>7</v>
      </c>
      <c r="D2144" t="s">
        <v>97</v>
      </c>
      <c r="E2144" t="s">
        <v>138</v>
      </c>
      <c r="F2144" t="s">
        <v>122</v>
      </c>
      <c r="G2144" t="s">
        <v>114</v>
      </c>
      <c r="H2144" t="s">
        <v>131</v>
      </c>
      <c r="I2144" t="s">
        <v>155</v>
      </c>
      <c r="J2144" t="s">
        <v>94</v>
      </c>
      <c r="K2144">
        <v>3</v>
      </c>
      <c r="L2144">
        <v>10300</v>
      </c>
      <c r="M2144">
        <v>30900</v>
      </c>
      <c r="N2144" t="s">
        <v>95</v>
      </c>
      <c r="O2144" t="s">
        <v>96</v>
      </c>
    </row>
    <row r="2145" spans="1:15" x14ac:dyDescent="0.25">
      <c r="A2145">
        <v>3313</v>
      </c>
      <c r="B2145" s="10">
        <v>45811</v>
      </c>
      <c r="C2145">
        <v>3</v>
      </c>
      <c r="D2145" t="s">
        <v>153</v>
      </c>
      <c r="E2145" t="s">
        <v>116</v>
      </c>
      <c r="F2145" t="s">
        <v>117</v>
      </c>
      <c r="G2145" t="s">
        <v>118</v>
      </c>
      <c r="H2145" t="s">
        <v>131</v>
      </c>
      <c r="I2145" t="s">
        <v>155</v>
      </c>
      <c r="J2145" t="s">
        <v>103</v>
      </c>
      <c r="K2145">
        <v>29</v>
      </c>
      <c r="L2145">
        <v>10300</v>
      </c>
      <c r="M2145">
        <v>298700</v>
      </c>
      <c r="N2145" t="s">
        <v>95</v>
      </c>
      <c r="O2145" t="s">
        <v>96</v>
      </c>
    </row>
    <row r="2146" spans="1:15" x14ac:dyDescent="0.25">
      <c r="A2146">
        <v>3368</v>
      </c>
      <c r="B2146" s="10">
        <v>45785</v>
      </c>
      <c r="C2146">
        <v>8</v>
      </c>
      <c r="D2146" t="s">
        <v>120</v>
      </c>
      <c r="E2146" t="s">
        <v>138</v>
      </c>
      <c r="F2146" t="s">
        <v>44</v>
      </c>
      <c r="G2146" t="s">
        <v>111</v>
      </c>
      <c r="H2146" t="s">
        <v>29</v>
      </c>
      <c r="I2146" t="s">
        <v>163</v>
      </c>
      <c r="J2146" t="s">
        <v>103</v>
      </c>
      <c r="K2146">
        <v>42</v>
      </c>
      <c r="L2146">
        <v>10300</v>
      </c>
      <c r="M2146">
        <v>432600</v>
      </c>
      <c r="N2146" t="s">
        <v>95</v>
      </c>
      <c r="O2146" t="s">
        <v>115</v>
      </c>
    </row>
    <row r="2147" spans="1:15" x14ac:dyDescent="0.25">
      <c r="A2147">
        <v>3659</v>
      </c>
      <c r="B2147" s="10">
        <v>45858</v>
      </c>
      <c r="C2147">
        <v>20</v>
      </c>
      <c r="D2147" t="s">
        <v>145</v>
      </c>
      <c r="E2147" t="s">
        <v>128</v>
      </c>
      <c r="F2147" t="s">
        <v>134</v>
      </c>
      <c r="G2147" t="s">
        <v>100</v>
      </c>
      <c r="H2147" t="s">
        <v>29</v>
      </c>
      <c r="I2147" t="s">
        <v>163</v>
      </c>
      <c r="J2147" t="s">
        <v>103</v>
      </c>
      <c r="K2147">
        <v>18</v>
      </c>
      <c r="L2147">
        <v>10300</v>
      </c>
      <c r="M2147">
        <v>185400</v>
      </c>
      <c r="N2147" t="s">
        <v>95</v>
      </c>
      <c r="O2147" t="s">
        <v>104</v>
      </c>
    </row>
    <row r="2148" spans="1:15" x14ac:dyDescent="0.25">
      <c r="A2148">
        <v>3824</v>
      </c>
      <c r="B2148" s="10">
        <v>45823</v>
      </c>
      <c r="C2148">
        <v>15</v>
      </c>
      <c r="D2148" t="s">
        <v>153</v>
      </c>
      <c r="E2148" t="s">
        <v>112</v>
      </c>
      <c r="F2148" t="s">
        <v>107</v>
      </c>
      <c r="G2148" t="s">
        <v>100</v>
      </c>
      <c r="H2148" t="s">
        <v>29</v>
      </c>
      <c r="I2148" t="s">
        <v>163</v>
      </c>
      <c r="J2148" t="s">
        <v>103</v>
      </c>
      <c r="K2148">
        <v>22</v>
      </c>
      <c r="L2148">
        <v>10300</v>
      </c>
      <c r="M2148">
        <v>226600</v>
      </c>
      <c r="N2148" t="s">
        <v>108</v>
      </c>
      <c r="O2148" t="s">
        <v>96</v>
      </c>
    </row>
    <row r="2149" spans="1:15" x14ac:dyDescent="0.25">
      <c r="A2149">
        <v>4076</v>
      </c>
      <c r="B2149" s="10">
        <v>45966</v>
      </c>
      <c r="C2149">
        <v>5</v>
      </c>
      <c r="D2149" t="s">
        <v>90</v>
      </c>
      <c r="E2149" t="s">
        <v>142</v>
      </c>
      <c r="F2149" t="s">
        <v>122</v>
      </c>
      <c r="G2149" t="s">
        <v>114</v>
      </c>
      <c r="H2149" t="s">
        <v>37</v>
      </c>
      <c r="I2149" t="s">
        <v>160</v>
      </c>
      <c r="J2149" t="s">
        <v>103</v>
      </c>
      <c r="K2149">
        <v>11</v>
      </c>
      <c r="L2149">
        <v>10300</v>
      </c>
      <c r="M2149">
        <v>113300</v>
      </c>
      <c r="N2149" t="s">
        <v>95</v>
      </c>
      <c r="O2149" t="s">
        <v>115</v>
      </c>
    </row>
    <row r="2150" spans="1:15" x14ac:dyDescent="0.25">
      <c r="A2150">
        <v>4374</v>
      </c>
      <c r="B2150" s="10">
        <v>45936</v>
      </c>
      <c r="C2150">
        <v>6</v>
      </c>
      <c r="D2150" t="s">
        <v>136</v>
      </c>
      <c r="E2150" t="s">
        <v>31</v>
      </c>
      <c r="F2150" t="s">
        <v>28</v>
      </c>
      <c r="G2150" t="s">
        <v>126</v>
      </c>
      <c r="H2150" t="s">
        <v>29</v>
      </c>
      <c r="I2150" t="s">
        <v>163</v>
      </c>
      <c r="J2150" t="s">
        <v>103</v>
      </c>
      <c r="K2150">
        <v>6</v>
      </c>
      <c r="L2150">
        <v>10300</v>
      </c>
      <c r="M2150">
        <v>61800</v>
      </c>
      <c r="N2150" t="s">
        <v>95</v>
      </c>
      <c r="O2150" t="s">
        <v>115</v>
      </c>
    </row>
    <row r="2151" spans="1:15" x14ac:dyDescent="0.25">
      <c r="A2151">
        <v>4642</v>
      </c>
      <c r="B2151" s="10">
        <v>45910</v>
      </c>
      <c r="C2151">
        <v>10</v>
      </c>
      <c r="D2151" t="s">
        <v>147</v>
      </c>
      <c r="E2151" t="s">
        <v>25</v>
      </c>
      <c r="F2151" t="s">
        <v>99</v>
      </c>
      <c r="G2151" t="s">
        <v>100</v>
      </c>
      <c r="H2151" t="s">
        <v>37</v>
      </c>
      <c r="I2151" t="s">
        <v>160</v>
      </c>
      <c r="J2151" t="s">
        <v>103</v>
      </c>
      <c r="K2151">
        <v>43</v>
      </c>
      <c r="L2151">
        <v>10300</v>
      </c>
      <c r="M2151">
        <v>442900</v>
      </c>
      <c r="N2151" t="s">
        <v>108</v>
      </c>
      <c r="O2151" t="s">
        <v>96</v>
      </c>
    </row>
    <row r="2152" spans="1:15" x14ac:dyDescent="0.25">
      <c r="A2152">
        <v>4680</v>
      </c>
      <c r="B2152" s="10">
        <v>45903</v>
      </c>
      <c r="C2152">
        <v>3</v>
      </c>
      <c r="D2152" t="s">
        <v>147</v>
      </c>
      <c r="E2152" t="s">
        <v>98</v>
      </c>
      <c r="F2152" t="s">
        <v>134</v>
      </c>
      <c r="G2152" t="s">
        <v>100</v>
      </c>
      <c r="H2152" t="s">
        <v>37</v>
      </c>
      <c r="I2152" t="s">
        <v>160</v>
      </c>
      <c r="J2152" t="s">
        <v>103</v>
      </c>
      <c r="K2152">
        <v>18</v>
      </c>
      <c r="L2152">
        <v>10300</v>
      </c>
      <c r="M2152">
        <v>185400</v>
      </c>
      <c r="N2152" t="s">
        <v>108</v>
      </c>
      <c r="O2152" t="s">
        <v>104</v>
      </c>
    </row>
    <row r="2153" spans="1:15" x14ac:dyDescent="0.25">
      <c r="A2153">
        <v>4928</v>
      </c>
      <c r="B2153" s="10">
        <v>45882</v>
      </c>
      <c r="C2153">
        <v>13</v>
      </c>
      <c r="D2153" t="s">
        <v>109</v>
      </c>
      <c r="E2153" t="s">
        <v>138</v>
      </c>
      <c r="F2153" t="s">
        <v>144</v>
      </c>
      <c r="G2153" t="s">
        <v>91</v>
      </c>
      <c r="H2153" t="s">
        <v>29</v>
      </c>
      <c r="I2153" t="s">
        <v>163</v>
      </c>
      <c r="J2153" t="s">
        <v>103</v>
      </c>
      <c r="K2153">
        <v>44</v>
      </c>
      <c r="L2153">
        <v>10300</v>
      </c>
      <c r="M2153">
        <v>453200</v>
      </c>
      <c r="N2153" t="s">
        <v>108</v>
      </c>
      <c r="O2153" t="s">
        <v>96</v>
      </c>
    </row>
    <row r="2154" spans="1:15" x14ac:dyDescent="0.25">
      <c r="A2154">
        <v>71</v>
      </c>
      <c r="B2154" s="10">
        <v>45852</v>
      </c>
      <c r="C2154">
        <v>14</v>
      </c>
      <c r="D2154" t="s">
        <v>145</v>
      </c>
      <c r="E2154" t="s">
        <v>133</v>
      </c>
      <c r="F2154" t="s">
        <v>22</v>
      </c>
      <c r="G2154" t="s">
        <v>91</v>
      </c>
      <c r="H2154" t="s">
        <v>37</v>
      </c>
      <c r="I2154" t="s">
        <v>160</v>
      </c>
      <c r="J2154" t="s">
        <v>103</v>
      </c>
      <c r="K2154">
        <v>31</v>
      </c>
      <c r="L2154">
        <v>10400</v>
      </c>
      <c r="M2154">
        <v>322400</v>
      </c>
      <c r="N2154" t="s">
        <v>95</v>
      </c>
      <c r="O2154" t="s">
        <v>115</v>
      </c>
    </row>
    <row r="2155" spans="1:15" x14ac:dyDescent="0.25">
      <c r="A2155">
        <v>116</v>
      </c>
      <c r="B2155" s="10">
        <v>45894</v>
      </c>
      <c r="C2155">
        <v>25</v>
      </c>
      <c r="D2155" t="s">
        <v>109</v>
      </c>
      <c r="E2155" t="s">
        <v>31</v>
      </c>
      <c r="F2155" t="s">
        <v>122</v>
      </c>
      <c r="G2155" t="s">
        <v>114</v>
      </c>
      <c r="H2155" t="s">
        <v>29</v>
      </c>
      <c r="I2155" t="s">
        <v>163</v>
      </c>
      <c r="J2155" t="s">
        <v>103</v>
      </c>
      <c r="K2155">
        <v>37</v>
      </c>
      <c r="L2155">
        <v>10400</v>
      </c>
      <c r="M2155">
        <v>384800</v>
      </c>
      <c r="N2155" t="s">
        <v>108</v>
      </c>
      <c r="O2155" t="s">
        <v>115</v>
      </c>
    </row>
    <row r="2156" spans="1:15" x14ac:dyDescent="0.25">
      <c r="A2156">
        <v>166</v>
      </c>
      <c r="B2156" s="10">
        <v>45750</v>
      </c>
      <c r="C2156">
        <v>3</v>
      </c>
      <c r="D2156" t="s">
        <v>105</v>
      </c>
      <c r="E2156" t="s">
        <v>116</v>
      </c>
      <c r="F2156" t="s">
        <v>99</v>
      </c>
      <c r="G2156" t="s">
        <v>100</v>
      </c>
      <c r="H2156" t="s">
        <v>37</v>
      </c>
      <c r="I2156" t="s">
        <v>160</v>
      </c>
      <c r="J2156" t="s">
        <v>103</v>
      </c>
      <c r="K2156">
        <v>5</v>
      </c>
      <c r="L2156">
        <v>10400</v>
      </c>
      <c r="M2156">
        <v>52000</v>
      </c>
      <c r="N2156" t="s">
        <v>95</v>
      </c>
      <c r="O2156" t="s">
        <v>104</v>
      </c>
    </row>
    <row r="2157" spans="1:15" x14ac:dyDescent="0.25">
      <c r="A2157">
        <v>250</v>
      </c>
      <c r="B2157" s="10">
        <v>45878</v>
      </c>
      <c r="C2157">
        <v>9</v>
      </c>
      <c r="D2157" t="s">
        <v>109</v>
      </c>
      <c r="E2157" t="s">
        <v>138</v>
      </c>
      <c r="F2157" t="s">
        <v>144</v>
      </c>
      <c r="G2157" t="s">
        <v>91</v>
      </c>
      <c r="H2157" t="s">
        <v>37</v>
      </c>
      <c r="I2157" t="s">
        <v>160</v>
      </c>
      <c r="J2157" t="s">
        <v>103</v>
      </c>
      <c r="K2157">
        <v>28</v>
      </c>
      <c r="L2157">
        <v>10400</v>
      </c>
      <c r="M2157">
        <v>291200</v>
      </c>
      <c r="N2157" t="s">
        <v>95</v>
      </c>
      <c r="O2157" t="s">
        <v>115</v>
      </c>
    </row>
    <row r="2158" spans="1:15" x14ac:dyDescent="0.25">
      <c r="A2158">
        <v>622</v>
      </c>
      <c r="B2158" s="10">
        <v>45872</v>
      </c>
      <c r="C2158">
        <v>3</v>
      </c>
      <c r="D2158" t="s">
        <v>109</v>
      </c>
      <c r="E2158" t="s">
        <v>161</v>
      </c>
      <c r="F2158" t="s">
        <v>117</v>
      </c>
      <c r="G2158" t="s">
        <v>118</v>
      </c>
      <c r="H2158" t="s">
        <v>37</v>
      </c>
      <c r="I2158" t="s">
        <v>160</v>
      </c>
      <c r="J2158" t="s">
        <v>103</v>
      </c>
      <c r="K2158">
        <v>22</v>
      </c>
      <c r="L2158">
        <v>10400</v>
      </c>
      <c r="M2158">
        <v>228800</v>
      </c>
      <c r="N2158" t="s">
        <v>108</v>
      </c>
      <c r="O2158" t="s">
        <v>104</v>
      </c>
    </row>
    <row r="2159" spans="1:15" x14ac:dyDescent="0.25">
      <c r="A2159">
        <v>721</v>
      </c>
      <c r="B2159" s="10">
        <v>45807</v>
      </c>
      <c r="C2159">
        <v>30</v>
      </c>
      <c r="D2159" t="s">
        <v>120</v>
      </c>
      <c r="E2159" t="s">
        <v>133</v>
      </c>
      <c r="F2159" t="s">
        <v>134</v>
      </c>
      <c r="G2159" t="s">
        <v>100</v>
      </c>
      <c r="H2159" t="s">
        <v>37</v>
      </c>
      <c r="I2159" t="s">
        <v>160</v>
      </c>
      <c r="J2159" t="s">
        <v>103</v>
      </c>
      <c r="K2159">
        <v>15</v>
      </c>
      <c r="L2159">
        <v>10400</v>
      </c>
      <c r="M2159">
        <v>156000</v>
      </c>
      <c r="N2159" t="s">
        <v>108</v>
      </c>
      <c r="O2159" t="s">
        <v>115</v>
      </c>
    </row>
    <row r="2160" spans="1:15" x14ac:dyDescent="0.25">
      <c r="A2160">
        <v>728</v>
      </c>
      <c r="B2160" s="10">
        <v>46022</v>
      </c>
      <c r="C2160">
        <v>31</v>
      </c>
      <c r="D2160" t="s">
        <v>125</v>
      </c>
      <c r="E2160" t="s">
        <v>25</v>
      </c>
      <c r="F2160" t="s">
        <v>134</v>
      </c>
      <c r="G2160" t="s">
        <v>100</v>
      </c>
      <c r="H2160" t="s">
        <v>37</v>
      </c>
      <c r="I2160" t="s">
        <v>160</v>
      </c>
      <c r="J2160" t="s">
        <v>103</v>
      </c>
      <c r="K2160">
        <v>23</v>
      </c>
      <c r="L2160">
        <v>10400</v>
      </c>
      <c r="M2160">
        <v>239200</v>
      </c>
      <c r="N2160" t="s">
        <v>95</v>
      </c>
      <c r="O2160" t="s">
        <v>104</v>
      </c>
    </row>
    <row r="2161" spans="1:15" x14ac:dyDescent="0.25">
      <c r="A2161">
        <v>922</v>
      </c>
      <c r="B2161" s="10">
        <v>45996</v>
      </c>
      <c r="C2161">
        <v>5</v>
      </c>
      <c r="D2161" t="s">
        <v>125</v>
      </c>
      <c r="E2161" t="s">
        <v>112</v>
      </c>
      <c r="F2161" t="s">
        <v>107</v>
      </c>
      <c r="G2161" t="s">
        <v>100</v>
      </c>
      <c r="H2161" t="s">
        <v>131</v>
      </c>
      <c r="I2161" t="s">
        <v>155</v>
      </c>
      <c r="J2161" t="s">
        <v>94</v>
      </c>
      <c r="K2161">
        <v>5</v>
      </c>
      <c r="L2161">
        <v>10400</v>
      </c>
      <c r="M2161">
        <v>52000</v>
      </c>
      <c r="N2161" t="s">
        <v>108</v>
      </c>
      <c r="O2161" t="s">
        <v>115</v>
      </c>
    </row>
    <row r="2162" spans="1:15" x14ac:dyDescent="0.25">
      <c r="A2162">
        <v>928</v>
      </c>
      <c r="B2162" s="10">
        <v>45851</v>
      </c>
      <c r="C2162">
        <v>13</v>
      </c>
      <c r="D2162" t="s">
        <v>145</v>
      </c>
      <c r="E2162" t="s">
        <v>110</v>
      </c>
      <c r="F2162" t="s">
        <v>122</v>
      </c>
      <c r="G2162" t="s">
        <v>114</v>
      </c>
      <c r="H2162" t="s">
        <v>37</v>
      </c>
      <c r="I2162" t="s">
        <v>160</v>
      </c>
      <c r="J2162" t="s">
        <v>103</v>
      </c>
      <c r="K2162">
        <v>8</v>
      </c>
      <c r="L2162">
        <v>10400</v>
      </c>
      <c r="M2162">
        <v>83200</v>
      </c>
      <c r="N2162" t="s">
        <v>95</v>
      </c>
      <c r="O2162" t="s">
        <v>96</v>
      </c>
    </row>
    <row r="2163" spans="1:15" x14ac:dyDescent="0.25">
      <c r="A2163">
        <v>958</v>
      </c>
      <c r="B2163" s="10">
        <v>45765</v>
      </c>
      <c r="C2163">
        <v>18</v>
      </c>
      <c r="D2163" t="s">
        <v>105</v>
      </c>
      <c r="E2163" t="s">
        <v>121</v>
      </c>
      <c r="F2163" t="s">
        <v>144</v>
      </c>
      <c r="G2163" t="s">
        <v>91</v>
      </c>
      <c r="H2163" t="s">
        <v>29</v>
      </c>
      <c r="I2163" t="s">
        <v>163</v>
      </c>
      <c r="J2163" t="s">
        <v>103</v>
      </c>
      <c r="K2163">
        <v>46</v>
      </c>
      <c r="L2163">
        <v>10400</v>
      </c>
      <c r="M2163">
        <v>478400</v>
      </c>
      <c r="N2163" t="s">
        <v>108</v>
      </c>
      <c r="O2163" t="s">
        <v>104</v>
      </c>
    </row>
    <row r="2164" spans="1:15" x14ac:dyDescent="0.25">
      <c r="A2164">
        <v>1026</v>
      </c>
      <c r="B2164" s="10">
        <v>45728</v>
      </c>
      <c r="C2164">
        <v>12</v>
      </c>
      <c r="D2164" t="s">
        <v>140</v>
      </c>
      <c r="E2164" t="s">
        <v>31</v>
      </c>
      <c r="F2164" t="s">
        <v>141</v>
      </c>
      <c r="G2164" t="s">
        <v>100</v>
      </c>
      <c r="H2164" t="s">
        <v>29</v>
      </c>
      <c r="I2164" t="s">
        <v>163</v>
      </c>
      <c r="J2164" t="s">
        <v>103</v>
      </c>
      <c r="K2164">
        <v>5</v>
      </c>
      <c r="L2164">
        <v>10400</v>
      </c>
      <c r="M2164">
        <v>52000</v>
      </c>
      <c r="N2164" t="s">
        <v>95</v>
      </c>
      <c r="O2164" t="s">
        <v>115</v>
      </c>
    </row>
    <row r="2165" spans="1:15" x14ac:dyDescent="0.25">
      <c r="A2165">
        <v>1147</v>
      </c>
      <c r="B2165" s="10">
        <v>45974</v>
      </c>
      <c r="C2165">
        <v>13</v>
      </c>
      <c r="D2165" t="s">
        <v>90</v>
      </c>
      <c r="E2165" t="s">
        <v>161</v>
      </c>
      <c r="F2165" t="s">
        <v>134</v>
      </c>
      <c r="G2165" t="s">
        <v>100</v>
      </c>
      <c r="H2165" t="s">
        <v>131</v>
      </c>
      <c r="I2165" t="s">
        <v>155</v>
      </c>
      <c r="J2165" t="s">
        <v>94</v>
      </c>
      <c r="K2165">
        <v>10</v>
      </c>
      <c r="L2165">
        <v>10400</v>
      </c>
      <c r="M2165">
        <v>104000</v>
      </c>
      <c r="N2165" t="s">
        <v>95</v>
      </c>
      <c r="O2165" t="s">
        <v>115</v>
      </c>
    </row>
    <row r="2166" spans="1:15" x14ac:dyDescent="0.25">
      <c r="A2166">
        <v>1180</v>
      </c>
      <c r="B2166" s="10">
        <v>45904</v>
      </c>
      <c r="C2166">
        <v>4</v>
      </c>
      <c r="D2166" t="s">
        <v>147</v>
      </c>
      <c r="E2166" t="s">
        <v>25</v>
      </c>
      <c r="F2166" t="s">
        <v>117</v>
      </c>
      <c r="G2166" t="s">
        <v>118</v>
      </c>
      <c r="H2166" t="s">
        <v>131</v>
      </c>
      <c r="I2166" t="s">
        <v>155</v>
      </c>
      <c r="J2166" t="s">
        <v>94</v>
      </c>
      <c r="K2166">
        <v>5</v>
      </c>
      <c r="L2166">
        <v>10400</v>
      </c>
      <c r="M2166">
        <v>52000</v>
      </c>
      <c r="N2166" t="s">
        <v>95</v>
      </c>
      <c r="O2166" t="s">
        <v>96</v>
      </c>
    </row>
    <row r="2167" spans="1:15" x14ac:dyDescent="0.25">
      <c r="A2167">
        <v>1222</v>
      </c>
      <c r="B2167" s="10">
        <v>45684</v>
      </c>
      <c r="C2167">
        <v>27</v>
      </c>
      <c r="D2167" t="s">
        <v>130</v>
      </c>
      <c r="E2167" t="s">
        <v>128</v>
      </c>
      <c r="F2167" t="s">
        <v>141</v>
      </c>
      <c r="G2167" t="s">
        <v>100</v>
      </c>
      <c r="H2167" t="s">
        <v>29</v>
      </c>
      <c r="I2167" t="s">
        <v>163</v>
      </c>
      <c r="J2167" t="s">
        <v>103</v>
      </c>
      <c r="K2167">
        <v>24</v>
      </c>
      <c r="L2167">
        <v>10400</v>
      </c>
      <c r="M2167">
        <v>249600</v>
      </c>
      <c r="N2167" t="s">
        <v>95</v>
      </c>
      <c r="O2167" t="s">
        <v>104</v>
      </c>
    </row>
    <row r="2168" spans="1:15" x14ac:dyDescent="0.25">
      <c r="A2168">
        <v>1230</v>
      </c>
      <c r="B2168" s="10">
        <v>45675</v>
      </c>
      <c r="C2168">
        <v>18</v>
      </c>
      <c r="D2168" t="s">
        <v>130</v>
      </c>
      <c r="E2168" t="s">
        <v>31</v>
      </c>
      <c r="F2168" t="s">
        <v>49</v>
      </c>
      <c r="G2168" t="s">
        <v>118</v>
      </c>
      <c r="H2168" t="s">
        <v>131</v>
      </c>
      <c r="I2168" t="s">
        <v>155</v>
      </c>
      <c r="J2168" t="s">
        <v>103</v>
      </c>
      <c r="K2168">
        <v>49</v>
      </c>
      <c r="L2168">
        <v>10400</v>
      </c>
      <c r="M2168">
        <v>509600</v>
      </c>
      <c r="N2168" t="s">
        <v>95</v>
      </c>
      <c r="O2168" t="s">
        <v>96</v>
      </c>
    </row>
    <row r="2169" spans="1:15" x14ac:dyDescent="0.25">
      <c r="A2169">
        <v>1343</v>
      </c>
      <c r="B2169" s="10">
        <v>45705</v>
      </c>
      <c r="C2169">
        <v>17</v>
      </c>
      <c r="D2169" t="s">
        <v>97</v>
      </c>
      <c r="E2169" t="s">
        <v>116</v>
      </c>
      <c r="F2169" t="s">
        <v>22</v>
      </c>
      <c r="G2169" t="s">
        <v>91</v>
      </c>
      <c r="H2169" t="s">
        <v>37</v>
      </c>
      <c r="I2169" t="s">
        <v>160</v>
      </c>
      <c r="J2169" t="s">
        <v>103</v>
      </c>
      <c r="K2169">
        <v>37</v>
      </c>
      <c r="L2169">
        <v>10400</v>
      </c>
      <c r="M2169">
        <v>384800</v>
      </c>
      <c r="N2169" t="s">
        <v>95</v>
      </c>
      <c r="O2169" t="s">
        <v>115</v>
      </c>
    </row>
    <row r="2170" spans="1:15" x14ac:dyDescent="0.25">
      <c r="A2170">
        <v>1533</v>
      </c>
      <c r="B2170" s="10">
        <v>45670</v>
      </c>
      <c r="C2170">
        <v>13</v>
      </c>
      <c r="D2170" t="s">
        <v>130</v>
      </c>
      <c r="E2170" t="s">
        <v>150</v>
      </c>
      <c r="F2170" t="s">
        <v>148</v>
      </c>
      <c r="G2170" t="s">
        <v>118</v>
      </c>
      <c r="H2170" t="s">
        <v>37</v>
      </c>
      <c r="I2170" t="s">
        <v>160</v>
      </c>
      <c r="J2170" t="s">
        <v>103</v>
      </c>
      <c r="K2170">
        <v>46</v>
      </c>
      <c r="L2170">
        <v>10400</v>
      </c>
      <c r="M2170">
        <v>478400</v>
      </c>
      <c r="N2170" t="s">
        <v>108</v>
      </c>
      <c r="O2170" t="s">
        <v>115</v>
      </c>
    </row>
    <row r="2171" spans="1:15" x14ac:dyDescent="0.25">
      <c r="A2171">
        <v>1684</v>
      </c>
      <c r="B2171" s="10">
        <v>45950</v>
      </c>
      <c r="C2171">
        <v>20</v>
      </c>
      <c r="D2171" t="s">
        <v>136</v>
      </c>
      <c r="E2171" t="s">
        <v>116</v>
      </c>
      <c r="F2171" t="s">
        <v>36</v>
      </c>
      <c r="G2171" t="s">
        <v>100</v>
      </c>
      <c r="H2171" t="s">
        <v>29</v>
      </c>
      <c r="I2171" t="s">
        <v>163</v>
      </c>
      <c r="J2171" t="s">
        <v>103</v>
      </c>
      <c r="K2171">
        <v>27</v>
      </c>
      <c r="L2171">
        <v>10400</v>
      </c>
      <c r="M2171">
        <v>280800</v>
      </c>
      <c r="N2171" t="s">
        <v>95</v>
      </c>
      <c r="O2171" t="s">
        <v>115</v>
      </c>
    </row>
    <row r="2172" spans="1:15" x14ac:dyDescent="0.25">
      <c r="A2172">
        <v>1729</v>
      </c>
      <c r="B2172" s="10">
        <v>45847</v>
      </c>
      <c r="C2172">
        <v>9</v>
      </c>
      <c r="D2172" t="s">
        <v>145</v>
      </c>
      <c r="E2172" t="s">
        <v>138</v>
      </c>
      <c r="F2172" t="s">
        <v>44</v>
      </c>
      <c r="G2172" t="s">
        <v>111</v>
      </c>
      <c r="H2172" t="s">
        <v>37</v>
      </c>
      <c r="I2172" t="s">
        <v>160</v>
      </c>
      <c r="J2172" t="s">
        <v>103</v>
      </c>
      <c r="K2172">
        <v>33</v>
      </c>
      <c r="L2172">
        <v>10400</v>
      </c>
      <c r="M2172">
        <v>343200</v>
      </c>
      <c r="N2172" t="s">
        <v>108</v>
      </c>
      <c r="O2172" t="s">
        <v>115</v>
      </c>
    </row>
    <row r="2173" spans="1:15" x14ac:dyDescent="0.25">
      <c r="A2173">
        <v>1923</v>
      </c>
      <c r="B2173" s="10">
        <v>45968</v>
      </c>
      <c r="C2173">
        <v>7</v>
      </c>
      <c r="D2173" t="s">
        <v>90</v>
      </c>
      <c r="E2173" t="s">
        <v>161</v>
      </c>
      <c r="F2173" t="s">
        <v>151</v>
      </c>
      <c r="G2173" t="s">
        <v>111</v>
      </c>
      <c r="H2173" t="s">
        <v>131</v>
      </c>
      <c r="I2173" t="s">
        <v>155</v>
      </c>
      <c r="J2173" t="s">
        <v>94</v>
      </c>
      <c r="K2173">
        <v>8</v>
      </c>
      <c r="L2173">
        <v>10400</v>
      </c>
      <c r="M2173">
        <v>83200</v>
      </c>
      <c r="N2173" t="s">
        <v>95</v>
      </c>
      <c r="O2173" t="s">
        <v>115</v>
      </c>
    </row>
    <row r="2174" spans="1:15" x14ac:dyDescent="0.25">
      <c r="A2174">
        <v>2197</v>
      </c>
      <c r="B2174" s="10">
        <v>45996</v>
      </c>
      <c r="C2174">
        <v>5</v>
      </c>
      <c r="D2174" t="s">
        <v>125</v>
      </c>
      <c r="E2174" t="s">
        <v>116</v>
      </c>
      <c r="F2174" t="s">
        <v>144</v>
      </c>
      <c r="G2174" t="s">
        <v>91</v>
      </c>
      <c r="H2174" t="s">
        <v>29</v>
      </c>
      <c r="I2174" t="s">
        <v>163</v>
      </c>
      <c r="J2174" t="s">
        <v>103</v>
      </c>
      <c r="K2174">
        <v>45</v>
      </c>
      <c r="L2174">
        <v>10400</v>
      </c>
      <c r="M2174">
        <v>468000</v>
      </c>
      <c r="N2174" t="s">
        <v>108</v>
      </c>
      <c r="O2174" t="s">
        <v>104</v>
      </c>
    </row>
    <row r="2175" spans="1:15" x14ac:dyDescent="0.25">
      <c r="A2175">
        <v>2206</v>
      </c>
      <c r="B2175" s="10">
        <v>45737</v>
      </c>
      <c r="C2175">
        <v>21</v>
      </c>
      <c r="D2175" t="s">
        <v>140</v>
      </c>
      <c r="E2175" t="s">
        <v>98</v>
      </c>
      <c r="F2175" t="s">
        <v>28</v>
      </c>
      <c r="G2175" t="s">
        <v>126</v>
      </c>
      <c r="H2175" t="s">
        <v>29</v>
      </c>
      <c r="I2175" t="s">
        <v>163</v>
      </c>
      <c r="J2175" t="s">
        <v>103</v>
      </c>
      <c r="K2175">
        <v>15</v>
      </c>
      <c r="L2175">
        <v>10400</v>
      </c>
      <c r="M2175">
        <v>156000</v>
      </c>
      <c r="N2175" t="s">
        <v>108</v>
      </c>
      <c r="O2175" t="s">
        <v>115</v>
      </c>
    </row>
    <row r="2176" spans="1:15" x14ac:dyDescent="0.25">
      <c r="A2176">
        <v>2526</v>
      </c>
      <c r="B2176" s="10">
        <v>45834</v>
      </c>
      <c r="C2176">
        <v>26</v>
      </c>
      <c r="D2176" t="s">
        <v>153</v>
      </c>
      <c r="E2176" t="s">
        <v>138</v>
      </c>
      <c r="F2176" t="s">
        <v>148</v>
      </c>
      <c r="G2176" t="s">
        <v>118</v>
      </c>
      <c r="H2176" t="s">
        <v>37</v>
      </c>
      <c r="I2176" t="s">
        <v>160</v>
      </c>
      <c r="J2176" t="s">
        <v>103</v>
      </c>
      <c r="K2176">
        <v>12</v>
      </c>
      <c r="L2176">
        <v>10400</v>
      </c>
      <c r="M2176">
        <v>124800</v>
      </c>
      <c r="N2176" t="s">
        <v>108</v>
      </c>
      <c r="O2176" t="s">
        <v>96</v>
      </c>
    </row>
    <row r="2177" spans="1:15" x14ac:dyDescent="0.25">
      <c r="A2177">
        <v>2904</v>
      </c>
      <c r="B2177" s="10">
        <v>45729</v>
      </c>
      <c r="C2177">
        <v>13</v>
      </c>
      <c r="D2177" t="s">
        <v>140</v>
      </c>
      <c r="E2177" t="s">
        <v>98</v>
      </c>
      <c r="F2177" t="s">
        <v>151</v>
      </c>
      <c r="G2177" t="s">
        <v>111</v>
      </c>
      <c r="H2177" t="s">
        <v>29</v>
      </c>
      <c r="I2177" t="s">
        <v>163</v>
      </c>
      <c r="J2177" t="s">
        <v>103</v>
      </c>
      <c r="K2177">
        <v>50</v>
      </c>
      <c r="L2177">
        <v>10400</v>
      </c>
      <c r="M2177">
        <v>520000</v>
      </c>
      <c r="N2177" t="s">
        <v>95</v>
      </c>
      <c r="O2177" t="s">
        <v>115</v>
      </c>
    </row>
    <row r="2178" spans="1:15" x14ac:dyDescent="0.25">
      <c r="A2178">
        <v>3296</v>
      </c>
      <c r="B2178" s="10">
        <v>45886</v>
      </c>
      <c r="C2178">
        <v>17</v>
      </c>
      <c r="D2178" t="s">
        <v>109</v>
      </c>
      <c r="E2178" t="s">
        <v>25</v>
      </c>
      <c r="F2178" t="s">
        <v>117</v>
      </c>
      <c r="G2178" t="s">
        <v>118</v>
      </c>
      <c r="H2178" t="s">
        <v>131</v>
      </c>
      <c r="I2178" t="s">
        <v>155</v>
      </c>
      <c r="J2178" t="s">
        <v>94</v>
      </c>
      <c r="K2178">
        <v>2</v>
      </c>
      <c r="L2178">
        <v>10400</v>
      </c>
      <c r="M2178">
        <v>20800</v>
      </c>
      <c r="N2178" t="s">
        <v>95</v>
      </c>
      <c r="O2178" t="s">
        <v>96</v>
      </c>
    </row>
    <row r="2179" spans="1:15" x14ac:dyDescent="0.25">
      <c r="A2179">
        <v>3326</v>
      </c>
      <c r="B2179" s="10">
        <v>45882</v>
      </c>
      <c r="C2179">
        <v>13</v>
      </c>
      <c r="D2179" t="s">
        <v>109</v>
      </c>
      <c r="E2179" t="s">
        <v>142</v>
      </c>
      <c r="F2179" t="s">
        <v>107</v>
      </c>
      <c r="G2179" t="s">
        <v>100</v>
      </c>
      <c r="H2179" t="s">
        <v>29</v>
      </c>
      <c r="I2179" t="s">
        <v>163</v>
      </c>
      <c r="J2179" t="s">
        <v>103</v>
      </c>
      <c r="K2179">
        <v>27</v>
      </c>
      <c r="L2179">
        <v>10400</v>
      </c>
      <c r="M2179">
        <v>280800</v>
      </c>
      <c r="N2179" t="s">
        <v>95</v>
      </c>
      <c r="O2179" t="s">
        <v>104</v>
      </c>
    </row>
    <row r="2180" spans="1:15" x14ac:dyDescent="0.25">
      <c r="A2180">
        <v>3651</v>
      </c>
      <c r="B2180" s="10">
        <v>45793</v>
      </c>
      <c r="C2180">
        <v>16</v>
      </c>
      <c r="D2180" t="s">
        <v>120</v>
      </c>
      <c r="E2180" t="s">
        <v>112</v>
      </c>
      <c r="F2180" t="s">
        <v>122</v>
      </c>
      <c r="G2180" t="s">
        <v>114</v>
      </c>
      <c r="H2180" t="s">
        <v>37</v>
      </c>
      <c r="I2180" t="s">
        <v>160</v>
      </c>
      <c r="J2180" t="s">
        <v>103</v>
      </c>
      <c r="K2180">
        <v>28</v>
      </c>
      <c r="L2180">
        <v>10400</v>
      </c>
      <c r="M2180">
        <v>291200</v>
      </c>
      <c r="N2180" t="s">
        <v>108</v>
      </c>
      <c r="O2180" t="s">
        <v>96</v>
      </c>
    </row>
    <row r="2181" spans="1:15" x14ac:dyDescent="0.25">
      <c r="A2181">
        <v>4506</v>
      </c>
      <c r="B2181" s="10">
        <v>45860</v>
      </c>
      <c r="C2181">
        <v>22</v>
      </c>
      <c r="D2181" t="s">
        <v>145</v>
      </c>
      <c r="E2181" t="s">
        <v>150</v>
      </c>
      <c r="F2181" t="s">
        <v>134</v>
      </c>
      <c r="G2181" t="s">
        <v>100</v>
      </c>
      <c r="H2181" t="s">
        <v>29</v>
      </c>
      <c r="I2181" t="s">
        <v>163</v>
      </c>
      <c r="J2181" t="s">
        <v>103</v>
      </c>
      <c r="K2181">
        <v>48</v>
      </c>
      <c r="L2181">
        <v>10400</v>
      </c>
      <c r="M2181">
        <v>499200</v>
      </c>
      <c r="N2181" t="s">
        <v>108</v>
      </c>
      <c r="O2181" t="s">
        <v>104</v>
      </c>
    </row>
    <row r="2182" spans="1:15" x14ac:dyDescent="0.25">
      <c r="A2182">
        <v>4744</v>
      </c>
      <c r="B2182" s="10">
        <v>45985</v>
      </c>
      <c r="C2182">
        <v>24</v>
      </c>
      <c r="D2182" t="s">
        <v>90</v>
      </c>
      <c r="E2182" t="s">
        <v>110</v>
      </c>
      <c r="F2182" t="s">
        <v>28</v>
      </c>
      <c r="G2182" t="s">
        <v>126</v>
      </c>
      <c r="H2182" t="s">
        <v>29</v>
      </c>
      <c r="I2182" t="s">
        <v>163</v>
      </c>
      <c r="J2182" t="s">
        <v>103</v>
      </c>
      <c r="K2182">
        <v>12</v>
      </c>
      <c r="L2182">
        <v>10400</v>
      </c>
      <c r="M2182">
        <v>124800</v>
      </c>
      <c r="N2182" t="s">
        <v>95</v>
      </c>
      <c r="O2182" t="s">
        <v>96</v>
      </c>
    </row>
    <row r="2183" spans="1:15" x14ac:dyDescent="0.25">
      <c r="A2183">
        <v>4973</v>
      </c>
      <c r="B2183" s="10">
        <v>45799</v>
      </c>
      <c r="C2183">
        <v>22</v>
      </c>
      <c r="D2183" t="s">
        <v>120</v>
      </c>
      <c r="E2183" t="s">
        <v>25</v>
      </c>
      <c r="F2183" t="s">
        <v>22</v>
      </c>
      <c r="G2183" t="s">
        <v>91</v>
      </c>
      <c r="H2183" t="s">
        <v>131</v>
      </c>
      <c r="I2183" t="s">
        <v>155</v>
      </c>
      <c r="J2183" t="s">
        <v>94</v>
      </c>
      <c r="K2183">
        <v>5</v>
      </c>
      <c r="L2183">
        <v>10400</v>
      </c>
      <c r="M2183">
        <v>52000</v>
      </c>
      <c r="N2183" t="s">
        <v>108</v>
      </c>
      <c r="O2183" t="s">
        <v>115</v>
      </c>
    </row>
    <row r="2184" spans="1:15" x14ac:dyDescent="0.25">
      <c r="A2184">
        <v>207</v>
      </c>
      <c r="B2184" s="10">
        <v>45812</v>
      </c>
      <c r="C2184">
        <v>4</v>
      </c>
      <c r="D2184" t="s">
        <v>153</v>
      </c>
      <c r="E2184" t="s">
        <v>31</v>
      </c>
      <c r="F2184" t="s">
        <v>22</v>
      </c>
      <c r="G2184" t="s">
        <v>91</v>
      </c>
      <c r="H2184" t="s">
        <v>29</v>
      </c>
      <c r="I2184" t="s">
        <v>163</v>
      </c>
      <c r="J2184" t="s">
        <v>103</v>
      </c>
      <c r="K2184">
        <v>9</v>
      </c>
      <c r="L2184">
        <v>10500</v>
      </c>
      <c r="M2184">
        <v>94500</v>
      </c>
      <c r="N2184" t="s">
        <v>95</v>
      </c>
      <c r="O2184" t="s">
        <v>115</v>
      </c>
    </row>
    <row r="2185" spans="1:15" x14ac:dyDescent="0.25">
      <c r="A2185">
        <v>261</v>
      </c>
      <c r="B2185" s="10">
        <v>45869</v>
      </c>
      <c r="C2185">
        <v>31</v>
      </c>
      <c r="D2185" t="s">
        <v>145</v>
      </c>
      <c r="E2185" t="s">
        <v>161</v>
      </c>
      <c r="F2185" t="s">
        <v>49</v>
      </c>
      <c r="G2185" t="s">
        <v>118</v>
      </c>
      <c r="H2185" t="s">
        <v>131</v>
      </c>
      <c r="I2185" t="s">
        <v>155</v>
      </c>
      <c r="J2185" t="s">
        <v>94</v>
      </c>
      <c r="K2185">
        <v>3</v>
      </c>
      <c r="L2185">
        <v>10500</v>
      </c>
      <c r="M2185">
        <v>31500</v>
      </c>
      <c r="N2185" t="s">
        <v>95</v>
      </c>
      <c r="O2185" t="s">
        <v>96</v>
      </c>
    </row>
    <row r="2186" spans="1:15" x14ac:dyDescent="0.25">
      <c r="A2186">
        <v>522</v>
      </c>
      <c r="B2186" s="10">
        <v>45771</v>
      </c>
      <c r="C2186">
        <v>24</v>
      </c>
      <c r="D2186" t="s">
        <v>105</v>
      </c>
      <c r="E2186" t="s">
        <v>25</v>
      </c>
      <c r="F2186" t="s">
        <v>113</v>
      </c>
      <c r="G2186" t="s">
        <v>114</v>
      </c>
      <c r="H2186" t="s">
        <v>37</v>
      </c>
      <c r="I2186" t="s">
        <v>160</v>
      </c>
      <c r="J2186" t="s">
        <v>103</v>
      </c>
      <c r="K2186">
        <v>49</v>
      </c>
      <c r="L2186">
        <v>10500</v>
      </c>
      <c r="M2186">
        <v>514500</v>
      </c>
      <c r="N2186" t="s">
        <v>95</v>
      </c>
      <c r="O2186" t="s">
        <v>104</v>
      </c>
    </row>
    <row r="2187" spans="1:15" x14ac:dyDescent="0.25">
      <c r="A2187">
        <v>869</v>
      </c>
      <c r="B2187" s="10">
        <v>45745</v>
      </c>
      <c r="C2187">
        <v>29</v>
      </c>
      <c r="D2187" t="s">
        <v>140</v>
      </c>
      <c r="E2187" t="s">
        <v>112</v>
      </c>
      <c r="F2187" t="s">
        <v>44</v>
      </c>
      <c r="G2187" t="s">
        <v>111</v>
      </c>
      <c r="H2187" t="s">
        <v>29</v>
      </c>
      <c r="I2187" t="s">
        <v>163</v>
      </c>
      <c r="J2187" t="s">
        <v>103</v>
      </c>
      <c r="K2187">
        <v>23</v>
      </c>
      <c r="L2187">
        <v>10500</v>
      </c>
      <c r="M2187">
        <v>241500</v>
      </c>
      <c r="N2187" t="s">
        <v>95</v>
      </c>
      <c r="O2187" t="s">
        <v>104</v>
      </c>
    </row>
    <row r="2188" spans="1:15" x14ac:dyDescent="0.25">
      <c r="A2188">
        <v>896</v>
      </c>
      <c r="B2188" s="10">
        <v>45743</v>
      </c>
      <c r="C2188">
        <v>27</v>
      </c>
      <c r="D2188" t="s">
        <v>140</v>
      </c>
      <c r="E2188" t="s">
        <v>137</v>
      </c>
      <c r="F2188" t="s">
        <v>113</v>
      </c>
      <c r="G2188" t="s">
        <v>114</v>
      </c>
      <c r="H2188" t="s">
        <v>37</v>
      </c>
      <c r="I2188" t="s">
        <v>160</v>
      </c>
      <c r="J2188" t="s">
        <v>103</v>
      </c>
      <c r="K2188">
        <v>48</v>
      </c>
      <c r="L2188">
        <v>10500</v>
      </c>
      <c r="M2188">
        <v>504000</v>
      </c>
      <c r="N2188" t="s">
        <v>108</v>
      </c>
      <c r="O2188" t="s">
        <v>104</v>
      </c>
    </row>
    <row r="2189" spans="1:15" x14ac:dyDescent="0.25">
      <c r="A2189">
        <v>1008</v>
      </c>
      <c r="B2189" s="10">
        <v>45812</v>
      </c>
      <c r="C2189">
        <v>4</v>
      </c>
      <c r="D2189" t="s">
        <v>153</v>
      </c>
      <c r="E2189" t="s">
        <v>112</v>
      </c>
      <c r="F2189" t="s">
        <v>151</v>
      </c>
      <c r="G2189" t="s">
        <v>111</v>
      </c>
      <c r="H2189" t="s">
        <v>29</v>
      </c>
      <c r="I2189" t="s">
        <v>163</v>
      </c>
      <c r="J2189" t="s">
        <v>103</v>
      </c>
      <c r="K2189">
        <v>6</v>
      </c>
      <c r="L2189">
        <v>10500</v>
      </c>
      <c r="M2189">
        <v>63000</v>
      </c>
      <c r="N2189" t="s">
        <v>95</v>
      </c>
      <c r="O2189" t="s">
        <v>104</v>
      </c>
    </row>
    <row r="2190" spans="1:15" x14ac:dyDescent="0.25">
      <c r="A2190">
        <v>1522</v>
      </c>
      <c r="B2190" s="10">
        <v>45785</v>
      </c>
      <c r="C2190">
        <v>8</v>
      </c>
      <c r="D2190" t="s">
        <v>120</v>
      </c>
      <c r="E2190" t="s">
        <v>112</v>
      </c>
      <c r="F2190" t="s">
        <v>107</v>
      </c>
      <c r="G2190" t="s">
        <v>100</v>
      </c>
      <c r="H2190" t="s">
        <v>37</v>
      </c>
      <c r="I2190" t="s">
        <v>160</v>
      </c>
      <c r="J2190" t="s">
        <v>103</v>
      </c>
      <c r="K2190">
        <v>7</v>
      </c>
      <c r="L2190">
        <v>10500</v>
      </c>
      <c r="M2190">
        <v>73500</v>
      </c>
      <c r="N2190" t="s">
        <v>108</v>
      </c>
      <c r="O2190" t="s">
        <v>115</v>
      </c>
    </row>
    <row r="2191" spans="1:15" x14ac:dyDescent="0.25">
      <c r="A2191">
        <v>1721</v>
      </c>
      <c r="B2191" s="10">
        <v>45917</v>
      </c>
      <c r="C2191">
        <v>17</v>
      </c>
      <c r="D2191" t="s">
        <v>147</v>
      </c>
      <c r="E2191" t="s">
        <v>133</v>
      </c>
      <c r="F2191" t="s">
        <v>107</v>
      </c>
      <c r="G2191" t="s">
        <v>100</v>
      </c>
      <c r="H2191" t="s">
        <v>37</v>
      </c>
      <c r="I2191" t="s">
        <v>160</v>
      </c>
      <c r="J2191" t="s">
        <v>103</v>
      </c>
      <c r="K2191">
        <v>39</v>
      </c>
      <c r="L2191">
        <v>10500</v>
      </c>
      <c r="M2191">
        <v>409500</v>
      </c>
      <c r="N2191" t="s">
        <v>95</v>
      </c>
      <c r="O2191" t="s">
        <v>115</v>
      </c>
    </row>
    <row r="2192" spans="1:15" x14ac:dyDescent="0.25">
      <c r="A2192">
        <v>2277</v>
      </c>
      <c r="B2192" s="10">
        <v>45931</v>
      </c>
      <c r="C2192">
        <v>1</v>
      </c>
      <c r="D2192" t="s">
        <v>136</v>
      </c>
      <c r="E2192" t="s">
        <v>31</v>
      </c>
      <c r="F2192" t="s">
        <v>144</v>
      </c>
      <c r="G2192" t="s">
        <v>91</v>
      </c>
      <c r="H2192" t="s">
        <v>29</v>
      </c>
      <c r="I2192" t="s">
        <v>163</v>
      </c>
      <c r="J2192" t="s">
        <v>103</v>
      </c>
      <c r="K2192">
        <v>47</v>
      </c>
      <c r="L2192">
        <v>10500</v>
      </c>
      <c r="M2192">
        <v>493500</v>
      </c>
      <c r="N2192" t="s">
        <v>95</v>
      </c>
      <c r="O2192" t="s">
        <v>104</v>
      </c>
    </row>
    <row r="2193" spans="1:15" x14ac:dyDescent="0.25">
      <c r="A2193">
        <v>2337</v>
      </c>
      <c r="B2193" s="10">
        <v>45837</v>
      </c>
      <c r="C2193">
        <v>29</v>
      </c>
      <c r="D2193" t="s">
        <v>153</v>
      </c>
      <c r="E2193" t="s">
        <v>133</v>
      </c>
      <c r="F2193" t="s">
        <v>151</v>
      </c>
      <c r="G2193" t="s">
        <v>111</v>
      </c>
      <c r="H2193" t="s">
        <v>37</v>
      </c>
      <c r="I2193" t="s">
        <v>160</v>
      </c>
      <c r="J2193" t="s">
        <v>103</v>
      </c>
      <c r="K2193">
        <v>40</v>
      </c>
      <c r="L2193">
        <v>10500</v>
      </c>
      <c r="M2193">
        <v>420000</v>
      </c>
      <c r="N2193" t="s">
        <v>108</v>
      </c>
      <c r="O2193" t="s">
        <v>115</v>
      </c>
    </row>
    <row r="2194" spans="1:15" x14ac:dyDescent="0.25">
      <c r="A2194">
        <v>2348</v>
      </c>
      <c r="B2194" s="10">
        <v>45717</v>
      </c>
      <c r="C2194">
        <v>1</v>
      </c>
      <c r="D2194" t="s">
        <v>140</v>
      </c>
      <c r="E2194" t="s">
        <v>138</v>
      </c>
      <c r="F2194" t="s">
        <v>144</v>
      </c>
      <c r="G2194" t="s">
        <v>91</v>
      </c>
      <c r="H2194" t="s">
        <v>131</v>
      </c>
      <c r="I2194" t="s">
        <v>155</v>
      </c>
      <c r="J2194" t="s">
        <v>94</v>
      </c>
      <c r="K2194">
        <v>3</v>
      </c>
      <c r="L2194">
        <v>10500</v>
      </c>
      <c r="M2194">
        <v>31500</v>
      </c>
      <c r="N2194" t="s">
        <v>95</v>
      </c>
      <c r="O2194" t="s">
        <v>115</v>
      </c>
    </row>
    <row r="2195" spans="1:15" x14ac:dyDescent="0.25">
      <c r="A2195">
        <v>2431</v>
      </c>
      <c r="B2195" s="10">
        <v>45866</v>
      </c>
      <c r="C2195">
        <v>28</v>
      </c>
      <c r="D2195" t="s">
        <v>145</v>
      </c>
      <c r="E2195" t="s">
        <v>31</v>
      </c>
      <c r="F2195" t="s">
        <v>49</v>
      </c>
      <c r="G2195" t="s">
        <v>118</v>
      </c>
      <c r="H2195" t="s">
        <v>29</v>
      </c>
      <c r="I2195" t="s">
        <v>163</v>
      </c>
      <c r="J2195" t="s">
        <v>103</v>
      </c>
      <c r="K2195">
        <v>5</v>
      </c>
      <c r="L2195">
        <v>10500</v>
      </c>
      <c r="M2195">
        <v>52500</v>
      </c>
      <c r="N2195" t="s">
        <v>108</v>
      </c>
      <c r="O2195" t="s">
        <v>104</v>
      </c>
    </row>
    <row r="2196" spans="1:15" x14ac:dyDescent="0.25">
      <c r="A2196">
        <v>2669</v>
      </c>
      <c r="B2196" s="10">
        <v>45947</v>
      </c>
      <c r="C2196">
        <v>17</v>
      </c>
      <c r="D2196" t="s">
        <v>136</v>
      </c>
      <c r="E2196" t="s">
        <v>142</v>
      </c>
      <c r="F2196" t="s">
        <v>148</v>
      </c>
      <c r="G2196" t="s">
        <v>118</v>
      </c>
      <c r="H2196" t="s">
        <v>29</v>
      </c>
      <c r="I2196" t="s">
        <v>163</v>
      </c>
      <c r="J2196" t="s">
        <v>103</v>
      </c>
      <c r="K2196">
        <v>10</v>
      </c>
      <c r="L2196">
        <v>10500</v>
      </c>
      <c r="M2196">
        <v>105000</v>
      </c>
      <c r="N2196" t="s">
        <v>95</v>
      </c>
      <c r="O2196" t="s">
        <v>96</v>
      </c>
    </row>
    <row r="2197" spans="1:15" x14ac:dyDescent="0.25">
      <c r="A2197">
        <v>2672</v>
      </c>
      <c r="B2197" s="10">
        <v>45714</v>
      </c>
      <c r="C2197">
        <v>26</v>
      </c>
      <c r="D2197" t="s">
        <v>97</v>
      </c>
      <c r="E2197" t="s">
        <v>138</v>
      </c>
      <c r="F2197" t="s">
        <v>107</v>
      </c>
      <c r="G2197" t="s">
        <v>100</v>
      </c>
      <c r="H2197" t="s">
        <v>29</v>
      </c>
      <c r="I2197" t="s">
        <v>163</v>
      </c>
      <c r="J2197" t="s">
        <v>103</v>
      </c>
      <c r="K2197">
        <v>48</v>
      </c>
      <c r="L2197">
        <v>10500</v>
      </c>
      <c r="M2197">
        <v>504000</v>
      </c>
      <c r="N2197" t="s">
        <v>95</v>
      </c>
      <c r="O2197" t="s">
        <v>115</v>
      </c>
    </row>
    <row r="2198" spans="1:15" x14ac:dyDescent="0.25">
      <c r="A2198">
        <v>2986</v>
      </c>
      <c r="B2198" s="10">
        <v>45786</v>
      </c>
      <c r="C2198">
        <v>9</v>
      </c>
      <c r="D2198" t="s">
        <v>120</v>
      </c>
      <c r="E2198" t="s">
        <v>138</v>
      </c>
      <c r="F2198" t="s">
        <v>22</v>
      </c>
      <c r="G2198" t="s">
        <v>91</v>
      </c>
      <c r="H2198" t="s">
        <v>131</v>
      </c>
      <c r="I2198" t="s">
        <v>155</v>
      </c>
      <c r="J2198" t="s">
        <v>94</v>
      </c>
      <c r="K2198">
        <v>3</v>
      </c>
      <c r="L2198">
        <v>10500</v>
      </c>
      <c r="M2198">
        <v>31500</v>
      </c>
      <c r="N2198" t="s">
        <v>108</v>
      </c>
      <c r="O2198" t="s">
        <v>104</v>
      </c>
    </row>
    <row r="2199" spans="1:15" x14ac:dyDescent="0.25">
      <c r="A2199">
        <v>3253</v>
      </c>
      <c r="B2199" s="10">
        <v>45712</v>
      </c>
      <c r="C2199">
        <v>24</v>
      </c>
      <c r="D2199" t="s">
        <v>97</v>
      </c>
      <c r="E2199" t="s">
        <v>138</v>
      </c>
      <c r="F2199" t="s">
        <v>36</v>
      </c>
      <c r="G2199" t="s">
        <v>100</v>
      </c>
      <c r="H2199" t="s">
        <v>37</v>
      </c>
      <c r="I2199" t="s">
        <v>160</v>
      </c>
      <c r="J2199" t="s">
        <v>103</v>
      </c>
      <c r="K2199">
        <v>9</v>
      </c>
      <c r="L2199">
        <v>10500</v>
      </c>
      <c r="M2199">
        <v>94500</v>
      </c>
      <c r="N2199" t="s">
        <v>108</v>
      </c>
      <c r="O2199" t="s">
        <v>115</v>
      </c>
    </row>
    <row r="2200" spans="1:15" x14ac:dyDescent="0.25">
      <c r="A2200">
        <v>3406</v>
      </c>
      <c r="B2200" s="10">
        <v>45997</v>
      </c>
      <c r="C2200">
        <v>6</v>
      </c>
      <c r="D2200" t="s">
        <v>125</v>
      </c>
      <c r="E2200" t="s">
        <v>142</v>
      </c>
      <c r="F2200" t="s">
        <v>122</v>
      </c>
      <c r="G2200" t="s">
        <v>114</v>
      </c>
      <c r="H2200" t="s">
        <v>29</v>
      </c>
      <c r="I2200" t="s">
        <v>163</v>
      </c>
      <c r="J2200" t="s">
        <v>94</v>
      </c>
      <c r="K2200">
        <v>7</v>
      </c>
      <c r="L2200">
        <v>10500</v>
      </c>
      <c r="M2200">
        <v>73500</v>
      </c>
      <c r="N2200" t="s">
        <v>108</v>
      </c>
      <c r="O2200" t="s">
        <v>115</v>
      </c>
    </row>
    <row r="2201" spans="1:15" x14ac:dyDescent="0.25">
      <c r="A2201">
        <v>3407</v>
      </c>
      <c r="B2201" s="10">
        <v>45830</v>
      </c>
      <c r="C2201">
        <v>22</v>
      </c>
      <c r="D2201" t="s">
        <v>153</v>
      </c>
      <c r="E2201" t="s">
        <v>138</v>
      </c>
      <c r="F2201" t="s">
        <v>113</v>
      </c>
      <c r="G2201" t="s">
        <v>114</v>
      </c>
      <c r="H2201" t="s">
        <v>29</v>
      </c>
      <c r="I2201" t="s">
        <v>163</v>
      </c>
      <c r="J2201" t="s">
        <v>103</v>
      </c>
      <c r="K2201">
        <v>9</v>
      </c>
      <c r="L2201">
        <v>10500</v>
      </c>
      <c r="M2201">
        <v>94500</v>
      </c>
      <c r="N2201" t="s">
        <v>95</v>
      </c>
      <c r="O2201" t="s">
        <v>104</v>
      </c>
    </row>
    <row r="2202" spans="1:15" x14ac:dyDescent="0.25">
      <c r="A2202">
        <v>3597</v>
      </c>
      <c r="B2202" s="10">
        <v>45747</v>
      </c>
      <c r="C2202">
        <v>31</v>
      </c>
      <c r="D2202" t="s">
        <v>140</v>
      </c>
      <c r="E2202" t="s">
        <v>137</v>
      </c>
      <c r="F2202" t="s">
        <v>44</v>
      </c>
      <c r="G2202" t="s">
        <v>111</v>
      </c>
      <c r="H2202" t="s">
        <v>131</v>
      </c>
      <c r="I2202" t="s">
        <v>155</v>
      </c>
      <c r="J2202" t="s">
        <v>94</v>
      </c>
      <c r="K2202">
        <v>1</v>
      </c>
      <c r="L2202">
        <v>10500</v>
      </c>
      <c r="M2202">
        <v>10500</v>
      </c>
      <c r="N2202" t="s">
        <v>95</v>
      </c>
      <c r="O2202" t="s">
        <v>115</v>
      </c>
    </row>
    <row r="2203" spans="1:15" x14ac:dyDescent="0.25">
      <c r="A2203">
        <v>3742</v>
      </c>
      <c r="B2203" s="10">
        <v>45915</v>
      </c>
      <c r="C2203">
        <v>15</v>
      </c>
      <c r="D2203" t="s">
        <v>147</v>
      </c>
      <c r="E2203" t="s">
        <v>121</v>
      </c>
      <c r="F2203" t="s">
        <v>113</v>
      </c>
      <c r="G2203" t="s">
        <v>114</v>
      </c>
      <c r="H2203" t="s">
        <v>29</v>
      </c>
      <c r="I2203" t="s">
        <v>163</v>
      </c>
      <c r="J2203" t="s">
        <v>103</v>
      </c>
      <c r="K2203">
        <v>27</v>
      </c>
      <c r="L2203">
        <v>10500</v>
      </c>
      <c r="M2203">
        <v>283500</v>
      </c>
      <c r="N2203" t="s">
        <v>108</v>
      </c>
      <c r="O2203" t="s">
        <v>115</v>
      </c>
    </row>
    <row r="2204" spans="1:15" x14ac:dyDescent="0.25">
      <c r="A2204">
        <v>4013</v>
      </c>
      <c r="B2204" s="10">
        <v>45841</v>
      </c>
      <c r="C2204">
        <v>3</v>
      </c>
      <c r="D2204" t="s">
        <v>145</v>
      </c>
      <c r="E2204" t="s">
        <v>133</v>
      </c>
      <c r="F2204" t="s">
        <v>28</v>
      </c>
      <c r="G2204" t="s">
        <v>126</v>
      </c>
      <c r="H2204" t="s">
        <v>131</v>
      </c>
      <c r="I2204" t="s">
        <v>155</v>
      </c>
      <c r="J2204" t="s">
        <v>94</v>
      </c>
      <c r="K2204">
        <v>3</v>
      </c>
      <c r="L2204">
        <v>10500</v>
      </c>
      <c r="M2204">
        <v>31500</v>
      </c>
      <c r="N2204" t="s">
        <v>95</v>
      </c>
      <c r="O2204" t="s">
        <v>115</v>
      </c>
    </row>
    <row r="2205" spans="1:15" x14ac:dyDescent="0.25">
      <c r="A2205">
        <v>4071</v>
      </c>
      <c r="B2205" s="10">
        <v>45795</v>
      </c>
      <c r="C2205">
        <v>18</v>
      </c>
      <c r="D2205" t="s">
        <v>120</v>
      </c>
      <c r="E2205" t="s">
        <v>25</v>
      </c>
      <c r="F2205" t="s">
        <v>49</v>
      </c>
      <c r="G2205" t="s">
        <v>118</v>
      </c>
      <c r="H2205" t="s">
        <v>29</v>
      </c>
      <c r="I2205" t="s">
        <v>163</v>
      </c>
      <c r="J2205" t="s">
        <v>103</v>
      </c>
      <c r="K2205">
        <v>21</v>
      </c>
      <c r="L2205">
        <v>10500</v>
      </c>
      <c r="M2205">
        <v>220500</v>
      </c>
      <c r="N2205" t="s">
        <v>108</v>
      </c>
      <c r="O2205" t="s">
        <v>104</v>
      </c>
    </row>
    <row r="2206" spans="1:15" x14ac:dyDescent="0.25">
      <c r="A2206">
        <v>4303</v>
      </c>
      <c r="B2206" s="10">
        <v>45873</v>
      </c>
      <c r="C2206">
        <v>4</v>
      </c>
      <c r="D2206" t="s">
        <v>109</v>
      </c>
      <c r="E2206" t="s">
        <v>116</v>
      </c>
      <c r="F2206" t="s">
        <v>22</v>
      </c>
      <c r="G2206" t="s">
        <v>91</v>
      </c>
      <c r="H2206" t="s">
        <v>131</v>
      </c>
      <c r="I2206" t="s">
        <v>155</v>
      </c>
      <c r="J2206" t="s">
        <v>94</v>
      </c>
      <c r="K2206">
        <v>9</v>
      </c>
      <c r="L2206">
        <v>10500</v>
      </c>
      <c r="M2206">
        <v>94500</v>
      </c>
      <c r="N2206" t="s">
        <v>108</v>
      </c>
      <c r="O2206" t="s">
        <v>104</v>
      </c>
    </row>
    <row r="2207" spans="1:15" x14ac:dyDescent="0.25">
      <c r="A2207">
        <v>4376</v>
      </c>
      <c r="B2207" s="10">
        <v>45665</v>
      </c>
      <c r="C2207">
        <v>8</v>
      </c>
      <c r="D2207" t="s">
        <v>130</v>
      </c>
      <c r="E2207" t="s">
        <v>161</v>
      </c>
      <c r="F2207" t="s">
        <v>134</v>
      </c>
      <c r="G2207" t="s">
        <v>100</v>
      </c>
      <c r="H2207" t="s">
        <v>29</v>
      </c>
      <c r="I2207" t="s">
        <v>163</v>
      </c>
      <c r="J2207" t="s">
        <v>103</v>
      </c>
      <c r="K2207">
        <v>50</v>
      </c>
      <c r="L2207">
        <v>10500</v>
      </c>
      <c r="M2207">
        <v>525000</v>
      </c>
      <c r="N2207" t="s">
        <v>108</v>
      </c>
      <c r="O2207" t="s">
        <v>96</v>
      </c>
    </row>
    <row r="2208" spans="1:15" x14ac:dyDescent="0.25">
      <c r="A2208">
        <v>4416</v>
      </c>
      <c r="B2208" s="10">
        <v>45841</v>
      </c>
      <c r="C2208">
        <v>3</v>
      </c>
      <c r="D2208" t="s">
        <v>145</v>
      </c>
      <c r="E2208" t="s">
        <v>121</v>
      </c>
      <c r="F2208" t="s">
        <v>141</v>
      </c>
      <c r="G2208" t="s">
        <v>100</v>
      </c>
      <c r="H2208" t="s">
        <v>29</v>
      </c>
      <c r="I2208" t="s">
        <v>163</v>
      </c>
      <c r="J2208" t="s">
        <v>103</v>
      </c>
      <c r="K2208">
        <v>43</v>
      </c>
      <c r="L2208">
        <v>10500</v>
      </c>
      <c r="M2208">
        <v>451500</v>
      </c>
      <c r="N2208" t="s">
        <v>95</v>
      </c>
      <c r="O2208" t="s">
        <v>104</v>
      </c>
    </row>
    <row r="2209" spans="1:15" x14ac:dyDescent="0.25">
      <c r="A2209">
        <v>4762</v>
      </c>
      <c r="B2209" s="10">
        <v>45692</v>
      </c>
      <c r="C2209">
        <v>4</v>
      </c>
      <c r="D2209" t="s">
        <v>97</v>
      </c>
      <c r="E2209" t="s">
        <v>25</v>
      </c>
      <c r="F2209" t="s">
        <v>44</v>
      </c>
      <c r="G2209" t="s">
        <v>111</v>
      </c>
      <c r="H2209" t="s">
        <v>29</v>
      </c>
      <c r="I2209" t="s">
        <v>163</v>
      </c>
      <c r="J2209" t="s">
        <v>103</v>
      </c>
      <c r="K2209">
        <v>21</v>
      </c>
      <c r="L2209">
        <v>10500</v>
      </c>
      <c r="M2209">
        <v>220500</v>
      </c>
      <c r="N2209" t="s">
        <v>95</v>
      </c>
      <c r="O2209" t="s">
        <v>115</v>
      </c>
    </row>
    <row r="2210" spans="1:15" x14ac:dyDescent="0.25">
      <c r="A2210">
        <v>411</v>
      </c>
      <c r="B2210" s="10">
        <v>45997</v>
      </c>
      <c r="C2210">
        <v>6</v>
      </c>
      <c r="D2210" t="s">
        <v>125</v>
      </c>
      <c r="E2210" t="s">
        <v>138</v>
      </c>
      <c r="F2210" t="s">
        <v>49</v>
      </c>
      <c r="G2210" t="s">
        <v>118</v>
      </c>
      <c r="H2210" t="s">
        <v>37</v>
      </c>
      <c r="I2210" t="s">
        <v>160</v>
      </c>
      <c r="J2210" t="s">
        <v>103</v>
      </c>
      <c r="K2210">
        <v>30</v>
      </c>
      <c r="L2210">
        <v>10600</v>
      </c>
      <c r="M2210">
        <v>318000</v>
      </c>
      <c r="N2210" t="s">
        <v>108</v>
      </c>
      <c r="O2210" t="s">
        <v>115</v>
      </c>
    </row>
    <row r="2211" spans="1:15" x14ac:dyDescent="0.25">
      <c r="A2211">
        <v>487</v>
      </c>
      <c r="B2211" s="10">
        <v>45728</v>
      </c>
      <c r="C2211">
        <v>12</v>
      </c>
      <c r="D2211" t="s">
        <v>140</v>
      </c>
      <c r="E2211" t="s">
        <v>106</v>
      </c>
      <c r="F2211" t="s">
        <v>113</v>
      </c>
      <c r="G2211" t="s">
        <v>114</v>
      </c>
      <c r="H2211" t="s">
        <v>131</v>
      </c>
      <c r="I2211" t="s">
        <v>155</v>
      </c>
      <c r="J2211" t="s">
        <v>94</v>
      </c>
      <c r="K2211">
        <v>6</v>
      </c>
      <c r="L2211">
        <v>10600</v>
      </c>
      <c r="M2211">
        <v>63600</v>
      </c>
      <c r="N2211" t="s">
        <v>95</v>
      </c>
      <c r="O2211" t="s">
        <v>104</v>
      </c>
    </row>
    <row r="2212" spans="1:15" x14ac:dyDescent="0.25">
      <c r="A2212">
        <v>1354</v>
      </c>
      <c r="B2212" s="10">
        <v>45975</v>
      </c>
      <c r="C2212">
        <v>14</v>
      </c>
      <c r="D2212" t="s">
        <v>90</v>
      </c>
      <c r="E2212" t="s">
        <v>128</v>
      </c>
      <c r="F2212" t="s">
        <v>122</v>
      </c>
      <c r="G2212" t="s">
        <v>114</v>
      </c>
      <c r="H2212" t="s">
        <v>29</v>
      </c>
      <c r="I2212" t="s">
        <v>163</v>
      </c>
      <c r="J2212" t="s">
        <v>103</v>
      </c>
      <c r="K2212">
        <v>37</v>
      </c>
      <c r="L2212">
        <v>10600</v>
      </c>
      <c r="M2212">
        <v>392200</v>
      </c>
      <c r="N2212" t="s">
        <v>108</v>
      </c>
      <c r="O2212" t="s">
        <v>115</v>
      </c>
    </row>
    <row r="2213" spans="1:15" x14ac:dyDescent="0.25">
      <c r="A2213">
        <v>1803</v>
      </c>
      <c r="B2213" s="10">
        <v>45678</v>
      </c>
      <c r="C2213">
        <v>21</v>
      </c>
      <c r="D2213" t="s">
        <v>130</v>
      </c>
      <c r="E2213" t="s">
        <v>150</v>
      </c>
      <c r="F2213" t="s">
        <v>122</v>
      </c>
      <c r="G2213" t="s">
        <v>114</v>
      </c>
      <c r="H2213" t="s">
        <v>131</v>
      </c>
      <c r="I2213" t="s">
        <v>155</v>
      </c>
      <c r="J2213" t="s">
        <v>94</v>
      </c>
      <c r="K2213">
        <v>7</v>
      </c>
      <c r="L2213">
        <v>10600</v>
      </c>
      <c r="M2213">
        <v>74200</v>
      </c>
      <c r="N2213" t="s">
        <v>108</v>
      </c>
      <c r="O2213" t="s">
        <v>96</v>
      </c>
    </row>
    <row r="2214" spans="1:15" x14ac:dyDescent="0.25">
      <c r="A2214">
        <v>2330</v>
      </c>
      <c r="B2214" s="10">
        <v>45913</v>
      </c>
      <c r="C2214">
        <v>13</v>
      </c>
      <c r="D2214" t="s">
        <v>147</v>
      </c>
      <c r="E2214" t="s">
        <v>121</v>
      </c>
      <c r="F2214" t="s">
        <v>99</v>
      </c>
      <c r="G2214" t="s">
        <v>100</v>
      </c>
      <c r="H2214" t="s">
        <v>29</v>
      </c>
      <c r="I2214" t="s">
        <v>163</v>
      </c>
      <c r="J2214" t="s">
        <v>103</v>
      </c>
      <c r="K2214">
        <v>45</v>
      </c>
      <c r="L2214">
        <v>10600</v>
      </c>
      <c r="M2214">
        <v>477000</v>
      </c>
      <c r="N2214" t="s">
        <v>108</v>
      </c>
      <c r="O2214" t="s">
        <v>96</v>
      </c>
    </row>
    <row r="2215" spans="1:15" x14ac:dyDescent="0.25">
      <c r="A2215">
        <v>3070</v>
      </c>
      <c r="B2215" s="10">
        <v>45912</v>
      </c>
      <c r="C2215">
        <v>12</v>
      </c>
      <c r="D2215" t="s">
        <v>147</v>
      </c>
      <c r="E2215" t="s">
        <v>138</v>
      </c>
      <c r="F2215" t="s">
        <v>49</v>
      </c>
      <c r="G2215" t="s">
        <v>118</v>
      </c>
      <c r="H2215" t="s">
        <v>37</v>
      </c>
      <c r="I2215" t="s">
        <v>160</v>
      </c>
      <c r="J2215" t="s">
        <v>103</v>
      </c>
      <c r="K2215">
        <v>26</v>
      </c>
      <c r="L2215">
        <v>10600</v>
      </c>
      <c r="M2215">
        <v>275600</v>
      </c>
      <c r="N2215" t="s">
        <v>95</v>
      </c>
      <c r="O2215" t="s">
        <v>96</v>
      </c>
    </row>
    <row r="2216" spans="1:15" x14ac:dyDescent="0.25">
      <c r="A2216">
        <v>3273</v>
      </c>
      <c r="B2216" s="10">
        <v>45976</v>
      </c>
      <c r="C2216">
        <v>15</v>
      </c>
      <c r="D2216" t="s">
        <v>90</v>
      </c>
      <c r="E2216" t="s">
        <v>112</v>
      </c>
      <c r="F2216" t="s">
        <v>44</v>
      </c>
      <c r="G2216" t="s">
        <v>111</v>
      </c>
      <c r="H2216" t="s">
        <v>29</v>
      </c>
      <c r="I2216" t="s">
        <v>163</v>
      </c>
      <c r="J2216" t="s">
        <v>103</v>
      </c>
      <c r="K2216">
        <v>35</v>
      </c>
      <c r="L2216">
        <v>10600</v>
      </c>
      <c r="M2216">
        <v>371000</v>
      </c>
      <c r="N2216" t="s">
        <v>108</v>
      </c>
      <c r="O2216" t="s">
        <v>96</v>
      </c>
    </row>
    <row r="2217" spans="1:15" x14ac:dyDescent="0.25">
      <c r="A2217">
        <v>3875</v>
      </c>
      <c r="B2217" s="10">
        <v>45785</v>
      </c>
      <c r="C2217">
        <v>8</v>
      </c>
      <c r="D2217" t="s">
        <v>120</v>
      </c>
      <c r="E2217" t="s">
        <v>150</v>
      </c>
      <c r="F2217" t="s">
        <v>49</v>
      </c>
      <c r="G2217" t="s">
        <v>118</v>
      </c>
      <c r="H2217" t="s">
        <v>131</v>
      </c>
      <c r="I2217" t="s">
        <v>155</v>
      </c>
      <c r="J2217" t="s">
        <v>94</v>
      </c>
      <c r="K2217">
        <v>6</v>
      </c>
      <c r="L2217">
        <v>10600</v>
      </c>
      <c r="M2217">
        <v>63600</v>
      </c>
      <c r="N2217" t="s">
        <v>108</v>
      </c>
      <c r="O2217" t="s">
        <v>96</v>
      </c>
    </row>
    <row r="2218" spans="1:15" x14ac:dyDescent="0.25">
      <c r="A2218">
        <v>3944</v>
      </c>
      <c r="B2218" s="10">
        <v>45727</v>
      </c>
      <c r="C2218">
        <v>11</v>
      </c>
      <c r="D2218" t="s">
        <v>140</v>
      </c>
      <c r="E2218" t="s">
        <v>137</v>
      </c>
      <c r="F2218" t="s">
        <v>113</v>
      </c>
      <c r="G2218" t="s">
        <v>114</v>
      </c>
      <c r="H2218" t="s">
        <v>29</v>
      </c>
      <c r="I2218" t="s">
        <v>163</v>
      </c>
      <c r="J2218" t="s">
        <v>94</v>
      </c>
      <c r="K2218">
        <v>1</v>
      </c>
      <c r="L2218">
        <v>10600</v>
      </c>
      <c r="M2218">
        <v>10600</v>
      </c>
      <c r="N2218" t="s">
        <v>108</v>
      </c>
      <c r="O2218" t="s">
        <v>115</v>
      </c>
    </row>
    <row r="2219" spans="1:15" x14ac:dyDescent="0.25">
      <c r="A2219">
        <v>4025</v>
      </c>
      <c r="B2219" s="10">
        <v>45932</v>
      </c>
      <c r="C2219">
        <v>2</v>
      </c>
      <c r="D2219" t="s">
        <v>136</v>
      </c>
      <c r="E2219" t="s">
        <v>112</v>
      </c>
      <c r="F2219" t="s">
        <v>36</v>
      </c>
      <c r="G2219" t="s">
        <v>100</v>
      </c>
      <c r="H2219" t="s">
        <v>131</v>
      </c>
      <c r="I2219" t="s">
        <v>155</v>
      </c>
      <c r="J2219" t="s">
        <v>94</v>
      </c>
      <c r="K2219">
        <v>9</v>
      </c>
      <c r="L2219">
        <v>10600</v>
      </c>
      <c r="M2219">
        <v>95400</v>
      </c>
      <c r="N2219" t="s">
        <v>95</v>
      </c>
      <c r="O2219" t="s">
        <v>104</v>
      </c>
    </row>
    <row r="2220" spans="1:15" x14ac:dyDescent="0.25">
      <c r="A2220">
        <v>4030</v>
      </c>
      <c r="B2220" s="10">
        <v>45803</v>
      </c>
      <c r="C2220">
        <v>26</v>
      </c>
      <c r="D2220" t="s">
        <v>120</v>
      </c>
      <c r="E2220" t="s">
        <v>110</v>
      </c>
      <c r="F2220" t="s">
        <v>107</v>
      </c>
      <c r="G2220" t="s">
        <v>100</v>
      </c>
      <c r="H2220" t="s">
        <v>29</v>
      </c>
      <c r="I2220" t="s">
        <v>163</v>
      </c>
      <c r="J2220" t="s">
        <v>103</v>
      </c>
      <c r="K2220">
        <v>10</v>
      </c>
      <c r="L2220">
        <v>10600</v>
      </c>
      <c r="M2220">
        <v>106000</v>
      </c>
      <c r="N2220" t="s">
        <v>108</v>
      </c>
      <c r="O2220" t="s">
        <v>115</v>
      </c>
    </row>
    <row r="2221" spans="1:15" x14ac:dyDescent="0.25">
      <c r="A2221">
        <v>4641</v>
      </c>
      <c r="B2221" s="10">
        <v>45805</v>
      </c>
      <c r="C2221">
        <v>28</v>
      </c>
      <c r="D2221" t="s">
        <v>120</v>
      </c>
      <c r="E2221" t="s">
        <v>161</v>
      </c>
      <c r="F2221" t="s">
        <v>148</v>
      </c>
      <c r="G2221" t="s">
        <v>118</v>
      </c>
      <c r="H2221" t="s">
        <v>29</v>
      </c>
      <c r="I2221" t="s">
        <v>163</v>
      </c>
      <c r="J2221" t="s">
        <v>103</v>
      </c>
      <c r="K2221">
        <v>44</v>
      </c>
      <c r="L2221">
        <v>10600</v>
      </c>
      <c r="M2221">
        <v>466400</v>
      </c>
      <c r="N2221" t="s">
        <v>95</v>
      </c>
      <c r="O2221" t="s">
        <v>104</v>
      </c>
    </row>
    <row r="2222" spans="1:15" x14ac:dyDescent="0.25">
      <c r="A2222">
        <v>87</v>
      </c>
      <c r="B2222" s="10">
        <v>45751</v>
      </c>
      <c r="C2222">
        <v>4</v>
      </c>
      <c r="D2222" t="s">
        <v>105</v>
      </c>
      <c r="E2222" t="s">
        <v>133</v>
      </c>
      <c r="F2222" t="s">
        <v>49</v>
      </c>
      <c r="G2222" t="s">
        <v>118</v>
      </c>
      <c r="H2222" t="s">
        <v>37</v>
      </c>
      <c r="I2222" t="s">
        <v>160</v>
      </c>
      <c r="J2222" t="s">
        <v>103</v>
      </c>
      <c r="K2222">
        <v>22</v>
      </c>
      <c r="L2222">
        <v>10700</v>
      </c>
      <c r="M2222">
        <v>235400</v>
      </c>
      <c r="N2222" t="s">
        <v>108</v>
      </c>
      <c r="O2222" t="s">
        <v>96</v>
      </c>
    </row>
    <row r="2223" spans="1:15" x14ac:dyDescent="0.25">
      <c r="A2223">
        <v>89</v>
      </c>
      <c r="B2223" s="10">
        <v>45901</v>
      </c>
      <c r="C2223">
        <v>1</v>
      </c>
      <c r="D2223" t="s">
        <v>147</v>
      </c>
      <c r="E2223" t="s">
        <v>98</v>
      </c>
      <c r="F2223" t="s">
        <v>99</v>
      </c>
      <c r="G2223" t="s">
        <v>100</v>
      </c>
      <c r="H2223" t="s">
        <v>131</v>
      </c>
      <c r="I2223" t="s">
        <v>155</v>
      </c>
      <c r="J2223" t="s">
        <v>94</v>
      </c>
      <c r="K2223">
        <v>2</v>
      </c>
      <c r="L2223">
        <v>10700</v>
      </c>
      <c r="M2223">
        <v>21400</v>
      </c>
      <c r="N2223" t="s">
        <v>108</v>
      </c>
      <c r="O2223" t="s">
        <v>104</v>
      </c>
    </row>
    <row r="2224" spans="1:15" x14ac:dyDescent="0.25">
      <c r="A2224">
        <v>213</v>
      </c>
      <c r="B2224" s="10">
        <v>45831</v>
      </c>
      <c r="C2224">
        <v>23</v>
      </c>
      <c r="D2224" t="s">
        <v>153</v>
      </c>
      <c r="E2224" t="s">
        <v>121</v>
      </c>
      <c r="F2224" t="s">
        <v>122</v>
      </c>
      <c r="G2224" t="s">
        <v>114</v>
      </c>
      <c r="H2224" t="s">
        <v>29</v>
      </c>
      <c r="I2224" t="s">
        <v>163</v>
      </c>
      <c r="J2224" t="s">
        <v>103</v>
      </c>
      <c r="K2224">
        <v>45</v>
      </c>
      <c r="L2224">
        <v>10700</v>
      </c>
      <c r="M2224">
        <v>481500</v>
      </c>
      <c r="N2224" t="s">
        <v>95</v>
      </c>
      <c r="O2224" t="s">
        <v>104</v>
      </c>
    </row>
    <row r="2225" spans="1:15" x14ac:dyDescent="0.25">
      <c r="A2225">
        <v>293</v>
      </c>
      <c r="B2225" s="10">
        <v>46002</v>
      </c>
      <c r="C2225">
        <v>11</v>
      </c>
      <c r="D2225" t="s">
        <v>125</v>
      </c>
      <c r="E2225" t="s">
        <v>161</v>
      </c>
      <c r="F2225" t="s">
        <v>107</v>
      </c>
      <c r="G2225" t="s">
        <v>100</v>
      </c>
      <c r="H2225" t="s">
        <v>131</v>
      </c>
      <c r="I2225" t="s">
        <v>155</v>
      </c>
      <c r="J2225" t="s">
        <v>94</v>
      </c>
      <c r="K2225">
        <v>4</v>
      </c>
      <c r="L2225">
        <v>10700</v>
      </c>
      <c r="M2225">
        <v>42800</v>
      </c>
      <c r="N2225" t="s">
        <v>108</v>
      </c>
      <c r="O2225" t="s">
        <v>115</v>
      </c>
    </row>
    <row r="2226" spans="1:15" x14ac:dyDescent="0.25">
      <c r="A2226">
        <v>576</v>
      </c>
      <c r="B2226" s="10">
        <v>45924</v>
      </c>
      <c r="C2226">
        <v>24</v>
      </c>
      <c r="D2226" t="s">
        <v>147</v>
      </c>
      <c r="E2226" t="s">
        <v>98</v>
      </c>
      <c r="F2226" t="s">
        <v>141</v>
      </c>
      <c r="G2226" t="s">
        <v>100</v>
      </c>
      <c r="H2226" t="s">
        <v>37</v>
      </c>
      <c r="I2226" t="s">
        <v>160</v>
      </c>
      <c r="J2226" t="s">
        <v>94</v>
      </c>
      <c r="K2226">
        <v>7</v>
      </c>
      <c r="L2226">
        <v>10700</v>
      </c>
      <c r="M2226">
        <v>74900</v>
      </c>
      <c r="N2226" t="s">
        <v>108</v>
      </c>
      <c r="O2226" t="s">
        <v>115</v>
      </c>
    </row>
    <row r="2227" spans="1:15" x14ac:dyDescent="0.25">
      <c r="A2227">
        <v>735</v>
      </c>
      <c r="B2227" s="10">
        <v>45705</v>
      </c>
      <c r="C2227">
        <v>17</v>
      </c>
      <c r="D2227" t="s">
        <v>97</v>
      </c>
      <c r="E2227" t="s">
        <v>112</v>
      </c>
      <c r="F2227" t="s">
        <v>44</v>
      </c>
      <c r="G2227" t="s">
        <v>111</v>
      </c>
      <c r="H2227" t="s">
        <v>37</v>
      </c>
      <c r="I2227" t="s">
        <v>160</v>
      </c>
      <c r="J2227" t="s">
        <v>103</v>
      </c>
      <c r="K2227">
        <v>9</v>
      </c>
      <c r="L2227">
        <v>10700</v>
      </c>
      <c r="M2227">
        <v>96300</v>
      </c>
      <c r="N2227" t="s">
        <v>108</v>
      </c>
      <c r="O2227" t="s">
        <v>96</v>
      </c>
    </row>
    <row r="2228" spans="1:15" x14ac:dyDescent="0.25">
      <c r="A2228">
        <v>1284</v>
      </c>
      <c r="B2228" s="10">
        <v>45684</v>
      </c>
      <c r="C2228">
        <v>27</v>
      </c>
      <c r="D2228" t="s">
        <v>130</v>
      </c>
      <c r="E2228" t="s">
        <v>116</v>
      </c>
      <c r="F2228" t="s">
        <v>28</v>
      </c>
      <c r="G2228" t="s">
        <v>126</v>
      </c>
      <c r="H2228" t="s">
        <v>37</v>
      </c>
      <c r="I2228" t="s">
        <v>160</v>
      </c>
      <c r="J2228" t="s">
        <v>103</v>
      </c>
      <c r="K2228">
        <v>27</v>
      </c>
      <c r="L2228">
        <v>10700</v>
      </c>
      <c r="M2228">
        <v>288900</v>
      </c>
      <c r="N2228" t="s">
        <v>108</v>
      </c>
      <c r="O2228" t="s">
        <v>104</v>
      </c>
    </row>
    <row r="2229" spans="1:15" x14ac:dyDescent="0.25">
      <c r="A2229">
        <v>1422</v>
      </c>
      <c r="B2229" s="10">
        <v>45902</v>
      </c>
      <c r="C2229">
        <v>2</v>
      </c>
      <c r="D2229" t="s">
        <v>147</v>
      </c>
      <c r="E2229" t="s">
        <v>98</v>
      </c>
      <c r="F2229" t="s">
        <v>151</v>
      </c>
      <c r="G2229" t="s">
        <v>111</v>
      </c>
      <c r="H2229" t="s">
        <v>37</v>
      </c>
      <c r="I2229" t="s">
        <v>160</v>
      </c>
      <c r="J2229" t="s">
        <v>103</v>
      </c>
      <c r="K2229">
        <v>19</v>
      </c>
      <c r="L2229">
        <v>10700</v>
      </c>
      <c r="M2229">
        <v>203300</v>
      </c>
      <c r="N2229" t="s">
        <v>95</v>
      </c>
      <c r="O2229" t="s">
        <v>115</v>
      </c>
    </row>
    <row r="2230" spans="1:15" x14ac:dyDescent="0.25">
      <c r="A2230">
        <v>1918</v>
      </c>
      <c r="B2230" s="10">
        <v>45864</v>
      </c>
      <c r="C2230">
        <v>26</v>
      </c>
      <c r="D2230" t="s">
        <v>145</v>
      </c>
      <c r="E2230" t="s">
        <v>133</v>
      </c>
      <c r="F2230" t="s">
        <v>141</v>
      </c>
      <c r="G2230" t="s">
        <v>100</v>
      </c>
      <c r="H2230" t="s">
        <v>131</v>
      </c>
      <c r="I2230" t="s">
        <v>155</v>
      </c>
      <c r="J2230" t="s">
        <v>94</v>
      </c>
      <c r="K2230">
        <v>3</v>
      </c>
      <c r="L2230">
        <v>10700</v>
      </c>
      <c r="M2230">
        <v>32100</v>
      </c>
      <c r="N2230" t="s">
        <v>108</v>
      </c>
      <c r="O2230" t="s">
        <v>115</v>
      </c>
    </row>
    <row r="2231" spans="1:15" x14ac:dyDescent="0.25">
      <c r="A2231">
        <v>2085</v>
      </c>
      <c r="B2231" s="10">
        <v>45860</v>
      </c>
      <c r="C2231">
        <v>22</v>
      </c>
      <c r="D2231" t="s">
        <v>145</v>
      </c>
      <c r="E2231" t="s">
        <v>110</v>
      </c>
      <c r="F2231" t="s">
        <v>49</v>
      </c>
      <c r="G2231" t="s">
        <v>118</v>
      </c>
      <c r="H2231" t="s">
        <v>131</v>
      </c>
      <c r="I2231" t="s">
        <v>155</v>
      </c>
      <c r="J2231" t="s">
        <v>94</v>
      </c>
      <c r="K2231">
        <v>5</v>
      </c>
      <c r="L2231">
        <v>10700</v>
      </c>
      <c r="M2231">
        <v>53500</v>
      </c>
      <c r="N2231" t="s">
        <v>95</v>
      </c>
      <c r="O2231" t="s">
        <v>96</v>
      </c>
    </row>
    <row r="2232" spans="1:15" x14ac:dyDescent="0.25">
      <c r="A2232">
        <v>3415</v>
      </c>
      <c r="B2232" s="10">
        <v>45771</v>
      </c>
      <c r="C2232">
        <v>24</v>
      </c>
      <c r="D2232" t="s">
        <v>105</v>
      </c>
      <c r="E2232" t="s">
        <v>25</v>
      </c>
      <c r="F2232" t="s">
        <v>141</v>
      </c>
      <c r="G2232" t="s">
        <v>100</v>
      </c>
      <c r="H2232" t="s">
        <v>131</v>
      </c>
      <c r="I2232" t="s">
        <v>155</v>
      </c>
      <c r="J2232" t="s">
        <v>94</v>
      </c>
      <c r="K2232">
        <v>5</v>
      </c>
      <c r="L2232">
        <v>10700</v>
      </c>
      <c r="M2232">
        <v>53500</v>
      </c>
      <c r="N2232" t="s">
        <v>95</v>
      </c>
      <c r="O2232" t="s">
        <v>96</v>
      </c>
    </row>
    <row r="2233" spans="1:15" x14ac:dyDescent="0.25">
      <c r="A2233">
        <v>3464</v>
      </c>
      <c r="B2233" s="10">
        <v>45931</v>
      </c>
      <c r="C2233">
        <v>1</v>
      </c>
      <c r="D2233" t="s">
        <v>136</v>
      </c>
      <c r="E2233" t="s">
        <v>112</v>
      </c>
      <c r="F2233" t="s">
        <v>28</v>
      </c>
      <c r="G2233" t="s">
        <v>126</v>
      </c>
      <c r="H2233" t="s">
        <v>37</v>
      </c>
      <c r="I2233" t="s">
        <v>160</v>
      </c>
      <c r="J2233" t="s">
        <v>103</v>
      </c>
      <c r="K2233">
        <v>23</v>
      </c>
      <c r="L2233">
        <v>10700</v>
      </c>
      <c r="M2233">
        <v>246100</v>
      </c>
      <c r="N2233" t="s">
        <v>108</v>
      </c>
      <c r="O2233" t="s">
        <v>96</v>
      </c>
    </row>
    <row r="2234" spans="1:15" x14ac:dyDescent="0.25">
      <c r="A2234">
        <v>3701</v>
      </c>
      <c r="B2234" s="10">
        <v>45783</v>
      </c>
      <c r="C2234">
        <v>6</v>
      </c>
      <c r="D2234" t="s">
        <v>120</v>
      </c>
      <c r="E2234" t="s">
        <v>138</v>
      </c>
      <c r="F2234" t="s">
        <v>99</v>
      </c>
      <c r="G2234" t="s">
        <v>100</v>
      </c>
      <c r="H2234" t="s">
        <v>29</v>
      </c>
      <c r="I2234" t="s">
        <v>163</v>
      </c>
      <c r="J2234" t="s">
        <v>103</v>
      </c>
      <c r="K2234">
        <v>24</v>
      </c>
      <c r="L2234">
        <v>10700</v>
      </c>
      <c r="M2234">
        <v>256800</v>
      </c>
      <c r="N2234" t="s">
        <v>95</v>
      </c>
      <c r="O2234" t="s">
        <v>104</v>
      </c>
    </row>
    <row r="2235" spans="1:15" x14ac:dyDescent="0.25">
      <c r="A2235">
        <v>4196</v>
      </c>
      <c r="B2235" s="10">
        <v>45842</v>
      </c>
      <c r="C2235">
        <v>4</v>
      </c>
      <c r="D2235" t="s">
        <v>145</v>
      </c>
      <c r="E2235" t="s">
        <v>110</v>
      </c>
      <c r="F2235" t="s">
        <v>44</v>
      </c>
      <c r="G2235" t="s">
        <v>111</v>
      </c>
      <c r="H2235" t="s">
        <v>131</v>
      </c>
      <c r="I2235" t="s">
        <v>155</v>
      </c>
      <c r="J2235" t="s">
        <v>94</v>
      </c>
      <c r="K2235">
        <v>3</v>
      </c>
      <c r="L2235">
        <v>10700</v>
      </c>
      <c r="M2235">
        <v>32100</v>
      </c>
      <c r="N2235" t="s">
        <v>95</v>
      </c>
      <c r="O2235" t="s">
        <v>96</v>
      </c>
    </row>
    <row r="2236" spans="1:15" x14ac:dyDescent="0.25">
      <c r="A2236">
        <v>226</v>
      </c>
      <c r="B2236" s="10">
        <v>45716</v>
      </c>
      <c r="C2236">
        <v>28</v>
      </c>
      <c r="D2236" t="s">
        <v>97</v>
      </c>
      <c r="E2236" t="s">
        <v>25</v>
      </c>
      <c r="F2236" t="s">
        <v>99</v>
      </c>
      <c r="G2236" t="s">
        <v>100</v>
      </c>
      <c r="H2236" t="s">
        <v>29</v>
      </c>
      <c r="I2236" t="s">
        <v>163</v>
      </c>
      <c r="J2236" t="s">
        <v>103</v>
      </c>
      <c r="K2236">
        <v>40</v>
      </c>
      <c r="L2236">
        <v>10800</v>
      </c>
      <c r="M2236">
        <v>432000</v>
      </c>
      <c r="N2236" t="s">
        <v>95</v>
      </c>
      <c r="O2236" t="s">
        <v>115</v>
      </c>
    </row>
    <row r="2237" spans="1:15" x14ac:dyDescent="0.25">
      <c r="A2237">
        <v>358</v>
      </c>
      <c r="B2237" s="10">
        <v>45963</v>
      </c>
      <c r="C2237">
        <v>2</v>
      </c>
      <c r="D2237" t="s">
        <v>90</v>
      </c>
      <c r="E2237" t="s">
        <v>138</v>
      </c>
      <c r="F2237" t="s">
        <v>148</v>
      </c>
      <c r="G2237" t="s">
        <v>118</v>
      </c>
      <c r="H2237" t="s">
        <v>131</v>
      </c>
      <c r="I2237" t="s">
        <v>155</v>
      </c>
      <c r="J2237" t="s">
        <v>94</v>
      </c>
      <c r="K2237">
        <v>8</v>
      </c>
      <c r="L2237">
        <v>10800</v>
      </c>
      <c r="M2237">
        <v>86400</v>
      </c>
      <c r="N2237" t="s">
        <v>95</v>
      </c>
      <c r="O2237" t="s">
        <v>96</v>
      </c>
    </row>
    <row r="2238" spans="1:15" x14ac:dyDescent="0.25">
      <c r="A2238">
        <v>1063</v>
      </c>
      <c r="B2238" s="10">
        <v>45730</v>
      </c>
      <c r="C2238">
        <v>14</v>
      </c>
      <c r="D2238" t="s">
        <v>140</v>
      </c>
      <c r="E2238" t="s">
        <v>142</v>
      </c>
      <c r="F2238" t="s">
        <v>144</v>
      </c>
      <c r="G2238" t="s">
        <v>91</v>
      </c>
      <c r="H2238" t="s">
        <v>37</v>
      </c>
      <c r="I2238" t="s">
        <v>160</v>
      </c>
      <c r="J2238" t="s">
        <v>103</v>
      </c>
      <c r="K2238">
        <v>12</v>
      </c>
      <c r="L2238">
        <v>10800</v>
      </c>
      <c r="M2238">
        <v>129600</v>
      </c>
      <c r="N2238" t="s">
        <v>95</v>
      </c>
      <c r="O2238" t="s">
        <v>104</v>
      </c>
    </row>
    <row r="2239" spans="1:15" x14ac:dyDescent="0.25">
      <c r="A2239">
        <v>1065</v>
      </c>
      <c r="B2239" s="10">
        <v>45795</v>
      </c>
      <c r="C2239">
        <v>18</v>
      </c>
      <c r="D2239" t="s">
        <v>120</v>
      </c>
      <c r="E2239" t="s">
        <v>25</v>
      </c>
      <c r="F2239" t="s">
        <v>113</v>
      </c>
      <c r="G2239" t="s">
        <v>114</v>
      </c>
      <c r="H2239" t="s">
        <v>131</v>
      </c>
      <c r="I2239" t="s">
        <v>155</v>
      </c>
      <c r="J2239" t="s">
        <v>94</v>
      </c>
      <c r="K2239">
        <v>8</v>
      </c>
      <c r="L2239">
        <v>10800</v>
      </c>
      <c r="M2239">
        <v>86400</v>
      </c>
      <c r="N2239" t="s">
        <v>95</v>
      </c>
      <c r="O2239" t="s">
        <v>115</v>
      </c>
    </row>
    <row r="2240" spans="1:15" x14ac:dyDescent="0.25">
      <c r="A2240">
        <v>1993</v>
      </c>
      <c r="B2240" s="10">
        <v>45967</v>
      </c>
      <c r="C2240">
        <v>6</v>
      </c>
      <c r="D2240" t="s">
        <v>90</v>
      </c>
      <c r="E2240" t="s">
        <v>133</v>
      </c>
      <c r="F2240" t="s">
        <v>22</v>
      </c>
      <c r="G2240" t="s">
        <v>91</v>
      </c>
      <c r="H2240" t="s">
        <v>37</v>
      </c>
      <c r="I2240" t="s">
        <v>160</v>
      </c>
      <c r="J2240" t="s">
        <v>103</v>
      </c>
      <c r="K2240">
        <v>18</v>
      </c>
      <c r="L2240">
        <v>10800</v>
      </c>
      <c r="M2240">
        <v>194400</v>
      </c>
      <c r="N2240" t="s">
        <v>108</v>
      </c>
      <c r="O2240" t="s">
        <v>104</v>
      </c>
    </row>
    <row r="2241" spans="1:15" x14ac:dyDescent="0.25">
      <c r="A2241">
        <v>2508</v>
      </c>
      <c r="B2241" s="10">
        <v>45704</v>
      </c>
      <c r="C2241">
        <v>16</v>
      </c>
      <c r="D2241" t="s">
        <v>97</v>
      </c>
      <c r="E2241" t="s">
        <v>98</v>
      </c>
      <c r="F2241" t="s">
        <v>99</v>
      </c>
      <c r="G2241" t="s">
        <v>100</v>
      </c>
      <c r="H2241" t="s">
        <v>29</v>
      </c>
      <c r="I2241" t="s">
        <v>163</v>
      </c>
      <c r="J2241" t="s">
        <v>103</v>
      </c>
      <c r="K2241">
        <v>29</v>
      </c>
      <c r="L2241">
        <v>10800</v>
      </c>
      <c r="M2241">
        <v>313200</v>
      </c>
      <c r="N2241" t="s">
        <v>95</v>
      </c>
      <c r="O2241" t="s">
        <v>104</v>
      </c>
    </row>
    <row r="2242" spans="1:15" x14ac:dyDescent="0.25">
      <c r="A2242">
        <v>2814</v>
      </c>
      <c r="B2242" s="10">
        <v>45807</v>
      </c>
      <c r="C2242">
        <v>30</v>
      </c>
      <c r="D2242" t="s">
        <v>120</v>
      </c>
      <c r="E2242" t="s">
        <v>116</v>
      </c>
      <c r="F2242" t="s">
        <v>141</v>
      </c>
      <c r="G2242" t="s">
        <v>100</v>
      </c>
      <c r="H2242" t="s">
        <v>131</v>
      </c>
      <c r="I2242" t="s">
        <v>155</v>
      </c>
      <c r="J2242" t="s">
        <v>94</v>
      </c>
      <c r="K2242">
        <v>8</v>
      </c>
      <c r="L2242">
        <v>10800</v>
      </c>
      <c r="M2242">
        <v>86400</v>
      </c>
      <c r="N2242" t="s">
        <v>108</v>
      </c>
      <c r="O2242" t="s">
        <v>96</v>
      </c>
    </row>
    <row r="2243" spans="1:15" x14ac:dyDescent="0.25">
      <c r="A2243">
        <v>3088</v>
      </c>
      <c r="B2243" s="10">
        <v>45727</v>
      </c>
      <c r="C2243">
        <v>11</v>
      </c>
      <c r="D2243" t="s">
        <v>140</v>
      </c>
      <c r="E2243" t="s">
        <v>138</v>
      </c>
      <c r="F2243" t="s">
        <v>99</v>
      </c>
      <c r="G2243" t="s">
        <v>100</v>
      </c>
      <c r="H2243" t="s">
        <v>29</v>
      </c>
      <c r="I2243" t="s">
        <v>163</v>
      </c>
      <c r="J2243" t="s">
        <v>103</v>
      </c>
      <c r="K2243">
        <v>35</v>
      </c>
      <c r="L2243">
        <v>10800</v>
      </c>
      <c r="M2243">
        <v>378000</v>
      </c>
      <c r="N2243" t="s">
        <v>108</v>
      </c>
      <c r="O2243" t="s">
        <v>104</v>
      </c>
    </row>
    <row r="2244" spans="1:15" x14ac:dyDescent="0.25">
      <c r="A2244">
        <v>3595</v>
      </c>
      <c r="B2244" s="10">
        <v>45990</v>
      </c>
      <c r="C2244">
        <v>29</v>
      </c>
      <c r="D2244" t="s">
        <v>90</v>
      </c>
      <c r="E2244" t="s">
        <v>116</v>
      </c>
      <c r="F2244" t="s">
        <v>44</v>
      </c>
      <c r="G2244" t="s">
        <v>111</v>
      </c>
      <c r="H2244" t="s">
        <v>29</v>
      </c>
      <c r="I2244" t="s">
        <v>163</v>
      </c>
      <c r="J2244" t="s">
        <v>103</v>
      </c>
      <c r="K2244">
        <v>39</v>
      </c>
      <c r="L2244">
        <v>10800</v>
      </c>
      <c r="M2244">
        <v>421200</v>
      </c>
      <c r="N2244" t="s">
        <v>95</v>
      </c>
      <c r="O2244" t="s">
        <v>115</v>
      </c>
    </row>
    <row r="2245" spans="1:15" x14ac:dyDescent="0.25">
      <c r="A2245">
        <v>4080</v>
      </c>
      <c r="B2245" s="10">
        <v>45685</v>
      </c>
      <c r="C2245">
        <v>28</v>
      </c>
      <c r="D2245" t="s">
        <v>130</v>
      </c>
      <c r="E2245" t="s">
        <v>128</v>
      </c>
      <c r="F2245" t="s">
        <v>144</v>
      </c>
      <c r="G2245" t="s">
        <v>91</v>
      </c>
      <c r="H2245" t="s">
        <v>131</v>
      </c>
      <c r="I2245" t="s">
        <v>155</v>
      </c>
      <c r="J2245" t="s">
        <v>94</v>
      </c>
      <c r="K2245">
        <v>2</v>
      </c>
      <c r="L2245">
        <v>10800</v>
      </c>
      <c r="M2245">
        <v>21600</v>
      </c>
      <c r="N2245" t="s">
        <v>108</v>
      </c>
      <c r="O2245" t="s">
        <v>115</v>
      </c>
    </row>
    <row r="2246" spans="1:15" x14ac:dyDescent="0.25">
      <c r="A2246">
        <v>4597</v>
      </c>
      <c r="B2246" s="10">
        <v>45668</v>
      </c>
      <c r="C2246">
        <v>11</v>
      </c>
      <c r="D2246" t="s">
        <v>130</v>
      </c>
      <c r="E2246" t="s">
        <v>138</v>
      </c>
      <c r="F2246" t="s">
        <v>122</v>
      </c>
      <c r="G2246" t="s">
        <v>114</v>
      </c>
      <c r="H2246" t="s">
        <v>131</v>
      </c>
      <c r="I2246" t="s">
        <v>155</v>
      </c>
      <c r="J2246" t="s">
        <v>94</v>
      </c>
      <c r="K2246">
        <v>8</v>
      </c>
      <c r="L2246">
        <v>10800</v>
      </c>
      <c r="M2246">
        <v>86400</v>
      </c>
      <c r="N2246" t="s">
        <v>95</v>
      </c>
      <c r="O2246" t="s">
        <v>96</v>
      </c>
    </row>
    <row r="2247" spans="1:15" x14ac:dyDescent="0.25">
      <c r="A2247">
        <v>4968</v>
      </c>
      <c r="B2247" s="10">
        <v>45729</v>
      </c>
      <c r="C2247">
        <v>13</v>
      </c>
      <c r="D2247" t="s">
        <v>140</v>
      </c>
      <c r="E2247" t="s">
        <v>110</v>
      </c>
      <c r="F2247" t="s">
        <v>134</v>
      </c>
      <c r="G2247" t="s">
        <v>100</v>
      </c>
      <c r="H2247" t="s">
        <v>37</v>
      </c>
      <c r="I2247" t="s">
        <v>160</v>
      </c>
      <c r="J2247" t="s">
        <v>103</v>
      </c>
      <c r="K2247">
        <v>16</v>
      </c>
      <c r="L2247">
        <v>10800</v>
      </c>
      <c r="M2247">
        <v>172800</v>
      </c>
      <c r="N2247" t="s">
        <v>95</v>
      </c>
      <c r="O2247" t="s">
        <v>115</v>
      </c>
    </row>
    <row r="2248" spans="1:15" x14ac:dyDescent="0.25">
      <c r="A2248">
        <v>271</v>
      </c>
      <c r="B2248" s="10">
        <v>45991</v>
      </c>
      <c r="C2248">
        <v>30</v>
      </c>
      <c r="D2248" t="s">
        <v>90</v>
      </c>
      <c r="E2248" t="s">
        <v>106</v>
      </c>
      <c r="F2248" t="s">
        <v>117</v>
      </c>
      <c r="G2248" t="s">
        <v>118</v>
      </c>
      <c r="H2248" t="s">
        <v>37</v>
      </c>
      <c r="I2248" t="s">
        <v>160</v>
      </c>
      <c r="J2248" t="s">
        <v>103</v>
      </c>
      <c r="K2248">
        <v>46</v>
      </c>
      <c r="L2248">
        <v>10900</v>
      </c>
      <c r="M2248">
        <v>501400</v>
      </c>
      <c r="N2248" t="s">
        <v>95</v>
      </c>
      <c r="O2248" t="s">
        <v>104</v>
      </c>
    </row>
    <row r="2249" spans="1:15" x14ac:dyDescent="0.25">
      <c r="A2249">
        <v>915</v>
      </c>
      <c r="B2249" s="10">
        <v>45909</v>
      </c>
      <c r="C2249">
        <v>9</v>
      </c>
      <c r="D2249" t="s">
        <v>147</v>
      </c>
      <c r="E2249" t="s">
        <v>98</v>
      </c>
      <c r="F2249" t="s">
        <v>28</v>
      </c>
      <c r="G2249" t="s">
        <v>126</v>
      </c>
      <c r="H2249" t="s">
        <v>131</v>
      </c>
      <c r="I2249" t="s">
        <v>155</v>
      </c>
      <c r="J2249" t="s">
        <v>94</v>
      </c>
      <c r="K2249">
        <v>2</v>
      </c>
      <c r="L2249">
        <v>10900</v>
      </c>
      <c r="M2249">
        <v>21800</v>
      </c>
      <c r="N2249" t="s">
        <v>95</v>
      </c>
      <c r="O2249" t="s">
        <v>115</v>
      </c>
    </row>
    <row r="2250" spans="1:15" x14ac:dyDescent="0.25">
      <c r="A2250">
        <v>1313</v>
      </c>
      <c r="B2250" s="10">
        <v>45885</v>
      </c>
      <c r="C2250">
        <v>16</v>
      </c>
      <c r="D2250" t="s">
        <v>109</v>
      </c>
      <c r="E2250" t="s">
        <v>121</v>
      </c>
      <c r="F2250" t="s">
        <v>36</v>
      </c>
      <c r="G2250" t="s">
        <v>100</v>
      </c>
      <c r="H2250" t="s">
        <v>37</v>
      </c>
      <c r="I2250" t="s">
        <v>160</v>
      </c>
      <c r="J2250" t="s">
        <v>103</v>
      </c>
      <c r="K2250">
        <v>14</v>
      </c>
      <c r="L2250">
        <v>10900</v>
      </c>
      <c r="M2250">
        <v>152600</v>
      </c>
      <c r="N2250" t="s">
        <v>95</v>
      </c>
      <c r="O2250" t="s">
        <v>104</v>
      </c>
    </row>
    <row r="2251" spans="1:15" x14ac:dyDescent="0.25">
      <c r="A2251">
        <v>1790</v>
      </c>
      <c r="B2251" s="10">
        <v>45782</v>
      </c>
      <c r="C2251">
        <v>5</v>
      </c>
      <c r="D2251" t="s">
        <v>120</v>
      </c>
      <c r="E2251" t="s">
        <v>142</v>
      </c>
      <c r="F2251" t="s">
        <v>117</v>
      </c>
      <c r="G2251" t="s">
        <v>118</v>
      </c>
      <c r="H2251" t="s">
        <v>29</v>
      </c>
      <c r="I2251" t="s">
        <v>163</v>
      </c>
      <c r="J2251" t="s">
        <v>103</v>
      </c>
      <c r="K2251">
        <v>42</v>
      </c>
      <c r="L2251">
        <v>10900</v>
      </c>
      <c r="M2251">
        <v>457800</v>
      </c>
      <c r="N2251" t="s">
        <v>95</v>
      </c>
      <c r="O2251" t="s">
        <v>104</v>
      </c>
    </row>
    <row r="2252" spans="1:15" x14ac:dyDescent="0.25">
      <c r="A2252">
        <v>1861</v>
      </c>
      <c r="B2252" s="10">
        <v>45723</v>
      </c>
      <c r="C2252">
        <v>7</v>
      </c>
      <c r="D2252" t="s">
        <v>140</v>
      </c>
      <c r="E2252" t="s">
        <v>137</v>
      </c>
      <c r="F2252" t="s">
        <v>22</v>
      </c>
      <c r="G2252" t="s">
        <v>91</v>
      </c>
      <c r="H2252" t="s">
        <v>131</v>
      </c>
      <c r="I2252" t="s">
        <v>155</v>
      </c>
      <c r="J2252" t="s">
        <v>94</v>
      </c>
      <c r="K2252">
        <v>2</v>
      </c>
      <c r="L2252">
        <v>10900</v>
      </c>
      <c r="M2252">
        <v>21800</v>
      </c>
      <c r="N2252" t="s">
        <v>95</v>
      </c>
      <c r="O2252" t="s">
        <v>104</v>
      </c>
    </row>
    <row r="2253" spans="1:15" x14ac:dyDescent="0.25">
      <c r="A2253">
        <v>2002</v>
      </c>
      <c r="B2253" s="10">
        <v>45900</v>
      </c>
      <c r="C2253">
        <v>31</v>
      </c>
      <c r="D2253" t="s">
        <v>109</v>
      </c>
      <c r="E2253" t="s">
        <v>25</v>
      </c>
      <c r="F2253" t="s">
        <v>44</v>
      </c>
      <c r="G2253" t="s">
        <v>111</v>
      </c>
      <c r="H2253" t="s">
        <v>131</v>
      </c>
      <c r="I2253" t="s">
        <v>155</v>
      </c>
      <c r="J2253" t="s">
        <v>94</v>
      </c>
      <c r="K2253">
        <v>2</v>
      </c>
      <c r="L2253">
        <v>10900</v>
      </c>
      <c r="M2253">
        <v>21800</v>
      </c>
      <c r="N2253" t="s">
        <v>95</v>
      </c>
      <c r="O2253" t="s">
        <v>115</v>
      </c>
    </row>
    <row r="2254" spans="1:15" x14ac:dyDescent="0.25">
      <c r="A2254">
        <v>2069</v>
      </c>
      <c r="B2254" s="10">
        <v>45893</v>
      </c>
      <c r="C2254">
        <v>24</v>
      </c>
      <c r="D2254" t="s">
        <v>109</v>
      </c>
      <c r="E2254" t="s">
        <v>150</v>
      </c>
      <c r="F2254" t="s">
        <v>148</v>
      </c>
      <c r="G2254" t="s">
        <v>118</v>
      </c>
      <c r="H2254" t="s">
        <v>37</v>
      </c>
      <c r="I2254" t="s">
        <v>160</v>
      </c>
      <c r="J2254" t="s">
        <v>103</v>
      </c>
      <c r="K2254">
        <v>8</v>
      </c>
      <c r="L2254">
        <v>10900</v>
      </c>
      <c r="M2254">
        <v>87200</v>
      </c>
      <c r="N2254" t="s">
        <v>95</v>
      </c>
      <c r="O2254" t="s">
        <v>115</v>
      </c>
    </row>
    <row r="2255" spans="1:15" x14ac:dyDescent="0.25">
      <c r="A2255">
        <v>2227</v>
      </c>
      <c r="B2255" s="10">
        <v>45934</v>
      </c>
      <c r="C2255">
        <v>4</v>
      </c>
      <c r="D2255" t="s">
        <v>136</v>
      </c>
      <c r="E2255" t="s">
        <v>116</v>
      </c>
      <c r="F2255" t="s">
        <v>49</v>
      </c>
      <c r="G2255" t="s">
        <v>118</v>
      </c>
      <c r="H2255" t="s">
        <v>29</v>
      </c>
      <c r="I2255" t="s">
        <v>163</v>
      </c>
      <c r="J2255" t="s">
        <v>103</v>
      </c>
      <c r="K2255">
        <v>26</v>
      </c>
      <c r="L2255">
        <v>10900</v>
      </c>
      <c r="M2255">
        <v>283400</v>
      </c>
      <c r="N2255" t="s">
        <v>95</v>
      </c>
      <c r="O2255" t="s">
        <v>96</v>
      </c>
    </row>
    <row r="2256" spans="1:15" x14ac:dyDescent="0.25">
      <c r="A2256">
        <v>3025</v>
      </c>
      <c r="B2256" s="10">
        <v>45722</v>
      </c>
      <c r="C2256">
        <v>6</v>
      </c>
      <c r="D2256" t="s">
        <v>140</v>
      </c>
      <c r="E2256" t="s">
        <v>121</v>
      </c>
      <c r="F2256" t="s">
        <v>117</v>
      </c>
      <c r="G2256" t="s">
        <v>118</v>
      </c>
      <c r="H2256" t="s">
        <v>37</v>
      </c>
      <c r="I2256" t="s">
        <v>160</v>
      </c>
      <c r="J2256" t="s">
        <v>94</v>
      </c>
      <c r="K2256">
        <v>3</v>
      </c>
      <c r="L2256">
        <v>10900</v>
      </c>
      <c r="M2256">
        <v>32700</v>
      </c>
      <c r="N2256" t="s">
        <v>95</v>
      </c>
      <c r="O2256" t="s">
        <v>115</v>
      </c>
    </row>
    <row r="2257" spans="1:15" x14ac:dyDescent="0.25">
      <c r="A2257">
        <v>3350</v>
      </c>
      <c r="B2257" s="10">
        <v>45736</v>
      </c>
      <c r="C2257">
        <v>20</v>
      </c>
      <c r="D2257" t="s">
        <v>140</v>
      </c>
      <c r="E2257" t="s">
        <v>25</v>
      </c>
      <c r="F2257" t="s">
        <v>134</v>
      </c>
      <c r="G2257" t="s">
        <v>100</v>
      </c>
      <c r="H2257" t="s">
        <v>131</v>
      </c>
      <c r="I2257" t="s">
        <v>155</v>
      </c>
      <c r="J2257" t="s">
        <v>94</v>
      </c>
      <c r="K2257">
        <v>2</v>
      </c>
      <c r="L2257">
        <v>10900</v>
      </c>
      <c r="M2257">
        <v>21800</v>
      </c>
      <c r="N2257" t="s">
        <v>108</v>
      </c>
      <c r="O2257" t="s">
        <v>104</v>
      </c>
    </row>
    <row r="2258" spans="1:15" x14ac:dyDescent="0.25">
      <c r="A2258">
        <v>3363</v>
      </c>
      <c r="B2258" s="10">
        <v>45748</v>
      </c>
      <c r="C2258">
        <v>1</v>
      </c>
      <c r="D2258" t="s">
        <v>105</v>
      </c>
      <c r="E2258" t="s">
        <v>142</v>
      </c>
      <c r="F2258" t="s">
        <v>134</v>
      </c>
      <c r="G2258" t="s">
        <v>100</v>
      </c>
      <c r="H2258" t="s">
        <v>37</v>
      </c>
      <c r="I2258" t="s">
        <v>160</v>
      </c>
      <c r="J2258" t="s">
        <v>94</v>
      </c>
      <c r="K2258">
        <v>5</v>
      </c>
      <c r="L2258">
        <v>10900</v>
      </c>
      <c r="M2258">
        <v>54500</v>
      </c>
      <c r="N2258" t="s">
        <v>108</v>
      </c>
      <c r="O2258" t="s">
        <v>115</v>
      </c>
    </row>
    <row r="2259" spans="1:15" x14ac:dyDescent="0.25">
      <c r="A2259">
        <v>3702</v>
      </c>
      <c r="B2259" s="10">
        <v>45936</v>
      </c>
      <c r="C2259">
        <v>6</v>
      </c>
      <c r="D2259" t="s">
        <v>136</v>
      </c>
      <c r="E2259" t="s">
        <v>31</v>
      </c>
      <c r="F2259" t="s">
        <v>122</v>
      </c>
      <c r="G2259" t="s">
        <v>114</v>
      </c>
      <c r="H2259" t="s">
        <v>37</v>
      </c>
      <c r="I2259" t="s">
        <v>160</v>
      </c>
      <c r="J2259" t="s">
        <v>103</v>
      </c>
      <c r="K2259">
        <v>15</v>
      </c>
      <c r="L2259">
        <v>10900</v>
      </c>
      <c r="M2259">
        <v>163500</v>
      </c>
      <c r="N2259" t="s">
        <v>108</v>
      </c>
      <c r="O2259" t="s">
        <v>96</v>
      </c>
    </row>
    <row r="2260" spans="1:15" x14ac:dyDescent="0.25">
      <c r="A2260">
        <v>3883</v>
      </c>
      <c r="B2260" s="10">
        <v>45747</v>
      </c>
      <c r="C2260">
        <v>31</v>
      </c>
      <c r="D2260" t="s">
        <v>140</v>
      </c>
      <c r="E2260" t="s">
        <v>121</v>
      </c>
      <c r="F2260" t="s">
        <v>113</v>
      </c>
      <c r="G2260" t="s">
        <v>114</v>
      </c>
      <c r="H2260" t="s">
        <v>29</v>
      </c>
      <c r="I2260" t="s">
        <v>163</v>
      </c>
      <c r="J2260" t="s">
        <v>94</v>
      </c>
      <c r="K2260">
        <v>8</v>
      </c>
      <c r="L2260">
        <v>10900</v>
      </c>
      <c r="M2260">
        <v>87200</v>
      </c>
      <c r="N2260" t="s">
        <v>108</v>
      </c>
      <c r="O2260" t="s">
        <v>96</v>
      </c>
    </row>
    <row r="2261" spans="1:15" x14ac:dyDescent="0.25">
      <c r="A2261">
        <v>4093</v>
      </c>
      <c r="B2261" s="10">
        <v>45904</v>
      </c>
      <c r="C2261">
        <v>4</v>
      </c>
      <c r="D2261" t="s">
        <v>147</v>
      </c>
      <c r="E2261" t="s">
        <v>128</v>
      </c>
      <c r="F2261" t="s">
        <v>148</v>
      </c>
      <c r="G2261" t="s">
        <v>118</v>
      </c>
      <c r="H2261" t="s">
        <v>131</v>
      </c>
      <c r="I2261" t="s">
        <v>155</v>
      </c>
      <c r="J2261" t="s">
        <v>94</v>
      </c>
      <c r="K2261">
        <v>7</v>
      </c>
      <c r="L2261">
        <v>10900</v>
      </c>
      <c r="M2261">
        <v>76300</v>
      </c>
      <c r="N2261" t="s">
        <v>95</v>
      </c>
      <c r="O2261" t="s">
        <v>115</v>
      </c>
    </row>
    <row r="2262" spans="1:15" x14ac:dyDescent="0.25">
      <c r="A2262">
        <v>4758</v>
      </c>
      <c r="B2262" s="10">
        <v>45675</v>
      </c>
      <c r="C2262">
        <v>18</v>
      </c>
      <c r="D2262" t="s">
        <v>130</v>
      </c>
      <c r="E2262" t="s">
        <v>161</v>
      </c>
      <c r="F2262" t="s">
        <v>117</v>
      </c>
      <c r="G2262" t="s">
        <v>118</v>
      </c>
      <c r="H2262" t="s">
        <v>29</v>
      </c>
      <c r="I2262" t="s">
        <v>163</v>
      </c>
      <c r="J2262" t="s">
        <v>103</v>
      </c>
      <c r="K2262">
        <v>33</v>
      </c>
      <c r="L2262">
        <v>10900</v>
      </c>
      <c r="M2262">
        <v>359700</v>
      </c>
      <c r="N2262" t="s">
        <v>108</v>
      </c>
      <c r="O2262" t="s">
        <v>115</v>
      </c>
    </row>
    <row r="2263" spans="1:15" x14ac:dyDescent="0.25">
      <c r="A2263">
        <v>4795</v>
      </c>
      <c r="B2263" s="10">
        <v>45678</v>
      </c>
      <c r="C2263">
        <v>21</v>
      </c>
      <c r="D2263" t="s">
        <v>130</v>
      </c>
      <c r="E2263" t="s">
        <v>121</v>
      </c>
      <c r="F2263" t="s">
        <v>151</v>
      </c>
      <c r="G2263" t="s">
        <v>111</v>
      </c>
      <c r="H2263" t="s">
        <v>131</v>
      </c>
      <c r="I2263" t="s">
        <v>155</v>
      </c>
      <c r="J2263" t="s">
        <v>94</v>
      </c>
      <c r="K2263">
        <v>5</v>
      </c>
      <c r="L2263">
        <v>10900</v>
      </c>
      <c r="M2263">
        <v>54500</v>
      </c>
      <c r="N2263" t="s">
        <v>95</v>
      </c>
      <c r="O2263" t="s">
        <v>96</v>
      </c>
    </row>
    <row r="2264" spans="1:15" x14ac:dyDescent="0.25">
      <c r="A2264">
        <v>4805</v>
      </c>
      <c r="B2264" s="10">
        <v>45978</v>
      </c>
      <c r="C2264">
        <v>17</v>
      </c>
      <c r="D2264" t="s">
        <v>90</v>
      </c>
      <c r="E2264" t="s">
        <v>138</v>
      </c>
      <c r="F2264" t="s">
        <v>117</v>
      </c>
      <c r="G2264" t="s">
        <v>118</v>
      </c>
      <c r="H2264" t="s">
        <v>131</v>
      </c>
      <c r="I2264" t="s">
        <v>155</v>
      </c>
      <c r="J2264" t="s">
        <v>94</v>
      </c>
      <c r="K2264">
        <v>8</v>
      </c>
      <c r="L2264">
        <v>10900</v>
      </c>
      <c r="M2264">
        <v>87200</v>
      </c>
      <c r="N2264" t="s">
        <v>95</v>
      </c>
      <c r="O2264" t="s">
        <v>115</v>
      </c>
    </row>
    <row r="2265" spans="1:15" x14ac:dyDescent="0.25">
      <c r="A2265">
        <v>4860</v>
      </c>
      <c r="B2265" s="10">
        <v>45790</v>
      </c>
      <c r="C2265">
        <v>13</v>
      </c>
      <c r="D2265" t="s">
        <v>120</v>
      </c>
      <c r="E2265" t="s">
        <v>110</v>
      </c>
      <c r="F2265" t="s">
        <v>107</v>
      </c>
      <c r="G2265" t="s">
        <v>100</v>
      </c>
      <c r="H2265" t="s">
        <v>131</v>
      </c>
      <c r="I2265" t="s">
        <v>155</v>
      </c>
      <c r="J2265" t="s">
        <v>94</v>
      </c>
      <c r="K2265">
        <v>2</v>
      </c>
      <c r="L2265">
        <v>10900</v>
      </c>
      <c r="M2265">
        <v>21800</v>
      </c>
      <c r="N2265" t="s">
        <v>95</v>
      </c>
      <c r="O2265" t="s">
        <v>104</v>
      </c>
    </row>
    <row r="2266" spans="1:15" x14ac:dyDescent="0.25">
      <c r="A2266">
        <v>4970</v>
      </c>
      <c r="B2266" s="10">
        <v>45943</v>
      </c>
      <c r="C2266">
        <v>13</v>
      </c>
      <c r="D2266" t="s">
        <v>136</v>
      </c>
      <c r="E2266" t="s">
        <v>137</v>
      </c>
      <c r="F2266" t="s">
        <v>151</v>
      </c>
      <c r="G2266" t="s">
        <v>111</v>
      </c>
      <c r="H2266" t="s">
        <v>29</v>
      </c>
      <c r="I2266" t="s">
        <v>163</v>
      </c>
      <c r="J2266" t="s">
        <v>103</v>
      </c>
      <c r="K2266">
        <v>24</v>
      </c>
      <c r="L2266">
        <v>10900</v>
      </c>
      <c r="M2266">
        <v>261600</v>
      </c>
      <c r="N2266" t="s">
        <v>108</v>
      </c>
      <c r="O2266" t="s">
        <v>104</v>
      </c>
    </row>
    <row r="2267" spans="1:15" x14ac:dyDescent="0.25">
      <c r="A2267">
        <v>4987</v>
      </c>
      <c r="B2267" s="10">
        <v>45843</v>
      </c>
      <c r="C2267">
        <v>5</v>
      </c>
      <c r="D2267" t="s">
        <v>145</v>
      </c>
      <c r="E2267" t="s">
        <v>121</v>
      </c>
      <c r="F2267" t="s">
        <v>28</v>
      </c>
      <c r="G2267" t="s">
        <v>126</v>
      </c>
      <c r="H2267" t="s">
        <v>131</v>
      </c>
      <c r="I2267" t="s">
        <v>155</v>
      </c>
      <c r="J2267" t="s">
        <v>94</v>
      </c>
      <c r="K2267">
        <v>7</v>
      </c>
      <c r="L2267">
        <v>10900</v>
      </c>
      <c r="M2267">
        <v>76300</v>
      </c>
      <c r="N2267" t="s">
        <v>108</v>
      </c>
      <c r="O2267" t="s">
        <v>96</v>
      </c>
    </row>
    <row r="2268" spans="1:15" x14ac:dyDescent="0.25">
      <c r="A2268">
        <v>113</v>
      </c>
      <c r="B2268" s="10">
        <v>45923</v>
      </c>
      <c r="C2268">
        <v>23</v>
      </c>
      <c r="D2268" t="s">
        <v>147</v>
      </c>
      <c r="E2268" t="s">
        <v>150</v>
      </c>
      <c r="F2268" t="s">
        <v>148</v>
      </c>
      <c r="G2268" t="s">
        <v>118</v>
      </c>
      <c r="H2268" t="s">
        <v>131</v>
      </c>
      <c r="I2268" t="s">
        <v>155</v>
      </c>
      <c r="J2268" t="s">
        <v>94</v>
      </c>
      <c r="K2268">
        <v>4</v>
      </c>
      <c r="L2268">
        <v>11000</v>
      </c>
      <c r="M2268">
        <v>44000</v>
      </c>
      <c r="N2268" t="s">
        <v>108</v>
      </c>
      <c r="O2268" t="s">
        <v>96</v>
      </c>
    </row>
    <row r="2269" spans="1:15" x14ac:dyDescent="0.25">
      <c r="A2269">
        <v>331</v>
      </c>
      <c r="B2269" s="10">
        <v>45702</v>
      </c>
      <c r="C2269">
        <v>14</v>
      </c>
      <c r="D2269" t="s">
        <v>97</v>
      </c>
      <c r="E2269" t="s">
        <v>138</v>
      </c>
      <c r="F2269" t="s">
        <v>134</v>
      </c>
      <c r="G2269" t="s">
        <v>100</v>
      </c>
      <c r="H2269" t="s">
        <v>131</v>
      </c>
      <c r="I2269" t="s">
        <v>155</v>
      </c>
      <c r="J2269" t="s">
        <v>94</v>
      </c>
      <c r="K2269">
        <v>1</v>
      </c>
      <c r="L2269">
        <v>11000</v>
      </c>
      <c r="M2269">
        <v>11000</v>
      </c>
      <c r="N2269" t="s">
        <v>95</v>
      </c>
      <c r="O2269" t="s">
        <v>115</v>
      </c>
    </row>
    <row r="2270" spans="1:15" x14ac:dyDescent="0.25">
      <c r="A2270">
        <v>352</v>
      </c>
      <c r="B2270" s="10">
        <v>45672</v>
      </c>
      <c r="C2270">
        <v>15</v>
      </c>
      <c r="D2270" t="s">
        <v>130</v>
      </c>
      <c r="E2270" t="s">
        <v>161</v>
      </c>
      <c r="F2270" t="s">
        <v>148</v>
      </c>
      <c r="G2270" t="s">
        <v>118</v>
      </c>
      <c r="H2270" t="s">
        <v>29</v>
      </c>
      <c r="I2270" t="s">
        <v>163</v>
      </c>
      <c r="J2270" t="s">
        <v>103</v>
      </c>
      <c r="K2270">
        <v>29</v>
      </c>
      <c r="L2270">
        <v>11000</v>
      </c>
      <c r="M2270">
        <v>319000</v>
      </c>
      <c r="N2270" t="s">
        <v>95</v>
      </c>
      <c r="O2270" t="s">
        <v>96</v>
      </c>
    </row>
    <row r="2271" spans="1:15" x14ac:dyDescent="0.25">
      <c r="A2271">
        <v>437</v>
      </c>
      <c r="B2271" s="10">
        <v>45998</v>
      </c>
      <c r="C2271">
        <v>7</v>
      </c>
      <c r="D2271" t="s">
        <v>125</v>
      </c>
      <c r="E2271" t="s">
        <v>110</v>
      </c>
      <c r="F2271" t="s">
        <v>141</v>
      </c>
      <c r="G2271" t="s">
        <v>100</v>
      </c>
      <c r="H2271" t="s">
        <v>29</v>
      </c>
      <c r="I2271" t="s">
        <v>163</v>
      </c>
      <c r="J2271" t="s">
        <v>103</v>
      </c>
      <c r="K2271">
        <v>49</v>
      </c>
      <c r="L2271">
        <v>11000</v>
      </c>
      <c r="M2271">
        <v>539000</v>
      </c>
      <c r="N2271" t="s">
        <v>108</v>
      </c>
      <c r="O2271" t="s">
        <v>104</v>
      </c>
    </row>
    <row r="2272" spans="1:15" x14ac:dyDescent="0.25">
      <c r="A2272">
        <v>442</v>
      </c>
      <c r="B2272" s="10">
        <v>45658</v>
      </c>
      <c r="C2272">
        <v>1</v>
      </c>
      <c r="D2272" t="s">
        <v>130</v>
      </c>
      <c r="E2272" t="s">
        <v>25</v>
      </c>
      <c r="F2272" t="s">
        <v>134</v>
      </c>
      <c r="G2272" t="s">
        <v>100</v>
      </c>
      <c r="H2272" t="s">
        <v>131</v>
      </c>
      <c r="I2272" t="s">
        <v>155</v>
      </c>
      <c r="J2272" t="s">
        <v>94</v>
      </c>
      <c r="K2272">
        <v>7</v>
      </c>
      <c r="L2272">
        <v>11000</v>
      </c>
      <c r="M2272">
        <v>77000</v>
      </c>
      <c r="N2272" t="s">
        <v>108</v>
      </c>
      <c r="O2272" t="s">
        <v>115</v>
      </c>
    </row>
    <row r="2273" spans="1:15" x14ac:dyDescent="0.25">
      <c r="A2273">
        <v>462</v>
      </c>
      <c r="B2273" s="10">
        <v>45793</v>
      </c>
      <c r="C2273">
        <v>16</v>
      </c>
      <c r="D2273" t="s">
        <v>120</v>
      </c>
      <c r="E2273" t="s">
        <v>142</v>
      </c>
      <c r="F2273" t="s">
        <v>122</v>
      </c>
      <c r="G2273" t="s">
        <v>114</v>
      </c>
      <c r="H2273" t="s">
        <v>131</v>
      </c>
      <c r="I2273" t="s">
        <v>155</v>
      </c>
      <c r="J2273" t="s">
        <v>94</v>
      </c>
      <c r="K2273">
        <v>3</v>
      </c>
      <c r="L2273">
        <v>11000</v>
      </c>
      <c r="M2273">
        <v>33000</v>
      </c>
      <c r="N2273" t="s">
        <v>108</v>
      </c>
      <c r="O2273" t="s">
        <v>115</v>
      </c>
    </row>
    <row r="2274" spans="1:15" x14ac:dyDescent="0.25">
      <c r="A2274">
        <v>827</v>
      </c>
      <c r="B2274" s="10">
        <v>45973</v>
      </c>
      <c r="C2274">
        <v>12</v>
      </c>
      <c r="D2274" t="s">
        <v>90</v>
      </c>
      <c r="E2274" t="s">
        <v>106</v>
      </c>
      <c r="F2274" t="s">
        <v>28</v>
      </c>
      <c r="G2274" t="s">
        <v>126</v>
      </c>
      <c r="H2274" t="s">
        <v>29</v>
      </c>
      <c r="I2274" t="s">
        <v>163</v>
      </c>
      <c r="J2274" t="s">
        <v>103</v>
      </c>
      <c r="K2274">
        <v>48</v>
      </c>
      <c r="L2274">
        <v>11000</v>
      </c>
      <c r="M2274">
        <v>528000</v>
      </c>
      <c r="N2274" t="s">
        <v>108</v>
      </c>
      <c r="O2274" t="s">
        <v>115</v>
      </c>
    </row>
    <row r="2275" spans="1:15" x14ac:dyDescent="0.25">
      <c r="A2275">
        <v>837</v>
      </c>
      <c r="B2275" s="10">
        <v>45685</v>
      </c>
      <c r="C2275">
        <v>28</v>
      </c>
      <c r="D2275" t="s">
        <v>130</v>
      </c>
      <c r="E2275" t="s">
        <v>106</v>
      </c>
      <c r="F2275" t="s">
        <v>28</v>
      </c>
      <c r="G2275" t="s">
        <v>126</v>
      </c>
      <c r="H2275" t="s">
        <v>29</v>
      </c>
      <c r="I2275" t="s">
        <v>163</v>
      </c>
      <c r="J2275" t="s">
        <v>103</v>
      </c>
      <c r="K2275">
        <v>16</v>
      </c>
      <c r="L2275">
        <v>11000</v>
      </c>
      <c r="M2275">
        <v>176000</v>
      </c>
      <c r="N2275" t="s">
        <v>95</v>
      </c>
      <c r="O2275" t="s">
        <v>96</v>
      </c>
    </row>
    <row r="2276" spans="1:15" x14ac:dyDescent="0.25">
      <c r="A2276">
        <v>965</v>
      </c>
      <c r="B2276" s="10">
        <v>45870</v>
      </c>
      <c r="C2276">
        <v>1</v>
      </c>
      <c r="D2276" t="s">
        <v>109</v>
      </c>
      <c r="E2276" t="s">
        <v>150</v>
      </c>
      <c r="F2276" t="s">
        <v>36</v>
      </c>
      <c r="G2276" t="s">
        <v>100</v>
      </c>
      <c r="H2276" t="s">
        <v>131</v>
      </c>
      <c r="I2276" t="s">
        <v>155</v>
      </c>
      <c r="J2276" t="s">
        <v>94</v>
      </c>
      <c r="K2276">
        <v>1</v>
      </c>
      <c r="L2276">
        <v>11000</v>
      </c>
      <c r="M2276">
        <v>11000</v>
      </c>
      <c r="N2276" t="s">
        <v>95</v>
      </c>
      <c r="O2276" t="s">
        <v>96</v>
      </c>
    </row>
    <row r="2277" spans="1:15" x14ac:dyDescent="0.25">
      <c r="A2277">
        <v>1536</v>
      </c>
      <c r="B2277" s="10">
        <v>45674</v>
      </c>
      <c r="C2277">
        <v>17</v>
      </c>
      <c r="D2277" t="s">
        <v>130</v>
      </c>
      <c r="E2277" t="s">
        <v>98</v>
      </c>
      <c r="F2277" t="s">
        <v>99</v>
      </c>
      <c r="G2277" t="s">
        <v>100</v>
      </c>
      <c r="H2277" t="s">
        <v>29</v>
      </c>
      <c r="I2277" t="s">
        <v>163</v>
      </c>
      <c r="J2277" t="s">
        <v>94</v>
      </c>
      <c r="K2277">
        <v>2</v>
      </c>
      <c r="L2277">
        <v>11000</v>
      </c>
      <c r="M2277">
        <v>22000</v>
      </c>
      <c r="N2277" t="s">
        <v>95</v>
      </c>
      <c r="O2277" t="s">
        <v>96</v>
      </c>
    </row>
    <row r="2278" spans="1:15" x14ac:dyDescent="0.25">
      <c r="A2278">
        <v>1678</v>
      </c>
      <c r="B2278" s="10">
        <v>45835</v>
      </c>
      <c r="C2278">
        <v>27</v>
      </c>
      <c r="D2278" t="s">
        <v>153</v>
      </c>
      <c r="E2278" t="s">
        <v>121</v>
      </c>
      <c r="F2278" t="s">
        <v>151</v>
      </c>
      <c r="G2278" t="s">
        <v>111</v>
      </c>
      <c r="H2278" t="s">
        <v>29</v>
      </c>
      <c r="I2278" t="s">
        <v>163</v>
      </c>
      <c r="J2278" t="s">
        <v>103</v>
      </c>
      <c r="K2278">
        <v>18</v>
      </c>
      <c r="L2278">
        <v>11000</v>
      </c>
      <c r="M2278">
        <v>198000</v>
      </c>
      <c r="N2278" t="s">
        <v>95</v>
      </c>
      <c r="O2278" t="s">
        <v>96</v>
      </c>
    </row>
    <row r="2279" spans="1:15" x14ac:dyDescent="0.25">
      <c r="A2279">
        <v>1771</v>
      </c>
      <c r="B2279" s="10">
        <v>46000</v>
      </c>
      <c r="C2279">
        <v>9</v>
      </c>
      <c r="D2279" t="s">
        <v>125</v>
      </c>
      <c r="E2279" t="s">
        <v>161</v>
      </c>
      <c r="F2279" t="s">
        <v>28</v>
      </c>
      <c r="G2279" t="s">
        <v>126</v>
      </c>
      <c r="H2279" t="s">
        <v>131</v>
      </c>
      <c r="I2279" t="s">
        <v>155</v>
      </c>
      <c r="J2279" t="s">
        <v>94</v>
      </c>
      <c r="K2279">
        <v>3</v>
      </c>
      <c r="L2279">
        <v>11000</v>
      </c>
      <c r="M2279">
        <v>33000</v>
      </c>
      <c r="N2279" t="s">
        <v>95</v>
      </c>
      <c r="O2279" t="s">
        <v>96</v>
      </c>
    </row>
    <row r="2280" spans="1:15" x14ac:dyDescent="0.25">
      <c r="A2280">
        <v>1864</v>
      </c>
      <c r="B2280" s="10">
        <v>45949</v>
      </c>
      <c r="C2280">
        <v>19</v>
      </c>
      <c r="D2280" t="s">
        <v>136</v>
      </c>
      <c r="E2280" t="s">
        <v>25</v>
      </c>
      <c r="F2280" t="s">
        <v>36</v>
      </c>
      <c r="G2280" t="s">
        <v>100</v>
      </c>
      <c r="H2280" t="s">
        <v>37</v>
      </c>
      <c r="I2280" t="s">
        <v>160</v>
      </c>
      <c r="J2280" t="s">
        <v>94</v>
      </c>
      <c r="K2280">
        <v>6</v>
      </c>
      <c r="L2280">
        <v>11000</v>
      </c>
      <c r="M2280">
        <v>66000</v>
      </c>
      <c r="N2280" t="s">
        <v>108</v>
      </c>
      <c r="O2280" t="s">
        <v>104</v>
      </c>
    </row>
    <row r="2281" spans="1:15" x14ac:dyDescent="0.25">
      <c r="A2281">
        <v>2726</v>
      </c>
      <c r="B2281" s="10">
        <v>46017</v>
      </c>
      <c r="C2281">
        <v>26</v>
      </c>
      <c r="D2281" t="s">
        <v>125</v>
      </c>
      <c r="E2281" t="s">
        <v>128</v>
      </c>
      <c r="F2281" t="s">
        <v>36</v>
      </c>
      <c r="G2281" t="s">
        <v>100</v>
      </c>
      <c r="H2281" t="s">
        <v>131</v>
      </c>
      <c r="I2281" t="s">
        <v>155</v>
      </c>
      <c r="J2281" t="s">
        <v>94</v>
      </c>
      <c r="K2281">
        <v>3</v>
      </c>
      <c r="L2281">
        <v>11000</v>
      </c>
      <c r="M2281">
        <v>33000</v>
      </c>
      <c r="N2281" t="s">
        <v>108</v>
      </c>
      <c r="O2281" t="s">
        <v>115</v>
      </c>
    </row>
    <row r="2282" spans="1:15" x14ac:dyDescent="0.25">
      <c r="A2282">
        <v>3531</v>
      </c>
      <c r="B2282" s="10">
        <v>45800</v>
      </c>
      <c r="C2282">
        <v>23</v>
      </c>
      <c r="D2282" t="s">
        <v>120</v>
      </c>
      <c r="E2282" t="s">
        <v>138</v>
      </c>
      <c r="F2282" t="s">
        <v>49</v>
      </c>
      <c r="G2282" t="s">
        <v>118</v>
      </c>
      <c r="H2282" t="s">
        <v>37</v>
      </c>
      <c r="I2282" t="s">
        <v>160</v>
      </c>
      <c r="J2282" t="s">
        <v>103</v>
      </c>
      <c r="K2282">
        <v>18</v>
      </c>
      <c r="L2282">
        <v>11000</v>
      </c>
      <c r="M2282">
        <v>198000</v>
      </c>
      <c r="N2282" t="s">
        <v>95</v>
      </c>
      <c r="O2282" t="s">
        <v>115</v>
      </c>
    </row>
    <row r="2283" spans="1:15" x14ac:dyDescent="0.25">
      <c r="A2283">
        <v>3823</v>
      </c>
      <c r="B2283" s="10">
        <v>45874</v>
      </c>
      <c r="C2283">
        <v>5</v>
      </c>
      <c r="D2283" t="s">
        <v>109</v>
      </c>
      <c r="E2283" t="s">
        <v>133</v>
      </c>
      <c r="F2283" t="s">
        <v>144</v>
      </c>
      <c r="G2283" t="s">
        <v>91</v>
      </c>
      <c r="H2283" t="s">
        <v>131</v>
      </c>
      <c r="I2283" t="s">
        <v>155</v>
      </c>
      <c r="J2283" t="s">
        <v>94</v>
      </c>
      <c r="K2283">
        <v>10</v>
      </c>
      <c r="L2283">
        <v>11000</v>
      </c>
      <c r="M2283">
        <v>110000</v>
      </c>
      <c r="N2283" t="s">
        <v>108</v>
      </c>
      <c r="O2283" t="s">
        <v>115</v>
      </c>
    </row>
    <row r="2284" spans="1:15" x14ac:dyDescent="0.25">
      <c r="A2284">
        <v>4137</v>
      </c>
      <c r="B2284" s="10">
        <v>46007</v>
      </c>
      <c r="C2284">
        <v>16</v>
      </c>
      <c r="D2284" t="s">
        <v>125</v>
      </c>
      <c r="E2284" t="s">
        <v>161</v>
      </c>
      <c r="F2284" t="s">
        <v>36</v>
      </c>
      <c r="G2284" t="s">
        <v>100</v>
      </c>
      <c r="H2284" t="s">
        <v>131</v>
      </c>
      <c r="I2284" t="s">
        <v>155</v>
      </c>
      <c r="J2284" t="s">
        <v>94</v>
      </c>
      <c r="K2284">
        <v>7</v>
      </c>
      <c r="L2284">
        <v>11000</v>
      </c>
      <c r="M2284">
        <v>77000</v>
      </c>
      <c r="N2284" t="s">
        <v>108</v>
      </c>
      <c r="O2284" t="s">
        <v>104</v>
      </c>
    </row>
    <row r="2285" spans="1:15" x14ac:dyDescent="0.25">
      <c r="A2285">
        <v>4346</v>
      </c>
      <c r="B2285" s="10">
        <v>45963</v>
      </c>
      <c r="C2285">
        <v>2</v>
      </c>
      <c r="D2285" t="s">
        <v>90</v>
      </c>
      <c r="E2285" t="s">
        <v>121</v>
      </c>
      <c r="F2285" t="s">
        <v>141</v>
      </c>
      <c r="G2285" t="s">
        <v>100</v>
      </c>
      <c r="H2285" t="s">
        <v>131</v>
      </c>
      <c r="I2285" t="s">
        <v>155</v>
      </c>
      <c r="J2285" t="s">
        <v>94</v>
      </c>
      <c r="K2285">
        <v>3</v>
      </c>
      <c r="L2285">
        <v>11000</v>
      </c>
      <c r="M2285">
        <v>33000</v>
      </c>
      <c r="N2285" t="s">
        <v>95</v>
      </c>
      <c r="O2285" t="s">
        <v>104</v>
      </c>
    </row>
    <row r="2286" spans="1:15" x14ac:dyDescent="0.25">
      <c r="A2286">
        <v>4888</v>
      </c>
      <c r="B2286" s="10">
        <v>45930</v>
      </c>
      <c r="C2286">
        <v>30</v>
      </c>
      <c r="D2286" t="s">
        <v>147</v>
      </c>
      <c r="E2286" t="s">
        <v>121</v>
      </c>
      <c r="F2286" t="s">
        <v>107</v>
      </c>
      <c r="G2286" t="s">
        <v>100</v>
      </c>
      <c r="H2286" t="s">
        <v>29</v>
      </c>
      <c r="I2286" t="s">
        <v>163</v>
      </c>
      <c r="J2286" t="s">
        <v>103</v>
      </c>
      <c r="K2286">
        <v>39</v>
      </c>
      <c r="L2286">
        <v>11000</v>
      </c>
      <c r="M2286">
        <v>429000</v>
      </c>
      <c r="N2286" t="s">
        <v>108</v>
      </c>
      <c r="O2286" t="s">
        <v>104</v>
      </c>
    </row>
    <row r="2287" spans="1:15" x14ac:dyDescent="0.25">
      <c r="A2287">
        <v>343</v>
      </c>
      <c r="B2287" s="10">
        <v>45964</v>
      </c>
      <c r="C2287">
        <v>3</v>
      </c>
      <c r="D2287" t="s">
        <v>90</v>
      </c>
      <c r="E2287" t="s">
        <v>133</v>
      </c>
      <c r="F2287" t="s">
        <v>148</v>
      </c>
      <c r="G2287" t="s">
        <v>118</v>
      </c>
      <c r="H2287" t="s">
        <v>131</v>
      </c>
      <c r="I2287" t="s">
        <v>155</v>
      </c>
      <c r="J2287" t="s">
        <v>94</v>
      </c>
      <c r="K2287">
        <v>6</v>
      </c>
      <c r="L2287">
        <v>11100</v>
      </c>
      <c r="M2287">
        <v>66600</v>
      </c>
      <c r="N2287" t="s">
        <v>95</v>
      </c>
      <c r="O2287" t="s">
        <v>104</v>
      </c>
    </row>
    <row r="2288" spans="1:15" x14ac:dyDescent="0.25">
      <c r="A2288">
        <v>1015</v>
      </c>
      <c r="B2288" s="10">
        <v>45740</v>
      </c>
      <c r="C2288">
        <v>24</v>
      </c>
      <c r="D2288" t="s">
        <v>140</v>
      </c>
      <c r="E2288" t="s">
        <v>116</v>
      </c>
      <c r="F2288" t="s">
        <v>99</v>
      </c>
      <c r="G2288" t="s">
        <v>100</v>
      </c>
      <c r="H2288" t="s">
        <v>29</v>
      </c>
      <c r="I2288" t="s">
        <v>163</v>
      </c>
      <c r="J2288" t="s">
        <v>103</v>
      </c>
      <c r="K2288">
        <v>33</v>
      </c>
      <c r="L2288">
        <v>11100</v>
      </c>
      <c r="M2288">
        <v>366300</v>
      </c>
      <c r="N2288" t="s">
        <v>95</v>
      </c>
      <c r="O2288" t="s">
        <v>96</v>
      </c>
    </row>
    <row r="2289" spans="1:15" x14ac:dyDescent="0.25">
      <c r="A2289">
        <v>1700</v>
      </c>
      <c r="B2289" s="10">
        <v>45986</v>
      </c>
      <c r="C2289">
        <v>25</v>
      </c>
      <c r="D2289" t="s">
        <v>90</v>
      </c>
      <c r="E2289" t="s">
        <v>161</v>
      </c>
      <c r="F2289" t="s">
        <v>28</v>
      </c>
      <c r="G2289" t="s">
        <v>126</v>
      </c>
      <c r="H2289" t="s">
        <v>131</v>
      </c>
      <c r="I2289" t="s">
        <v>155</v>
      </c>
      <c r="J2289" t="s">
        <v>94</v>
      </c>
      <c r="K2289">
        <v>5</v>
      </c>
      <c r="L2289">
        <v>11100</v>
      </c>
      <c r="M2289">
        <v>55500</v>
      </c>
      <c r="N2289" t="s">
        <v>108</v>
      </c>
      <c r="O2289" t="s">
        <v>115</v>
      </c>
    </row>
    <row r="2290" spans="1:15" x14ac:dyDescent="0.25">
      <c r="A2290">
        <v>1783</v>
      </c>
      <c r="B2290" s="10">
        <v>45700</v>
      </c>
      <c r="C2290">
        <v>12</v>
      </c>
      <c r="D2290" t="s">
        <v>97</v>
      </c>
      <c r="E2290" t="s">
        <v>121</v>
      </c>
      <c r="F2290" t="s">
        <v>107</v>
      </c>
      <c r="G2290" t="s">
        <v>100</v>
      </c>
      <c r="H2290" t="s">
        <v>29</v>
      </c>
      <c r="I2290" t="s">
        <v>163</v>
      </c>
      <c r="J2290" t="s">
        <v>94</v>
      </c>
      <c r="K2290">
        <v>3</v>
      </c>
      <c r="L2290">
        <v>11100</v>
      </c>
      <c r="M2290">
        <v>33300</v>
      </c>
      <c r="N2290" t="s">
        <v>95</v>
      </c>
      <c r="O2290" t="s">
        <v>104</v>
      </c>
    </row>
    <row r="2291" spans="1:15" x14ac:dyDescent="0.25">
      <c r="A2291">
        <v>2435</v>
      </c>
      <c r="B2291" s="10">
        <v>45672</v>
      </c>
      <c r="C2291">
        <v>15</v>
      </c>
      <c r="D2291" t="s">
        <v>130</v>
      </c>
      <c r="E2291" t="s">
        <v>112</v>
      </c>
      <c r="F2291" t="s">
        <v>148</v>
      </c>
      <c r="G2291" t="s">
        <v>118</v>
      </c>
      <c r="H2291" t="s">
        <v>131</v>
      </c>
      <c r="I2291" t="s">
        <v>155</v>
      </c>
      <c r="J2291" t="s">
        <v>94</v>
      </c>
      <c r="K2291">
        <v>8</v>
      </c>
      <c r="L2291">
        <v>11100</v>
      </c>
      <c r="M2291">
        <v>88800</v>
      </c>
      <c r="N2291" t="s">
        <v>108</v>
      </c>
      <c r="O2291" t="s">
        <v>96</v>
      </c>
    </row>
    <row r="2292" spans="1:15" x14ac:dyDescent="0.25">
      <c r="A2292">
        <v>2446</v>
      </c>
      <c r="B2292" s="10">
        <v>45848</v>
      </c>
      <c r="C2292">
        <v>10</v>
      </c>
      <c r="D2292" t="s">
        <v>145</v>
      </c>
      <c r="E2292" t="s">
        <v>110</v>
      </c>
      <c r="F2292" t="s">
        <v>22</v>
      </c>
      <c r="G2292" t="s">
        <v>91</v>
      </c>
      <c r="H2292" t="s">
        <v>131</v>
      </c>
      <c r="I2292" t="s">
        <v>155</v>
      </c>
      <c r="J2292" t="s">
        <v>94</v>
      </c>
      <c r="K2292">
        <v>1</v>
      </c>
      <c r="L2292">
        <v>11100</v>
      </c>
      <c r="M2292">
        <v>11100</v>
      </c>
      <c r="N2292" t="s">
        <v>95</v>
      </c>
      <c r="O2292" t="s">
        <v>96</v>
      </c>
    </row>
    <row r="2293" spans="1:15" x14ac:dyDescent="0.25">
      <c r="A2293">
        <v>2633</v>
      </c>
      <c r="B2293" s="10">
        <v>45773</v>
      </c>
      <c r="C2293">
        <v>26</v>
      </c>
      <c r="D2293" t="s">
        <v>105</v>
      </c>
      <c r="E2293" t="s">
        <v>138</v>
      </c>
      <c r="F2293" t="s">
        <v>49</v>
      </c>
      <c r="G2293" t="s">
        <v>118</v>
      </c>
      <c r="H2293" t="s">
        <v>131</v>
      </c>
      <c r="I2293" t="s">
        <v>155</v>
      </c>
      <c r="J2293" t="s">
        <v>94</v>
      </c>
      <c r="K2293">
        <v>9</v>
      </c>
      <c r="L2293">
        <v>11100</v>
      </c>
      <c r="M2293">
        <v>99900</v>
      </c>
      <c r="N2293" t="s">
        <v>108</v>
      </c>
      <c r="O2293" t="s">
        <v>104</v>
      </c>
    </row>
    <row r="2294" spans="1:15" x14ac:dyDescent="0.25">
      <c r="A2294">
        <v>3079</v>
      </c>
      <c r="B2294" s="10">
        <v>45766</v>
      </c>
      <c r="C2294">
        <v>19</v>
      </c>
      <c r="D2294" t="s">
        <v>105</v>
      </c>
      <c r="E2294" t="s">
        <v>133</v>
      </c>
      <c r="F2294" t="s">
        <v>22</v>
      </c>
      <c r="G2294" t="s">
        <v>91</v>
      </c>
      <c r="H2294" t="s">
        <v>131</v>
      </c>
      <c r="I2294" t="s">
        <v>155</v>
      </c>
      <c r="J2294" t="s">
        <v>94</v>
      </c>
      <c r="K2294">
        <v>9</v>
      </c>
      <c r="L2294">
        <v>11100</v>
      </c>
      <c r="M2294">
        <v>99900</v>
      </c>
      <c r="N2294" t="s">
        <v>108</v>
      </c>
      <c r="O2294" t="s">
        <v>96</v>
      </c>
    </row>
    <row r="2295" spans="1:15" x14ac:dyDescent="0.25">
      <c r="A2295">
        <v>3195</v>
      </c>
      <c r="B2295" s="10">
        <v>45938</v>
      </c>
      <c r="C2295">
        <v>8</v>
      </c>
      <c r="D2295" t="s">
        <v>136</v>
      </c>
      <c r="E2295" t="s">
        <v>110</v>
      </c>
      <c r="F2295" t="s">
        <v>134</v>
      </c>
      <c r="G2295" t="s">
        <v>100</v>
      </c>
      <c r="H2295" t="s">
        <v>37</v>
      </c>
      <c r="I2295" t="s">
        <v>160</v>
      </c>
      <c r="J2295" t="s">
        <v>94</v>
      </c>
      <c r="K2295">
        <v>5</v>
      </c>
      <c r="L2295">
        <v>11100</v>
      </c>
      <c r="M2295">
        <v>55500</v>
      </c>
      <c r="N2295" t="s">
        <v>108</v>
      </c>
      <c r="O2295" t="s">
        <v>115</v>
      </c>
    </row>
    <row r="2296" spans="1:15" x14ac:dyDescent="0.25">
      <c r="A2296">
        <v>3552</v>
      </c>
      <c r="B2296" s="10">
        <v>45670</v>
      </c>
      <c r="C2296">
        <v>13</v>
      </c>
      <c r="D2296" t="s">
        <v>130</v>
      </c>
      <c r="E2296" t="s">
        <v>137</v>
      </c>
      <c r="F2296" t="s">
        <v>117</v>
      </c>
      <c r="G2296" t="s">
        <v>118</v>
      </c>
      <c r="H2296" t="s">
        <v>37</v>
      </c>
      <c r="I2296" t="s">
        <v>160</v>
      </c>
      <c r="J2296" t="s">
        <v>94</v>
      </c>
      <c r="K2296">
        <v>3</v>
      </c>
      <c r="L2296">
        <v>11100</v>
      </c>
      <c r="M2296">
        <v>33300</v>
      </c>
      <c r="N2296" t="s">
        <v>108</v>
      </c>
      <c r="O2296" t="s">
        <v>104</v>
      </c>
    </row>
    <row r="2297" spans="1:15" x14ac:dyDescent="0.25">
      <c r="A2297">
        <v>3612</v>
      </c>
      <c r="B2297" s="10">
        <v>45936</v>
      </c>
      <c r="C2297">
        <v>6</v>
      </c>
      <c r="D2297" t="s">
        <v>136</v>
      </c>
      <c r="E2297" t="s">
        <v>121</v>
      </c>
      <c r="F2297" t="s">
        <v>28</v>
      </c>
      <c r="G2297" t="s">
        <v>126</v>
      </c>
      <c r="H2297" t="s">
        <v>131</v>
      </c>
      <c r="I2297" t="s">
        <v>155</v>
      </c>
      <c r="J2297" t="s">
        <v>94</v>
      </c>
      <c r="K2297">
        <v>4</v>
      </c>
      <c r="L2297">
        <v>11100</v>
      </c>
      <c r="M2297">
        <v>44400</v>
      </c>
      <c r="N2297" t="s">
        <v>108</v>
      </c>
      <c r="O2297" t="s">
        <v>115</v>
      </c>
    </row>
    <row r="2298" spans="1:15" x14ac:dyDescent="0.25">
      <c r="A2298">
        <v>3976</v>
      </c>
      <c r="B2298" s="10">
        <v>45992</v>
      </c>
      <c r="C2298">
        <v>1</v>
      </c>
      <c r="D2298" t="s">
        <v>125</v>
      </c>
      <c r="E2298" t="s">
        <v>110</v>
      </c>
      <c r="F2298" t="s">
        <v>117</v>
      </c>
      <c r="G2298" t="s">
        <v>118</v>
      </c>
      <c r="H2298" t="s">
        <v>131</v>
      </c>
      <c r="I2298" t="s">
        <v>155</v>
      </c>
      <c r="J2298" t="s">
        <v>94</v>
      </c>
      <c r="K2298">
        <v>7</v>
      </c>
      <c r="L2298">
        <v>11100</v>
      </c>
      <c r="M2298">
        <v>77700</v>
      </c>
      <c r="N2298" t="s">
        <v>108</v>
      </c>
      <c r="O2298" t="s">
        <v>115</v>
      </c>
    </row>
    <row r="2299" spans="1:15" x14ac:dyDescent="0.25">
      <c r="A2299">
        <v>4128</v>
      </c>
      <c r="B2299" s="10">
        <v>45690</v>
      </c>
      <c r="C2299">
        <v>2</v>
      </c>
      <c r="D2299" t="s">
        <v>97</v>
      </c>
      <c r="E2299" t="s">
        <v>133</v>
      </c>
      <c r="F2299" t="s">
        <v>122</v>
      </c>
      <c r="G2299" t="s">
        <v>114</v>
      </c>
      <c r="H2299" t="s">
        <v>29</v>
      </c>
      <c r="I2299" t="s">
        <v>163</v>
      </c>
      <c r="J2299" t="s">
        <v>103</v>
      </c>
      <c r="K2299">
        <v>5</v>
      </c>
      <c r="L2299">
        <v>11100</v>
      </c>
      <c r="M2299">
        <v>55500</v>
      </c>
      <c r="N2299" t="s">
        <v>95</v>
      </c>
      <c r="O2299" t="s">
        <v>96</v>
      </c>
    </row>
    <row r="2300" spans="1:15" x14ac:dyDescent="0.25">
      <c r="A2300">
        <v>4496</v>
      </c>
      <c r="B2300" s="10">
        <v>45725</v>
      </c>
      <c r="C2300">
        <v>9</v>
      </c>
      <c r="D2300" t="s">
        <v>140</v>
      </c>
      <c r="E2300" t="s">
        <v>161</v>
      </c>
      <c r="F2300" t="s">
        <v>151</v>
      </c>
      <c r="G2300" t="s">
        <v>111</v>
      </c>
      <c r="H2300" t="s">
        <v>37</v>
      </c>
      <c r="I2300" t="s">
        <v>160</v>
      </c>
      <c r="J2300" t="s">
        <v>103</v>
      </c>
      <c r="K2300">
        <v>32</v>
      </c>
      <c r="L2300">
        <v>11100</v>
      </c>
      <c r="M2300">
        <v>355200</v>
      </c>
      <c r="N2300" t="s">
        <v>95</v>
      </c>
      <c r="O2300" t="s">
        <v>96</v>
      </c>
    </row>
    <row r="2301" spans="1:15" x14ac:dyDescent="0.25">
      <c r="A2301">
        <v>581</v>
      </c>
      <c r="B2301" s="10">
        <v>45716</v>
      </c>
      <c r="C2301">
        <v>28</v>
      </c>
      <c r="D2301" t="s">
        <v>97</v>
      </c>
      <c r="E2301" t="s">
        <v>133</v>
      </c>
      <c r="F2301" t="s">
        <v>122</v>
      </c>
      <c r="G2301" t="s">
        <v>114</v>
      </c>
      <c r="H2301" t="s">
        <v>131</v>
      </c>
      <c r="I2301" t="s">
        <v>155</v>
      </c>
      <c r="J2301" t="s">
        <v>94</v>
      </c>
      <c r="K2301">
        <v>10</v>
      </c>
      <c r="L2301">
        <v>11200</v>
      </c>
      <c r="M2301">
        <v>112000</v>
      </c>
      <c r="N2301" t="s">
        <v>95</v>
      </c>
      <c r="O2301" t="s">
        <v>96</v>
      </c>
    </row>
    <row r="2302" spans="1:15" x14ac:dyDescent="0.25">
      <c r="A2302">
        <v>606</v>
      </c>
      <c r="B2302" s="10">
        <v>45944</v>
      </c>
      <c r="C2302">
        <v>14</v>
      </c>
      <c r="D2302" t="s">
        <v>136</v>
      </c>
      <c r="E2302" t="s">
        <v>128</v>
      </c>
      <c r="F2302" t="s">
        <v>148</v>
      </c>
      <c r="G2302" t="s">
        <v>118</v>
      </c>
      <c r="H2302" t="s">
        <v>37</v>
      </c>
      <c r="I2302" t="s">
        <v>160</v>
      </c>
      <c r="J2302" t="s">
        <v>103</v>
      </c>
      <c r="K2302">
        <v>19</v>
      </c>
      <c r="L2302">
        <v>11200</v>
      </c>
      <c r="M2302">
        <v>212800</v>
      </c>
      <c r="N2302" t="s">
        <v>95</v>
      </c>
      <c r="O2302" t="s">
        <v>115</v>
      </c>
    </row>
    <row r="2303" spans="1:15" x14ac:dyDescent="0.25">
      <c r="A2303">
        <v>873</v>
      </c>
      <c r="B2303" s="10">
        <v>46020</v>
      </c>
      <c r="C2303">
        <v>29</v>
      </c>
      <c r="D2303" t="s">
        <v>125</v>
      </c>
      <c r="E2303" t="s">
        <v>25</v>
      </c>
      <c r="F2303" t="s">
        <v>122</v>
      </c>
      <c r="G2303" t="s">
        <v>114</v>
      </c>
      <c r="H2303" t="s">
        <v>37</v>
      </c>
      <c r="I2303" t="s">
        <v>160</v>
      </c>
      <c r="J2303" t="s">
        <v>94</v>
      </c>
      <c r="K2303">
        <v>6</v>
      </c>
      <c r="L2303">
        <v>11200</v>
      </c>
      <c r="M2303">
        <v>67200</v>
      </c>
      <c r="N2303" t="s">
        <v>108</v>
      </c>
      <c r="O2303" t="s">
        <v>96</v>
      </c>
    </row>
    <row r="2304" spans="1:15" x14ac:dyDescent="0.25">
      <c r="A2304">
        <v>1052</v>
      </c>
      <c r="B2304" s="10">
        <v>45889</v>
      </c>
      <c r="C2304">
        <v>20</v>
      </c>
      <c r="D2304" t="s">
        <v>109</v>
      </c>
      <c r="E2304" t="s">
        <v>128</v>
      </c>
      <c r="F2304" t="s">
        <v>113</v>
      </c>
      <c r="G2304" t="s">
        <v>114</v>
      </c>
      <c r="H2304" t="s">
        <v>131</v>
      </c>
      <c r="I2304" t="s">
        <v>155</v>
      </c>
      <c r="J2304" t="s">
        <v>94</v>
      </c>
      <c r="K2304">
        <v>3</v>
      </c>
      <c r="L2304">
        <v>11200</v>
      </c>
      <c r="M2304">
        <v>33600</v>
      </c>
      <c r="N2304" t="s">
        <v>108</v>
      </c>
      <c r="O2304" t="s">
        <v>115</v>
      </c>
    </row>
    <row r="2305" spans="1:15" x14ac:dyDescent="0.25">
      <c r="A2305">
        <v>1358</v>
      </c>
      <c r="B2305" s="10">
        <v>45705</v>
      </c>
      <c r="C2305">
        <v>17</v>
      </c>
      <c r="D2305" t="s">
        <v>97</v>
      </c>
      <c r="E2305" t="s">
        <v>150</v>
      </c>
      <c r="F2305" t="s">
        <v>151</v>
      </c>
      <c r="G2305" t="s">
        <v>111</v>
      </c>
      <c r="H2305" t="s">
        <v>131</v>
      </c>
      <c r="I2305" t="s">
        <v>155</v>
      </c>
      <c r="J2305" t="s">
        <v>94</v>
      </c>
      <c r="K2305">
        <v>2</v>
      </c>
      <c r="L2305">
        <v>11200</v>
      </c>
      <c r="M2305">
        <v>22400</v>
      </c>
      <c r="N2305" t="s">
        <v>95</v>
      </c>
      <c r="O2305" t="s">
        <v>96</v>
      </c>
    </row>
    <row r="2306" spans="1:15" x14ac:dyDescent="0.25">
      <c r="A2306">
        <v>1436</v>
      </c>
      <c r="B2306" s="10">
        <v>46016</v>
      </c>
      <c r="C2306">
        <v>25</v>
      </c>
      <c r="D2306" t="s">
        <v>125</v>
      </c>
      <c r="E2306" t="s">
        <v>161</v>
      </c>
      <c r="F2306" t="s">
        <v>134</v>
      </c>
      <c r="G2306" t="s">
        <v>100</v>
      </c>
      <c r="H2306" t="s">
        <v>131</v>
      </c>
      <c r="I2306" t="s">
        <v>155</v>
      </c>
      <c r="J2306" t="s">
        <v>94</v>
      </c>
      <c r="K2306">
        <v>4</v>
      </c>
      <c r="L2306">
        <v>11200</v>
      </c>
      <c r="M2306">
        <v>44800</v>
      </c>
      <c r="N2306" t="s">
        <v>108</v>
      </c>
      <c r="O2306" t="s">
        <v>115</v>
      </c>
    </row>
    <row r="2307" spans="1:15" x14ac:dyDescent="0.25">
      <c r="A2307">
        <v>1527</v>
      </c>
      <c r="B2307" s="10">
        <v>45790</v>
      </c>
      <c r="C2307">
        <v>13</v>
      </c>
      <c r="D2307" t="s">
        <v>120</v>
      </c>
      <c r="E2307" t="s">
        <v>112</v>
      </c>
      <c r="F2307" t="s">
        <v>117</v>
      </c>
      <c r="G2307" t="s">
        <v>118</v>
      </c>
      <c r="H2307" t="s">
        <v>37</v>
      </c>
      <c r="I2307" t="s">
        <v>160</v>
      </c>
      <c r="J2307" t="s">
        <v>103</v>
      </c>
      <c r="K2307">
        <v>13</v>
      </c>
      <c r="L2307">
        <v>11200</v>
      </c>
      <c r="M2307">
        <v>145600</v>
      </c>
      <c r="N2307" t="s">
        <v>95</v>
      </c>
      <c r="O2307" t="s">
        <v>96</v>
      </c>
    </row>
    <row r="2308" spans="1:15" x14ac:dyDescent="0.25">
      <c r="A2308">
        <v>2204</v>
      </c>
      <c r="B2308" s="10">
        <v>45928</v>
      </c>
      <c r="C2308">
        <v>28</v>
      </c>
      <c r="D2308" t="s">
        <v>147</v>
      </c>
      <c r="E2308" t="s">
        <v>161</v>
      </c>
      <c r="F2308" t="s">
        <v>22</v>
      </c>
      <c r="G2308" t="s">
        <v>91</v>
      </c>
      <c r="H2308" t="s">
        <v>37</v>
      </c>
      <c r="I2308" t="s">
        <v>160</v>
      </c>
      <c r="J2308" t="s">
        <v>94</v>
      </c>
      <c r="K2308">
        <v>9</v>
      </c>
      <c r="L2308">
        <v>11200</v>
      </c>
      <c r="M2308">
        <v>100800</v>
      </c>
      <c r="N2308" t="s">
        <v>108</v>
      </c>
      <c r="O2308" t="s">
        <v>115</v>
      </c>
    </row>
    <row r="2309" spans="1:15" x14ac:dyDescent="0.25">
      <c r="A2309">
        <v>2321</v>
      </c>
      <c r="B2309" s="10">
        <v>45827</v>
      </c>
      <c r="C2309">
        <v>19</v>
      </c>
      <c r="D2309" t="s">
        <v>153</v>
      </c>
      <c r="E2309" t="s">
        <v>137</v>
      </c>
      <c r="F2309" t="s">
        <v>117</v>
      </c>
      <c r="G2309" t="s">
        <v>118</v>
      </c>
      <c r="H2309" t="s">
        <v>131</v>
      </c>
      <c r="I2309" t="s">
        <v>155</v>
      </c>
      <c r="J2309" t="s">
        <v>94</v>
      </c>
      <c r="K2309">
        <v>6</v>
      </c>
      <c r="L2309">
        <v>11200</v>
      </c>
      <c r="M2309">
        <v>67200</v>
      </c>
      <c r="N2309" t="s">
        <v>108</v>
      </c>
      <c r="O2309" t="s">
        <v>115</v>
      </c>
    </row>
    <row r="2310" spans="1:15" x14ac:dyDescent="0.25">
      <c r="A2310">
        <v>3013</v>
      </c>
      <c r="B2310" s="10">
        <v>45860</v>
      </c>
      <c r="C2310">
        <v>22</v>
      </c>
      <c r="D2310" t="s">
        <v>145</v>
      </c>
      <c r="E2310" t="s">
        <v>98</v>
      </c>
      <c r="F2310" t="s">
        <v>113</v>
      </c>
      <c r="G2310" t="s">
        <v>114</v>
      </c>
      <c r="H2310" t="s">
        <v>29</v>
      </c>
      <c r="I2310" t="s">
        <v>163</v>
      </c>
      <c r="J2310" t="s">
        <v>94</v>
      </c>
      <c r="K2310">
        <v>9</v>
      </c>
      <c r="L2310">
        <v>11200</v>
      </c>
      <c r="M2310">
        <v>100800</v>
      </c>
      <c r="N2310" t="s">
        <v>108</v>
      </c>
      <c r="O2310" t="s">
        <v>115</v>
      </c>
    </row>
    <row r="2311" spans="1:15" x14ac:dyDescent="0.25">
      <c r="A2311">
        <v>3603</v>
      </c>
      <c r="B2311" s="10">
        <v>45774</v>
      </c>
      <c r="C2311">
        <v>27</v>
      </c>
      <c r="D2311" t="s">
        <v>105</v>
      </c>
      <c r="E2311" t="s">
        <v>128</v>
      </c>
      <c r="F2311" t="s">
        <v>28</v>
      </c>
      <c r="G2311" t="s">
        <v>126</v>
      </c>
      <c r="H2311" t="s">
        <v>29</v>
      </c>
      <c r="I2311" t="s">
        <v>163</v>
      </c>
      <c r="J2311" t="s">
        <v>103</v>
      </c>
      <c r="K2311">
        <v>48</v>
      </c>
      <c r="L2311">
        <v>11200</v>
      </c>
      <c r="M2311">
        <v>537600</v>
      </c>
      <c r="N2311" t="s">
        <v>95</v>
      </c>
      <c r="O2311" t="s">
        <v>104</v>
      </c>
    </row>
    <row r="2312" spans="1:15" x14ac:dyDescent="0.25">
      <c r="A2312">
        <v>4633</v>
      </c>
      <c r="B2312" s="10">
        <v>45792</v>
      </c>
      <c r="C2312">
        <v>15</v>
      </c>
      <c r="D2312" t="s">
        <v>120</v>
      </c>
      <c r="E2312" t="s">
        <v>161</v>
      </c>
      <c r="F2312" t="s">
        <v>107</v>
      </c>
      <c r="G2312" t="s">
        <v>100</v>
      </c>
      <c r="H2312" t="s">
        <v>131</v>
      </c>
      <c r="I2312" t="s">
        <v>155</v>
      </c>
      <c r="J2312" t="s">
        <v>94</v>
      </c>
      <c r="K2312">
        <v>6</v>
      </c>
      <c r="L2312">
        <v>11200</v>
      </c>
      <c r="M2312">
        <v>67200</v>
      </c>
      <c r="N2312" t="s">
        <v>95</v>
      </c>
      <c r="O2312" t="s">
        <v>96</v>
      </c>
    </row>
    <row r="2313" spans="1:15" x14ac:dyDescent="0.25">
      <c r="A2313">
        <v>184</v>
      </c>
      <c r="B2313" s="10">
        <v>45917</v>
      </c>
      <c r="C2313">
        <v>17</v>
      </c>
      <c r="D2313" t="s">
        <v>147</v>
      </c>
      <c r="E2313" t="s">
        <v>31</v>
      </c>
      <c r="F2313" t="s">
        <v>44</v>
      </c>
      <c r="G2313" t="s">
        <v>111</v>
      </c>
      <c r="H2313" t="s">
        <v>131</v>
      </c>
      <c r="I2313" t="s">
        <v>155</v>
      </c>
      <c r="J2313" t="s">
        <v>94</v>
      </c>
      <c r="K2313">
        <v>1</v>
      </c>
      <c r="L2313">
        <v>11300</v>
      </c>
      <c r="M2313">
        <v>11300</v>
      </c>
      <c r="N2313" t="s">
        <v>108</v>
      </c>
      <c r="O2313" t="s">
        <v>115</v>
      </c>
    </row>
    <row r="2314" spans="1:15" x14ac:dyDescent="0.25">
      <c r="A2314">
        <v>517</v>
      </c>
      <c r="B2314" s="10">
        <v>45778</v>
      </c>
      <c r="C2314">
        <v>1</v>
      </c>
      <c r="D2314" t="s">
        <v>120</v>
      </c>
      <c r="E2314" t="s">
        <v>31</v>
      </c>
      <c r="F2314" t="s">
        <v>151</v>
      </c>
      <c r="G2314" t="s">
        <v>111</v>
      </c>
      <c r="H2314" t="s">
        <v>131</v>
      </c>
      <c r="I2314" t="s">
        <v>155</v>
      </c>
      <c r="J2314" t="s">
        <v>94</v>
      </c>
      <c r="K2314">
        <v>8</v>
      </c>
      <c r="L2314">
        <v>11300</v>
      </c>
      <c r="M2314">
        <v>90400</v>
      </c>
      <c r="N2314" t="s">
        <v>108</v>
      </c>
      <c r="O2314" t="s">
        <v>115</v>
      </c>
    </row>
    <row r="2315" spans="1:15" x14ac:dyDescent="0.25">
      <c r="A2315">
        <v>745</v>
      </c>
      <c r="B2315" s="10">
        <v>45831</v>
      </c>
      <c r="C2315">
        <v>23</v>
      </c>
      <c r="D2315" t="s">
        <v>153</v>
      </c>
      <c r="E2315" t="s">
        <v>128</v>
      </c>
      <c r="F2315" t="s">
        <v>122</v>
      </c>
      <c r="G2315" t="s">
        <v>114</v>
      </c>
      <c r="H2315" t="s">
        <v>131</v>
      </c>
      <c r="I2315" t="s">
        <v>155</v>
      </c>
      <c r="J2315" t="s">
        <v>94</v>
      </c>
      <c r="K2315">
        <v>3</v>
      </c>
      <c r="L2315">
        <v>11300</v>
      </c>
      <c r="M2315">
        <v>33900</v>
      </c>
      <c r="N2315" t="s">
        <v>108</v>
      </c>
      <c r="O2315" t="s">
        <v>104</v>
      </c>
    </row>
    <row r="2316" spans="1:15" x14ac:dyDescent="0.25">
      <c r="A2316">
        <v>1189</v>
      </c>
      <c r="B2316" s="10">
        <v>45987</v>
      </c>
      <c r="C2316">
        <v>26</v>
      </c>
      <c r="D2316" t="s">
        <v>90</v>
      </c>
      <c r="E2316" t="s">
        <v>161</v>
      </c>
      <c r="F2316" t="s">
        <v>144</v>
      </c>
      <c r="G2316" t="s">
        <v>91</v>
      </c>
      <c r="H2316" t="s">
        <v>131</v>
      </c>
      <c r="I2316" t="s">
        <v>155</v>
      </c>
      <c r="J2316" t="s">
        <v>94</v>
      </c>
      <c r="K2316">
        <v>9</v>
      </c>
      <c r="L2316">
        <v>11300</v>
      </c>
      <c r="M2316">
        <v>101700</v>
      </c>
      <c r="N2316" t="s">
        <v>95</v>
      </c>
      <c r="O2316" t="s">
        <v>115</v>
      </c>
    </row>
    <row r="2317" spans="1:15" x14ac:dyDescent="0.25">
      <c r="A2317">
        <v>1198</v>
      </c>
      <c r="B2317" s="10">
        <v>45673</v>
      </c>
      <c r="C2317">
        <v>16</v>
      </c>
      <c r="D2317" t="s">
        <v>130</v>
      </c>
      <c r="E2317" t="s">
        <v>110</v>
      </c>
      <c r="F2317" t="s">
        <v>49</v>
      </c>
      <c r="G2317" t="s">
        <v>118</v>
      </c>
      <c r="H2317" t="s">
        <v>131</v>
      </c>
      <c r="I2317" t="s">
        <v>155</v>
      </c>
      <c r="J2317" t="s">
        <v>94</v>
      </c>
      <c r="K2317">
        <v>1</v>
      </c>
      <c r="L2317">
        <v>11300</v>
      </c>
      <c r="M2317">
        <v>11300</v>
      </c>
      <c r="N2317" t="s">
        <v>95</v>
      </c>
      <c r="O2317" t="s">
        <v>115</v>
      </c>
    </row>
    <row r="2318" spans="1:15" x14ac:dyDescent="0.25">
      <c r="A2318">
        <v>1310</v>
      </c>
      <c r="B2318" s="10">
        <v>45664</v>
      </c>
      <c r="C2318">
        <v>7</v>
      </c>
      <c r="D2318" t="s">
        <v>130</v>
      </c>
      <c r="E2318" t="s">
        <v>110</v>
      </c>
      <c r="F2318" t="s">
        <v>28</v>
      </c>
      <c r="G2318" t="s">
        <v>126</v>
      </c>
      <c r="H2318" t="s">
        <v>131</v>
      </c>
      <c r="I2318" t="s">
        <v>155</v>
      </c>
      <c r="J2318" t="s">
        <v>94</v>
      </c>
      <c r="K2318">
        <v>2</v>
      </c>
      <c r="L2318">
        <v>11300</v>
      </c>
      <c r="M2318">
        <v>22600</v>
      </c>
      <c r="N2318" t="s">
        <v>95</v>
      </c>
      <c r="O2318" t="s">
        <v>96</v>
      </c>
    </row>
    <row r="2319" spans="1:15" x14ac:dyDescent="0.25">
      <c r="A2319">
        <v>1421</v>
      </c>
      <c r="B2319" s="10">
        <v>45733</v>
      </c>
      <c r="C2319">
        <v>17</v>
      </c>
      <c r="D2319" t="s">
        <v>140</v>
      </c>
      <c r="E2319" t="s">
        <v>112</v>
      </c>
      <c r="F2319" t="s">
        <v>148</v>
      </c>
      <c r="G2319" t="s">
        <v>118</v>
      </c>
      <c r="H2319" t="s">
        <v>131</v>
      </c>
      <c r="I2319" t="s">
        <v>155</v>
      </c>
      <c r="J2319" t="s">
        <v>94</v>
      </c>
      <c r="K2319">
        <v>9</v>
      </c>
      <c r="L2319">
        <v>11300</v>
      </c>
      <c r="M2319">
        <v>101700</v>
      </c>
      <c r="N2319" t="s">
        <v>95</v>
      </c>
      <c r="O2319" t="s">
        <v>96</v>
      </c>
    </row>
    <row r="2320" spans="1:15" x14ac:dyDescent="0.25">
      <c r="A2320">
        <v>1597</v>
      </c>
      <c r="B2320" s="10">
        <v>45716</v>
      </c>
      <c r="C2320">
        <v>28</v>
      </c>
      <c r="D2320" t="s">
        <v>97</v>
      </c>
      <c r="E2320" t="s">
        <v>25</v>
      </c>
      <c r="F2320" t="s">
        <v>144</v>
      </c>
      <c r="G2320" t="s">
        <v>91</v>
      </c>
      <c r="H2320" t="s">
        <v>131</v>
      </c>
      <c r="I2320" t="s">
        <v>155</v>
      </c>
      <c r="J2320" t="s">
        <v>94</v>
      </c>
      <c r="K2320">
        <v>9</v>
      </c>
      <c r="L2320">
        <v>11300</v>
      </c>
      <c r="M2320">
        <v>101700</v>
      </c>
      <c r="N2320" t="s">
        <v>108</v>
      </c>
      <c r="O2320" t="s">
        <v>104</v>
      </c>
    </row>
    <row r="2321" spans="1:15" x14ac:dyDescent="0.25">
      <c r="A2321">
        <v>2336</v>
      </c>
      <c r="B2321" s="10">
        <v>45670</v>
      </c>
      <c r="C2321">
        <v>13</v>
      </c>
      <c r="D2321" t="s">
        <v>130</v>
      </c>
      <c r="E2321" t="s">
        <v>137</v>
      </c>
      <c r="F2321" t="s">
        <v>36</v>
      </c>
      <c r="G2321" t="s">
        <v>100</v>
      </c>
      <c r="H2321" t="s">
        <v>131</v>
      </c>
      <c r="I2321" t="s">
        <v>155</v>
      </c>
      <c r="J2321" t="s">
        <v>94</v>
      </c>
      <c r="K2321">
        <v>8</v>
      </c>
      <c r="L2321">
        <v>11300</v>
      </c>
      <c r="M2321">
        <v>90400</v>
      </c>
      <c r="N2321" t="s">
        <v>95</v>
      </c>
      <c r="O2321" t="s">
        <v>104</v>
      </c>
    </row>
    <row r="2322" spans="1:15" x14ac:dyDescent="0.25">
      <c r="A2322">
        <v>3172</v>
      </c>
      <c r="B2322" s="10">
        <v>45917</v>
      </c>
      <c r="C2322">
        <v>17</v>
      </c>
      <c r="D2322" t="s">
        <v>147</v>
      </c>
      <c r="E2322" t="s">
        <v>128</v>
      </c>
      <c r="F2322" t="s">
        <v>22</v>
      </c>
      <c r="G2322" t="s">
        <v>91</v>
      </c>
      <c r="H2322" t="s">
        <v>131</v>
      </c>
      <c r="I2322" t="s">
        <v>155</v>
      </c>
      <c r="J2322" t="s">
        <v>94</v>
      </c>
      <c r="K2322">
        <v>9</v>
      </c>
      <c r="L2322">
        <v>11300</v>
      </c>
      <c r="M2322">
        <v>101700</v>
      </c>
      <c r="N2322" t="s">
        <v>108</v>
      </c>
      <c r="O2322" t="s">
        <v>104</v>
      </c>
    </row>
    <row r="2323" spans="1:15" x14ac:dyDescent="0.25">
      <c r="A2323">
        <v>3299</v>
      </c>
      <c r="B2323" s="10">
        <v>45798</v>
      </c>
      <c r="C2323">
        <v>21</v>
      </c>
      <c r="D2323" t="s">
        <v>120</v>
      </c>
      <c r="E2323" t="s">
        <v>161</v>
      </c>
      <c r="F2323" t="s">
        <v>141</v>
      </c>
      <c r="G2323" t="s">
        <v>100</v>
      </c>
      <c r="H2323" t="s">
        <v>37</v>
      </c>
      <c r="I2323" t="s">
        <v>160</v>
      </c>
      <c r="J2323" t="s">
        <v>94</v>
      </c>
      <c r="K2323">
        <v>5</v>
      </c>
      <c r="L2323">
        <v>11300</v>
      </c>
      <c r="M2323">
        <v>56500</v>
      </c>
      <c r="N2323" t="s">
        <v>108</v>
      </c>
      <c r="O2323" t="s">
        <v>96</v>
      </c>
    </row>
    <row r="2324" spans="1:15" x14ac:dyDescent="0.25">
      <c r="A2324">
        <v>3791</v>
      </c>
      <c r="B2324" s="10">
        <v>45818</v>
      </c>
      <c r="C2324">
        <v>10</v>
      </c>
      <c r="D2324" t="s">
        <v>153</v>
      </c>
      <c r="E2324" t="s">
        <v>150</v>
      </c>
      <c r="F2324" t="s">
        <v>151</v>
      </c>
      <c r="G2324" t="s">
        <v>111</v>
      </c>
      <c r="H2324" t="s">
        <v>131</v>
      </c>
      <c r="I2324" t="s">
        <v>155</v>
      </c>
      <c r="J2324" t="s">
        <v>94</v>
      </c>
      <c r="K2324">
        <v>5</v>
      </c>
      <c r="L2324">
        <v>11300</v>
      </c>
      <c r="M2324">
        <v>56500</v>
      </c>
      <c r="N2324" t="s">
        <v>108</v>
      </c>
      <c r="O2324" t="s">
        <v>115</v>
      </c>
    </row>
    <row r="2325" spans="1:15" x14ac:dyDescent="0.25">
      <c r="A2325">
        <v>3873</v>
      </c>
      <c r="B2325" s="10">
        <v>45963</v>
      </c>
      <c r="C2325">
        <v>2</v>
      </c>
      <c r="D2325" t="s">
        <v>90</v>
      </c>
      <c r="E2325" t="s">
        <v>138</v>
      </c>
      <c r="F2325" t="s">
        <v>107</v>
      </c>
      <c r="G2325" t="s">
        <v>100</v>
      </c>
      <c r="H2325" t="s">
        <v>37</v>
      </c>
      <c r="I2325" t="s">
        <v>160</v>
      </c>
      <c r="J2325" t="s">
        <v>94</v>
      </c>
      <c r="K2325">
        <v>7</v>
      </c>
      <c r="L2325">
        <v>11300</v>
      </c>
      <c r="M2325">
        <v>79100</v>
      </c>
      <c r="N2325" t="s">
        <v>95</v>
      </c>
      <c r="O2325" t="s">
        <v>104</v>
      </c>
    </row>
    <row r="2326" spans="1:15" x14ac:dyDescent="0.25">
      <c r="A2326">
        <v>3887</v>
      </c>
      <c r="B2326" s="10">
        <v>45974</v>
      </c>
      <c r="C2326">
        <v>13</v>
      </c>
      <c r="D2326" t="s">
        <v>90</v>
      </c>
      <c r="E2326" t="s">
        <v>121</v>
      </c>
      <c r="F2326" t="s">
        <v>44</v>
      </c>
      <c r="G2326" t="s">
        <v>111</v>
      </c>
      <c r="H2326" t="s">
        <v>131</v>
      </c>
      <c r="I2326" t="s">
        <v>132</v>
      </c>
      <c r="J2326" t="s">
        <v>103</v>
      </c>
      <c r="K2326">
        <v>21</v>
      </c>
      <c r="L2326">
        <v>11300</v>
      </c>
      <c r="M2326">
        <v>237300</v>
      </c>
      <c r="N2326" t="s">
        <v>108</v>
      </c>
      <c r="O2326" t="s">
        <v>115</v>
      </c>
    </row>
    <row r="2327" spans="1:15" x14ac:dyDescent="0.25">
      <c r="A2327">
        <v>4317</v>
      </c>
      <c r="B2327" s="10">
        <v>45909</v>
      </c>
      <c r="C2327">
        <v>9</v>
      </c>
      <c r="D2327" t="s">
        <v>147</v>
      </c>
      <c r="E2327" t="s">
        <v>116</v>
      </c>
      <c r="F2327" t="s">
        <v>99</v>
      </c>
      <c r="G2327" t="s">
        <v>100</v>
      </c>
      <c r="H2327" t="s">
        <v>37</v>
      </c>
      <c r="I2327" t="s">
        <v>160</v>
      </c>
      <c r="J2327" t="s">
        <v>94</v>
      </c>
      <c r="K2327">
        <v>1</v>
      </c>
      <c r="L2327">
        <v>11300</v>
      </c>
      <c r="M2327">
        <v>11300</v>
      </c>
      <c r="N2327" t="s">
        <v>95</v>
      </c>
      <c r="O2327" t="s">
        <v>104</v>
      </c>
    </row>
    <row r="2328" spans="1:15" x14ac:dyDescent="0.25">
      <c r="A2328">
        <v>4481</v>
      </c>
      <c r="B2328" s="10">
        <v>45998</v>
      </c>
      <c r="C2328">
        <v>7</v>
      </c>
      <c r="D2328" t="s">
        <v>125</v>
      </c>
      <c r="E2328" t="s">
        <v>25</v>
      </c>
      <c r="F2328" t="s">
        <v>141</v>
      </c>
      <c r="G2328" t="s">
        <v>100</v>
      </c>
      <c r="H2328" t="s">
        <v>29</v>
      </c>
      <c r="I2328" t="s">
        <v>163</v>
      </c>
      <c r="J2328" t="s">
        <v>94</v>
      </c>
      <c r="K2328">
        <v>8</v>
      </c>
      <c r="L2328">
        <v>11300</v>
      </c>
      <c r="M2328">
        <v>90400</v>
      </c>
      <c r="N2328" t="s">
        <v>108</v>
      </c>
      <c r="O2328" t="s">
        <v>115</v>
      </c>
    </row>
    <row r="2329" spans="1:15" x14ac:dyDescent="0.25">
      <c r="A2329">
        <v>4742</v>
      </c>
      <c r="B2329" s="10">
        <v>45932</v>
      </c>
      <c r="C2329">
        <v>2</v>
      </c>
      <c r="D2329" t="s">
        <v>136</v>
      </c>
      <c r="E2329" t="s">
        <v>106</v>
      </c>
      <c r="F2329" t="s">
        <v>113</v>
      </c>
      <c r="G2329" t="s">
        <v>114</v>
      </c>
      <c r="H2329" t="s">
        <v>131</v>
      </c>
      <c r="I2329" t="s">
        <v>155</v>
      </c>
      <c r="J2329" t="s">
        <v>94</v>
      </c>
      <c r="K2329">
        <v>3</v>
      </c>
      <c r="L2329">
        <v>11300</v>
      </c>
      <c r="M2329">
        <v>33900</v>
      </c>
      <c r="N2329" t="s">
        <v>108</v>
      </c>
      <c r="O2329" t="s">
        <v>104</v>
      </c>
    </row>
    <row r="2330" spans="1:15" x14ac:dyDescent="0.25">
      <c r="A2330">
        <v>4775</v>
      </c>
      <c r="B2330" s="10">
        <v>45807</v>
      </c>
      <c r="C2330">
        <v>30</v>
      </c>
      <c r="D2330" t="s">
        <v>120</v>
      </c>
      <c r="E2330" t="s">
        <v>98</v>
      </c>
      <c r="F2330" t="s">
        <v>28</v>
      </c>
      <c r="G2330" t="s">
        <v>126</v>
      </c>
      <c r="H2330" t="s">
        <v>131</v>
      </c>
      <c r="I2330" t="s">
        <v>132</v>
      </c>
      <c r="J2330" t="s">
        <v>103</v>
      </c>
      <c r="K2330">
        <v>9</v>
      </c>
      <c r="L2330">
        <v>11300</v>
      </c>
      <c r="M2330">
        <v>101700</v>
      </c>
      <c r="N2330" t="s">
        <v>108</v>
      </c>
      <c r="O2330" t="s">
        <v>96</v>
      </c>
    </row>
    <row r="2331" spans="1:15" x14ac:dyDescent="0.25">
      <c r="A2331">
        <v>4908</v>
      </c>
      <c r="B2331" s="10">
        <v>45763</v>
      </c>
      <c r="C2331">
        <v>16</v>
      </c>
      <c r="D2331" t="s">
        <v>105</v>
      </c>
      <c r="E2331" t="s">
        <v>110</v>
      </c>
      <c r="F2331" t="s">
        <v>49</v>
      </c>
      <c r="G2331" t="s">
        <v>118</v>
      </c>
      <c r="H2331" t="s">
        <v>37</v>
      </c>
      <c r="I2331" t="s">
        <v>160</v>
      </c>
      <c r="J2331" t="s">
        <v>94</v>
      </c>
      <c r="K2331">
        <v>4</v>
      </c>
      <c r="L2331">
        <v>11300</v>
      </c>
      <c r="M2331">
        <v>45200</v>
      </c>
      <c r="N2331" t="s">
        <v>108</v>
      </c>
      <c r="O2331" t="s">
        <v>104</v>
      </c>
    </row>
    <row r="2332" spans="1:15" x14ac:dyDescent="0.25">
      <c r="A2332">
        <v>264</v>
      </c>
      <c r="B2332" s="10">
        <v>45943</v>
      </c>
      <c r="C2332">
        <v>13</v>
      </c>
      <c r="D2332" t="s">
        <v>136</v>
      </c>
      <c r="E2332" t="s">
        <v>116</v>
      </c>
      <c r="F2332" t="s">
        <v>49</v>
      </c>
      <c r="G2332" t="s">
        <v>118</v>
      </c>
      <c r="H2332" t="s">
        <v>37</v>
      </c>
      <c r="I2332" t="s">
        <v>160</v>
      </c>
      <c r="J2332" t="s">
        <v>94</v>
      </c>
      <c r="K2332">
        <v>8</v>
      </c>
      <c r="L2332">
        <v>11400</v>
      </c>
      <c r="M2332">
        <v>91200</v>
      </c>
      <c r="N2332" t="s">
        <v>108</v>
      </c>
      <c r="O2332" t="s">
        <v>115</v>
      </c>
    </row>
    <row r="2333" spans="1:15" x14ac:dyDescent="0.25">
      <c r="A2333">
        <v>686</v>
      </c>
      <c r="B2333" s="10">
        <v>45836</v>
      </c>
      <c r="C2333">
        <v>28</v>
      </c>
      <c r="D2333" t="s">
        <v>153</v>
      </c>
      <c r="E2333" t="s">
        <v>128</v>
      </c>
      <c r="F2333" t="s">
        <v>141</v>
      </c>
      <c r="G2333" t="s">
        <v>100</v>
      </c>
      <c r="H2333" t="s">
        <v>131</v>
      </c>
      <c r="I2333" t="s">
        <v>155</v>
      </c>
      <c r="J2333" t="s">
        <v>94</v>
      </c>
      <c r="K2333">
        <v>4</v>
      </c>
      <c r="L2333">
        <v>11400</v>
      </c>
      <c r="M2333">
        <v>45600</v>
      </c>
      <c r="N2333" t="s">
        <v>95</v>
      </c>
      <c r="O2333" t="s">
        <v>96</v>
      </c>
    </row>
    <row r="2334" spans="1:15" x14ac:dyDescent="0.25">
      <c r="A2334">
        <v>838</v>
      </c>
      <c r="B2334" s="10">
        <v>45680</v>
      </c>
      <c r="C2334">
        <v>23</v>
      </c>
      <c r="D2334" t="s">
        <v>130</v>
      </c>
      <c r="E2334" t="s">
        <v>25</v>
      </c>
      <c r="F2334" t="s">
        <v>122</v>
      </c>
      <c r="G2334" t="s">
        <v>114</v>
      </c>
      <c r="H2334" t="s">
        <v>37</v>
      </c>
      <c r="I2334" t="s">
        <v>160</v>
      </c>
      <c r="J2334" t="s">
        <v>94</v>
      </c>
      <c r="K2334">
        <v>7</v>
      </c>
      <c r="L2334">
        <v>11400</v>
      </c>
      <c r="M2334">
        <v>79800</v>
      </c>
      <c r="N2334" t="s">
        <v>108</v>
      </c>
      <c r="O2334" t="s">
        <v>115</v>
      </c>
    </row>
    <row r="2335" spans="1:15" x14ac:dyDescent="0.25">
      <c r="A2335">
        <v>1432</v>
      </c>
      <c r="B2335" s="10">
        <v>45708</v>
      </c>
      <c r="C2335">
        <v>20</v>
      </c>
      <c r="D2335" t="s">
        <v>97</v>
      </c>
      <c r="E2335" t="s">
        <v>25</v>
      </c>
      <c r="F2335" t="s">
        <v>122</v>
      </c>
      <c r="G2335" t="s">
        <v>114</v>
      </c>
      <c r="H2335" t="s">
        <v>131</v>
      </c>
      <c r="I2335" t="s">
        <v>155</v>
      </c>
      <c r="J2335" t="s">
        <v>94</v>
      </c>
      <c r="K2335">
        <v>5</v>
      </c>
      <c r="L2335">
        <v>11400</v>
      </c>
      <c r="M2335">
        <v>57000</v>
      </c>
      <c r="N2335" t="s">
        <v>95</v>
      </c>
      <c r="O2335" t="s">
        <v>115</v>
      </c>
    </row>
    <row r="2336" spans="1:15" x14ac:dyDescent="0.25">
      <c r="A2336">
        <v>2098</v>
      </c>
      <c r="B2336" s="10">
        <v>45695</v>
      </c>
      <c r="C2336">
        <v>7</v>
      </c>
      <c r="D2336" t="s">
        <v>97</v>
      </c>
      <c r="E2336" t="s">
        <v>116</v>
      </c>
      <c r="F2336" t="s">
        <v>117</v>
      </c>
      <c r="G2336" t="s">
        <v>118</v>
      </c>
      <c r="H2336" t="s">
        <v>37</v>
      </c>
      <c r="I2336" t="s">
        <v>160</v>
      </c>
      <c r="J2336" t="s">
        <v>94</v>
      </c>
      <c r="K2336">
        <v>8</v>
      </c>
      <c r="L2336">
        <v>11400</v>
      </c>
      <c r="M2336">
        <v>91200</v>
      </c>
      <c r="N2336" t="s">
        <v>108</v>
      </c>
      <c r="O2336" t="s">
        <v>115</v>
      </c>
    </row>
    <row r="2337" spans="1:15" x14ac:dyDescent="0.25">
      <c r="A2337">
        <v>2118</v>
      </c>
      <c r="B2337" s="10">
        <v>45741</v>
      </c>
      <c r="C2337">
        <v>25</v>
      </c>
      <c r="D2337" t="s">
        <v>140</v>
      </c>
      <c r="E2337" t="s">
        <v>150</v>
      </c>
      <c r="F2337" t="s">
        <v>28</v>
      </c>
      <c r="G2337" t="s">
        <v>126</v>
      </c>
      <c r="H2337" t="s">
        <v>37</v>
      </c>
      <c r="I2337" t="s">
        <v>160</v>
      </c>
      <c r="J2337" t="s">
        <v>94</v>
      </c>
      <c r="K2337">
        <v>2</v>
      </c>
      <c r="L2337">
        <v>11400</v>
      </c>
      <c r="M2337">
        <v>22800</v>
      </c>
      <c r="N2337" t="s">
        <v>95</v>
      </c>
      <c r="O2337" t="s">
        <v>104</v>
      </c>
    </row>
    <row r="2338" spans="1:15" x14ac:dyDescent="0.25">
      <c r="A2338">
        <v>2432</v>
      </c>
      <c r="B2338" s="10">
        <v>45785</v>
      </c>
      <c r="C2338">
        <v>8</v>
      </c>
      <c r="D2338" t="s">
        <v>120</v>
      </c>
      <c r="E2338" t="s">
        <v>25</v>
      </c>
      <c r="F2338" t="s">
        <v>144</v>
      </c>
      <c r="G2338" t="s">
        <v>91</v>
      </c>
      <c r="H2338" t="s">
        <v>37</v>
      </c>
      <c r="I2338" t="s">
        <v>160</v>
      </c>
      <c r="J2338" t="s">
        <v>94</v>
      </c>
      <c r="K2338">
        <v>7</v>
      </c>
      <c r="L2338">
        <v>11400</v>
      </c>
      <c r="M2338">
        <v>79800</v>
      </c>
      <c r="N2338" t="s">
        <v>108</v>
      </c>
      <c r="O2338" t="s">
        <v>96</v>
      </c>
    </row>
    <row r="2339" spans="1:15" x14ac:dyDescent="0.25">
      <c r="A2339">
        <v>2499</v>
      </c>
      <c r="B2339" s="10">
        <v>45945</v>
      </c>
      <c r="C2339">
        <v>15</v>
      </c>
      <c r="D2339" t="s">
        <v>136</v>
      </c>
      <c r="E2339" t="s">
        <v>112</v>
      </c>
      <c r="F2339" t="s">
        <v>49</v>
      </c>
      <c r="G2339" t="s">
        <v>118</v>
      </c>
      <c r="H2339" t="s">
        <v>131</v>
      </c>
      <c r="I2339" t="s">
        <v>155</v>
      </c>
      <c r="J2339" t="s">
        <v>94</v>
      </c>
      <c r="K2339">
        <v>5</v>
      </c>
      <c r="L2339">
        <v>11400</v>
      </c>
      <c r="M2339">
        <v>57000</v>
      </c>
      <c r="N2339" t="s">
        <v>95</v>
      </c>
      <c r="O2339" t="s">
        <v>115</v>
      </c>
    </row>
    <row r="2340" spans="1:15" x14ac:dyDescent="0.25">
      <c r="A2340">
        <v>3193</v>
      </c>
      <c r="B2340" s="10">
        <v>45960</v>
      </c>
      <c r="C2340">
        <v>30</v>
      </c>
      <c r="D2340" t="s">
        <v>136</v>
      </c>
      <c r="E2340" t="s">
        <v>138</v>
      </c>
      <c r="F2340" t="s">
        <v>22</v>
      </c>
      <c r="G2340" t="s">
        <v>91</v>
      </c>
      <c r="H2340" t="s">
        <v>37</v>
      </c>
      <c r="I2340" t="s">
        <v>160</v>
      </c>
      <c r="J2340" t="s">
        <v>103</v>
      </c>
      <c r="K2340">
        <v>49</v>
      </c>
      <c r="L2340">
        <v>11400</v>
      </c>
      <c r="M2340">
        <v>558600</v>
      </c>
      <c r="N2340" t="s">
        <v>108</v>
      </c>
      <c r="O2340" t="s">
        <v>115</v>
      </c>
    </row>
    <row r="2341" spans="1:15" x14ac:dyDescent="0.25">
      <c r="A2341">
        <v>3474</v>
      </c>
      <c r="B2341" s="10">
        <v>45920</v>
      </c>
      <c r="C2341">
        <v>20</v>
      </c>
      <c r="D2341" t="s">
        <v>147</v>
      </c>
      <c r="E2341" t="s">
        <v>150</v>
      </c>
      <c r="F2341" t="s">
        <v>134</v>
      </c>
      <c r="G2341" t="s">
        <v>100</v>
      </c>
      <c r="H2341" t="s">
        <v>29</v>
      </c>
      <c r="I2341" t="s">
        <v>163</v>
      </c>
      <c r="J2341" t="s">
        <v>94</v>
      </c>
      <c r="K2341">
        <v>2</v>
      </c>
      <c r="L2341">
        <v>11400</v>
      </c>
      <c r="M2341">
        <v>22800</v>
      </c>
      <c r="N2341" t="s">
        <v>108</v>
      </c>
      <c r="O2341" t="s">
        <v>104</v>
      </c>
    </row>
    <row r="2342" spans="1:15" x14ac:dyDescent="0.25">
      <c r="A2342">
        <v>3779</v>
      </c>
      <c r="B2342" s="10">
        <v>45743</v>
      </c>
      <c r="C2342">
        <v>27</v>
      </c>
      <c r="D2342" t="s">
        <v>140</v>
      </c>
      <c r="E2342" t="s">
        <v>161</v>
      </c>
      <c r="F2342" t="s">
        <v>28</v>
      </c>
      <c r="G2342" t="s">
        <v>126</v>
      </c>
      <c r="H2342" t="s">
        <v>131</v>
      </c>
      <c r="I2342" t="s">
        <v>132</v>
      </c>
      <c r="J2342" t="s">
        <v>103</v>
      </c>
      <c r="K2342">
        <v>44</v>
      </c>
      <c r="L2342">
        <v>11400</v>
      </c>
      <c r="M2342">
        <v>501600</v>
      </c>
      <c r="N2342" t="s">
        <v>95</v>
      </c>
      <c r="O2342" t="s">
        <v>96</v>
      </c>
    </row>
    <row r="2343" spans="1:15" x14ac:dyDescent="0.25">
      <c r="A2343">
        <v>4018</v>
      </c>
      <c r="B2343" s="10">
        <v>45991</v>
      </c>
      <c r="C2343">
        <v>30</v>
      </c>
      <c r="D2343" t="s">
        <v>90</v>
      </c>
      <c r="E2343" t="s">
        <v>142</v>
      </c>
      <c r="F2343" t="s">
        <v>148</v>
      </c>
      <c r="G2343" t="s">
        <v>118</v>
      </c>
      <c r="H2343" t="s">
        <v>131</v>
      </c>
      <c r="I2343" t="s">
        <v>155</v>
      </c>
      <c r="J2343" t="s">
        <v>94</v>
      </c>
      <c r="K2343">
        <v>5</v>
      </c>
      <c r="L2343">
        <v>11400</v>
      </c>
      <c r="M2343">
        <v>57000</v>
      </c>
      <c r="N2343" t="s">
        <v>95</v>
      </c>
      <c r="O2343" t="s">
        <v>96</v>
      </c>
    </row>
    <row r="2344" spans="1:15" x14ac:dyDescent="0.25">
      <c r="A2344">
        <v>4540</v>
      </c>
      <c r="B2344" s="10">
        <v>45968</v>
      </c>
      <c r="C2344">
        <v>7</v>
      </c>
      <c r="D2344" t="s">
        <v>90</v>
      </c>
      <c r="E2344" t="s">
        <v>116</v>
      </c>
      <c r="F2344" t="s">
        <v>49</v>
      </c>
      <c r="G2344" t="s">
        <v>118</v>
      </c>
      <c r="H2344" t="s">
        <v>131</v>
      </c>
      <c r="I2344" t="s">
        <v>155</v>
      </c>
      <c r="J2344" t="s">
        <v>94</v>
      </c>
      <c r="K2344">
        <v>9</v>
      </c>
      <c r="L2344">
        <v>11400</v>
      </c>
      <c r="M2344">
        <v>102600</v>
      </c>
      <c r="N2344" t="s">
        <v>95</v>
      </c>
      <c r="O2344" t="s">
        <v>115</v>
      </c>
    </row>
    <row r="2345" spans="1:15" x14ac:dyDescent="0.25">
      <c r="A2345">
        <v>621</v>
      </c>
      <c r="B2345" s="10">
        <v>45795</v>
      </c>
      <c r="C2345">
        <v>18</v>
      </c>
      <c r="D2345" t="s">
        <v>120</v>
      </c>
      <c r="E2345" t="s">
        <v>133</v>
      </c>
      <c r="F2345" t="s">
        <v>148</v>
      </c>
      <c r="G2345" t="s">
        <v>118</v>
      </c>
      <c r="H2345" t="s">
        <v>37</v>
      </c>
      <c r="I2345" t="s">
        <v>160</v>
      </c>
      <c r="J2345" t="s">
        <v>94</v>
      </c>
      <c r="K2345">
        <v>8</v>
      </c>
      <c r="L2345">
        <v>11500</v>
      </c>
      <c r="M2345">
        <v>92000</v>
      </c>
      <c r="N2345" t="s">
        <v>108</v>
      </c>
      <c r="O2345" t="s">
        <v>104</v>
      </c>
    </row>
    <row r="2346" spans="1:15" x14ac:dyDescent="0.25">
      <c r="A2346">
        <v>1304</v>
      </c>
      <c r="B2346" s="10">
        <v>45982</v>
      </c>
      <c r="C2346">
        <v>21</v>
      </c>
      <c r="D2346" t="s">
        <v>90</v>
      </c>
      <c r="E2346" t="s">
        <v>110</v>
      </c>
      <c r="F2346" t="s">
        <v>107</v>
      </c>
      <c r="G2346" t="s">
        <v>100</v>
      </c>
      <c r="H2346" t="s">
        <v>29</v>
      </c>
      <c r="I2346" t="s">
        <v>163</v>
      </c>
      <c r="J2346" t="s">
        <v>94</v>
      </c>
      <c r="K2346">
        <v>6</v>
      </c>
      <c r="L2346">
        <v>11500</v>
      </c>
      <c r="M2346">
        <v>69000</v>
      </c>
      <c r="N2346" t="s">
        <v>108</v>
      </c>
      <c r="O2346" t="s">
        <v>104</v>
      </c>
    </row>
    <row r="2347" spans="1:15" x14ac:dyDescent="0.25">
      <c r="A2347">
        <v>1345</v>
      </c>
      <c r="B2347" s="10">
        <v>45734</v>
      </c>
      <c r="C2347">
        <v>18</v>
      </c>
      <c r="D2347" t="s">
        <v>140</v>
      </c>
      <c r="E2347" t="s">
        <v>25</v>
      </c>
      <c r="F2347" t="s">
        <v>148</v>
      </c>
      <c r="G2347" t="s">
        <v>118</v>
      </c>
      <c r="H2347" t="s">
        <v>131</v>
      </c>
      <c r="I2347" t="s">
        <v>155</v>
      </c>
      <c r="J2347" t="s">
        <v>94</v>
      </c>
      <c r="K2347">
        <v>5</v>
      </c>
      <c r="L2347">
        <v>11500</v>
      </c>
      <c r="M2347">
        <v>57500</v>
      </c>
      <c r="N2347" t="s">
        <v>95</v>
      </c>
      <c r="O2347" t="s">
        <v>104</v>
      </c>
    </row>
    <row r="2348" spans="1:15" x14ac:dyDescent="0.25">
      <c r="A2348">
        <v>1693</v>
      </c>
      <c r="B2348" s="10">
        <v>45673</v>
      </c>
      <c r="C2348">
        <v>16</v>
      </c>
      <c r="D2348" t="s">
        <v>130</v>
      </c>
      <c r="E2348" t="s">
        <v>106</v>
      </c>
      <c r="F2348" t="s">
        <v>148</v>
      </c>
      <c r="G2348" t="s">
        <v>118</v>
      </c>
      <c r="H2348" t="s">
        <v>131</v>
      </c>
      <c r="I2348" t="s">
        <v>155</v>
      </c>
      <c r="J2348" t="s">
        <v>94</v>
      </c>
      <c r="K2348">
        <v>10</v>
      </c>
      <c r="L2348">
        <v>11500</v>
      </c>
      <c r="M2348">
        <v>115000</v>
      </c>
      <c r="N2348" t="s">
        <v>108</v>
      </c>
      <c r="O2348" t="s">
        <v>104</v>
      </c>
    </row>
    <row r="2349" spans="1:15" x14ac:dyDescent="0.25">
      <c r="A2349">
        <v>1979</v>
      </c>
      <c r="B2349" s="10">
        <v>45729</v>
      </c>
      <c r="C2349">
        <v>13</v>
      </c>
      <c r="D2349" t="s">
        <v>140</v>
      </c>
      <c r="E2349" t="s">
        <v>121</v>
      </c>
      <c r="F2349" t="s">
        <v>117</v>
      </c>
      <c r="G2349" t="s">
        <v>118</v>
      </c>
      <c r="H2349" t="s">
        <v>29</v>
      </c>
      <c r="I2349" t="s">
        <v>163</v>
      </c>
      <c r="J2349" t="s">
        <v>94</v>
      </c>
      <c r="K2349">
        <v>7</v>
      </c>
      <c r="L2349">
        <v>11500</v>
      </c>
      <c r="M2349">
        <v>80500</v>
      </c>
      <c r="N2349" t="s">
        <v>95</v>
      </c>
      <c r="O2349" t="s">
        <v>96</v>
      </c>
    </row>
    <row r="2350" spans="1:15" x14ac:dyDescent="0.25">
      <c r="A2350">
        <v>2643</v>
      </c>
      <c r="B2350" s="10">
        <v>45683</v>
      </c>
      <c r="C2350">
        <v>26</v>
      </c>
      <c r="D2350" t="s">
        <v>130</v>
      </c>
      <c r="E2350" t="s">
        <v>128</v>
      </c>
      <c r="F2350" t="s">
        <v>134</v>
      </c>
      <c r="G2350" t="s">
        <v>100</v>
      </c>
      <c r="H2350" t="s">
        <v>29</v>
      </c>
      <c r="I2350" t="s">
        <v>163</v>
      </c>
      <c r="J2350" t="s">
        <v>94</v>
      </c>
      <c r="K2350">
        <v>2</v>
      </c>
      <c r="L2350">
        <v>11500</v>
      </c>
      <c r="M2350">
        <v>23000</v>
      </c>
      <c r="N2350" t="s">
        <v>95</v>
      </c>
      <c r="O2350" t="s">
        <v>96</v>
      </c>
    </row>
    <row r="2351" spans="1:15" x14ac:dyDescent="0.25">
      <c r="A2351">
        <v>3387</v>
      </c>
      <c r="B2351" s="10">
        <v>45757</v>
      </c>
      <c r="C2351">
        <v>10</v>
      </c>
      <c r="D2351" t="s">
        <v>105</v>
      </c>
      <c r="E2351" t="s">
        <v>106</v>
      </c>
      <c r="F2351" t="s">
        <v>49</v>
      </c>
      <c r="G2351" t="s">
        <v>118</v>
      </c>
      <c r="H2351" t="s">
        <v>37</v>
      </c>
      <c r="I2351" t="s">
        <v>160</v>
      </c>
      <c r="J2351" t="s">
        <v>94</v>
      </c>
      <c r="K2351">
        <v>8</v>
      </c>
      <c r="L2351">
        <v>11500</v>
      </c>
      <c r="M2351">
        <v>92000</v>
      </c>
      <c r="N2351" t="s">
        <v>108</v>
      </c>
      <c r="O2351" t="s">
        <v>115</v>
      </c>
    </row>
    <row r="2352" spans="1:15" x14ac:dyDescent="0.25">
      <c r="A2352">
        <v>3570</v>
      </c>
      <c r="B2352" s="10">
        <v>46016</v>
      </c>
      <c r="C2352">
        <v>25</v>
      </c>
      <c r="D2352" t="s">
        <v>125</v>
      </c>
      <c r="E2352" t="s">
        <v>161</v>
      </c>
      <c r="F2352" t="s">
        <v>49</v>
      </c>
      <c r="G2352" t="s">
        <v>118</v>
      </c>
      <c r="H2352" t="s">
        <v>131</v>
      </c>
      <c r="I2352" t="s">
        <v>155</v>
      </c>
      <c r="J2352" t="s">
        <v>94</v>
      </c>
      <c r="K2352">
        <v>7</v>
      </c>
      <c r="L2352">
        <v>11500</v>
      </c>
      <c r="M2352">
        <v>80500</v>
      </c>
      <c r="N2352" t="s">
        <v>108</v>
      </c>
      <c r="O2352" t="s">
        <v>104</v>
      </c>
    </row>
    <row r="2353" spans="1:15" x14ac:dyDescent="0.25">
      <c r="A2353">
        <v>3756</v>
      </c>
      <c r="B2353" s="10">
        <v>45800</v>
      </c>
      <c r="C2353">
        <v>23</v>
      </c>
      <c r="D2353" t="s">
        <v>120</v>
      </c>
      <c r="E2353" t="s">
        <v>161</v>
      </c>
      <c r="F2353" t="s">
        <v>22</v>
      </c>
      <c r="G2353" t="s">
        <v>91</v>
      </c>
      <c r="H2353" t="s">
        <v>131</v>
      </c>
      <c r="I2353" t="s">
        <v>132</v>
      </c>
      <c r="J2353" t="s">
        <v>103</v>
      </c>
      <c r="K2353">
        <v>27</v>
      </c>
      <c r="L2353">
        <v>11500</v>
      </c>
      <c r="M2353">
        <v>310500</v>
      </c>
      <c r="N2353" t="s">
        <v>95</v>
      </c>
      <c r="O2353" t="s">
        <v>104</v>
      </c>
    </row>
    <row r="2354" spans="1:15" x14ac:dyDescent="0.25">
      <c r="A2354">
        <v>4078</v>
      </c>
      <c r="B2354" s="10">
        <v>45806</v>
      </c>
      <c r="C2354">
        <v>29</v>
      </c>
      <c r="D2354" t="s">
        <v>120</v>
      </c>
      <c r="E2354" t="s">
        <v>137</v>
      </c>
      <c r="F2354" t="s">
        <v>134</v>
      </c>
      <c r="G2354" t="s">
        <v>100</v>
      </c>
      <c r="H2354" t="s">
        <v>131</v>
      </c>
      <c r="I2354" t="s">
        <v>132</v>
      </c>
      <c r="J2354" t="s">
        <v>103</v>
      </c>
      <c r="K2354">
        <v>45</v>
      </c>
      <c r="L2354">
        <v>11500</v>
      </c>
      <c r="M2354">
        <v>517500</v>
      </c>
      <c r="N2354" t="s">
        <v>108</v>
      </c>
      <c r="O2354" t="s">
        <v>96</v>
      </c>
    </row>
    <row r="2355" spans="1:15" x14ac:dyDescent="0.25">
      <c r="A2355">
        <v>4428</v>
      </c>
      <c r="B2355" s="10">
        <v>46014</v>
      </c>
      <c r="C2355">
        <v>23</v>
      </c>
      <c r="D2355" t="s">
        <v>125</v>
      </c>
      <c r="E2355" t="s">
        <v>137</v>
      </c>
      <c r="F2355" t="s">
        <v>117</v>
      </c>
      <c r="G2355" t="s">
        <v>118</v>
      </c>
      <c r="H2355" t="s">
        <v>29</v>
      </c>
      <c r="I2355" t="s">
        <v>163</v>
      </c>
      <c r="J2355" t="s">
        <v>94</v>
      </c>
      <c r="K2355">
        <v>7</v>
      </c>
      <c r="L2355">
        <v>11500</v>
      </c>
      <c r="M2355">
        <v>80500</v>
      </c>
      <c r="N2355" t="s">
        <v>108</v>
      </c>
      <c r="O2355" t="s">
        <v>104</v>
      </c>
    </row>
    <row r="2356" spans="1:15" x14ac:dyDescent="0.25">
      <c r="A2356">
        <v>4858</v>
      </c>
      <c r="B2356" s="10">
        <v>45817</v>
      </c>
      <c r="C2356">
        <v>9</v>
      </c>
      <c r="D2356" t="s">
        <v>153</v>
      </c>
      <c r="E2356" t="s">
        <v>137</v>
      </c>
      <c r="F2356" t="s">
        <v>134</v>
      </c>
      <c r="G2356" t="s">
        <v>100</v>
      </c>
      <c r="H2356" t="s">
        <v>131</v>
      </c>
      <c r="I2356" t="s">
        <v>155</v>
      </c>
      <c r="J2356" t="s">
        <v>94</v>
      </c>
      <c r="K2356">
        <v>9</v>
      </c>
      <c r="L2356">
        <v>11500</v>
      </c>
      <c r="M2356">
        <v>103500</v>
      </c>
      <c r="N2356" t="s">
        <v>108</v>
      </c>
      <c r="O2356" t="s">
        <v>115</v>
      </c>
    </row>
    <row r="2357" spans="1:15" x14ac:dyDescent="0.25">
      <c r="A2357">
        <v>231</v>
      </c>
      <c r="B2357" s="10">
        <v>45760</v>
      </c>
      <c r="C2357">
        <v>13</v>
      </c>
      <c r="D2357" t="s">
        <v>105</v>
      </c>
      <c r="E2357" t="s">
        <v>112</v>
      </c>
      <c r="F2357" t="s">
        <v>36</v>
      </c>
      <c r="G2357" t="s">
        <v>100</v>
      </c>
      <c r="H2357" t="s">
        <v>29</v>
      </c>
      <c r="I2357" t="s">
        <v>163</v>
      </c>
      <c r="J2357" t="s">
        <v>94</v>
      </c>
      <c r="K2357">
        <v>6</v>
      </c>
      <c r="L2357">
        <v>11600</v>
      </c>
      <c r="M2357">
        <v>69600</v>
      </c>
      <c r="N2357" t="s">
        <v>108</v>
      </c>
      <c r="O2357" t="s">
        <v>115</v>
      </c>
    </row>
    <row r="2358" spans="1:15" x14ac:dyDescent="0.25">
      <c r="A2358">
        <v>327</v>
      </c>
      <c r="B2358" s="10">
        <v>45673</v>
      </c>
      <c r="C2358">
        <v>16</v>
      </c>
      <c r="D2358" t="s">
        <v>130</v>
      </c>
      <c r="E2358" t="s">
        <v>98</v>
      </c>
      <c r="F2358" t="s">
        <v>44</v>
      </c>
      <c r="G2358" t="s">
        <v>111</v>
      </c>
      <c r="H2358" t="s">
        <v>131</v>
      </c>
      <c r="I2358" t="s">
        <v>155</v>
      </c>
      <c r="J2358" t="s">
        <v>94</v>
      </c>
      <c r="K2358">
        <v>6</v>
      </c>
      <c r="L2358">
        <v>11600</v>
      </c>
      <c r="M2358">
        <v>69600</v>
      </c>
      <c r="N2358" t="s">
        <v>108</v>
      </c>
      <c r="O2358" t="s">
        <v>115</v>
      </c>
    </row>
    <row r="2359" spans="1:15" x14ac:dyDescent="0.25">
      <c r="A2359">
        <v>1269</v>
      </c>
      <c r="B2359" s="10">
        <v>45928</v>
      </c>
      <c r="C2359">
        <v>28</v>
      </c>
      <c r="D2359" t="s">
        <v>147</v>
      </c>
      <c r="E2359" t="s">
        <v>137</v>
      </c>
      <c r="F2359" t="s">
        <v>144</v>
      </c>
      <c r="G2359" t="s">
        <v>91</v>
      </c>
      <c r="H2359" t="s">
        <v>29</v>
      </c>
      <c r="I2359" t="s">
        <v>163</v>
      </c>
      <c r="J2359" t="s">
        <v>94</v>
      </c>
      <c r="K2359">
        <v>8</v>
      </c>
      <c r="L2359">
        <v>11600</v>
      </c>
      <c r="M2359">
        <v>92800</v>
      </c>
      <c r="N2359" t="s">
        <v>95</v>
      </c>
      <c r="O2359" t="s">
        <v>104</v>
      </c>
    </row>
    <row r="2360" spans="1:15" x14ac:dyDescent="0.25">
      <c r="A2360">
        <v>1352</v>
      </c>
      <c r="B2360" s="10">
        <v>45749</v>
      </c>
      <c r="C2360">
        <v>2</v>
      </c>
      <c r="D2360" t="s">
        <v>105</v>
      </c>
      <c r="E2360" t="s">
        <v>161</v>
      </c>
      <c r="F2360" t="s">
        <v>117</v>
      </c>
      <c r="G2360" t="s">
        <v>118</v>
      </c>
      <c r="H2360" t="s">
        <v>131</v>
      </c>
      <c r="I2360" t="s">
        <v>132</v>
      </c>
      <c r="J2360" t="s">
        <v>103</v>
      </c>
      <c r="K2360">
        <v>21</v>
      </c>
      <c r="L2360">
        <v>11600</v>
      </c>
      <c r="M2360">
        <v>243600</v>
      </c>
      <c r="N2360" t="s">
        <v>108</v>
      </c>
      <c r="O2360" t="s">
        <v>96</v>
      </c>
    </row>
    <row r="2361" spans="1:15" x14ac:dyDescent="0.25">
      <c r="A2361">
        <v>1379</v>
      </c>
      <c r="B2361" s="10">
        <v>45940</v>
      </c>
      <c r="C2361">
        <v>10</v>
      </c>
      <c r="D2361" t="s">
        <v>136</v>
      </c>
      <c r="E2361" t="s">
        <v>142</v>
      </c>
      <c r="F2361" t="s">
        <v>28</v>
      </c>
      <c r="G2361" t="s">
        <v>126</v>
      </c>
      <c r="H2361" t="s">
        <v>29</v>
      </c>
      <c r="I2361" t="s">
        <v>163</v>
      </c>
      <c r="J2361" t="s">
        <v>94</v>
      </c>
      <c r="K2361">
        <v>6</v>
      </c>
      <c r="L2361">
        <v>11600</v>
      </c>
      <c r="M2361">
        <v>69600</v>
      </c>
      <c r="N2361" t="s">
        <v>108</v>
      </c>
      <c r="O2361" t="s">
        <v>115</v>
      </c>
    </row>
    <row r="2362" spans="1:15" x14ac:dyDescent="0.25">
      <c r="A2362">
        <v>1989</v>
      </c>
      <c r="B2362" s="10">
        <v>45909</v>
      </c>
      <c r="C2362">
        <v>9</v>
      </c>
      <c r="D2362" t="s">
        <v>147</v>
      </c>
      <c r="E2362" t="s">
        <v>25</v>
      </c>
      <c r="F2362" t="s">
        <v>151</v>
      </c>
      <c r="G2362" t="s">
        <v>111</v>
      </c>
      <c r="H2362" t="s">
        <v>37</v>
      </c>
      <c r="I2362" t="s">
        <v>160</v>
      </c>
      <c r="J2362" t="s">
        <v>94</v>
      </c>
      <c r="K2362">
        <v>5</v>
      </c>
      <c r="L2362">
        <v>11600</v>
      </c>
      <c r="M2362">
        <v>58000</v>
      </c>
      <c r="N2362" t="s">
        <v>108</v>
      </c>
      <c r="O2362" t="s">
        <v>115</v>
      </c>
    </row>
    <row r="2363" spans="1:15" x14ac:dyDescent="0.25">
      <c r="A2363">
        <v>2075</v>
      </c>
      <c r="B2363" s="10">
        <v>45905</v>
      </c>
      <c r="C2363">
        <v>5</v>
      </c>
      <c r="D2363" t="s">
        <v>147</v>
      </c>
      <c r="E2363" t="s">
        <v>112</v>
      </c>
      <c r="F2363" t="s">
        <v>28</v>
      </c>
      <c r="G2363" t="s">
        <v>126</v>
      </c>
      <c r="H2363" t="s">
        <v>29</v>
      </c>
      <c r="I2363" t="s">
        <v>163</v>
      </c>
      <c r="J2363" t="s">
        <v>94</v>
      </c>
      <c r="K2363">
        <v>8</v>
      </c>
      <c r="L2363">
        <v>11600</v>
      </c>
      <c r="M2363">
        <v>92800</v>
      </c>
      <c r="N2363" t="s">
        <v>95</v>
      </c>
      <c r="O2363" t="s">
        <v>104</v>
      </c>
    </row>
    <row r="2364" spans="1:15" x14ac:dyDescent="0.25">
      <c r="A2364">
        <v>3052</v>
      </c>
      <c r="B2364" s="10">
        <v>45867</v>
      </c>
      <c r="C2364">
        <v>29</v>
      </c>
      <c r="D2364" t="s">
        <v>145</v>
      </c>
      <c r="E2364" t="s">
        <v>142</v>
      </c>
      <c r="F2364" t="s">
        <v>22</v>
      </c>
      <c r="G2364" t="s">
        <v>91</v>
      </c>
      <c r="H2364" t="s">
        <v>37</v>
      </c>
      <c r="I2364" t="s">
        <v>160</v>
      </c>
      <c r="J2364" t="s">
        <v>94</v>
      </c>
      <c r="K2364">
        <v>10</v>
      </c>
      <c r="L2364">
        <v>11600</v>
      </c>
      <c r="M2364">
        <v>116000</v>
      </c>
      <c r="N2364" t="s">
        <v>108</v>
      </c>
      <c r="O2364" t="s">
        <v>115</v>
      </c>
    </row>
    <row r="2365" spans="1:15" x14ac:dyDescent="0.25">
      <c r="A2365">
        <v>4040</v>
      </c>
      <c r="B2365" s="10">
        <v>45849</v>
      </c>
      <c r="C2365">
        <v>11</v>
      </c>
      <c r="D2365" t="s">
        <v>145</v>
      </c>
      <c r="E2365" t="s">
        <v>121</v>
      </c>
      <c r="F2365" t="s">
        <v>44</v>
      </c>
      <c r="G2365" t="s">
        <v>111</v>
      </c>
      <c r="H2365" t="s">
        <v>37</v>
      </c>
      <c r="I2365" t="s">
        <v>160</v>
      </c>
      <c r="J2365" t="s">
        <v>94</v>
      </c>
      <c r="K2365">
        <v>1</v>
      </c>
      <c r="L2365">
        <v>11600</v>
      </c>
      <c r="M2365">
        <v>11600</v>
      </c>
      <c r="N2365" t="s">
        <v>108</v>
      </c>
      <c r="O2365" t="s">
        <v>115</v>
      </c>
    </row>
    <row r="2366" spans="1:15" x14ac:dyDescent="0.25">
      <c r="A2366">
        <v>4206</v>
      </c>
      <c r="B2366" s="10">
        <v>45996</v>
      </c>
      <c r="C2366">
        <v>5</v>
      </c>
      <c r="D2366" t="s">
        <v>125</v>
      </c>
      <c r="E2366" t="s">
        <v>121</v>
      </c>
      <c r="F2366" t="s">
        <v>141</v>
      </c>
      <c r="G2366" t="s">
        <v>100</v>
      </c>
      <c r="H2366" t="s">
        <v>29</v>
      </c>
      <c r="I2366" t="s">
        <v>163</v>
      </c>
      <c r="J2366" t="s">
        <v>94</v>
      </c>
      <c r="K2366">
        <v>3</v>
      </c>
      <c r="L2366">
        <v>11600</v>
      </c>
      <c r="M2366">
        <v>34800</v>
      </c>
      <c r="N2366" t="s">
        <v>95</v>
      </c>
      <c r="O2366" t="s">
        <v>104</v>
      </c>
    </row>
    <row r="2367" spans="1:15" x14ac:dyDescent="0.25">
      <c r="A2367">
        <v>4241</v>
      </c>
      <c r="B2367" s="10">
        <v>45977</v>
      </c>
      <c r="C2367">
        <v>16</v>
      </c>
      <c r="D2367" t="s">
        <v>90</v>
      </c>
      <c r="E2367" t="s">
        <v>112</v>
      </c>
      <c r="F2367" t="s">
        <v>148</v>
      </c>
      <c r="G2367" t="s">
        <v>118</v>
      </c>
      <c r="H2367" t="s">
        <v>131</v>
      </c>
      <c r="I2367" t="s">
        <v>132</v>
      </c>
      <c r="J2367" t="s">
        <v>103</v>
      </c>
      <c r="K2367">
        <v>48</v>
      </c>
      <c r="L2367">
        <v>11600</v>
      </c>
      <c r="M2367">
        <v>556800</v>
      </c>
      <c r="N2367" t="s">
        <v>108</v>
      </c>
      <c r="O2367" t="s">
        <v>96</v>
      </c>
    </row>
    <row r="2368" spans="1:15" x14ac:dyDescent="0.25">
      <c r="A2368">
        <v>4387</v>
      </c>
      <c r="B2368" s="10">
        <v>45935</v>
      </c>
      <c r="C2368">
        <v>5</v>
      </c>
      <c r="D2368" t="s">
        <v>136</v>
      </c>
      <c r="E2368" t="s">
        <v>106</v>
      </c>
      <c r="F2368" t="s">
        <v>122</v>
      </c>
      <c r="G2368" t="s">
        <v>114</v>
      </c>
      <c r="H2368" t="s">
        <v>29</v>
      </c>
      <c r="I2368" t="s">
        <v>163</v>
      </c>
      <c r="J2368" t="s">
        <v>94</v>
      </c>
      <c r="K2368">
        <v>9</v>
      </c>
      <c r="L2368">
        <v>11600</v>
      </c>
      <c r="M2368">
        <v>104400</v>
      </c>
      <c r="N2368" t="s">
        <v>108</v>
      </c>
      <c r="O2368" t="s">
        <v>96</v>
      </c>
    </row>
    <row r="2369" spans="1:15" x14ac:dyDescent="0.25">
      <c r="A2369">
        <v>4571</v>
      </c>
      <c r="B2369" s="10">
        <v>45681</v>
      </c>
      <c r="C2369">
        <v>24</v>
      </c>
      <c r="D2369" t="s">
        <v>130</v>
      </c>
      <c r="E2369" t="s">
        <v>112</v>
      </c>
      <c r="F2369" t="s">
        <v>36</v>
      </c>
      <c r="G2369" t="s">
        <v>100</v>
      </c>
      <c r="H2369" t="s">
        <v>29</v>
      </c>
      <c r="I2369" t="s">
        <v>163</v>
      </c>
      <c r="J2369" t="s">
        <v>94</v>
      </c>
      <c r="K2369">
        <v>7</v>
      </c>
      <c r="L2369">
        <v>11600</v>
      </c>
      <c r="M2369">
        <v>81200</v>
      </c>
      <c r="N2369" t="s">
        <v>108</v>
      </c>
      <c r="O2369" t="s">
        <v>104</v>
      </c>
    </row>
    <row r="2370" spans="1:15" x14ac:dyDescent="0.25">
      <c r="A2370">
        <v>130</v>
      </c>
      <c r="B2370" s="10">
        <v>45853</v>
      </c>
      <c r="C2370">
        <v>15</v>
      </c>
      <c r="D2370" t="s">
        <v>145</v>
      </c>
      <c r="E2370" t="s">
        <v>110</v>
      </c>
      <c r="F2370" t="s">
        <v>122</v>
      </c>
      <c r="G2370" t="s">
        <v>114</v>
      </c>
      <c r="H2370" t="s">
        <v>29</v>
      </c>
      <c r="I2370" t="s">
        <v>163</v>
      </c>
      <c r="J2370" t="s">
        <v>94</v>
      </c>
      <c r="K2370">
        <v>4</v>
      </c>
      <c r="L2370">
        <v>11700</v>
      </c>
      <c r="M2370">
        <v>46800</v>
      </c>
      <c r="N2370" t="s">
        <v>108</v>
      </c>
      <c r="O2370" t="s">
        <v>96</v>
      </c>
    </row>
    <row r="2371" spans="1:15" x14ac:dyDescent="0.25">
      <c r="A2371">
        <v>1677</v>
      </c>
      <c r="B2371" s="10">
        <v>45962</v>
      </c>
      <c r="C2371">
        <v>1</v>
      </c>
      <c r="D2371" t="s">
        <v>90</v>
      </c>
      <c r="E2371" t="s">
        <v>150</v>
      </c>
      <c r="F2371" t="s">
        <v>107</v>
      </c>
      <c r="G2371" t="s">
        <v>100</v>
      </c>
      <c r="H2371" t="s">
        <v>131</v>
      </c>
      <c r="I2371" t="s">
        <v>155</v>
      </c>
      <c r="J2371" t="s">
        <v>94</v>
      </c>
      <c r="K2371">
        <v>6</v>
      </c>
      <c r="L2371">
        <v>11700</v>
      </c>
      <c r="M2371">
        <v>70200</v>
      </c>
      <c r="N2371" t="s">
        <v>108</v>
      </c>
      <c r="O2371" t="s">
        <v>115</v>
      </c>
    </row>
    <row r="2372" spans="1:15" x14ac:dyDescent="0.25">
      <c r="A2372">
        <v>2111</v>
      </c>
      <c r="B2372" s="10">
        <v>45960</v>
      </c>
      <c r="C2372">
        <v>30</v>
      </c>
      <c r="D2372" t="s">
        <v>136</v>
      </c>
      <c r="E2372" t="s">
        <v>106</v>
      </c>
      <c r="F2372" t="s">
        <v>151</v>
      </c>
      <c r="G2372" t="s">
        <v>111</v>
      </c>
      <c r="H2372" t="s">
        <v>37</v>
      </c>
      <c r="I2372" t="s">
        <v>160</v>
      </c>
      <c r="J2372" t="s">
        <v>94</v>
      </c>
      <c r="K2372">
        <v>4</v>
      </c>
      <c r="L2372">
        <v>11700</v>
      </c>
      <c r="M2372">
        <v>46800</v>
      </c>
      <c r="N2372" t="s">
        <v>108</v>
      </c>
      <c r="O2372" t="s">
        <v>115</v>
      </c>
    </row>
    <row r="2373" spans="1:15" x14ac:dyDescent="0.25">
      <c r="A2373">
        <v>2283</v>
      </c>
      <c r="B2373" s="10">
        <v>46006</v>
      </c>
      <c r="C2373">
        <v>15</v>
      </c>
      <c r="D2373" t="s">
        <v>125</v>
      </c>
      <c r="E2373" t="s">
        <v>128</v>
      </c>
      <c r="F2373" t="s">
        <v>28</v>
      </c>
      <c r="G2373" t="s">
        <v>126</v>
      </c>
      <c r="H2373" t="s">
        <v>131</v>
      </c>
      <c r="I2373" t="s">
        <v>155</v>
      </c>
      <c r="J2373" t="s">
        <v>94</v>
      </c>
      <c r="K2373">
        <v>7</v>
      </c>
      <c r="L2373">
        <v>11700</v>
      </c>
      <c r="M2373">
        <v>81900</v>
      </c>
      <c r="N2373" t="s">
        <v>108</v>
      </c>
      <c r="O2373" t="s">
        <v>104</v>
      </c>
    </row>
    <row r="2374" spans="1:15" x14ac:dyDescent="0.25">
      <c r="A2374">
        <v>2319</v>
      </c>
      <c r="B2374" s="10">
        <v>45688</v>
      </c>
      <c r="C2374">
        <v>31</v>
      </c>
      <c r="D2374" t="s">
        <v>130</v>
      </c>
      <c r="E2374" t="s">
        <v>110</v>
      </c>
      <c r="F2374" t="s">
        <v>99</v>
      </c>
      <c r="G2374" t="s">
        <v>100</v>
      </c>
      <c r="H2374" t="s">
        <v>29</v>
      </c>
      <c r="I2374" t="s">
        <v>163</v>
      </c>
      <c r="J2374" t="s">
        <v>94</v>
      </c>
      <c r="K2374">
        <v>5</v>
      </c>
      <c r="L2374">
        <v>11700</v>
      </c>
      <c r="M2374">
        <v>58500</v>
      </c>
      <c r="N2374" t="s">
        <v>108</v>
      </c>
      <c r="O2374" t="s">
        <v>104</v>
      </c>
    </row>
    <row r="2375" spans="1:15" x14ac:dyDescent="0.25">
      <c r="A2375">
        <v>2700</v>
      </c>
      <c r="B2375" s="10">
        <v>45759</v>
      </c>
      <c r="C2375">
        <v>12</v>
      </c>
      <c r="D2375" t="s">
        <v>105</v>
      </c>
      <c r="E2375" t="s">
        <v>116</v>
      </c>
      <c r="F2375" t="s">
        <v>134</v>
      </c>
      <c r="G2375" t="s">
        <v>100</v>
      </c>
      <c r="H2375" t="s">
        <v>131</v>
      </c>
      <c r="I2375" t="s">
        <v>155</v>
      </c>
      <c r="J2375" t="s">
        <v>94</v>
      </c>
      <c r="K2375">
        <v>2</v>
      </c>
      <c r="L2375">
        <v>11700</v>
      </c>
      <c r="M2375">
        <v>23400</v>
      </c>
      <c r="N2375" t="s">
        <v>108</v>
      </c>
      <c r="O2375" t="s">
        <v>115</v>
      </c>
    </row>
    <row r="2376" spans="1:15" x14ac:dyDescent="0.25">
      <c r="A2376">
        <v>3064</v>
      </c>
      <c r="B2376" s="10">
        <v>45717</v>
      </c>
      <c r="C2376">
        <v>1</v>
      </c>
      <c r="D2376" t="s">
        <v>140</v>
      </c>
      <c r="E2376" t="s">
        <v>128</v>
      </c>
      <c r="F2376" t="s">
        <v>99</v>
      </c>
      <c r="G2376" t="s">
        <v>100</v>
      </c>
      <c r="H2376" t="s">
        <v>29</v>
      </c>
      <c r="I2376" t="s">
        <v>163</v>
      </c>
      <c r="J2376" t="s">
        <v>94</v>
      </c>
      <c r="K2376">
        <v>8</v>
      </c>
      <c r="L2376">
        <v>11700</v>
      </c>
      <c r="M2376">
        <v>93600</v>
      </c>
      <c r="N2376" t="s">
        <v>108</v>
      </c>
      <c r="O2376" t="s">
        <v>96</v>
      </c>
    </row>
    <row r="2377" spans="1:15" x14ac:dyDescent="0.25">
      <c r="A2377">
        <v>3228</v>
      </c>
      <c r="B2377" s="10">
        <v>45917</v>
      </c>
      <c r="C2377">
        <v>17</v>
      </c>
      <c r="D2377" t="s">
        <v>147</v>
      </c>
      <c r="E2377" t="s">
        <v>138</v>
      </c>
      <c r="F2377" t="s">
        <v>134</v>
      </c>
      <c r="G2377" t="s">
        <v>100</v>
      </c>
      <c r="H2377" t="s">
        <v>131</v>
      </c>
      <c r="I2377" t="s">
        <v>155</v>
      </c>
      <c r="J2377" t="s">
        <v>94</v>
      </c>
      <c r="K2377">
        <v>6</v>
      </c>
      <c r="L2377">
        <v>11700</v>
      </c>
      <c r="M2377">
        <v>70200</v>
      </c>
      <c r="N2377" t="s">
        <v>95</v>
      </c>
      <c r="O2377" t="s">
        <v>115</v>
      </c>
    </row>
    <row r="2378" spans="1:15" x14ac:dyDescent="0.25">
      <c r="A2378">
        <v>3619</v>
      </c>
      <c r="B2378" s="10">
        <v>46004</v>
      </c>
      <c r="C2378">
        <v>13</v>
      </c>
      <c r="D2378" t="s">
        <v>125</v>
      </c>
      <c r="E2378" t="s">
        <v>161</v>
      </c>
      <c r="F2378" t="s">
        <v>99</v>
      </c>
      <c r="G2378" t="s">
        <v>100</v>
      </c>
      <c r="H2378" t="s">
        <v>131</v>
      </c>
      <c r="I2378" t="s">
        <v>155</v>
      </c>
      <c r="J2378" t="s">
        <v>94</v>
      </c>
      <c r="K2378">
        <v>2</v>
      </c>
      <c r="L2378">
        <v>11700</v>
      </c>
      <c r="M2378">
        <v>23400</v>
      </c>
      <c r="N2378" t="s">
        <v>95</v>
      </c>
      <c r="O2378" t="s">
        <v>104</v>
      </c>
    </row>
    <row r="2379" spans="1:15" x14ac:dyDescent="0.25">
      <c r="A2379">
        <v>3786</v>
      </c>
      <c r="B2379" s="10">
        <v>45690</v>
      </c>
      <c r="C2379">
        <v>2</v>
      </c>
      <c r="D2379" t="s">
        <v>97</v>
      </c>
      <c r="E2379" t="s">
        <v>137</v>
      </c>
      <c r="F2379" t="s">
        <v>113</v>
      </c>
      <c r="G2379" t="s">
        <v>114</v>
      </c>
      <c r="H2379" t="s">
        <v>29</v>
      </c>
      <c r="I2379" t="s">
        <v>163</v>
      </c>
      <c r="J2379" t="s">
        <v>94</v>
      </c>
      <c r="K2379">
        <v>5</v>
      </c>
      <c r="L2379">
        <v>11700</v>
      </c>
      <c r="M2379">
        <v>58500</v>
      </c>
      <c r="N2379" t="s">
        <v>95</v>
      </c>
      <c r="O2379" t="s">
        <v>104</v>
      </c>
    </row>
    <row r="2380" spans="1:15" x14ac:dyDescent="0.25">
      <c r="A2380">
        <v>3981</v>
      </c>
      <c r="B2380" s="10">
        <v>45809</v>
      </c>
      <c r="C2380">
        <v>1</v>
      </c>
      <c r="D2380" t="s">
        <v>153</v>
      </c>
      <c r="E2380" t="s">
        <v>138</v>
      </c>
      <c r="F2380" t="s">
        <v>44</v>
      </c>
      <c r="G2380" t="s">
        <v>111</v>
      </c>
      <c r="H2380" t="s">
        <v>131</v>
      </c>
      <c r="I2380" t="s">
        <v>155</v>
      </c>
      <c r="J2380" t="s">
        <v>94</v>
      </c>
      <c r="K2380">
        <v>1</v>
      </c>
      <c r="L2380">
        <v>11700</v>
      </c>
      <c r="M2380">
        <v>11700</v>
      </c>
      <c r="N2380" t="s">
        <v>95</v>
      </c>
      <c r="O2380" t="s">
        <v>96</v>
      </c>
    </row>
    <row r="2381" spans="1:15" x14ac:dyDescent="0.25">
      <c r="A2381">
        <v>4165</v>
      </c>
      <c r="B2381" s="10">
        <v>45868</v>
      </c>
      <c r="C2381">
        <v>30</v>
      </c>
      <c r="D2381" t="s">
        <v>145</v>
      </c>
      <c r="E2381" t="s">
        <v>138</v>
      </c>
      <c r="F2381" t="s">
        <v>151</v>
      </c>
      <c r="G2381" t="s">
        <v>111</v>
      </c>
      <c r="H2381" t="s">
        <v>37</v>
      </c>
      <c r="I2381" t="s">
        <v>160</v>
      </c>
      <c r="J2381" t="s">
        <v>94</v>
      </c>
      <c r="K2381">
        <v>2</v>
      </c>
      <c r="L2381">
        <v>11700</v>
      </c>
      <c r="M2381">
        <v>23400</v>
      </c>
      <c r="N2381" t="s">
        <v>108</v>
      </c>
      <c r="O2381" t="s">
        <v>104</v>
      </c>
    </row>
    <row r="2382" spans="1:15" x14ac:dyDescent="0.25">
      <c r="A2382">
        <v>4521</v>
      </c>
      <c r="B2382" s="10">
        <v>45916</v>
      </c>
      <c r="C2382">
        <v>16</v>
      </c>
      <c r="D2382" t="s">
        <v>147</v>
      </c>
      <c r="E2382" t="s">
        <v>133</v>
      </c>
      <c r="F2382" t="s">
        <v>151</v>
      </c>
      <c r="G2382" t="s">
        <v>111</v>
      </c>
      <c r="H2382" t="s">
        <v>37</v>
      </c>
      <c r="I2382" t="s">
        <v>160</v>
      </c>
      <c r="J2382" t="s">
        <v>94</v>
      </c>
      <c r="K2382">
        <v>7</v>
      </c>
      <c r="L2382">
        <v>11700</v>
      </c>
      <c r="M2382">
        <v>81900</v>
      </c>
      <c r="N2382" t="s">
        <v>95</v>
      </c>
      <c r="O2382" t="s">
        <v>96</v>
      </c>
    </row>
    <row r="2383" spans="1:15" x14ac:dyDescent="0.25">
      <c r="A2383">
        <v>4848</v>
      </c>
      <c r="B2383" s="10">
        <v>45729</v>
      </c>
      <c r="C2383">
        <v>13</v>
      </c>
      <c r="D2383" t="s">
        <v>140</v>
      </c>
      <c r="E2383" t="s">
        <v>25</v>
      </c>
      <c r="F2383" t="s">
        <v>113</v>
      </c>
      <c r="G2383" t="s">
        <v>114</v>
      </c>
      <c r="H2383" t="s">
        <v>37</v>
      </c>
      <c r="I2383" t="s">
        <v>160</v>
      </c>
      <c r="J2383" t="s">
        <v>94</v>
      </c>
      <c r="K2383">
        <v>4</v>
      </c>
      <c r="L2383">
        <v>11700</v>
      </c>
      <c r="M2383">
        <v>46800</v>
      </c>
      <c r="N2383" t="s">
        <v>95</v>
      </c>
      <c r="O2383" t="s">
        <v>115</v>
      </c>
    </row>
    <row r="2384" spans="1:15" x14ac:dyDescent="0.25">
      <c r="A2384">
        <v>4849</v>
      </c>
      <c r="B2384" s="10">
        <v>45699</v>
      </c>
      <c r="C2384">
        <v>11</v>
      </c>
      <c r="D2384" t="s">
        <v>97</v>
      </c>
      <c r="E2384" t="s">
        <v>98</v>
      </c>
      <c r="F2384" t="s">
        <v>148</v>
      </c>
      <c r="G2384" t="s">
        <v>118</v>
      </c>
      <c r="H2384" t="s">
        <v>37</v>
      </c>
      <c r="I2384" t="s">
        <v>160</v>
      </c>
      <c r="J2384" t="s">
        <v>94</v>
      </c>
      <c r="K2384">
        <v>7</v>
      </c>
      <c r="L2384">
        <v>11700</v>
      </c>
      <c r="M2384">
        <v>81900</v>
      </c>
      <c r="N2384" t="s">
        <v>95</v>
      </c>
      <c r="O2384" t="s">
        <v>96</v>
      </c>
    </row>
    <row r="2385" spans="1:15" x14ac:dyDescent="0.25">
      <c r="A2385">
        <v>95</v>
      </c>
      <c r="B2385" s="10">
        <v>45941</v>
      </c>
      <c r="C2385">
        <v>11</v>
      </c>
      <c r="D2385" t="s">
        <v>136</v>
      </c>
      <c r="E2385" t="s">
        <v>116</v>
      </c>
      <c r="F2385" t="s">
        <v>99</v>
      </c>
      <c r="G2385" t="s">
        <v>100</v>
      </c>
      <c r="H2385" t="s">
        <v>29</v>
      </c>
      <c r="I2385" t="s">
        <v>163</v>
      </c>
      <c r="J2385" t="s">
        <v>94</v>
      </c>
      <c r="K2385">
        <v>1</v>
      </c>
      <c r="L2385">
        <v>11800</v>
      </c>
      <c r="M2385">
        <v>11800</v>
      </c>
      <c r="N2385" t="s">
        <v>108</v>
      </c>
      <c r="O2385" t="s">
        <v>115</v>
      </c>
    </row>
    <row r="2386" spans="1:15" x14ac:dyDescent="0.25">
      <c r="A2386">
        <v>103</v>
      </c>
      <c r="B2386" s="10">
        <v>45959</v>
      </c>
      <c r="C2386">
        <v>29</v>
      </c>
      <c r="D2386" t="s">
        <v>136</v>
      </c>
      <c r="E2386" t="s">
        <v>98</v>
      </c>
      <c r="F2386" t="s">
        <v>117</v>
      </c>
      <c r="G2386" t="s">
        <v>118</v>
      </c>
      <c r="H2386" t="s">
        <v>29</v>
      </c>
      <c r="I2386" t="s">
        <v>163</v>
      </c>
      <c r="J2386" t="s">
        <v>94</v>
      </c>
      <c r="K2386">
        <v>9</v>
      </c>
      <c r="L2386">
        <v>11800</v>
      </c>
      <c r="M2386">
        <v>106200</v>
      </c>
      <c r="N2386" t="s">
        <v>95</v>
      </c>
      <c r="O2386" t="s">
        <v>96</v>
      </c>
    </row>
    <row r="2387" spans="1:15" x14ac:dyDescent="0.25">
      <c r="A2387">
        <v>190</v>
      </c>
      <c r="B2387" s="10">
        <v>45706</v>
      </c>
      <c r="C2387">
        <v>18</v>
      </c>
      <c r="D2387" t="s">
        <v>97</v>
      </c>
      <c r="E2387" t="s">
        <v>137</v>
      </c>
      <c r="F2387" t="s">
        <v>122</v>
      </c>
      <c r="G2387" t="s">
        <v>114</v>
      </c>
      <c r="H2387" t="s">
        <v>131</v>
      </c>
      <c r="I2387" t="s">
        <v>132</v>
      </c>
      <c r="J2387" t="s">
        <v>103</v>
      </c>
      <c r="K2387">
        <v>47</v>
      </c>
      <c r="L2387">
        <v>11800</v>
      </c>
      <c r="M2387">
        <v>554600</v>
      </c>
      <c r="N2387" t="s">
        <v>95</v>
      </c>
      <c r="O2387" t="s">
        <v>115</v>
      </c>
    </row>
    <row r="2388" spans="1:15" x14ac:dyDescent="0.25">
      <c r="A2388">
        <v>338</v>
      </c>
      <c r="B2388" s="10">
        <v>45991</v>
      </c>
      <c r="C2388">
        <v>30</v>
      </c>
      <c r="D2388" t="s">
        <v>90</v>
      </c>
      <c r="E2388" t="s">
        <v>110</v>
      </c>
      <c r="F2388" t="s">
        <v>36</v>
      </c>
      <c r="G2388" t="s">
        <v>100</v>
      </c>
      <c r="H2388" t="s">
        <v>37</v>
      </c>
      <c r="I2388" t="s">
        <v>160</v>
      </c>
      <c r="J2388" t="s">
        <v>94</v>
      </c>
      <c r="K2388">
        <v>8</v>
      </c>
      <c r="L2388">
        <v>11800</v>
      </c>
      <c r="M2388">
        <v>94400</v>
      </c>
      <c r="N2388" t="s">
        <v>108</v>
      </c>
      <c r="O2388" t="s">
        <v>104</v>
      </c>
    </row>
    <row r="2389" spans="1:15" x14ac:dyDescent="0.25">
      <c r="A2389">
        <v>413</v>
      </c>
      <c r="B2389" s="10">
        <v>45712</v>
      </c>
      <c r="C2389">
        <v>24</v>
      </c>
      <c r="D2389" t="s">
        <v>97</v>
      </c>
      <c r="E2389" t="s">
        <v>138</v>
      </c>
      <c r="F2389" t="s">
        <v>151</v>
      </c>
      <c r="G2389" t="s">
        <v>111</v>
      </c>
      <c r="H2389" t="s">
        <v>131</v>
      </c>
      <c r="I2389" t="s">
        <v>132</v>
      </c>
      <c r="J2389" t="s">
        <v>103</v>
      </c>
      <c r="K2389">
        <v>12</v>
      </c>
      <c r="L2389">
        <v>11800</v>
      </c>
      <c r="M2389">
        <v>141600</v>
      </c>
      <c r="N2389" t="s">
        <v>108</v>
      </c>
      <c r="O2389" t="s">
        <v>104</v>
      </c>
    </row>
    <row r="2390" spans="1:15" x14ac:dyDescent="0.25">
      <c r="A2390">
        <v>647</v>
      </c>
      <c r="B2390" s="10">
        <v>45754</v>
      </c>
      <c r="C2390">
        <v>7</v>
      </c>
      <c r="D2390" t="s">
        <v>105</v>
      </c>
      <c r="E2390" t="s">
        <v>121</v>
      </c>
      <c r="F2390" t="s">
        <v>28</v>
      </c>
      <c r="G2390" t="s">
        <v>126</v>
      </c>
      <c r="H2390" t="s">
        <v>29</v>
      </c>
      <c r="I2390" t="s">
        <v>42</v>
      </c>
      <c r="J2390" t="s">
        <v>103</v>
      </c>
      <c r="K2390">
        <v>12</v>
      </c>
      <c r="L2390">
        <v>11800</v>
      </c>
      <c r="M2390">
        <v>141600</v>
      </c>
      <c r="N2390" t="s">
        <v>108</v>
      </c>
      <c r="O2390" t="s">
        <v>96</v>
      </c>
    </row>
    <row r="2391" spans="1:15" x14ac:dyDescent="0.25">
      <c r="A2391">
        <v>954</v>
      </c>
      <c r="B2391" s="10">
        <v>45715</v>
      </c>
      <c r="C2391">
        <v>27</v>
      </c>
      <c r="D2391" t="s">
        <v>97</v>
      </c>
      <c r="E2391" t="s">
        <v>150</v>
      </c>
      <c r="F2391" t="s">
        <v>107</v>
      </c>
      <c r="G2391" t="s">
        <v>100</v>
      </c>
      <c r="H2391" t="s">
        <v>131</v>
      </c>
      <c r="I2391" t="s">
        <v>155</v>
      </c>
      <c r="J2391" t="s">
        <v>94</v>
      </c>
      <c r="K2391">
        <v>5</v>
      </c>
      <c r="L2391">
        <v>11800</v>
      </c>
      <c r="M2391">
        <v>59000</v>
      </c>
      <c r="N2391" t="s">
        <v>95</v>
      </c>
      <c r="O2391" t="s">
        <v>115</v>
      </c>
    </row>
    <row r="2392" spans="1:15" x14ac:dyDescent="0.25">
      <c r="A2392">
        <v>1616</v>
      </c>
      <c r="B2392" s="10">
        <v>45944</v>
      </c>
      <c r="C2392">
        <v>14</v>
      </c>
      <c r="D2392" t="s">
        <v>136</v>
      </c>
      <c r="E2392" t="s">
        <v>128</v>
      </c>
      <c r="F2392" t="s">
        <v>144</v>
      </c>
      <c r="G2392" t="s">
        <v>91</v>
      </c>
      <c r="H2392" t="s">
        <v>29</v>
      </c>
      <c r="I2392" t="s">
        <v>163</v>
      </c>
      <c r="J2392" t="s">
        <v>103</v>
      </c>
      <c r="K2392">
        <v>16</v>
      </c>
      <c r="L2392">
        <v>11800</v>
      </c>
      <c r="M2392">
        <v>188800</v>
      </c>
      <c r="N2392" t="s">
        <v>95</v>
      </c>
      <c r="O2392" t="s">
        <v>104</v>
      </c>
    </row>
    <row r="2393" spans="1:15" x14ac:dyDescent="0.25">
      <c r="A2393">
        <v>1656</v>
      </c>
      <c r="B2393" s="10">
        <v>45791</v>
      </c>
      <c r="C2393">
        <v>14</v>
      </c>
      <c r="D2393" t="s">
        <v>120</v>
      </c>
      <c r="E2393" t="s">
        <v>142</v>
      </c>
      <c r="F2393" t="s">
        <v>36</v>
      </c>
      <c r="G2393" t="s">
        <v>100</v>
      </c>
      <c r="H2393" t="s">
        <v>29</v>
      </c>
      <c r="I2393" t="s">
        <v>163</v>
      </c>
      <c r="J2393" t="s">
        <v>94</v>
      </c>
      <c r="K2393">
        <v>8</v>
      </c>
      <c r="L2393">
        <v>11800</v>
      </c>
      <c r="M2393">
        <v>94400</v>
      </c>
      <c r="N2393" t="s">
        <v>95</v>
      </c>
      <c r="O2393" t="s">
        <v>115</v>
      </c>
    </row>
    <row r="2394" spans="1:15" x14ac:dyDescent="0.25">
      <c r="A2394">
        <v>2135</v>
      </c>
      <c r="B2394" s="10">
        <v>45698</v>
      </c>
      <c r="C2394">
        <v>10</v>
      </c>
      <c r="D2394" t="s">
        <v>97</v>
      </c>
      <c r="E2394" t="s">
        <v>106</v>
      </c>
      <c r="F2394" t="s">
        <v>22</v>
      </c>
      <c r="G2394" t="s">
        <v>91</v>
      </c>
      <c r="H2394" t="s">
        <v>37</v>
      </c>
      <c r="I2394" t="s">
        <v>160</v>
      </c>
      <c r="J2394" t="s">
        <v>94</v>
      </c>
      <c r="K2394">
        <v>9</v>
      </c>
      <c r="L2394">
        <v>11800</v>
      </c>
      <c r="M2394">
        <v>106200</v>
      </c>
      <c r="N2394" t="s">
        <v>108</v>
      </c>
      <c r="O2394" t="s">
        <v>96</v>
      </c>
    </row>
    <row r="2395" spans="1:15" x14ac:dyDescent="0.25">
      <c r="A2395">
        <v>2866</v>
      </c>
      <c r="B2395" s="10">
        <v>45947</v>
      </c>
      <c r="C2395">
        <v>17</v>
      </c>
      <c r="D2395" t="s">
        <v>136</v>
      </c>
      <c r="E2395" t="s">
        <v>106</v>
      </c>
      <c r="F2395" t="s">
        <v>36</v>
      </c>
      <c r="G2395" t="s">
        <v>100</v>
      </c>
      <c r="H2395" t="s">
        <v>37</v>
      </c>
      <c r="I2395" t="s">
        <v>160</v>
      </c>
      <c r="J2395" t="s">
        <v>94</v>
      </c>
      <c r="K2395">
        <v>9</v>
      </c>
      <c r="L2395">
        <v>11800</v>
      </c>
      <c r="M2395">
        <v>106200</v>
      </c>
      <c r="N2395" t="s">
        <v>95</v>
      </c>
      <c r="O2395" t="s">
        <v>104</v>
      </c>
    </row>
    <row r="2396" spans="1:15" x14ac:dyDescent="0.25">
      <c r="A2396">
        <v>3796</v>
      </c>
      <c r="B2396" s="10">
        <v>45721</v>
      </c>
      <c r="C2396">
        <v>5</v>
      </c>
      <c r="D2396" t="s">
        <v>140</v>
      </c>
      <c r="E2396" t="s">
        <v>142</v>
      </c>
      <c r="F2396" t="s">
        <v>107</v>
      </c>
      <c r="G2396" t="s">
        <v>100</v>
      </c>
      <c r="H2396" t="s">
        <v>29</v>
      </c>
      <c r="I2396" t="s">
        <v>163</v>
      </c>
      <c r="J2396" t="s">
        <v>94</v>
      </c>
      <c r="K2396">
        <v>3</v>
      </c>
      <c r="L2396">
        <v>11800</v>
      </c>
      <c r="M2396">
        <v>35400</v>
      </c>
      <c r="N2396" t="s">
        <v>95</v>
      </c>
      <c r="O2396" t="s">
        <v>96</v>
      </c>
    </row>
    <row r="2397" spans="1:15" x14ac:dyDescent="0.25">
      <c r="A2397">
        <v>3897</v>
      </c>
      <c r="B2397" s="10">
        <v>45713</v>
      </c>
      <c r="C2397">
        <v>25</v>
      </c>
      <c r="D2397" t="s">
        <v>97</v>
      </c>
      <c r="E2397" t="s">
        <v>137</v>
      </c>
      <c r="F2397" t="s">
        <v>49</v>
      </c>
      <c r="G2397" t="s">
        <v>118</v>
      </c>
      <c r="H2397" t="s">
        <v>131</v>
      </c>
      <c r="I2397" t="s">
        <v>155</v>
      </c>
      <c r="J2397" t="s">
        <v>94</v>
      </c>
      <c r="K2397">
        <v>10</v>
      </c>
      <c r="L2397">
        <v>11800</v>
      </c>
      <c r="M2397">
        <v>118000</v>
      </c>
      <c r="N2397" t="s">
        <v>108</v>
      </c>
      <c r="O2397" t="s">
        <v>104</v>
      </c>
    </row>
    <row r="2398" spans="1:15" x14ac:dyDescent="0.25">
      <c r="A2398">
        <v>3983</v>
      </c>
      <c r="B2398" s="10">
        <v>45870</v>
      </c>
      <c r="C2398">
        <v>1</v>
      </c>
      <c r="D2398" t="s">
        <v>109</v>
      </c>
      <c r="E2398" t="s">
        <v>138</v>
      </c>
      <c r="F2398" t="s">
        <v>44</v>
      </c>
      <c r="G2398" t="s">
        <v>111</v>
      </c>
      <c r="H2398" t="s">
        <v>29</v>
      </c>
      <c r="I2398" t="s">
        <v>163</v>
      </c>
      <c r="J2398" t="s">
        <v>103</v>
      </c>
      <c r="K2398">
        <v>49</v>
      </c>
      <c r="L2398">
        <v>11800</v>
      </c>
      <c r="M2398">
        <v>578200</v>
      </c>
      <c r="N2398" t="s">
        <v>95</v>
      </c>
      <c r="O2398" t="s">
        <v>104</v>
      </c>
    </row>
    <row r="2399" spans="1:15" x14ac:dyDescent="0.25">
      <c r="A2399">
        <v>4235</v>
      </c>
      <c r="B2399" s="10">
        <v>45803</v>
      </c>
      <c r="C2399">
        <v>26</v>
      </c>
      <c r="D2399" t="s">
        <v>120</v>
      </c>
      <c r="E2399" t="s">
        <v>106</v>
      </c>
      <c r="F2399" t="s">
        <v>49</v>
      </c>
      <c r="G2399" t="s">
        <v>118</v>
      </c>
      <c r="H2399" t="s">
        <v>131</v>
      </c>
      <c r="I2399" t="s">
        <v>132</v>
      </c>
      <c r="J2399" t="s">
        <v>103</v>
      </c>
      <c r="K2399">
        <v>43</v>
      </c>
      <c r="L2399">
        <v>11800</v>
      </c>
      <c r="M2399">
        <v>507400</v>
      </c>
      <c r="N2399" t="s">
        <v>108</v>
      </c>
      <c r="O2399" t="s">
        <v>115</v>
      </c>
    </row>
    <row r="2400" spans="1:15" x14ac:dyDescent="0.25">
      <c r="A2400">
        <v>444</v>
      </c>
      <c r="B2400" s="10">
        <v>45675</v>
      </c>
      <c r="C2400">
        <v>18</v>
      </c>
      <c r="D2400" t="s">
        <v>130</v>
      </c>
      <c r="E2400" t="s">
        <v>116</v>
      </c>
      <c r="F2400" t="s">
        <v>22</v>
      </c>
      <c r="G2400" t="s">
        <v>91</v>
      </c>
      <c r="H2400" t="s">
        <v>37</v>
      </c>
      <c r="I2400" t="s">
        <v>160</v>
      </c>
      <c r="J2400" t="s">
        <v>94</v>
      </c>
      <c r="K2400">
        <v>2</v>
      </c>
      <c r="L2400">
        <v>11900</v>
      </c>
      <c r="M2400">
        <v>23800</v>
      </c>
      <c r="N2400" t="s">
        <v>108</v>
      </c>
      <c r="O2400" t="s">
        <v>104</v>
      </c>
    </row>
    <row r="2401" spans="1:15" x14ac:dyDescent="0.25">
      <c r="A2401">
        <v>574</v>
      </c>
      <c r="B2401" s="10">
        <v>45907</v>
      </c>
      <c r="C2401">
        <v>7</v>
      </c>
      <c r="D2401" t="s">
        <v>147</v>
      </c>
      <c r="E2401" t="s">
        <v>106</v>
      </c>
      <c r="F2401" t="s">
        <v>28</v>
      </c>
      <c r="G2401" t="s">
        <v>126</v>
      </c>
      <c r="H2401" t="s">
        <v>37</v>
      </c>
      <c r="I2401" t="s">
        <v>160</v>
      </c>
      <c r="J2401" t="s">
        <v>94</v>
      </c>
      <c r="K2401">
        <v>1</v>
      </c>
      <c r="L2401">
        <v>11900</v>
      </c>
      <c r="M2401">
        <v>11900</v>
      </c>
      <c r="N2401" t="s">
        <v>95</v>
      </c>
      <c r="O2401" t="s">
        <v>96</v>
      </c>
    </row>
    <row r="2402" spans="1:15" x14ac:dyDescent="0.25">
      <c r="A2402">
        <v>628</v>
      </c>
      <c r="B2402" s="10">
        <v>45842</v>
      </c>
      <c r="C2402">
        <v>4</v>
      </c>
      <c r="D2402" t="s">
        <v>145</v>
      </c>
      <c r="E2402" t="s">
        <v>137</v>
      </c>
      <c r="F2402" t="s">
        <v>107</v>
      </c>
      <c r="G2402" t="s">
        <v>100</v>
      </c>
      <c r="H2402" t="s">
        <v>37</v>
      </c>
      <c r="I2402" t="s">
        <v>160</v>
      </c>
      <c r="J2402" t="s">
        <v>94</v>
      </c>
      <c r="K2402">
        <v>7</v>
      </c>
      <c r="L2402">
        <v>11900</v>
      </c>
      <c r="M2402">
        <v>83300</v>
      </c>
      <c r="N2402" t="s">
        <v>95</v>
      </c>
      <c r="O2402" t="s">
        <v>115</v>
      </c>
    </row>
    <row r="2403" spans="1:15" x14ac:dyDescent="0.25">
      <c r="A2403">
        <v>1267</v>
      </c>
      <c r="B2403" s="10">
        <v>45973</v>
      </c>
      <c r="C2403">
        <v>12</v>
      </c>
      <c r="D2403" t="s">
        <v>90</v>
      </c>
      <c r="E2403" t="s">
        <v>133</v>
      </c>
      <c r="F2403" t="s">
        <v>113</v>
      </c>
      <c r="G2403" t="s">
        <v>114</v>
      </c>
      <c r="H2403" t="s">
        <v>37</v>
      </c>
      <c r="I2403" t="s">
        <v>160</v>
      </c>
      <c r="J2403" t="s">
        <v>94</v>
      </c>
      <c r="K2403">
        <v>1</v>
      </c>
      <c r="L2403">
        <v>11900</v>
      </c>
      <c r="M2403">
        <v>11900</v>
      </c>
      <c r="N2403" t="s">
        <v>108</v>
      </c>
      <c r="O2403" t="s">
        <v>96</v>
      </c>
    </row>
    <row r="2404" spans="1:15" x14ac:dyDescent="0.25">
      <c r="A2404">
        <v>1555</v>
      </c>
      <c r="B2404" s="10">
        <v>45973</v>
      </c>
      <c r="C2404">
        <v>12</v>
      </c>
      <c r="D2404" t="s">
        <v>90</v>
      </c>
      <c r="E2404" t="s">
        <v>150</v>
      </c>
      <c r="F2404" t="s">
        <v>28</v>
      </c>
      <c r="G2404" t="s">
        <v>126</v>
      </c>
      <c r="H2404" t="s">
        <v>37</v>
      </c>
      <c r="I2404" t="s">
        <v>160</v>
      </c>
      <c r="J2404" t="s">
        <v>94</v>
      </c>
      <c r="K2404">
        <v>2</v>
      </c>
      <c r="L2404">
        <v>11900</v>
      </c>
      <c r="M2404">
        <v>23800</v>
      </c>
      <c r="N2404" t="s">
        <v>108</v>
      </c>
      <c r="O2404" t="s">
        <v>115</v>
      </c>
    </row>
    <row r="2405" spans="1:15" x14ac:dyDescent="0.25">
      <c r="A2405">
        <v>1759</v>
      </c>
      <c r="B2405" s="10">
        <v>45666</v>
      </c>
      <c r="C2405">
        <v>9</v>
      </c>
      <c r="D2405" t="s">
        <v>130</v>
      </c>
      <c r="E2405" t="s">
        <v>25</v>
      </c>
      <c r="F2405" t="s">
        <v>134</v>
      </c>
      <c r="G2405" t="s">
        <v>100</v>
      </c>
      <c r="H2405" t="s">
        <v>131</v>
      </c>
      <c r="I2405" t="s">
        <v>155</v>
      </c>
      <c r="J2405" t="s">
        <v>94</v>
      </c>
      <c r="K2405">
        <v>6</v>
      </c>
      <c r="L2405">
        <v>11900</v>
      </c>
      <c r="M2405">
        <v>71400</v>
      </c>
      <c r="N2405" t="s">
        <v>108</v>
      </c>
      <c r="O2405" t="s">
        <v>115</v>
      </c>
    </row>
    <row r="2406" spans="1:15" x14ac:dyDescent="0.25">
      <c r="A2406">
        <v>3639</v>
      </c>
      <c r="B2406" s="10">
        <v>46011</v>
      </c>
      <c r="C2406">
        <v>20</v>
      </c>
      <c r="D2406" t="s">
        <v>125</v>
      </c>
      <c r="E2406" t="s">
        <v>133</v>
      </c>
      <c r="F2406" t="s">
        <v>122</v>
      </c>
      <c r="G2406" t="s">
        <v>114</v>
      </c>
      <c r="H2406" t="s">
        <v>37</v>
      </c>
      <c r="I2406" t="s">
        <v>160</v>
      </c>
      <c r="J2406" t="s">
        <v>94</v>
      </c>
      <c r="K2406">
        <v>9</v>
      </c>
      <c r="L2406">
        <v>11900</v>
      </c>
      <c r="M2406">
        <v>107100</v>
      </c>
      <c r="N2406" t="s">
        <v>95</v>
      </c>
      <c r="O2406" t="s">
        <v>104</v>
      </c>
    </row>
    <row r="2407" spans="1:15" x14ac:dyDescent="0.25">
      <c r="A2407">
        <v>3801</v>
      </c>
      <c r="B2407" s="10">
        <v>45681</v>
      </c>
      <c r="C2407">
        <v>24</v>
      </c>
      <c r="D2407" t="s">
        <v>130</v>
      </c>
      <c r="E2407" t="s">
        <v>98</v>
      </c>
      <c r="F2407" t="s">
        <v>122</v>
      </c>
      <c r="G2407" t="s">
        <v>114</v>
      </c>
      <c r="H2407" t="s">
        <v>131</v>
      </c>
      <c r="I2407" t="s">
        <v>132</v>
      </c>
      <c r="J2407" t="s">
        <v>103</v>
      </c>
      <c r="K2407">
        <v>44</v>
      </c>
      <c r="L2407">
        <v>11900</v>
      </c>
      <c r="M2407">
        <v>523600</v>
      </c>
      <c r="N2407" t="s">
        <v>108</v>
      </c>
      <c r="O2407" t="s">
        <v>96</v>
      </c>
    </row>
    <row r="2408" spans="1:15" x14ac:dyDescent="0.25">
      <c r="A2408">
        <v>3958</v>
      </c>
      <c r="B2408" s="10">
        <v>45908</v>
      </c>
      <c r="C2408">
        <v>8</v>
      </c>
      <c r="D2408" t="s">
        <v>147</v>
      </c>
      <c r="E2408" t="s">
        <v>150</v>
      </c>
      <c r="F2408" t="s">
        <v>44</v>
      </c>
      <c r="G2408" t="s">
        <v>111</v>
      </c>
      <c r="H2408" t="s">
        <v>37</v>
      </c>
      <c r="I2408" t="s">
        <v>160</v>
      </c>
      <c r="J2408" t="s">
        <v>94</v>
      </c>
      <c r="K2408">
        <v>7</v>
      </c>
      <c r="L2408">
        <v>11900</v>
      </c>
      <c r="M2408">
        <v>83300</v>
      </c>
      <c r="N2408" t="s">
        <v>108</v>
      </c>
      <c r="O2408" t="s">
        <v>96</v>
      </c>
    </row>
    <row r="2409" spans="1:15" x14ac:dyDescent="0.25">
      <c r="A2409">
        <v>4099</v>
      </c>
      <c r="B2409" s="10">
        <v>45779</v>
      </c>
      <c r="C2409">
        <v>2</v>
      </c>
      <c r="D2409" t="s">
        <v>120</v>
      </c>
      <c r="E2409" t="s">
        <v>116</v>
      </c>
      <c r="F2409" t="s">
        <v>122</v>
      </c>
      <c r="G2409" t="s">
        <v>114</v>
      </c>
      <c r="H2409" t="s">
        <v>29</v>
      </c>
      <c r="I2409" t="s">
        <v>163</v>
      </c>
      <c r="J2409" t="s">
        <v>94</v>
      </c>
      <c r="K2409">
        <v>9</v>
      </c>
      <c r="L2409">
        <v>11900</v>
      </c>
      <c r="M2409">
        <v>107100</v>
      </c>
      <c r="N2409" t="s">
        <v>108</v>
      </c>
      <c r="O2409" t="s">
        <v>115</v>
      </c>
    </row>
    <row r="2410" spans="1:15" x14ac:dyDescent="0.25">
      <c r="A2410">
        <v>4259</v>
      </c>
      <c r="B2410" s="10">
        <v>45726</v>
      </c>
      <c r="C2410">
        <v>10</v>
      </c>
      <c r="D2410" t="s">
        <v>140</v>
      </c>
      <c r="E2410" t="s">
        <v>25</v>
      </c>
      <c r="F2410" t="s">
        <v>113</v>
      </c>
      <c r="G2410" t="s">
        <v>114</v>
      </c>
      <c r="H2410" t="s">
        <v>37</v>
      </c>
      <c r="I2410" t="s">
        <v>160</v>
      </c>
      <c r="J2410" t="s">
        <v>94</v>
      </c>
      <c r="K2410">
        <v>10</v>
      </c>
      <c r="L2410">
        <v>11900</v>
      </c>
      <c r="M2410">
        <v>119000</v>
      </c>
      <c r="N2410" t="s">
        <v>108</v>
      </c>
      <c r="O2410" t="s">
        <v>96</v>
      </c>
    </row>
    <row r="2411" spans="1:15" x14ac:dyDescent="0.25">
      <c r="A2411">
        <v>4696</v>
      </c>
      <c r="B2411" s="10">
        <v>45831</v>
      </c>
      <c r="C2411">
        <v>23</v>
      </c>
      <c r="D2411" t="s">
        <v>153</v>
      </c>
      <c r="E2411" t="s">
        <v>112</v>
      </c>
      <c r="F2411" t="s">
        <v>144</v>
      </c>
      <c r="G2411" t="s">
        <v>91</v>
      </c>
      <c r="H2411" t="s">
        <v>29</v>
      </c>
      <c r="I2411" t="s">
        <v>163</v>
      </c>
      <c r="J2411" t="s">
        <v>94</v>
      </c>
      <c r="K2411">
        <v>5</v>
      </c>
      <c r="L2411">
        <v>11900</v>
      </c>
      <c r="M2411">
        <v>59500</v>
      </c>
      <c r="N2411" t="s">
        <v>108</v>
      </c>
      <c r="O2411" t="s">
        <v>104</v>
      </c>
    </row>
    <row r="2412" spans="1:15" x14ac:dyDescent="0.25">
      <c r="A2412">
        <v>32</v>
      </c>
      <c r="B2412" s="10">
        <v>45779</v>
      </c>
      <c r="C2412">
        <v>2</v>
      </c>
      <c r="D2412" t="s">
        <v>120</v>
      </c>
      <c r="E2412" t="s">
        <v>138</v>
      </c>
      <c r="F2412" t="s">
        <v>134</v>
      </c>
      <c r="G2412" t="s">
        <v>100</v>
      </c>
      <c r="H2412" t="s">
        <v>131</v>
      </c>
      <c r="I2412" t="s">
        <v>155</v>
      </c>
      <c r="J2412" t="s">
        <v>94</v>
      </c>
      <c r="K2412">
        <v>7</v>
      </c>
      <c r="L2412">
        <v>12000</v>
      </c>
      <c r="M2412">
        <v>84000</v>
      </c>
      <c r="N2412" t="s">
        <v>95</v>
      </c>
      <c r="O2412" t="s">
        <v>104</v>
      </c>
    </row>
    <row r="2413" spans="1:15" x14ac:dyDescent="0.25">
      <c r="A2413">
        <v>118</v>
      </c>
      <c r="B2413" s="10">
        <v>45799</v>
      </c>
      <c r="C2413">
        <v>22</v>
      </c>
      <c r="D2413" t="s">
        <v>120</v>
      </c>
      <c r="E2413" t="s">
        <v>112</v>
      </c>
      <c r="F2413" t="s">
        <v>117</v>
      </c>
      <c r="G2413" t="s">
        <v>118</v>
      </c>
      <c r="H2413" t="s">
        <v>131</v>
      </c>
      <c r="I2413" t="s">
        <v>132</v>
      </c>
      <c r="J2413" t="s">
        <v>103</v>
      </c>
      <c r="K2413">
        <v>5</v>
      </c>
      <c r="L2413">
        <v>12000</v>
      </c>
      <c r="M2413">
        <v>60000</v>
      </c>
      <c r="N2413" t="s">
        <v>108</v>
      </c>
      <c r="O2413" t="s">
        <v>96</v>
      </c>
    </row>
    <row r="2414" spans="1:15" x14ac:dyDescent="0.25">
      <c r="A2414">
        <v>305</v>
      </c>
      <c r="B2414" s="10">
        <v>45764</v>
      </c>
      <c r="C2414">
        <v>17</v>
      </c>
      <c r="D2414" t="s">
        <v>105</v>
      </c>
      <c r="E2414" t="s">
        <v>121</v>
      </c>
      <c r="F2414" t="s">
        <v>144</v>
      </c>
      <c r="G2414" t="s">
        <v>91</v>
      </c>
      <c r="H2414" t="s">
        <v>37</v>
      </c>
      <c r="I2414" t="s">
        <v>160</v>
      </c>
      <c r="J2414" t="s">
        <v>94</v>
      </c>
      <c r="K2414">
        <v>4</v>
      </c>
      <c r="L2414">
        <v>12000</v>
      </c>
      <c r="M2414">
        <v>48000</v>
      </c>
      <c r="N2414" t="s">
        <v>95</v>
      </c>
      <c r="O2414" t="s">
        <v>96</v>
      </c>
    </row>
    <row r="2415" spans="1:15" x14ac:dyDescent="0.25">
      <c r="A2415">
        <v>990</v>
      </c>
      <c r="B2415" s="10">
        <v>45682</v>
      </c>
      <c r="C2415">
        <v>25</v>
      </c>
      <c r="D2415" t="s">
        <v>130</v>
      </c>
      <c r="E2415" t="s">
        <v>112</v>
      </c>
      <c r="F2415" t="s">
        <v>122</v>
      </c>
      <c r="G2415" t="s">
        <v>114</v>
      </c>
      <c r="H2415" t="s">
        <v>37</v>
      </c>
      <c r="I2415" t="s">
        <v>160</v>
      </c>
      <c r="J2415" t="s">
        <v>94</v>
      </c>
      <c r="K2415">
        <v>2</v>
      </c>
      <c r="L2415">
        <v>12000</v>
      </c>
      <c r="M2415">
        <v>24000</v>
      </c>
      <c r="N2415" t="s">
        <v>108</v>
      </c>
      <c r="O2415" t="s">
        <v>104</v>
      </c>
    </row>
    <row r="2416" spans="1:15" x14ac:dyDescent="0.25">
      <c r="A2416">
        <v>1091</v>
      </c>
      <c r="B2416" s="10">
        <v>45961</v>
      </c>
      <c r="C2416">
        <v>31</v>
      </c>
      <c r="D2416" t="s">
        <v>136</v>
      </c>
      <c r="E2416" t="s">
        <v>112</v>
      </c>
      <c r="F2416" t="s">
        <v>122</v>
      </c>
      <c r="G2416" t="s">
        <v>114</v>
      </c>
      <c r="H2416" t="s">
        <v>37</v>
      </c>
      <c r="I2416" t="s">
        <v>160</v>
      </c>
      <c r="J2416" t="s">
        <v>94</v>
      </c>
      <c r="K2416">
        <v>2</v>
      </c>
      <c r="L2416">
        <v>12000</v>
      </c>
      <c r="M2416">
        <v>24000</v>
      </c>
      <c r="N2416" t="s">
        <v>108</v>
      </c>
      <c r="O2416" t="s">
        <v>104</v>
      </c>
    </row>
    <row r="2417" spans="1:15" x14ac:dyDescent="0.25">
      <c r="A2417">
        <v>1124</v>
      </c>
      <c r="B2417" s="10">
        <v>45879</v>
      </c>
      <c r="C2417">
        <v>10</v>
      </c>
      <c r="D2417" t="s">
        <v>109</v>
      </c>
      <c r="E2417" t="s">
        <v>142</v>
      </c>
      <c r="F2417" t="s">
        <v>113</v>
      </c>
      <c r="G2417" t="s">
        <v>114</v>
      </c>
      <c r="H2417" t="s">
        <v>131</v>
      </c>
      <c r="I2417" t="s">
        <v>132</v>
      </c>
      <c r="J2417" t="s">
        <v>103</v>
      </c>
      <c r="K2417">
        <v>29</v>
      </c>
      <c r="L2417">
        <v>12000</v>
      </c>
      <c r="M2417">
        <v>348000</v>
      </c>
      <c r="N2417" t="s">
        <v>95</v>
      </c>
      <c r="O2417" t="s">
        <v>104</v>
      </c>
    </row>
    <row r="2418" spans="1:15" x14ac:dyDescent="0.25">
      <c r="A2418">
        <v>1801</v>
      </c>
      <c r="B2418" s="10">
        <v>45968</v>
      </c>
      <c r="C2418">
        <v>7</v>
      </c>
      <c r="D2418" t="s">
        <v>90</v>
      </c>
      <c r="E2418" t="s">
        <v>121</v>
      </c>
      <c r="F2418" t="s">
        <v>148</v>
      </c>
      <c r="G2418" t="s">
        <v>118</v>
      </c>
      <c r="H2418" t="s">
        <v>131</v>
      </c>
      <c r="I2418" t="s">
        <v>155</v>
      </c>
      <c r="J2418" t="s">
        <v>94</v>
      </c>
      <c r="K2418">
        <v>10</v>
      </c>
      <c r="L2418">
        <v>12000</v>
      </c>
      <c r="M2418">
        <v>120000</v>
      </c>
      <c r="N2418" t="s">
        <v>95</v>
      </c>
      <c r="O2418" t="s">
        <v>96</v>
      </c>
    </row>
    <row r="2419" spans="1:15" x14ac:dyDescent="0.25">
      <c r="A2419">
        <v>2210</v>
      </c>
      <c r="B2419" s="10">
        <v>45775</v>
      </c>
      <c r="C2419">
        <v>28</v>
      </c>
      <c r="D2419" t="s">
        <v>105</v>
      </c>
      <c r="E2419" t="s">
        <v>161</v>
      </c>
      <c r="F2419" t="s">
        <v>122</v>
      </c>
      <c r="G2419" t="s">
        <v>114</v>
      </c>
      <c r="H2419" t="s">
        <v>37</v>
      </c>
      <c r="I2419" t="s">
        <v>160</v>
      </c>
      <c r="J2419" t="s">
        <v>94</v>
      </c>
      <c r="K2419">
        <v>5</v>
      </c>
      <c r="L2419">
        <v>12000</v>
      </c>
      <c r="M2419">
        <v>60000</v>
      </c>
      <c r="N2419" t="s">
        <v>95</v>
      </c>
      <c r="O2419" t="s">
        <v>96</v>
      </c>
    </row>
    <row r="2420" spans="1:15" x14ac:dyDescent="0.25">
      <c r="A2420">
        <v>2274</v>
      </c>
      <c r="B2420" s="10">
        <v>45999</v>
      </c>
      <c r="C2420">
        <v>8</v>
      </c>
      <c r="D2420" t="s">
        <v>125</v>
      </c>
      <c r="E2420" t="s">
        <v>137</v>
      </c>
      <c r="F2420" t="s">
        <v>44</v>
      </c>
      <c r="G2420" t="s">
        <v>111</v>
      </c>
      <c r="H2420" t="s">
        <v>37</v>
      </c>
      <c r="I2420" t="s">
        <v>160</v>
      </c>
      <c r="J2420" t="s">
        <v>94</v>
      </c>
      <c r="K2420">
        <v>3</v>
      </c>
      <c r="L2420">
        <v>12000</v>
      </c>
      <c r="M2420">
        <v>36000</v>
      </c>
      <c r="N2420" t="s">
        <v>108</v>
      </c>
      <c r="O2420" t="s">
        <v>104</v>
      </c>
    </row>
    <row r="2421" spans="1:15" x14ac:dyDescent="0.25">
      <c r="A2421">
        <v>2453</v>
      </c>
      <c r="B2421" s="10">
        <v>45752</v>
      </c>
      <c r="C2421">
        <v>5</v>
      </c>
      <c r="D2421" t="s">
        <v>105</v>
      </c>
      <c r="E2421" t="s">
        <v>112</v>
      </c>
      <c r="F2421" t="s">
        <v>134</v>
      </c>
      <c r="G2421" t="s">
        <v>100</v>
      </c>
      <c r="H2421" t="s">
        <v>37</v>
      </c>
      <c r="I2421" t="s">
        <v>160</v>
      </c>
      <c r="J2421" t="s">
        <v>94</v>
      </c>
      <c r="K2421">
        <v>2</v>
      </c>
      <c r="L2421">
        <v>12000</v>
      </c>
      <c r="M2421">
        <v>24000</v>
      </c>
      <c r="N2421" t="s">
        <v>108</v>
      </c>
      <c r="O2421" t="s">
        <v>96</v>
      </c>
    </row>
    <row r="2422" spans="1:15" x14ac:dyDescent="0.25">
      <c r="A2422">
        <v>2571</v>
      </c>
      <c r="B2422" s="10">
        <v>45939</v>
      </c>
      <c r="C2422">
        <v>9</v>
      </c>
      <c r="D2422" t="s">
        <v>136</v>
      </c>
      <c r="E2422" t="s">
        <v>25</v>
      </c>
      <c r="F2422" t="s">
        <v>36</v>
      </c>
      <c r="G2422" t="s">
        <v>100</v>
      </c>
      <c r="H2422" t="s">
        <v>29</v>
      </c>
      <c r="I2422" t="s">
        <v>163</v>
      </c>
      <c r="J2422" t="s">
        <v>94</v>
      </c>
      <c r="K2422">
        <v>2</v>
      </c>
      <c r="L2422">
        <v>12000</v>
      </c>
      <c r="M2422">
        <v>24000</v>
      </c>
      <c r="N2422" t="s">
        <v>95</v>
      </c>
      <c r="O2422" t="s">
        <v>104</v>
      </c>
    </row>
    <row r="2423" spans="1:15" x14ac:dyDescent="0.25">
      <c r="A2423">
        <v>2807</v>
      </c>
      <c r="B2423" s="10">
        <v>45762</v>
      </c>
      <c r="C2423">
        <v>15</v>
      </c>
      <c r="D2423" t="s">
        <v>105</v>
      </c>
      <c r="E2423" t="s">
        <v>25</v>
      </c>
      <c r="F2423" t="s">
        <v>113</v>
      </c>
      <c r="G2423" t="s">
        <v>114</v>
      </c>
      <c r="H2423" t="s">
        <v>29</v>
      </c>
      <c r="I2423" t="s">
        <v>163</v>
      </c>
      <c r="J2423" t="s">
        <v>94</v>
      </c>
      <c r="K2423">
        <v>4</v>
      </c>
      <c r="L2423">
        <v>12000</v>
      </c>
      <c r="M2423">
        <v>48000</v>
      </c>
      <c r="N2423" t="s">
        <v>95</v>
      </c>
      <c r="O2423" t="s">
        <v>104</v>
      </c>
    </row>
    <row r="2424" spans="1:15" x14ac:dyDescent="0.25">
      <c r="A2424">
        <v>4088</v>
      </c>
      <c r="B2424" s="10">
        <v>45978</v>
      </c>
      <c r="C2424">
        <v>17</v>
      </c>
      <c r="D2424" t="s">
        <v>90</v>
      </c>
      <c r="E2424" t="s">
        <v>142</v>
      </c>
      <c r="F2424" t="s">
        <v>113</v>
      </c>
      <c r="G2424" t="s">
        <v>114</v>
      </c>
      <c r="H2424" t="s">
        <v>29</v>
      </c>
      <c r="I2424" t="s">
        <v>163</v>
      </c>
      <c r="J2424" t="s">
        <v>94</v>
      </c>
      <c r="K2424">
        <v>10</v>
      </c>
      <c r="L2424">
        <v>12000</v>
      </c>
      <c r="M2424">
        <v>120000</v>
      </c>
      <c r="N2424" t="s">
        <v>108</v>
      </c>
      <c r="O2424" t="s">
        <v>96</v>
      </c>
    </row>
    <row r="2425" spans="1:15" x14ac:dyDescent="0.25">
      <c r="A2425">
        <v>4824</v>
      </c>
      <c r="B2425" s="10">
        <v>45820</v>
      </c>
      <c r="C2425">
        <v>12</v>
      </c>
      <c r="D2425" t="s">
        <v>153</v>
      </c>
      <c r="E2425" t="s">
        <v>110</v>
      </c>
      <c r="F2425" t="s">
        <v>134</v>
      </c>
      <c r="G2425" t="s">
        <v>100</v>
      </c>
      <c r="H2425" t="s">
        <v>29</v>
      </c>
      <c r="I2425" t="s">
        <v>163</v>
      </c>
      <c r="J2425" t="s">
        <v>94</v>
      </c>
      <c r="K2425">
        <v>2</v>
      </c>
      <c r="L2425">
        <v>12000</v>
      </c>
      <c r="M2425">
        <v>24000</v>
      </c>
      <c r="N2425" t="s">
        <v>95</v>
      </c>
      <c r="O2425" t="s">
        <v>115</v>
      </c>
    </row>
    <row r="2426" spans="1:15" x14ac:dyDescent="0.25">
      <c r="A2426">
        <v>183</v>
      </c>
      <c r="B2426" s="10">
        <v>45883</v>
      </c>
      <c r="C2426">
        <v>14</v>
      </c>
      <c r="D2426" t="s">
        <v>109</v>
      </c>
      <c r="E2426" t="s">
        <v>31</v>
      </c>
      <c r="F2426" t="s">
        <v>151</v>
      </c>
      <c r="G2426" t="s">
        <v>111</v>
      </c>
      <c r="H2426" t="s">
        <v>131</v>
      </c>
      <c r="I2426" t="s">
        <v>132</v>
      </c>
      <c r="J2426" t="s">
        <v>103</v>
      </c>
      <c r="K2426">
        <v>42</v>
      </c>
      <c r="L2426">
        <v>12100</v>
      </c>
      <c r="M2426">
        <v>508200</v>
      </c>
      <c r="N2426" t="s">
        <v>95</v>
      </c>
      <c r="O2426" t="s">
        <v>115</v>
      </c>
    </row>
    <row r="2427" spans="1:15" x14ac:dyDescent="0.25">
      <c r="A2427">
        <v>325</v>
      </c>
      <c r="B2427" s="10">
        <v>45781</v>
      </c>
      <c r="C2427">
        <v>4</v>
      </c>
      <c r="D2427" t="s">
        <v>120</v>
      </c>
      <c r="E2427" t="s">
        <v>110</v>
      </c>
      <c r="F2427" t="s">
        <v>141</v>
      </c>
      <c r="G2427" t="s">
        <v>100</v>
      </c>
      <c r="H2427" t="s">
        <v>131</v>
      </c>
      <c r="I2427" t="s">
        <v>132</v>
      </c>
      <c r="J2427" t="s">
        <v>103</v>
      </c>
      <c r="K2427">
        <v>13</v>
      </c>
      <c r="L2427">
        <v>12100</v>
      </c>
      <c r="M2427">
        <v>157300</v>
      </c>
      <c r="N2427" t="s">
        <v>95</v>
      </c>
      <c r="O2427" t="s">
        <v>96</v>
      </c>
    </row>
    <row r="2428" spans="1:15" x14ac:dyDescent="0.25">
      <c r="A2428">
        <v>378</v>
      </c>
      <c r="B2428" s="10">
        <v>45814</v>
      </c>
      <c r="C2428">
        <v>6</v>
      </c>
      <c r="D2428" t="s">
        <v>153</v>
      </c>
      <c r="E2428" t="s">
        <v>161</v>
      </c>
      <c r="F2428" t="s">
        <v>99</v>
      </c>
      <c r="G2428" t="s">
        <v>100</v>
      </c>
      <c r="H2428" t="s">
        <v>29</v>
      </c>
      <c r="I2428" t="s">
        <v>163</v>
      </c>
      <c r="J2428" t="s">
        <v>94</v>
      </c>
      <c r="K2428">
        <v>2</v>
      </c>
      <c r="L2428">
        <v>12100</v>
      </c>
      <c r="M2428">
        <v>24200</v>
      </c>
      <c r="N2428" t="s">
        <v>95</v>
      </c>
      <c r="O2428" t="s">
        <v>104</v>
      </c>
    </row>
    <row r="2429" spans="1:15" x14ac:dyDescent="0.25">
      <c r="A2429">
        <v>482</v>
      </c>
      <c r="B2429" s="10">
        <v>45931</v>
      </c>
      <c r="C2429">
        <v>1</v>
      </c>
      <c r="D2429" t="s">
        <v>136</v>
      </c>
      <c r="E2429" t="s">
        <v>98</v>
      </c>
      <c r="F2429" t="s">
        <v>117</v>
      </c>
      <c r="G2429" t="s">
        <v>118</v>
      </c>
      <c r="H2429" t="s">
        <v>131</v>
      </c>
      <c r="I2429" t="s">
        <v>132</v>
      </c>
      <c r="J2429" t="s">
        <v>103</v>
      </c>
      <c r="K2429">
        <v>15</v>
      </c>
      <c r="L2429">
        <v>12100</v>
      </c>
      <c r="M2429">
        <v>181500</v>
      </c>
      <c r="N2429" t="s">
        <v>95</v>
      </c>
      <c r="O2429" t="s">
        <v>115</v>
      </c>
    </row>
    <row r="2430" spans="1:15" x14ac:dyDescent="0.25">
      <c r="A2430">
        <v>991</v>
      </c>
      <c r="B2430" s="10">
        <v>45862</v>
      </c>
      <c r="C2430">
        <v>24</v>
      </c>
      <c r="D2430" t="s">
        <v>145</v>
      </c>
      <c r="E2430" t="s">
        <v>116</v>
      </c>
      <c r="F2430" t="s">
        <v>36</v>
      </c>
      <c r="G2430" t="s">
        <v>100</v>
      </c>
      <c r="H2430" t="s">
        <v>29</v>
      </c>
      <c r="I2430" t="s">
        <v>163</v>
      </c>
      <c r="J2430" t="s">
        <v>94</v>
      </c>
      <c r="K2430">
        <v>1</v>
      </c>
      <c r="L2430">
        <v>12100</v>
      </c>
      <c r="M2430">
        <v>12100</v>
      </c>
      <c r="N2430" t="s">
        <v>95</v>
      </c>
      <c r="O2430" t="s">
        <v>104</v>
      </c>
    </row>
    <row r="2431" spans="1:15" x14ac:dyDescent="0.25">
      <c r="A2431">
        <v>1173</v>
      </c>
      <c r="B2431" s="10">
        <v>45775</v>
      </c>
      <c r="C2431">
        <v>28</v>
      </c>
      <c r="D2431" t="s">
        <v>105</v>
      </c>
      <c r="E2431" t="s">
        <v>121</v>
      </c>
      <c r="F2431" t="s">
        <v>99</v>
      </c>
      <c r="G2431" t="s">
        <v>100</v>
      </c>
      <c r="H2431" t="s">
        <v>37</v>
      </c>
      <c r="I2431" t="s">
        <v>160</v>
      </c>
      <c r="J2431" t="s">
        <v>94</v>
      </c>
      <c r="K2431">
        <v>4</v>
      </c>
      <c r="L2431">
        <v>12100</v>
      </c>
      <c r="M2431">
        <v>48400</v>
      </c>
      <c r="N2431" t="s">
        <v>95</v>
      </c>
      <c r="O2431" t="s">
        <v>96</v>
      </c>
    </row>
    <row r="2432" spans="1:15" x14ac:dyDescent="0.25">
      <c r="A2432">
        <v>1201</v>
      </c>
      <c r="B2432" s="10">
        <v>45847</v>
      </c>
      <c r="C2432">
        <v>9</v>
      </c>
      <c r="D2432" t="s">
        <v>145</v>
      </c>
      <c r="E2432" t="s">
        <v>98</v>
      </c>
      <c r="F2432" t="s">
        <v>144</v>
      </c>
      <c r="G2432" t="s">
        <v>91</v>
      </c>
      <c r="H2432" t="s">
        <v>37</v>
      </c>
      <c r="I2432" t="s">
        <v>160</v>
      </c>
      <c r="J2432" t="s">
        <v>94</v>
      </c>
      <c r="K2432">
        <v>6</v>
      </c>
      <c r="L2432">
        <v>12100</v>
      </c>
      <c r="M2432">
        <v>72600</v>
      </c>
      <c r="N2432" t="s">
        <v>108</v>
      </c>
      <c r="O2432" t="s">
        <v>115</v>
      </c>
    </row>
    <row r="2433" spans="1:15" x14ac:dyDescent="0.25">
      <c r="A2433">
        <v>1667</v>
      </c>
      <c r="B2433" s="10">
        <v>45732</v>
      </c>
      <c r="C2433">
        <v>16</v>
      </c>
      <c r="D2433" t="s">
        <v>140</v>
      </c>
      <c r="E2433" t="s">
        <v>98</v>
      </c>
      <c r="F2433" t="s">
        <v>151</v>
      </c>
      <c r="G2433" t="s">
        <v>111</v>
      </c>
      <c r="H2433" t="s">
        <v>131</v>
      </c>
      <c r="I2433" t="s">
        <v>132</v>
      </c>
      <c r="J2433" t="s">
        <v>103</v>
      </c>
      <c r="K2433">
        <v>34</v>
      </c>
      <c r="L2433">
        <v>12100</v>
      </c>
      <c r="M2433">
        <v>411400</v>
      </c>
      <c r="N2433" t="s">
        <v>95</v>
      </c>
      <c r="O2433" t="s">
        <v>96</v>
      </c>
    </row>
    <row r="2434" spans="1:15" x14ac:dyDescent="0.25">
      <c r="A2434">
        <v>1713</v>
      </c>
      <c r="B2434" s="10">
        <v>45886</v>
      </c>
      <c r="C2434">
        <v>17</v>
      </c>
      <c r="D2434" t="s">
        <v>109</v>
      </c>
      <c r="E2434" t="s">
        <v>110</v>
      </c>
      <c r="F2434" t="s">
        <v>107</v>
      </c>
      <c r="G2434" t="s">
        <v>100</v>
      </c>
      <c r="H2434" t="s">
        <v>29</v>
      </c>
      <c r="I2434" t="s">
        <v>42</v>
      </c>
      <c r="J2434" t="s">
        <v>103</v>
      </c>
      <c r="K2434">
        <v>16</v>
      </c>
      <c r="L2434">
        <v>12100</v>
      </c>
      <c r="M2434">
        <v>193600</v>
      </c>
      <c r="N2434" t="s">
        <v>95</v>
      </c>
      <c r="O2434" t="s">
        <v>104</v>
      </c>
    </row>
    <row r="2435" spans="1:15" x14ac:dyDescent="0.25">
      <c r="A2435">
        <v>1792</v>
      </c>
      <c r="B2435" s="10">
        <v>45885</v>
      </c>
      <c r="C2435">
        <v>16</v>
      </c>
      <c r="D2435" t="s">
        <v>109</v>
      </c>
      <c r="E2435" t="s">
        <v>138</v>
      </c>
      <c r="F2435" t="s">
        <v>122</v>
      </c>
      <c r="G2435" t="s">
        <v>114</v>
      </c>
      <c r="H2435" t="s">
        <v>37</v>
      </c>
      <c r="I2435" t="s">
        <v>160</v>
      </c>
      <c r="J2435" t="s">
        <v>94</v>
      </c>
      <c r="K2435">
        <v>2</v>
      </c>
      <c r="L2435">
        <v>12100</v>
      </c>
      <c r="M2435">
        <v>24200</v>
      </c>
      <c r="N2435" t="s">
        <v>108</v>
      </c>
      <c r="O2435" t="s">
        <v>96</v>
      </c>
    </row>
    <row r="2436" spans="1:15" x14ac:dyDescent="0.25">
      <c r="A2436">
        <v>1832</v>
      </c>
      <c r="B2436" s="10">
        <v>45833</v>
      </c>
      <c r="C2436">
        <v>25</v>
      </c>
      <c r="D2436" t="s">
        <v>153</v>
      </c>
      <c r="E2436" t="s">
        <v>138</v>
      </c>
      <c r="F2436" t="s">
        <v>28</v>
      </c>
      <c r="G2436" t="s">
        <v>126</v>
      </c>
      <c r="H2436" t="s">
        <v>37</v>
      </c>
      <c r="I2436" t="s">
        <v>160</v>
      </c>
      <c r="J2436" t="s">
        <v>94</v>
      </c>
      <c r="K2436">
        <v>7</v>
      </c>
      <c r="L2436">
        <v>12100</v>
      </c>
      <c r="M2436">
        <v>84700</v>
      </c>
      <c r="N2436" t="s">
        <v>108</v>
      </c>
      <c r="O2436" t="s">
        <v>115</v>
      </c>
    </row>
    <row r="2437" spans="1:15" x14ac:dyDescent="0.25">
      <c r="A2437">
        <v>1925</v>
      </c>
      <c r="B2437" s="10">
        <v>45911</v>
      </c>
      <c r="C2437">
        <v>11</v>
      </c>
      <c r="D2437" t="s">
        <v>147</v>
      </c>
      <c r="E2437" t="s">
        <v>112</v>
      </c>
      <c r="F2437" t="s">
        <v>49</v>
      </c>
      <c r="G2437" t="s">
        <v>118</v>
      </c>
      <c r="H2437" t="s">
        <v>131</v>
      </c>
      <c r="I2437" t="s">
        <v>155</v>
      </c>
      <c r="J2437" t="s">
        <v>94</v>
      </c>
      <c r="K2437">
        <v>5</v>
      </c>
      <c r="L2437">
        <v>12100</v>
      </c>
      <c r="M2437">
        <v>60500</v>
      </c>
      <c r="N2437" t="s">
        <v>95</v>
      </c>
      <c r="O2437" t="s">
        <v>115</v>
      </c>
    </row>
    <row r="2438" spans="1:15" x14ac:dyDescent="0.25">
      <c r="A2438">
        <v>2006</v>
      </c>
      <c r="B2438" s="10">
        <v>45761</v>
      </c>
      <c r="C2438">
        <v>14</v>
      </c>
      <c r="D2438" t="s">
        <v>105</v>
      </c>
      <c r="E2438" t="s">
        <v>138</v>
      </c>
      <c r="F2438" t="s">
        <v>44</v>
      </c>
      <c r="G2438" t="s">
        <v>111</v>
      </c>
      <c r="H2438" t="s">
        <v>29</v>
      </c>
      <c r="I2438" t="s">
        <v>163</v>
      </c>
      <c r="J2438" t="s">
        <v>94</v>
      </c>
      <c r="K2438">
        <v>6</v>
      </c>
      <c r="L2438">
        <v>12100</v>
      </c>
      <c r="M2438">
        <v>72600</v>
      </c>
      <c r="N2438" t="s">
        <v>95</v>
      </c>
      <c r="O2438" t="s">
        <v>96</v>
      </c>
    </row>
    <row r="2439" spans="1:15" x14ac:dyDescent="0.25">
      <c r="A2439">
        <v>2178</v>
      </c>
      <c r="B2439" s="10">
        <v>45849</v>
      </c>
      <c r="C2439">
        <v>11</v>
      </c>
      <c r="D2439" t="s">
        <v>145</v>
      </c>
      <c r="E2439" t="s">
        <v>25</v>
      </c>
      <c r="F2439" t="s">
        <v>107</v>
      </c>
      <c r="G2439" t="s">
        <v>100</v>
      </c>
      <c r="H2439" t="s">
        <v>29</v>
      </c>
      <c r="I2439" t="s">
        <v>163</v>
      </c>
      <c r="J2439" t="s">
        <v>94</v>
      </c>
      <c r="K2439">
        <v>2</v>
      </c>
      <c r="L2439">
        <v>12100</v>
      </c>
      <c r="M2439">
        <v>24200</v>
      </c>
      <c r="N2439" t="s">
        <v>95</v>
      </c>
      <c r="O2439" t="s">
        <v>104</v>
      </c>
    </row>
    <row r="2440" spans="1:15" x14ac:dyDescent="0.25">
      <c r="A2440">
        <v>2623</v>
      </c>
      <c r="B2440" s="10">
        <v>46016</v>
      </c>
      <c r="C2440">
        <v>25</v>
      </c>
      <c r="D2440" t="s">
        <v>125</v>
      </c>
      <c r="E2440" t="s">
        <v>150</v>
      </c>
      <c r="F2440" t="s">
        <v>141</v>
      </c>
      <c r="G2440" t="s">
        <v>100</v>
      </c>
      <c r="H2440" t="s">
        <v>29</v>
      </c>
      <c r="I2440" t="s">
        <v>163</v>
      </c>
      <c r="J2440" t="s">
        <v>94</v>
      </c>
      <c r="K2440">
        <v>1</v>
      </c>
      <c r="L2440">
        <v>12100</v>
      </c>
      <c r="M2440">
        <v>12100</v>
      </c>
      <c r="N2440" t="s">
        <v>108</v>
      </c>
      <c r="O2440" t="s">
        <v>115</v>
      </c>
    </row>
    <row r="2441" spans="1:15" x14ac:dyDescent="0.25">
      <c r="A2441">
        <v>2894</v>
      </c>
      <c r="B2441" s="10">
        <v>45670</v>
      </c>
      <c r="C2441">
        <v>13</v>
      </c>
      <c r="D2441" t="s">
        <v>130</v>
      </c>
      <c r="E2441" t="s">
        <v>137</v>
      </c>
      <c r="F2441" t="s">
        <v>99</v>
      </c>
      <c r="G2441" t="s">
        <v>100</v>
      </c>
      <c r="H2441" t="s">
        <v>29</v>
      </c>
      <c r="I2441" t="s">
        <v>163</v>
      </c>
      <c r="J2441" t="s">
        <v>94</v>
      </c>
      <c r="K2441">
        <v>10</v>
      </c>
      <c r="L2441">
        <v>12100</v>
      </c>
      <c r="M2441">
        <v>121000</v>
      </c>
      <c r="N2441" t="s">
        <v>95</v>
      </c>
      <c r="O2441" t="s">
        <v>96</v>
      </c>
    </row>
    <row r="2442" spans="1:15" x14ac:dyDescent="0.25">
      <c r="A2442">
        <v>3329</v>
      </c>
      <c r="B2442" s="10">
        <v>45690</v>
      </c>
      <c r="C2442">
        <v>2</v>
      </c>
      <c r="D2442" t="s">
        <v>97</v>
      </c>
      <c r="E2442" t="s">
        <v>133</v>
      </c>
      <c r="F2442" t="s">
        <v>44</v>
      </c>
      <c r="G2442" t="s">
        <v>111</v>
      </c>
      <c r="H2442" t="s">
        <v>131</v>
      </c>
      <c r="I2442" t="s">
        <v>132</v>
      </c>
      <c r="J2442" t="s">
        <v>103</v>
      </c>
      <c r="K2442">
        <v>24</v>
      </c>
      <c r="L2442">
        <v>12100</v>
      </c>
      <c r="M2442">
        <v>290400</v>
      </c>
      <c r="N2442" t="s">
        <v>95</v>
      </c>
      <c r="O2442" t="s">
        <v>115</v>
      </c>
    </row>
    <row r="2443" spans="1:15" x14ac:dyDescent="0.25">
      <c r="A2443">
        <v>3345</v>
      </c>
      <c r="B2443" s="10">
        <v>45681</v>
      </c>
      <c r="C2443">
        <v>24</v>
      </c>
      <c r="D2443" t="s">
        <v>130</v>
      </c>
      <c r="E2443" t="s">
        <v>110</v>
      </c>
      <c r="F2443" t="s">
        <v>122</v>
      </c>
      <c r="G2443" t="s">
        <v>114</v>
      </c>
      <c r="H2443" t="s">
        <v>131</v>
      </c>
      <c r="I2443" t="s">
        <v>132</v>
      </c>
      <c r="J2443" t="s">
        <v>103</v>
      </c>
      <c r="K2443">
        <v>24</v>
      </c>
      <c r="L2443">
        <v>12100</v>
      </c>
      <c r="M2443">
        <v>290400</v>
      </c>
      <c r="N2443" t="s">
        <v>95</v>
      </c>
      <c r="O2443" t="s">
        <v>115</v>
      </c>
    </row>
    <row r="2444" spans="1:15" x14ac:dyDescent="0.25">
      <c r="A2444">
        <v>3567</v>
      </c>
      <c r="B2444" s="10">
        <v>45994</v>
      </c>
      <c r="C2444">
        <v>3</v>
      </c>
      <c r="D2444" t="s">
        <v>125</v>
      </c>
      <c r="E2444" t="s">
        <v>137</v>
      </c>
      <c r="F2444" t="s">
        <v>107</v>
      </c>
      <c r="G2444" t="s">
        <v>100</v>
      </c>
      <c r="H2444" t="s">
        <v>29</v>
      </c>
      <c r="I2444" t="s">
        <v>163</v>
      </c>
      <c r="J2444" t="s">
        <v>94</v>
      </c>
      <c r="K2444">
        <v>7</v>
      </c>
      <c r="L2444">
        <v>12100</v>
      </c>
      <c r="M2444">
        <v>84700</v>
      </c>
      <c r="N2444" t="s">
        <v>108</v>
      </c>
      <c r="O2444" t="s">
        <v>104</v>
      </c>
    </row>
    <row r="2445" spans="1:15" x14ac:dyDescent="0.25">
      <c r="A2445">
        <v>3744</v>
      </c>
      <c r="B2445" s="10">
        <v>45874</v>
      </c>
      <c r="C2445">
        <v>5</v>
      </c>
      <c r="D2445" t="s">
        <v>109</v>
      </c>
      <c r="E2445" t="s">
        <v>106</v>
      </c>
      <c r="F2445" t="s">
        <v>44</v>
      </c>
      <c r="G2445" t="s">
        <v>111</v>
      </c>
      <c r="H2445" t="s">
        <v>37</v>
      </c>
      <c r="I2445" t="s">
        <v>160</v>
      </c>
      <c r="J2445" t="s">
        <v>94</v>
      </c>
      <c r="K2445">
        <v>10</v>
      </c>
      <c r="L2445">
        <v>12100</v>
      </c>
      <c r="M2445">
        <v>121000</v>
      </c>
      <c r="N2445" t="s">
        <v>108</v>
      </c>
      <c r="O2445" t="s">
        <v>115</v>
      </c>
    </row>
    <row r="2446" spans="1:15" x14ac:dyDescent="0.25">
      <c r="A2446">
        <v>4054</v>
      </c>
      <c r="B2446" s="10">
        <v>45943</v>
      </c>
      <c r="C2446">
        <v>13</v>
      </c>
      <c r="D2446" t="s">
        <v>136</v>
      </c>
      <c r="E2446" t="s">
        <v>142</v>
      </c>
      <c r="F2446" t="s">
        <v>117</v>
      </c>
      <c r="G2446" t="s">
        <v>118</v>
      </c>
      <c r="H2446" t="s">
        <v>29</v>
      </c>
      <c r="I2446" t="s">
        <v>163</v>
      </c>
      <c r="J2446" t="s">
        <v>94</v>
      </c>
      <c r="K2446">
        <v>6</v>
      </c>
      <c r="L2446">
        <v>12100</v>
      </c>
      <c r="M2446">
        <v>72600</v>
      </c>
      <c r="N2446" t="s">
        <v>95</v>
      </c>
      <c r="O2446" t="s">
        <v>115</v>
      </c>
    </row>
    <row r="2447" spans="1:15" x14ac:dyDescent="0.25">
      <c r="A2447">
        <v>4381</v>
      </c>
      <c r="B2447" s="10">
        <v>45894</v>
      </c>
      <c r="C2447">
        <v>25</v>
      </c>
      <c r="D2447" t="s">
        <v>109</v>
      </c>
      <c r="E2447" t="s">
        <v>110</v>
      </c>
      <c r="F2447" t="s">
        <v>122</v>
      </c>
      <c r="G2447" t="s">
        <v>114</v>
      </c>
      <c r="H2447" t="s">
        <v>37</v>
      </c>
      <c r="I2447" t="s">
        <v>160</v>
      </c>
      <c r="J2447" t="s">
        <v>94</v>
      </c>
      <c r="K2447">
        <v>4</v>
      </c>
      <c r="L2447">
        <v>12100</v>
      </c>
      <c r="M2447">
        <v>48400</v>
      </c>
      <c r="N2447" t="s">
        <v>108</v>
      </c>
      <c r="O2447" t="s">
        <v>96</v>
      </c>
    </row>
    <row r="2448" spans="1:15" x14ac:dyDescent="0.25">
      <c r="A2448">
        <v>4429</v>
      </c>
      <c r="B2448" s="10">
        <v>45823</v>
      </c>
      <c r="C2448">
        <v>15</v>
      </c>
      <c r="D2448" t="s">
        <v>153</v>
      </c>
      <c r="E2448" t="s">
        <v>106</v>
      </c>
      <c r="F2448" t="s">
        <v>99</v>
      </c>
      <c r="G2448" t="s">
        <v>100</v>
      </c>
      <c r="H2448" t="s">
        <v>29</v>
      </c>
      <c r="I2448" t="s">
        <v>163</v>
      </c>
      <c r="J2448" t="s">
        <v>94</v>
      </c>
      <c r="K2448">
        <v>10</v>
      </c>
      <c r="L2448">
        <v>12100</v>
      </c>
      <c r="M2448">
        <v>121000</v>
      </c>
      <c r="N2448" t="s">
        <v>108</v>
      </c>
      <c r="O2448" t="s">
        <v>96</v>
      </c>
    </row>
    <row r="2449" spans="1:15" x14ac:dyDescent="0.25">
      <c r="A2449">
        <v>4727</v>
      </c>
      <c r="B2449" s="10">
        <v>45733</v>
      </c>
      <c r="C2449">
        <v>17</v>
      </c>
      <c r="D2449" t="s">
        <v>140</v>
      </c>
      <c r="E2449" t="s">
        <v>98</v>
      </c>
      <c r="F2449" t="s">
        <v>99</v>
      </c>
      <c r="G2449" t="s">
        <v>100</v>
      </c>
      <c r="H2449" t="s">
        <v>29</v>
      </c>
      <c r="I2449" t="s">
        <v>163</v>
      </c>
      <c r="J2449" t="s">
        <v>94</v>
      </c>
      <c r="K2449">
        <v>10</v>
      </c>
      <c r="L2449">
        <v>12100</v>
      </c>
      <c r="M2449">
        <v>121000</v>
      </c>
      <c r="N2449" t="s">
        <v>95</v>
      </c>
      <c r="O2449" t="s">
        <v>115</v>
      </c>
    </row>
    <row r="2450" spans="1:15" x14ac:dyDescent="0.25">
      <c r="A2450">
        <v>4874</v>
      </c>
      <c r="B2450" s="10">
        <v>45663</v>
      </c>
      <c r="C2450">
        <v>6</v>
      </c>
      <c r="D2450" t="s">
        <v>130</v>
      </c>
      <c r="E2450" t="s">
        <v>133</v>
      </c>
      <c r="F2450" t="s">
        <v>28</v>
      </c>
      <c r="G2450" t="s">
        <v>126</v>
      </c>
      <c r="H2450" t="s">
        <v>29</v>
      </c>
      <c r="I2450" t="s">
        <v>163</v>
      </c>
      <c r="J2450" t="s">
        <v>94</v>
      </c>
      <c r="K2450">
        <v>1</v>
      </c>
      <c r="L2450">
        <v>12100</v>
      </c>
      <c r="M2450">
        <v>12100</v>
      </c>
      <c r="N2450" t="s">
        <v>95</v>
      </c>
      <c r="O2450" t="s">
        <v>115</v>
      </c>
    </row>
    <row r="2451" spans="1:15" x14ac:dyDescent="0.25">
      <c r="A2451">
        <v>351</v>
      </c>
      <c r="B2451" s="10">
        <v>45944</v>
      </c>
      <c r="C2451">
        <v>14</v>
      </c>
      <c r="D2451" t="s">
        <v>136</v>
      </c>
      <c r="E2451" t="s">
        <v>142</v>
      </c>
      <c r="F2451" t="s">
        <v>151</v>
      </c>
      <c r="G2451" t="s">
        <v>111</v>
      </c>
      <c r="H2451" t="s">
        <v>29</v>
      </c>
      <c r="I2451" t="s">
        <v>163</v>
      </c>
      <c r="J2451" t="s">
        <v>94</v>
      </c>
      <c r="K2451">
        <v>3</v>
      </c>
      <c r="L2451">
        <v>12200</v>
      </c>
      <c r="M2451">
        <v>36600</v>
      </c>
      <c r="N2451" t="s">
        <v>108</v>
      </c>
      <c r="O2451" t="s">
        <v>115</v>
      </c>
    </row>
    <row r="2452" spans="1:15" x14ac:dyDescent="0.25">
      <c r="A2452">
        <v>514</v>
      </c>
      <c r="B2452" s="10">
        <v>45996</v>
      </c>
      <c r="C2452">
        <v>5</v>
      </c>
      <c r="D2452" t="s">
        <v>125</v>
      </c>
      <c r="E2452" t="s">
        <v>161</v>
      </c>
      <c r="F2452" t="s">
        <v>49</v>
      </c>
      <c r="G2452" t="s">
        <v>118</v>
      </c>
      <c r="H2452" t="s">
        <v>131</v>
      </c>
      <c r="I2452" t="s">
        <v>132</v>
      </c>
      <c r="J2452" t="s">
        <v>103</v>
      </c>
      <c r="K2452">
        <v>14</v>
      </c>
      <c r="L2452">
        <v>12200</v>
      </c>
      <c r="M2452">
        <v>170800</v>
      </c>
      <c r="N2452" t="s">
        <v>95</v>
      </c>
      <c r="O2452" t="s">
        <v>104</v>
      </c>
    </row>
    <row r="2453" spans="1:15" x14ac:dyDescent="0.25">
      <c r="A2453">
        <v>709</v>
      </c>
      <c r="B2453" s="10">
        <v>45935</v>
      </c>
      <c r="C2453">
        <v>5</v>
      </c>
      <c r="D2453" t="s">
        <v>136</v>
      </c>
      <c r="E2453" t="s">
        <v>98</v>
      </c>
      <c r="F2453" t="s">
        <v>117</v>
      </c>
      <c r="G2453" t="s">
        <v>118</v>
      </c>
      <c r="H2453" t="s">
        <v>29</v>
      </c>
      <c r="I2453" t="s">
        <v>42</v>
      </c>
      <c r="J2453" t="s">
        <v>103</v>
      </c>
      <c r="K2453">
        <v>49</v>
      </c>
      <c r="L2453">
        <v>12200</v>
      </c>
      <c r="M2453">
        <v>597800</v>
      </c>
      <c r="N2453" t="s">
        <v>95</v>
      </c>
      <c r="O2453" t="s">
        <v>115</v>
      </c>
    </row>
    <row r="2454" spans="1:15" x14ac:dyDescent="0.25">
      <c r="A2454">
        <v>793</v>
      </c>
      <c r="B2454" s="10">
        <v>45916</v>
      </c>
      <c r="C2454">
        <v>16</v>
      </c>
      <c r="D2454" t="s">
        <v>147</v>
      </c>
      <c r="E2454" t="s">
        <v>31</v>
      </c>
      <c r="F2454" t="s">
        <v>141</v>
      </c>
      <c r="G2454" t="s">
        <v>100</v>
      </c>
      <c r="H2454" t="s">
        <v>37</v>
      </c>
      <c r="I2454" t="s">
        <v>160</v>
      </c>
      <c r="J2454" t="s">
        <v>94</v>
      </c>
      <c r="K2454">
        <v>10</v>
      </c>
      <c r="L2454">
        <v>12200</v>
      </c>
      <c r="M2454">
        <v>122000</v>
      </c>
      <c r="N2454" t="s">
        <v>108</v>
      </c>
      <c r="O2454" t="s">
        <v>115</v>
      </c>
    </row>
    <row r="2455" spans="1:15" x14ac:dyDescent="0.25">
      <c r="A2455">
        <v>872</v>
      </c>
      <c r="B2455" s="10">
        <v>45820</v>
      </c>
      <c r="C2455">
        <v>12</v>
      </c>
      <c r="D2455" t="s">
        <v>153</v>
      </c>
      <c r="E2455" t="s">
        <v>110</v>
      </c>
      <c r="F2455" t="s">
        <v>36</v>
      </c>
      <c r="G2455" t="s">
        <v>100</v>
      </c>
      <c r="H2455" t="s">
        <v>131</v>
      </c>
      <c r="I2455" t="s">
        <v>132</v>
      </c>
      <c r="J2455" t="s">
        <v>103</v>
      </c>
      <c r="K2455">
        <v>16</v>
      </c>
      <c r="L2455">
        <v>12200</v>
      </c>
      <c r="M2455">
        <v>195200</v>
      </c>
      <c r="N2455" t="s">
        <v>95</v>
      </c>
      <c r="O2455" t="s">
        <v>96</v>
      </c>
    </row>
    <row r="2456" spans="1:15" x14ac:dyDescent="0.25">
      <c r="A2456">
        <v>1130</v>
      </c>
      <c r="B2456" s="10">
        <v>45992</v>
      </c>
      <c r="C2456">
        <v>1</v>
      </c>
      <c r="D2456" t="s">
        <v>125</v>
      </c>
      <c r="E2456" t="s">
        <v>137</v>
      </c>
      <c r="F2456" t="s">
        <v>117</v>
      </c>
      <c r="G2456" t="s">
        <v>118</v>
      </c>
      <c r="H2456" t="s">
        <v>29</v>
      </c>
      <c r="I2456" t="s">
        <v>163</v>
      </c>
      <c r="J2456" t="s">
        <v>94</v>
      </c>
      <c r="K2456">
        <v>4</v>
      </c>
      <c r="L2456">
        <v>12200</v>
      </c>
      <c r="M2456">
        <v>48800</v>
      </c>
      <c r="N2456" t="s">
        <v>95</v>
      </c>
      <c r="O2456" t="s">
        <v>115</v>
      </c>
    </row>
    <row r="2457" spans="1:15" x14ac:dyDescent="0.25">
      <c r="A2457">
        <v>2063</v>
      </c>
      <c r="B2457" s="10">
        <v>45896</v>
      </c>
      <c r="C2457">
        <v>27</v>
      </c>
      <c r="D2457" t="s">
        <v>109</v>
      </c>
      <c r="E2457" t="s">
        <v>150</v>
      </c>
      <c r="F2457" t="s">
        <v>144</v>
      </c>
      <c r="G2457" t="s">
        <v>91</v>
      </c>
      <c r="H2457" t="s">
        <v>29</v>
      </c>
      <c r="I2457" t="s">
        <v>163</v>
      </c>
      <c r="J2457" t="s">
        <v>94</v>
      </c>
      <c r="K2457">
        <v>7</v>
      </c>
      <c r="L2457">
        <v>12200</v>
      </c>
      <c r="M2457">
        <v>85400</v>
      </c>
      <c r="N2457" t="s">
        <v>95</v>
      </c>
      <c r="O2457" t="s">
        <v>104</v>
      </c>
    </row>
    <row r="2458" spans="1:15" x14ac:dyDescent="0.25">
      <c r="A2458">
        <v>2794</v>
      </c>
      <c r="B2458" s="10">
        <v>45815</v>
      </c>
      <c r="C2458">
        <v>7</v>
      </c>
      <c r="D2458" t="s">
        <v>153</v>
      </c>
      <c r="E2458" t="s">
        <v>133</v>
      </c>
      <c r="F2458" t="s">
        <v>144</v>
      </c>
      <c r="G2458" t="s">
        <v>91</v>
      </c>
      <c r="H2458" t="s">
        <v>131</v>
      </c>
      <c r="I2458" t="s">
        <v>132</v>
      </c>
      <c r="J2458" t="s">
        <v>103</v>
      </c>
      <c r="K2458">
        <v>48</v>
      </c>
      <c r="L2458">
        <v>12200</v>
      </c>
      <c r="M2458">
        <v>585600</v>
      </c>
      <c r="N2458" t="s">
        <v>108</v>
      </c>
      <c r="O2458" t="s">
        <v>115</v>
      </c>
    </row>
    <row r="2459" spans="1:15" x14ac:dyDescent="0.25">
      <c r="A2459">
        <v>1020</v>
      </c>
      <c r="B2459" s="10">
        <v>45682</v>
      </c>
      <c r="C2459">
        <v>25</v>
      </c>
      <c r="D2459" t="s">
        <v>130</v>
      </c>
      <c r="E2459" t="s">
        <v>25</v>
      </c>
      <c r="F2459" t="s">
        <v>113</v>
      </c>
      <c r="G2459" t="s">
        <v>114</v>
      </c>
      <c r="H2459" t="s">
        <v>37</v>
      </c>
      <c r="I2459" t="s">
        <v>160</v>
      </c>
      <c r="J2459" t="s">
        <v>94</v>
      </c>
      <c r="K2459">
        <v>3</v>
      </c>
      <c r="L2459">
        <v>12300</v>
      </c>
      <c r="M2459">
        <v>36900</v>
      </c>
      <c r="N2459" t="s">
        <v>95</v>
      </c>
      <c r="O2459" t="s">
        <v>104</v>
      </c>
    </row>
    <row r="2460" spans="1:15" x14ac:dyDescent="0.25">
      <c r="A2460">
        <v>1239</v>
      </c>
      <c r="B2460" s="10">
        <v>45701</v>
      </c>
      <c r="C2460">
        <v>13</v>
      </c>
      <c r="D2460" t="s">
        <v>97</v>
      </c>
      <c r="E2460" t="s">
        <v>31</v>
      </c>
      <c r="F2460" t="s">
        <v>107</v>
      </c>
      <c r="G2460" t="s">
        <v>100</v>
      </c>
      <c r="H2460" t="s">
        <v>37</v>
      </c>
      <c r="I2460" t="s">
        <v>160</v>
      </c>
      <c r="J2460" t="s">
        <v>94</v>
      </c>
      <c r="K2460">
        <v>7</v>
      </c>
      <c r="L2460">
        <v>12300</v>
      </c>
      <c r="M2460">
        <v>86100</v>
      </c>
      <c r="N2460" t="s">
        <v>95</v>
      </c>
      <c r="O2460" t="s">
        <v>104</v>
      </c>
    </row>
    <row r="2461" spans="1:15" x14ac:dyDescent="0.25">
      <c r="A2461">
        <v>1699</v>
      </c>
      <c r="B2461" s="10">
        <v>45994</v>
      </c>
      <c r="C2461">
        <v>3</v>
      </c>
      <c r="D2461" t="s">
        <v>125</v>
      </c>
      <c r="E2461" t="s">
        <v>150</v>
      </c>
      <c r="F2461" t="s">
        <v>36</v>
      </c>
      <c r="G2461" t="s">
        <v>100</v>
      </c>
      <c r="H2461" t="s">
        <v>29</v>
      </c>
      <c r="I2461" t="s">
        <v>163</v>
      </c>
      <c r="J2461" t="s">
        <v>94</v>
      </c>
      <c r="K2461">
        <v>5</v>
      </c>
      <c r="L2461">
        <v>12300</v>
      </c>
      <c r="M2461">
        <v>61500</v>
      </c>
      <c r="N2461" t="s">
        <v>95</v>
      </c>
      <c r="O2461" t="s">
        <v>115</v>
      </c>
    </row>
    <row r="2462" spans="1:15" x14ac:dyDescent="0.25">
      <c r="A2462">
        <v>2394</v>
      </c>
      <c r="B2462" s="10">
        <v>45864</v>
      </c>
      <c r="C2462">
        <v>26</v>
      </c>
      <c r="D2462" t="s">
        <v>145</v>
      </c>
      <c r="E2462" t="s">
        <v>138</v>
      </c>
      <c r="F2462" t="s">
        <v>141</v>
      </c>
      <c r="G2462" t="s">
        <v>100</v>
      </c>
      <c r="H2462" t="s">
        <v>131</v>
      </c>
      <c r="I2462" t="s">
        <v>132</v>
      </c>
      <c r="J2462" t="s">
        <v>103</v>
      </c>
      <c r="K2462">
        <v>30</v>
      </c>
      <c r="L2462">
        <v>12300</v>
      </c>
      <c r="M2462">
        <v>369000</v>
      </c>
      <c r="N2462" t="s">
        <v>108</v>
      </c>
      <c r="O2462" t="s">
        <v>104</v>
      </c>
    </row>
    <row r="2463" spans="1:15" x14ac:dyDescent="0.25">
      <c r="A2463">
        <v>2512</v>
      </c>
      <c r="B2463" s="10">
        <v>45793</v>
      </c>
      <c r="C2463">
        <v>16</v>
      </c>
      <c r="D2463" t="s">
        <v>120</v>
      </c>
      <c r="E2463" t="s">
        <v>161</v>
      </c>
      <c r="F2463" t="s">
        <v>99</v>
      </c>
      <c r="G2463" t="s">
        <v>100</v>
      </c>
      <c r="H2463" t="s">
        <v>37</v>
      </c>
      <c r="I2463" t="s">
        <v>160</v>
      </c>
      <c r="J2463" t="s">
        <v>94</v>
      </c>
      <c r="K2463">
        <v>2</v>
      </c>
      <c r="L2463">
        <v>12300</v>
      </c>
      <c r="M2463">
        <v>24600</v>
      </c>
      <c r="N2463" t="s">
        <v>108</v>
      </c>
      <c r="O2463" t="s">
        <v>96</v>
      </c>
    </row>
    <row r="2464" spans="1:15" x14ac:dyDescent="0.25">
      <c r="A2464">
        <v>2653</v>
      </c>
      <c r="B2464" s="10">
        <v>45728</v>
      </c>
      <c r="C2464">
        <v>12</v>
      </c>
      <c r="D2464" t="s">
        <v>140</v>
      </c>
      <c r="E2464" t="s">
        <v>25</v>
      </c>
      <c r="F2464" t="s">
        <v>44</v>
      </c>
      <c r="G2464" t="s">
        <v>111</v>
      </c>
      <c r="H2464" t="s">
        <v>29</v>
      </c>
      <c r="I2464" t="s">
        <v>163</v>
      </c>
      <c r="J2464" t="s">
        <v>94</v>
      </c>
      <c r="K2464">
        <v>1</v>
      </c>
      <c r="L2464">
        <v>12300</v>
      </c>
      <c r="M2464">
        <v>12300</v>
      </c>
      <c r="N2464" t="s">
        <v>95</v>
      </c>
      <c r="O2464" t="s">
        <v>96</v>
      </c>
    </row>
    <row r="2465" spans="1:15" x14ac:dyDescent="0.25">
      <c r="A2465">
        <v>3100</v>
      </c>
      <c r="B2465" s="10">
        <v>46003</v>
      </c>
      <c r="C2465">
        <v>12</v>
      </c>
      <c r="D2465" t="s">
        <v>125</v>
      </c>
      <c r="E2465" t="s">
        <v>112</v>
      </c>
      <c r="F2465" t="s">
        <v>49</v>
      </c>
      <c r="G2465" t="s">
        <v>118</v>
      </c>
      <c r="H2465" t="s">
        <v>37</v>
      </c>
      <c r="I2465" t="s">
        <v>160</v>
      </c>
      <c r="J2465" t="s">
        <v>94</v>
      </c>
      <c r="K2465">
        <v>2</v>
      </c>
      <c r="L2465">
        <v>12300</v>
      </c>
      <c r="M2465">
        <v>24600</v>
      </c>
      <c r="N2465" t="s">
        <v>108</v>
      </c>
      <c r="O2465" t="s">
        <v>115</v>
      </c>
    </row>
    <row r="2466" spans="1:15" x14ac:dyDescent="0.25">
      <c r="A2466">
        <v>3207</v>
      </c>
      <c r="B2466" s="10">
        <v>45865</v>
      </c>
      <c r="C2466">
        <v>27</v>
      </c>
      <c r="D2466" t="s">
        <v>145</v>
      </c>
      <c r="E2466" t="s">
        <v>110</v>
      </c>
      <c r="F2466" t="s">
        <v>49</v>
      </c>
      <c r="G2466" t="s">
        <v>118</v>
      </c>
      <c r="H2466" t="s">
        <v>131</v>
      </c>
      <c r="I2466" t="s">
        <v>132</v>
      </c>
      <c r="J2466" t="s">
        <v>103</v>
      </c>
      <c r="K2466">
        <v>12</v>
      </c>
      <c r="L2466">
        <v>12300</v>
      </c>
      <c r="M2466">
        <v>147600</v>
      </c>
      <c r="N2466" t="s">
        <v>95</v>
      </c>
      <c r="O2466" t="s">
        <v>104</v>
      </c>
    </row>
    <row r="2467" spans="1:15" x14ac:dyDescent="0.25">
      <c r="A2467">
        <v>3247</v>
      </c>
      <c r="B2467" s="10">
        <v>45936</v>
      </c>
      <c r="C2467">
        <v>6</v>
      </c>
      <c r="D2467" t="s">
        <v>136</v>
      </c>
      <c r="E2467" t="s">
        <v>25</v>
      </c>
      <c r="F2467" t="s">
        <v>148</v>
      </c>
      <c r="G2467" t="s">
        <v>118</v>
      </c>
      <c r="H2467" t="s">
        <v>29</v>
      </c>
      <c r="I2467" t="s">
        <v>163</v>
      </c>
      <c r="J2467" t="s">
        <v>94</v>
      </c>
      <c r="K2467">
        <v>7</v>
      </c>
      <c r="L2467">
        <v>12300</v>
      </c>
      <c r="M2467">
        <v>86100</v>
      </c>
      <c r="N2467" t="s">
        <v>108</v>
      </c>
      <c r="O2467" t="s">
        <v>104</v>
      </c>
    </row>
    <row r="2468" spans="1:15" x14ac:dyDescent="0.25">
      <c r="A2468">
        <v>3961</v>
      </c>
      <c r="B2468" s="10">
        <v>46006</v>
      </c>
      <c r="C2468">
        <v>15</v>
      </c>
      <c r="D2468" t="s">
        <v>125</v>
      </c>
      <c r="E2468" t="s">
        <v>98</v>
      </c>
      <c r="F2468" t="s">
        <v>148</v>
      </c>
      <c r="G2468" t="s">
        <v>118</v>
      </c>
      <c r="H2468" t="s">
        <v>131</v>
      </c>
      <c r="I2468" t="s">
        <v>132</v>
      </c>
      <c r="J2468" t="s">
        <v>103</v>
      </c>
      <c r="K2468">
        <v>15</v>
      </c>
      <c r="L2468">
        <v>12300</v>
      </c>
      <c r="M2468">
        <v>184500</v>
      </c>
      <c r="N2468" t="s">
        <v>95</v>
      </c>
      <c r="O2468" t="s">
        <v>104</v>
      </c>
    </row>
    <row r="2469" spans="1:15" x14ac:dyDescent="0.25">
      <c r="A2469">
        <v>3977</v>
      </c>
      <c r="B2469" s="10">
        <v>45745</v>
      </c>
      <c r="C2469">
        <v>29</v>
      </c>
      <c r="D2469" t="s">
        <v>140</v>
      </c>
      <c r="E2469" t="s">
        <v>128</v>
      </c>
      <c r="F2469" t="s">
        <v>117</v>
      </c>
      <c r="G2469" t="s">
        <v>118</v>
      </c>
      <c r="H2469" t="s">
        <v>37</v>
      </c>
      <c r="I2469" t="s">
        <v>160</v>
      </c>
      <c r="J2469" t="s">
        <v>94</v>
      </c>
      <c r="K2469">
        <v>5</v>
      </c>
      <c r="L2469">
        <v>12300</v>
      </c>
      <c r="M2469">
        <v>61500</v>
      </c>
      <c r="N2469" t="s">
        <v>95</v>
      </c>
      <c r="O2469" t="s">
        <v>96</v>
      </c>
    </row>
    <row r="2470" spans="1:15" x14ac:dyDescent="0.25">
      <c r="A2470">
        <v>4162</v>
      </c>
      <c r="B2470" s="10">
        <v>46017</v>
      </c>
      <c r="C2470">
        <v>26</v>
      </c>
      <c r="D2470" t="s">
        <v>125</v>
      </c>
      <c r="E2470" t="s">
        <v>150</v>
      </c>
      <c r="F2470" t="s">
        <v>99</v>
      </c>
      <c r="G2470" t="s">
        <v>100</v>
      </c>
      <c r="H2470" t="s">
        <v>37</v>
      </c>
      <c r="I2470" t="s">
        <v>160</v>
      </c>
      <c r="J2470" t="s">
        <v>94</v>
      </c>
      <c r="K2470">
        <v>1</v>
      </c>
      <c r="L2470">
        <v>12300</v>
      </c>
      <c r="M2470">
        <v>12300</v>
      </c>
      <c r="N2470" t="s">
        <v>108</v>
      </c>
      <c r="O2470" t="s">
        <v>96</v>
      </c>
    </row>
    <row r="2471" spans="1:15" x14ac:dyDescent="0.25">
      <c r="A2471">
        <v>4207</v>
      </c>
      <c r="B2471" s="10">
        <v>45689</v>
      </c>
      <c r="C2471">
        <v>1</v>
      </c>
      <c r="D2471" t="s">
        <v>97</v>
      </c>
      <c r="E2471" t="s">
        <v>110</v>
      </c>
      <c r="F2471" t="s">
        <v>151</v>
      </c>
      <c r="G2471" t="s">
        <v>111</v>
      </c>
      <c r="H2471" t="s">
        <v>37</v>
      </c>
      <c r="I2471" t="s">
        <v>160</v>
      </c>
      <c r="J2471" t="s">
        <v>94</v>
      </c>
      <c r="K2471">
        <v>7</v>
      </c>
      <c r="L2471">
        <v>12300</v>
      </c>
      <c r="M2471">
        <v>86100</v>
      </c>
      <c r="N2471" t="s">
        <v>95</v>
      </c>
      <c r="O2471" t="s">
        <v>115</v>
      </c>
    </row>
    <row r="2472" spans="1:15" x14ac:dyDescent="0.25">
      <c r="A2472">
        <v>4313</v>
      </c>
      <c r="B2472" s="10">
        <v>45716</v>
      </c>
      <c r="C2472">
        <v>28</v>
      </c>
      <c r="D2472" t="s">
        <v>97</v>
      </c>
      <c r="E2472" t="s">
        <v>116</v>
      </c>
      <c r="F2472" t="s">
        <v>107</v>
      </c>
      <c r="G2472" t="s">
        <v>100</v>
      </c>
      <c r="H2472" t="s">
        <v>37</v>
      </c>
      <c r="I2472" t="s">
        <v>160</v>
      </c>
      <c r="J2472" t="s">
        <v>94</v>
      </c>
      <c r="K2472">
        <v>9</v>
      </c>
      <c r="L2472">
        <v>12300</v>
      </c>
      <c r="M2472">
        <v>110700</v>
      </c>
      <c r="N2472" t="s">
        <v>95</v>
      </c>
      <c r="O2472" t="s">
        <v>96</v>
      </c>
    </row>
    <row r="2473" spans="1:15" x14ac:dyDescent="0.25">
      <c r="A2473">
        <v>114</v>
      </c>
      <c r="B2473" s="10">
        <v>45725</v>
      </c>
      <c r="C2473">
        <v>9</v>
      </c>
      <c r="D2473" t="s">
        <v>140</v>
      </c>
      <c r="E2473" t="s">
        <v>128</v>
      </c>
      <c r="F2473" t="s">
        <v>44</v>
      </c>
      <c r="G2473" t="s">
        <v>111</v>
      </c>
      <c r="H2473" t="s">
        <v>131</v>
      </c>
      <c r="I2473" t="s">
        <v>155</v>
      </c>
      <c r="J2473" t="s">
        <v>94</v>
      </c>
      <c r="K2473">
        <v>1</v>
      </c>
      <c r="L2473">
        <v>12400</v>
      </c>
      <c r="M2473">
        <v>12400</v>
      </c>
      <c r="N2473" t="s">
        <v>95</v>
      </c>
      <c r="O2473" t="s">
        <v>96</v>
      </c>
    </row>
    <row r="2474" spans="1:15" x14ac:dyDescent="0.25">
      <c r="A2474">
        <v>329</v>
      </c>
      <c r="B2474" s="10">
        <v>45695</v>
      </c>
      <c r="C2474">
        <v>7</v>
      </c>
      <c r="D2474" t="s">
        <v>97</v>
      </c>
      <c r="E2474" t="s">
        <v>31</v>
      </c>
      <c r="F2474" t="s">
        <v>44</v>
      </c>
      <c r="G2474" t="s">
        <v>111</v>
      </c>
      <c r="H2474" t="s">
        <v>29</v>
      </c>
      <c r="I2474" t="s">
        <v>163</v>
      </c>
      <c r="J2474" t="s">
        <v>94</v>
      </c>
      <c r="K2474">
        <v>7</v>
      </c>
      <c r="L2474">
        <v>12400</v>
      </c>
      <c r="M2474">
        <v>86800</v>
      </c>
      <c r="N2474" t="s">
        <v>108</v>
      </c>
      <c r="O2474" t="s">
        <v>115</v>
      </c>
    </row>
    <row r="2475" spans="1:15" x14ac:dyDescent="0.25">
      <c r="A2475">
        <v>842</v>
      </c>
      <c r="B2475" s="10">
        <v>45779</v>
      </c>
      <c r="C2475">
        <v>2</v>
      </c>
      <c r="D2475" t="s">
        <v>120</v>
      </c>
      <c r="E2475" t="s">
        <v>161</v>
      </c>
      <c r="F2475" t="s">
        <v>134</v>
      </c>
      <c r="G2475" t="s">
        <v>100</v>
      </c>
      <c r="H2475" t="s">
        <v>29</v>
      </c>
      <c r="I2475" t="s">
        <v>163</v>
      </c>
      <c r="J2475" t="s">
        <v>94</v>
      </c>
      <c r="K2475">
        <v>2</v>
      </c>
      <c r="L2475">
        <v>12400</v>
      </c>
      <c r="M2475">
        <v>24800</v>
      </c>
      <c r="N2475" t="s">
        <v>108</v>
      </c>
      <c r="O2475" t="s">
        <v>96</v>
      </c>
    </row>
    <row r="2476" spans="1:15" x14ac:dyDescent="0.25">
      <c r="A2476">
        <v>999</v>
      </c>
      <c r="B2476" s="10">
        <v>45875</v>
      </c>
      <c r="C2476">
        <v>6</v>
      </c>
      <c r="D2476" t="s">
        <v>109</v>
      </c>
      <c r="E2476" t="s">
        <v>142</v>
      </c>
      <c r="F2476" t="s">
        <v>28</v>
      </c>
      <c r="G2476" t="s">
        <v>126</v>
      </c>
      <c r="H2476" t="s">
        <v>131</v>
      </c>
      <c r="I2476" t="s">
        <v>132</v>
      </c>
      <c r="J2476" t="s">
        <v>103</v>
      </c>
      <c r="K2476">
        <v>21</v>
      </c>
      <c r="L2476">
        <v>12400</v>
      </c>
      <c r="M2476">
        <v>260400</v>
      </c>
      <c r="N2476" t="s">
        <v>95</v>
      </c>
      <c r="O2476" t="s">
        <v>96</v>
      </c>
    </row>
    <row r="2477" spans="1:15" x14ac:dyDescent="0.25">
      <c r="A2477">
        <v>1488</v>
      </c>
      <c r="B2477" s="10">
        <v>46005</v>
      </c>
      <c r="C2477">
        <v>14</v>
      </c>
      <c r="D2477" t="s">
        <v>125</v>
      </c>
      <c r="E2477" t="s">
        <v>116</v>
      </c>
      <c r="F2477" t="s">
        <v>49</v>
      </c>
      <c r="G2477" t="s">
        <v>118</v>
      </c>
      <c r="H2477" t="s">
        <v>29</v>
      </c>
      <c r="I2477" t="s">
        <v>42</v>
      </c>
      <c r="J2477" t="s">
        <v>103</v>
      </c>
      <c r="K2477">
        <v>38</v>
      </c>
      <c r="L2477">
        <v>12400</v>
      </c>
      <c r="M2477">
        <v>471200</v>
      </c>
      <c r="N2477" t="s">
        <v>95</v>
      </c>
      <c r="O2477" t="s">
        <v>104</v>
      </c>
    </row>
    <row r="2478" spans="1:15" x14ac:dyDescent="0.25">
      <c r="A2478">
        <v>2134</v>
      </c>
      <c r="B2478" s="10">
        <v>45716</v>
      </c>
      <c r="C2478">
        <v>28</v>
      </c>
      <c r="D2478" t="s">
        <v>97</v>
      </c>
      <c r="E2478" t="s">
        <v>31</v>
      </c>
      <c r="F2478" t="s">
        <v>44</v>
      </c>
      <c r="G2478" t="s">
        <v>111</v>
      </c>
      <c r="H2478" t="s">
        <v>37</v>
      </c>
      <c r="I2478" t="s">
        <v>160</v>
      </c>
      <c r="J2478" t="s">
        <v>94</v>
      </c>
      <c r="K2478">
        <v>3</v>
      </c>
      <c r="L2478">
        <v>12400</v>
      </c>
      <c r="M2478">
        <v>37200</v>
      </c>
      <c r="N2478" t="s">
        <v>95</v>
      </c>
      <c r="O2478" t="s">
        <v>96</v>
      </c>
    </row>
    <row r="2479" spans="1:15" x14ac:dyDescent="0.25">
      <c r="A2479">
        <v>2307</v>
      </c>
      <c r="B2479" s="10">
        <v>45857</v>
      </c>
      <c r="C2479">
        <v>19</v>
      </c>
      <c r="D2479" t="s">
        <v>145</v>
      </c>
      <c r="E2479" t="s">
        <v>138</v>
      </c>
      <c r="F2479" t="s">
        <v>148</v>
      </c>
      <c r="G2479" t="s">
        <v>118</v>
      </c>
      <c r="H2479" t="s">
        <v>29</v>
      </c>
      <c r="I2479" t="s">
        <v>163</v>
      </c>
      <c r="J2479" t="s">
        <v>94</v>
      </c>
      <c r="K2479">
        <v>4</v>
      </c>
      <c r="L2479">
        <v>12400</v>
      </c>
      <c r="M2479">
        <v>49600</v>
      </c>
      <c r="N2479" t="s">
        <v>108</v>
      </c>
      <c r="O2479" t="s">
        <v>96</v>
      </c>
    </row>
    <row r="2480" spans="1:15" x14ac:dyDescent="0.25">
      <c r="A2480">
        <v>2326</v>
      </c>
      <c r="B2480" s="10">
        <v>45678</v>
      </c>
      <c r="C2480">
        <v>21</v>
      </c>
      <c r="D2480" t="s">
        <v>130</v>
      </c>
      <c r="E2480" t="s">
        <v>25</v>
      </c>
      <c r="F2480" t="s">
        <v>36</v>
      </c>
      <c r="G2480" t="s">
        <v>100</v>
      </c>
      <c r="H2480" t="s">
        <v>37</v>
      </c>
      <c r="I2480" t="s">
        <v>160</v>
      </c>
      <c r="J2480" t="s">
        <v>94</v>
      </c>
      <c r="K2480">
        <v>10</v>
      </c>
      <c r="L2480">
        <v>12400</v>
      </c>
      <c r="M2480">
        <v>124000</v>
      </c>
      <c r="N2480" t="s">
        <v>95</v>
      </c>
      <c r="O2480" t="s">
        <v>104</v>
      </c>
    </row>
    <row r="2481" spans="1:15" x14ac:dyDescent="0.25">
      <c r="A2481">
        <v>2607</v>
      </c>
      <c r="B2481" s="10">
        <v>45881</v>
      </c>
      <c r="C2481">
        <v>12</v>
      </c>
      <c r="D2481" t="s">
        <v>109</v>
      </c>
      <c r="E2481" t="s">
        <v>150</v>
      </c>
      <c r="F2481" t="s">
        <v>148</v>
      </c>
      <c r="G2481" t="s">
        <v>118</v>
      </c>
      <c r="H2481" t="s">
        <v>131</v>
      </c>
      <c r="I2481" t="s">
        <v>132</v>
      </c>
      <c r="J2481" t="s">
        <v>103</v>
      </c>
      <c r="K2481">
        <v>29</v>
      </c>
      <c r="L2481">
        <v>12400</v>
      </c>
      <c r="M2481">
        <v>359600</v>
      </c>
      <c r="N2481" t="s">
        <v>108</v>
      </c>
      <c r="O2481" t="s">
        <v>104</v>
      </c>
    </row>
    <row r="2482" spans="1:15" x14ac:dyDescent="0.25">
      <c r="A2482">
        <v>3265</v>
      </c>
      <c r="B2482" s="10">
        <v>45744</v>
      </c>
      <c r="C2482">
        <v>28</v>
      </c>
      <c r="D2482" t="s">
        <v>140</v>
      </c>
      <c r="E2482" t="s">
        <v>161</v>
      </c>
      <c r="F2482" t="s">
        <v>148</v>
      </c>
      <c r="G2482" t="s">
        <v>118</v>
      </c>
      <c r="H2482" t="s">
        <v>37</v>
      </c>
      <c r="I2482" t="s">
        <v>160</v>
      </c>
      <c r="J2482" t="s">
        <v>94</v>
      </c>
      <c r="K2482">
        <v>1</v>
      </c>
      <c r="L2482">
        <v>12400</v>
      </c>
      <c r="M2482">
        <v>12400</v>
      </c>
      <c r="N2482" t="s">
        <v>95</v>
      </c>
      <c r="O2482" t="s">
        <v>104</v>
      </c>
    </row>
    <row r="2483" spans="1:15" x14ac:dyDescent="0.25">
      <c r="A2483">
        <v>3901</v>
      </c>
      <c r="B2483" s="10">
        <v>45810</v>
      </c>
      <c r="C2483">
        <v>2</v>
      </c>
      <c r="D2483" t="s">
        <v>153</v>
      </c>
      <c r="E2483" t="s">
        <v>98</v>
      </c>
      <c r="F2483" t="s">
        <v>113</v>
      </c>
      <c r="G2483" t="s">
        <v>114</v>
      </c>
      <c r="H2483" t="s">
        <v>131</v>
      </c>
      <c r="I2483" t="s">
        <v>132</v>
      </c>
      <c r="J2483" t="s">
        <v>103</v>
      </c>
      <c r="K2483">
        <v>34</v>
      </c>
      <c r="L2483">
        <v>12400</v>
      </c>
      <c r="M2483">
        <v>421600</v>
      </c>
      <c r="N2483" t="s">
        <v>108</v>
      </c>
      <c r="O2483" t="s">
        <v>104</v>
      </c>
    </row>
    <row r="2484" spans="1:15" x14ac:dyDescent="0.25">
      <c r="A2484">
        <v>4141</v>
      </c>
      <c r="B2484" s="10">
        <v>46011</v>
      </c>
      <c r="C2484">
        <v>20</v>
      </c>
      <c r="D2484" t="s">
        <v>125</v>
      </c>
      <c r="E2484" t="s">
        <v>25</v>
      </c>
      <c r="F2484" t="s">
        <v>22</v>
      </c>
      <c r="G2484" t="s">
        <v>91</v>
      </c>
      <c r="H2484" t="s">
        <v>29</v>
      </c>
      <c r="I2484" t="s">
        <v>163</v>
      </c>
      <c r="J2484" t="s">
        <v>94</v>
      </c>
      <c r="K2484">
        <v>8</v>
      </c>
      <c r="L2484">
        <v>12400</v>
      </c>
      <c r="M2484">
        <v>99200</v>
      </c>
      <c r="N2484" t="s">
        <v>95</v>
      </c>
      <c r="O2484" t="s">
        <v>104</v>
      </c>
    </row>
    <row r="2485" spans="1:15" x14ac:dyDescent="0.25">
      <c r="A2485">
        <v>4452</v>
      </c>
      <c r="B2485" s="10">
        <v>45759</v>
      </c>
      <c r="C2485">
        <v>12</v>
      </c>
      <c r="D2485" t="s">
        <v>105</v>
      </c>
      <c r="E2485" t="s">
        <v>133</v>
      </c>
      <c r="F2485" t="s">
        <v>28</v>
      </c>
      <c r="G2485" t="s">
        <v>126</v>
      </c>
      <c r="H2485" t="s">
        <v>131</v>
      </c>
      <c r="I2485" t="s">
        <v>132</v>
      </c>
      <c r="J2485" t="s">
        <v>103</v>
      </c>
      <c r="K2485">
        <v>45</v>
      </c>
      <c r="L2485">
        <v>12400</v>
      </c>
      <c r="M2485">
        <v>558000</v>
      </c>
      <c r="N2485" t="s">
        <v>95</v>
      </c>
      <c r="O2485" t="s">
        <v>104</v>
      </c>
    </row>
    <row r="2486" spans="1:15" x14ac:dyDescent="0.25">
      <c r="A2486">
        <v>121</v>
      </c>
      <c r="B2486" s="10">
        <v>45780</v>
      </c>
      <c r="C2486">
        <v>3</v>
      </c>
      <c r="D2486" t="s">
        <v>120</v>
      </c>
      <c r="E2486" t="s">
        <v>110</v>
      </c>
      <c r="F2486" t="s">
        <v>134</v>
      </c>
      <c r="G2486" t="s">
        <v>100</v>
      </c>
      <c r="H2486" t="s">
        <v>29</v>
      </c>
      <c r="I2486" t="s">
        <v>163</v>
      </c>
      <c r="J2486" t="s">
        <v>94</v>
      </c>
      <c r="K2486">
        <v>6</v>
      </c>
      <c r="L2486">
        <v>12500</v>
      </c>
      <c r="M2486">
        <v>75000</v>
      </c>
      <c r="N2486" t="s">
        <v>108</v>
      </c>
      <c r="O2486" t="s">
        <v>96</v>
      </c>
    </row>
    <row r="2487" spans="1:15" x14ac:dyDescent="0.25">
      <c r="A2487">
        <v>1976</v>
      </c>
      <c r="B2487" s="10">
        <v>45911</v>
      </c>
      <c r="C2487">
        <v>11</v>
      </c>
      <c r="D2487" t="s">
        <v>147</v>
      </c>
      <c r="E2487" t="s">
        <v>98</v>
      </c>
      <c r="F2487" t="s">
        <v>107</v>
      </c>
      <c r="G2487" t="s">
        <v>100</v>
      </c>
      <c r="H2487" t="s">
        <v>131</v>
      </c>
      <c r="I2487" t="s">
        <v>132</v>
      </c>
      <c r="J2487" t="s">
        <v>103</v>
      </c>
      <c r="K2487">
        <v>10</v>
      </c>
      <c r="L2487">
        <v>12500</v>
      </c>
      <c r="M2487">
        <v>125000</v>
      </c>
      <c r="N2487" t="s">
        <v>108</v>
      </c>
      <c r="O2487" t="s">
        <v>104</v>
      </c>
    </row>
    <row r="2488" spans="1:15" x14ac:dyDescent="0.25">
      <c r="A2488">
        <v>2100</v>
      </c>
      <c r="B2488" s="10">
        <v>45993</v>
      </c>
      <c r="C2488">
        <v>2</v>
      </c>
      <c r="D2488" t="s">
        <v>125</v>
      </c>
      <c r="E2488" t="s">
        <v>25</v>
      </c>
      <c r="F2488" t="s">
        <v>113</v>
      </c>
      <c r="G2488" t="s">
        <v>114</v>
      </c>
      <c r="H2488" t="s">
        <v>29</v>
      </c>
      <c r="I2488" t="s">
        <v>163</v>
      </c>
      <c r="J2488" t="s">
        <v>94</v>
      </c>
      <c r="K2488">
        <v>6</v>
      </c>
      <c r="L2488">
        <v>12500</v>
      </c>
      <c r="M2488">
        <v>75000</v>
      </c>
      <c r="N2488" t="s">
        <v>95</v>
      </c>
      <c r="O2488" t="s">
        <v>104</v>
      </c>
    </row>
    <row r="2489" spans="1:15" x14ac:dyDescent="0.25">
      <c r="A2489">
        <v>2592</v>
      </c>
      <c r="B2489" s="10">
        <v>45914</v>
      </c>
      <c r="C2489">
        <v>14</v>
      </c>
      <c r="D2489" t="s">
        <v>147</v>
      </c>
      <c r="E2489" t="s">
        <v>25</v>
      </c>
      <c r="F2489" t="s">
        <v>113</v>
      </c>
      <c r="G2489" t="s">
        <v>114</v>
      </c>
      <c r="H2489" t="s">
        <v>131</v>
      </c>
      <c r="I2489" t="s">
        <v>132</v>
      </c>
      <c r="J2489" t="s">
        <v>103</v>
      </c>
      <c r="K2489">
        <v>30</v>
      </c>
      <c r="L2489">
        <v>12500</v>
      </c>
      <c r="M2489">
        <v>375000</v>
      </c>
      <c r="N2489" t="s">
        <v>108</v>
      </c>
      <c r="O2489" t="s">
        <v>104</v>
      </c>
    </row>
    <row r="2490" spans="1:15" x14ac:dyDescent="0.25">
      <c r="A2490">
        <v>2952</v>
      </c>
      <c r="B2490" s="10">
        <v>45896</v>
      </c>
      <c r="C2490">
        <v>27</v>
      </c>
      <c r="D2490" t="s">
        <v>109</v>
      </c>
      <c r="E2490" t="s">
        <v>121</v>
      </c>
      <c r="F2490" t="s">
        <v>107</v>
      </c>
      <c r="G2490" t="s">
        <v>100</v>
      </c>
      <c r="H2490" t="s">
        <v>37</v>
      </c>
      <c r="I2490" t="s">
        <v>160</v>
      </c>
      <c r="J2490" t="s">
        <v>94</v>
      </c>
      <c r="K2490">
        <v>2</v>
      </c>
      <c r="L2490">
        <v>12500</v>
      </c>
      <c r="M2490">
        <v>25000</v>
      </c>
      <c r="N2490" t="s">
        <v>95</v>
      </c>
      <c r="O2490" t="s">
        <v>104</v>
      </c>
    </row>
    <row r="2491" spans="1:15" x14ac:dyDescent="0.25">
      <c r="A2491">
        <v>3189</v>
      </c>
      <c r="B2491" s="10">
        <v>45727</v>
      </c>
      <c r="C2491">
        <v>11</v>
      </c>
      <c r="D2491" t="s">
        <v>140</v>
      </c>
      <c r="E2491" t="s">
        <v>25</v>
      </c>
      <c r="F2491" t="s">
        <v>148</v>
      </c>
      <c r="G2491" t="s">
        <v>118</v>
      </c>
      <c r="H2491" t="s">
        <v>37</v>
      </c>
      <c r="I2491" t="s">
        <v>160</v>
      </c>
      <c r="J2491" t="s">
        <v>94</v>
      </c>
      <c r="K2491">
        <v>4</v>
      </c>
      <c r="L2491">
        <v>12500</v>
      </c>
      <c r="M2491">
        <v>50000</v>
      </c>
      <c r="N2491" t="s">
        <v>108</v>
      </c>
      <c r="O2491" t="s">
        <v>115</v>
      </c>
    </row>
    <row r="2492" spans="1:15" x14ac:dyDescent="0.25">
      <c r="A2492">
        <v>3268</v>
      </c>
      <c r="B2492" s="10">
        <v>45883</v>
      </c>
      <c r="C2492">
        <v>14</v>
      </c>
      <c r="D2492" t="s">
        <v>109</v>
      </c>
      <c r="E2492" t="s">
        <v>98</v>
      </c>
      <c r="F2492" t="s">
        <v>151</v>
      </c>
      <c r="G2492" t="s">
        <v>111</v>
      </c>
      <c r="H2492" t="s">
        <v>131</v>
      </c>
      <c r="I2492" t="s">
        <v>132</v>
      </c>
      <c r="J2492" t="s">
        <v>103</v>
      </c>
      <c r="K2492">
        <v>34</v>
      </c>
      <c r="L2492">
        <v>12500</v>
      </c>
      <c r="M2492">
        <v>425000</v>
      </c>
      <c r="N2492" t="s">
        <v>108</v>
      </c>
      <c r="O2492" t="s">
        <v>96</v>
      </c>
    </row>
    <row r="2493" spans="1:15" x14ac:dyDescent="0.25">
      <c r="A2493">
        <v>3400</v>
      </c>
      <c r="B2493" s="10">
        <v>45725</v>
      </c>
      <c r="C2493">
        <v>9</v>
      </c>
      <c r="D2493" t="s">
        <v>140</v>
      </c>
      <c r="E2493" t="s">
        <v>121</v>
      </c>
      <c r="F2493" t="s">
        <v>107</v>
      </c>
      <c r="G2493" t="s">
        <v>100</v>
      </c>
      <c r="H2493" t="s">
        <v>131</v>
      </c>
      <c r="I2493" t="s">
        <v>132</v>
      </c>
      <c r="J2493" t="s">
        <v>103</v>
      </c>
      <c r="K2493">
        <v>13</v>
      </c>
      <c r="L2493">
        <v>12500</v>
      </c>
      <c r="M2493">
        <v>162500</v>
      </c>
      <c r="N2493" t="s">
        <v>108</v>
      </c>
      <c r="O2493" t="s">
        <v>96</v>
      </c>
    </row>
    <row r="2494" spans="1:15" x14ac:dyDescent="0.25">
      <c r="A2494">
        <v>3436</v>
      </c>
      <c r="B2494" s="10">
        <v>45984</v>
      </c>
      <c r="C2494">
        <v>23</v>
      </c>
      <c r="D2494" t="s">
        <v>90</v>
      </c>
      <c r="E2494" t="s">
        <v>25</v>
      </c>
      <c r="F2494" t="s">
        <v>99</v>
      </c>
      <c r="G2494" t="s">
        <v>100</v>
      </c>
      <c r="H2494" t="s">
        <v>37</v>
      </c>
      <c r="I2494" t="s">
        <v>160</v>
      </c>
      <c r="J2494" t="s">
        <v>94</v>
      </c>
      <c r="K2494">
        <v>9</v>
      </c>
      <c r="L2494">
        <v>12500</v>
      </c>
      <c r="M2494">
        <v>112500</v>
      </c>
      <c r="N2494" t="s">
        <v>108</v>
      </c>
      <c r="O2494" t="s">
        <v>104</v>
      </c>
    </row>
    <row r="2495" spans="1:15" x14ac:dyDescent="0.25">
      <c r="A2495">
        <v>3934</v>
      </c>
      <c r="B2495" s="10">
        <v>45960</v>
      </c>
      <c r="C2495">
        <v>30</v>
      </c>
      <c r="D2495" t="s">
        <v>136</v>
      </c>
      <c r="E2495" t="s">
        <v>161</v>
      </c>
      <c r="F2495" t="s">
        <v>148</v>
      </c>
      <c r="G2495" t="s">
        <v>118</v>
      </c>
      <c r="H2495" t="s">
        <v>29</v>
      </c>
      <c r="I2495" t="s">
        <v>163</v>
      </c>
      <c r="J2495" t="s">
        <v>94</v>
      </c>
      <c r="K2495">
        <v>4</v>
      </c>
      <c r="L2495">
        <v>12500</v>
      </c>
      <c r="M2495">
        <v>50000</v>
      </c>
      <c r="N2495" t="s">
        <v>95</v>
      </c>
      <c r="O2495" t="s">
        <v>115</v>
      </c>
    </row>
    <row r="2496" spans="1:15" x14ac:dyDescent="0.25">
      <c r="A2496">
        <v>4116</v>
      </c>
      <c r="B2496" s="10">
        <v>45752</v>
      </c>
      <c r="C2496">
        <v>5</v>
      </c>
      <c r="D2496" t="s">
        <v>105</v>
      </c>
      <c r="E2496" t="s">
        <v>128</v>
      </c>
      <c r="F2496" t="s">
        <v>148</v>
      </c>
      <c r="G2496" t="s">
        <v>118</v>
      </c>
      <c r="H2496" t="s">
        <v>131</v>
      </c>
      <c r="I2496" t="s">
        <v>132</v>
      </c>
      <c r="J2496" t="s">
        <v>103</v>
      </c>
      <c r="K2496">
        <v>24</v>
      </c>
      <c r="L2496">
        <v>12500</v>
      </c>
      <c r="M2496">
        <v>300000</v>
      </c>
      <c r="N2496" t="s">
        <v>108</v>
      </c>
      <c r="O2496" t="s">
        <v>104</v>
      </c>
    </row>
    <row r="2497" spans="1:15" x14ac:dyDescent="0.25">
      <c r="A2497">
        <v>4475</v>
      </c>
      <c r="B2497" s="10">
        <v>45849</v>
      </c>
      <c r="C2497">
        <v>11</v>
      </c>
      <c r="D2497" t="s">
        <v>145</v>
      </c>
      <c r="E2497" t="s">
        <v>25</v>
      </c>
      <c r="F2497" t="s">
        <v>144</v>
      </c>
      <c r="G2497" t="s">
        <v>91</v>
      </c>
      <c r="H2497" t="s">
        <v>37</v>
      </c>
      <c r="I2497" t="s">
        <v>160</v>
      </c>
      <c r="J2497" t="s">
        <v>94</v>
      </c>
      <c r="K2497">
        <v>10</v>
      </c>
      <c r="L2497">
        <v>12500</v>
      </c>
      <c r="M2497">
        <v>125000</v>
      </c>
      <c r="N2497" t="s">
        <v>95</v>
      </c>
      <c r="O2497" t="s">
        <v>96</v>
      </c>
    </row>
    <row r="2498" spans="1:15" x14ac:dyDescent="0.25">
      <c r="A2498">
        <v>4679</v>
      </c>
      <c r="B2498" s="10">
        <v>46004</v>
      </c>
      <c r="C2498">
        <v>13</v>
      </c>
      <c r="D2498" t="s">
        <v>125</v>
      </c>
      <c r="E2498" t="s">
        <v>25</v>
      </c>
      <c r="F2498" t="s">
        <v>22</v>
      </c>
      <c r="G2498" t="s">
        <v>91</v>
      </c>
      <c r="H2498" t="s">
        <v>37</v>
      </c>
      <c r="I2498" t="s">
        <v>160</v>
      </c>
      <c r="J2498" t="s">
        <v>94</v>
      </c>
      <c r="K2498">
        <v>3</v>
      </c>
      <c r="L2498">
        <v>12500</v>
      </c>
      <c r="M2498">
        <v>37500</v>
      </c>
      <c r="N2498" t="s">
        <v>108</v>
      </c>
      <c r="O2498" t="s">
        <v>96</v>
      </c>
    </row>
    <row r="2499" spans="1:15" x14ac:dyDescent="0.25">
      <c r="A2499">
        <v>68</v>
      </c>
      <c r="B2499" s="10">
        <v>45804</v>
      </c>
      <c r="C2499">
        <v>27</v>
      </c>
      <c r="D2499" t="s">
        <v>120</v>
      </c>
      <c r="E2499" t="s">
        <v>106</v>
      </c>
      <c r="F2499" t="s">
        <v>44</v>
      </c>
      <c r="G2499" t="s">
        <v>111</v>
      </c>
      <c r="H2499" t="s">
        <v>37</v>
      </c>
      <c r="I2499" t="s">
        <v>160</v>
      </c>
      <c r="J2499" t="s">
        <v>94</v>
      </c>
      <c r="K2499">
        <v>3</v>
      </c>
      <c r="L2499">
        <v>12600</v>
      </c>
      <c r="M2499">
        <v>37800</v>
      </c>
      <c r="N2499" t="s">
        <v>95</v>
      </c>
      <c r="O2499" t="s">
        <v>104</v>
      </c>
    </row>
    <row r="2500" spans="1:15" x14ac:dyDescent="0.25">
      <c r="A2500">
        <v>633</v>
      </c>
      <c r="B2500" s="10">
        <v>45794</v>
      </c>
      <c r="C2500">
        <v>17</v>
      </c>
      <c r="D2500" t="s">
        <v>120</v>
      </c>
      <c r="E2500" t="s">
        <v>110</v>
      </c>
      <c r="F2500" t="s">
        <v>122</v>
      </c>
      <c r="G2500" t="s">
        <v>114</v>
      </c>
      <c r="H2500" t="s">
        <v>131</v>
      </c>
      <c r="I2500" t="s">
        <v>132</v>
      </c>
      <c r="J2500" t="s">
        <v>103</v>
      </c>
      <c r="K2500">
        <v>28</v>
      </c>
      <c r="L2500">
        <v>12600</v>
      </c>
      <c r="M2500">
        <v>352800</v>
      </c>
      <c r="N2500" t="s">
        <v>108</v>
      </c>
      <c r="O2500" t="s">
        <v>115</v>
      </c>
    </row>
    <row r="2501" spans="1:15" x14ac:dyDescent="0.25">
      <c r="A2501">
        <v>947</v>
      </c>
      <c r="B2501" s="10">
        <v>45989</v>
      </c>
      <c r="C2501">
        <v>28</v>
      </c>
      <c r="D2501" t="s">
        <v>90</v>
      </c>
      <c r="E2501" t="s">
        <v>128</v>
      </c>
      <c r="F2501" t="s">
        <v>22</v>
      </c>
      <c r="G2501" t="s">
        <v>91</v>
      </c>
      <c r="H2501" t="s">
        <v>29</v>
      </c>
      <c r="I2501" t="s">
        <v>42</v>
      </c>
      <c r="J2501" t="s">
        <v>103</v>
      </c>
      <c r="K2501">
        <v>13</v>
      </c>
      <c r="L2501">
        <v>12600</v>
      </c>
      <c r="M2501">
        <v>163800</v>
      </c>
      <c r="N2501" t="s">
        <v>95</v>
      </c>
      <c r="O2501" t="s">
        <v>115</v>
      </c>
    </row>
    <row r="2502" spans="1:15" x14ac:dyDescent="0.25">
      <c r="A2502">
        <v>1002</v>
      </c>
      <c r="B2502" s="10">
        <v>45888</v>
      </c>
      <c r="C2502">
        <v>19</v>
      </c>
      <c r="D2502" t="s">
        <v>109</v>
      </c>
      <c r="E2502" t="s">
        <v>110</v>
      </c>
      <c r="F2502" t="s">
        <v>117</v>
      </c>
      <c r="G2502" t="s">
        <v>118</v>
      </c>
      <c r="H2502" t="s">
        <v>37</v>
      </c>
      <c r="I2502" t="s">
        <v>160</v>
      </c>
      <c r="J2502" t="s">
        <v>94</v>
      </c>
      <c r="K2502">
        <v>4</v>
      </c>
      <c r="L2502">
        <v>12600</v>
      </c>
      <c r="M2502">
        <v>50400</v>
      </c>
      <c r="N2502" t="s">
        <v>95</v>
      </c>
      <c r="O2502" t="s">
        <v>104</v>
      </c>
    </row>
    <row r="2503" spans="1:15" x14ac:dyDescent="0.25">
      <c r="A2503">
        <v>1297</v>
      </c>
      <c r="B2503" s="10">
        <v>46020</v>
      </c>
      <c r="C2503">
        <v>29</v>
      </c>
      <c r="D2503" t="s">
        <v>125</v>
      </c>
      <c r="E2503" t="s">
        <v>161</v>
      </c>
      <c r="F2503" t="s">
        <v>107</v>
      </c>
      <c r="G2503" t="s">
        <v>100</v>
      </c>
      <c r="H2503" t="s">
        <v>37</v>
      </c>
      <c r="I2503" t="s">
        <v>160</v>
      </c>
      <c r="J2503" t="s">
        <v>94</v>
      </c>
      <c r="K2503">
        <v>5</v>
      </c>
      <c r="L2503">
        <v>12600</v>
      </c>
      <c r="M2503">
        <v>63000</v>
      </c>
      <c r="N2503" t="s">
        <v>108</v>
      </c>
      <c r="O2503" t="s">
        <v>96</v>
      </c>
    </row>
    <row r="2504" spans="1:15" x14ac:dyDescent="0.25">
      <c r="A2504">
        <v>1611</v>
      </c>
      <c r="B2504" s="10">
        <v>45883</v>
      </c>
      <c r="C2504">
        <v>14</v>
      </c>
      <c r="D2504" t="s">
        <v>109</v>
      </c>
      <c r="E2504" t="s">
        <v>142</v>
      </c>
      <c r="F2504" t="s">
        <v>122</v>
      </c>
      <c r="G2504" t="s">
        <v>114</v>
      </c>
      <c r="H2504" t="s">
        <v>131</v>
      </c>
      <c r="I2504" t="s">
        <v>132</v>
      </c>
      <c r="J2504" t="s">
        <v>103</v>
      </c>
      <c r="K2504">
        <v>37</v>
      </c>
      <c r="L2504">
        <v>12600</v>
      </c>
      <c r="M2504">
        <v>466200</v>
      </c>
      <c r="N2504" t="s">
        <v>95</v>
      </c>
      <c r="O2504" t="s">
        <v>104</v>
      </c>
    </row>
    <row r="2505" spans="1:15" x14ac:dyDescent="0.25">
      <c r="A2505">
        <v>2016</v>
      </c>
      <c r="B2505" s="10">
        <v>45800</v>
      </c>
      <c r="C2505">
        <v>23</v>
      </c>
      <c r="D2505" t="s">
        <v>120</v>
      </c>
      <c r="E2505" t="s">
        <v>142</v>
      </c>
      <c r="F2505" t="s">
        <v>44</v>
      </c>
      <c r="G2505" t="s">
        <v>111</v>
      </c>
      <c r="H2505" t="s">
        <v>131</v>
      </c>
      <c r="I2505" t="s">
        <v>132</v>
      </c>
      <c r="J2505" t="s">
        <v>103</v>
      </c>
      <c r="K2505">
        <v>39</v>
      </c>
      <c r="L2505">
        <v>12600</v>
      </c>
      <c r="M2505">
        <v>491400</v>
      </c>
      <c r="N2505" t="s">
        <v>108</v>
      </c>
      <c r="O2505" t="s">
        <v>115</v>
      </c>
    </row>
    <row r="2506" spans="1:15" x14ac:dyDescent="0.25">
      <c r="A2506">
        <v>2498</v>
      </c>
      <c r="B2506" s="10">
        <v>45935</v>
      </c>
      <c r="C2506">
        <v>5</v>
      </c>
      <c r="D2506" t="s">
        <v>136</v>
      </c>
      <c r="E2506" t="s">
        <v>150</v>
      </c>
      <c r="F2506" t="s">
        <v>28</v>
      </c>
      <c r="G2506" t="s">
        <v>126</v>
      </c>
      <c r="H2506" t="s">
        <v>131</v>
      </c>
      <c r="I2506" t="s">
        <v>132</v>
      </c>
      <c r="J2506" t="s">
        <v>103</v>
      </c>
      <c r="K2506">
        <v>7</v>
      </c>
      <c r="L2506">
        <v>12600</v>
      </c>
      <c r="M2506">
        <v>88200</v>
      </c>
      <c r="N2506" t="s">
        <v>95</v>
      </c>
      <c r="O2506" t="s">
        <v>115</v>
      </c>
    </row>
    <row r="2507" spans="1:15" x14ac:dyDescent="0.25">
      <c r="A2507">
        <v>2606</v>
      </c>
      <c r="B2507" s="10">
        <v>45827</v>
      </c>
      <c r="C2507">
        <v>19</v>
      </c>
      <c r="D2507" t="s">
        <v>153</v>
      </c>
      <c r="E2507" t="s">
        <v>112</v>
      </c>
      <c r="F2507" t="s">
        <v>151</v>
      </c>
      <c r="G2507" t="s">
        <v>111</v>
      </c>
      <c r="H2507" t="s">
        <v>131</v>
      </c>
      <c r="I2507" t="s">
        <v>132</v>
      </c>
      <c r="J2507" t="s">
        <v>103</v>
      </c>
      <c r="K2507">
        <v>17</v>
      </c>
      <c r="L2507">
        <v>12600</v>
      </c>
      <c r="M2507">
        <v>214200</v>
      </c>
      <c r="N2507" t="s">
        <v>108</v>
      </c>
      <c r="O2507" t="s">
        <v>104</v>
      </c>
    </row>
    <row r="2508" spans="1:15" x14ac:dyDescent="0.25">
      <c r="A2508">
        <v>3927</v>
      </c>
      <c r="B2508" s="10">
        <v>45856</v>
      </c>
      <c r="C2508">
        <v>18</v>
      </c>
      <c r="D2508" t="s">
        <v>145</v>
      </c>
      <c r="E2508" t="s">
        <v>25</v>
      </c>
      <c r="F2508" t="s">
        <v>141</v>
      </c>
      <c r="G2508" t="s">
        <v>100</v>
      </c>
      <c r="H2508" t="s">
        <v>37</v>
      </c>
      <c r="I2508" t="s">
        <v>160</v>
      </c>
      <c r="J2508" t="s">
        <v>94</v>
      </c>
      <c r="K2508">
        <v>8</v>
      </c>
      <c r="L2508">
        <v>12600</v>
      </c>
      <c r="M2508">
        <v>100800</v>
      </c>
      <c r="N2508" t="s">
        <v>95</v>
      </c>
      <c r="O2508" t="s">
        <v>115</v>
      </c>
    </row>
    <row r="2509" spans="1:15" x14ac:dyDescent="0.25">
      <c r="A2509">
        <v>4163</v>
      </c>
      <c r="B2509" s="10">
        <v>45838</v>
      </c>
      <c r="C2509">
        <v>30</v>
      </c>
      <c r="D2509" t="s">
        <v>153</v>
      </c>
      <c r="E2509" t="s">
        <v>110</v>
      </c>
      <c r="F2509" t="s">
        <v>134</v>
      </c>
      <c r="G2509" t="s">
        <v>100</v>
      </c>
      <c r="H2509" t="s">
        <v>131</v>
      </c>
      <c r="I2509" t="s">
        <v>132</v>
      </c>
      <c r="J2509" t="s">
        <v>103</v>
      </c>
      <c r="K2509">
        <v>36</v>
      </c>
      <c r="L2509">
        <v>12600</v>
      </c>
      <c r="M2509">
        <v>453600</v>
      </c>
      <c r="N2509" t="s">
        <v>95</v>
      </c>
      <c r="O2509" t="s">
        <v>104</v>
      </c>
    </row>
    <row r="2510" spans="1:15" x14ac:dyDescent="0.25">
      <c r="A2510">
        <v>4402</v>
      </c>
      <c r="B2510" s="10">
        <v>45658</v>
      </c>
      <c r="C2510">
        <v>1</v>
      </c>
      <c r="D2510" t="s">
        <v>130</v>
      </c>
      <c r="E2510" t="s">
        <v>121</v>
      </c>
      <c r="F2510" t="s">
        <v>22</v>
      </c>
      <c r="G2510" t="s">
        <v>91</v>
      </c>
      <c r="H2510" t="s">
        <v>29</v>
      </c>
      <c r="I2510" t="s">
        <v>163</v>
      </c>
      <c r="J2510" t="s">
        <v>94</v>
      </c>
      <c r="K2510">
        <v>10</v>
      </c>
      <c r="L2510">
        <v>12600</v>
      </c>
      <c r="M2510">
        <v>126000</v>
      </c>
      <c r="N2510" t="s">
        <v>95</v>
      </c>
      <c r="O2510" t="s">
        <v>115</v>
      </c>
    </row>
    <row r="2511" spans="1:15" x14ac:dyDescent="0.25">
      <c r="A2511">
        <v>163</v>
      </c>
      <c r="B2511" s="10">
        <v>45684</v>
      </c>
      <c r="C2511">
        <v>27</v>
      </c>
      <c r="D2511" t="s">
        <v>130</v>
      </c>
      <c r="E2511" t="s">
        <v>116</v>
      </c>
      <c r="F2511" t="s">
        <v>148</v>
      </c>
      <c r="G2511" t="s">
        <v>118</v>
      </c>
      <c r="H2511" t="s">
        <v>37</v>
      </c>
      <c r="I2511" t="s">
        <v>160</v>
      </c>
      <c r="J2511" t="s">
        <v>94</v>
      </c>
      <c r="K2511">
        <v>10</v>
      </c>
      <c r="L2511">
        <v>12700</v>
      </c>
      <c r="M2511">
        <v>127000</v>
      </c>
      <c r="N2511" t="s">
        <v>95</v>
      </c>
      <c r="O2511" t="s">
        <v>104</v>
      </c>
    </row>
    <row r="2512" spans="1:15" x14ac:dyDescent="0.25">
      <c r="A2512">
        <v>944</v>
      </c>
      <c r="B2512" s="10">
        <v>45982</v>
      </c>
      <c r="C2512">
        <v>21</v>
      </c>
      <c r="D2512" t="s">
        <v>90</v>
      </c>
      <c r="E2512" t="s">
        <v>106</v>
      </c>
      <c r="F2512" t="s">
        <v>141</v>
      </c>
      <c r="G2512" t="s">
        <v>100</v>
      </c>
      <c r="H2512" t="s">
        <v>131</v>
      </c>
      <c r="I2512" t="s">
        <v>132</v>
      </c>
      <c r="J2512" t="s">
        <v>103</v>
      </c>
      <c r="K2512">
        <v>46</v>
      </c>
      <c r="L2512">
        <v>12700</v>
      </c>
      <c r="M2512">
        <v>584200</v>
      </c>
      <c r="N2512" t="s">
        <v>95</v>
      </c>
      <c r="O2512" t="s">
        <v>115</v>
      </c>
    </row>
    <row r="2513" spans="1:15" x14ac:dyDescent="0.25">
      <c r="A2513">
        <v>1741</v>
      </c>
      <c r="B2513" s="10">
        <v>45822</v>
      </c>
      <c r="C2513">
        <v>14</v>
      </c>
      <c r="D2513" t="s">
        <v>153</v>
      </c>
      <c r="E2513" t="s">
        <v>133</v>
      </c>
      <c r="F2513" t="s">
        <v>49</v>
      </c>
      <c r="G2513" t="s">
        <v>118</v>
      </c>
      <c r="H2513" t="s">
        <v>131</v>
      </c>
      <c r="I2513" t="s">
        <v>132</v>
      </c>
      <c r="J2513" t="s">
        <v>103</v>
      </c>
      <c r="K2513">
        <v>17</v>
      </c>
      <c r="L2513">
        <v>12700</v>
      </c>
      <c r="M2513">
        <v>215900</v>
      </c>
      <c r="N2513" t="s">
        <v>108</v>
      </c>
      <c r="O2513" t="s">
        <v>115</v>
      </c>
    </row>
    <row r="2514" spans="1:15" x14ac:dyDescent="0.25">
      <c r="A2514">
        <v>1949</v>
      </c>
      <c r="B2514" s="10">
        <v>45987</v>
      </c>
      <c r="C2514">
        <v>26</v>
      </c>
      <c r="D2514" t="s">
        <v>90</v>
      </c>
      <c r="E2514" t="s">
        <v>121</v>
      </c>
      <c r="F2514" t="s">
        <v>99</v>
      </c>
      <c r="G2514" t="s">
        <v>100</v>
      </c>
      <c r="H2514" t="s">
        <v>29</v>
      </c>
      <c r="I2514" t="s">
        <v>163</v>
      </c>
      <c r="J2514" t="s">
        <v>94</v>
      </c>
      <c r="K2514">
        <v>1</v>
      </c>
      <c r="L2514">
        <v>12700</v>
      </c>
      <c r="M2514">
        <v>12700</v>
      </c>
      <c r="N2514" t="s">
        <v>95</v>
      </c>
      <c r="O2514" t="s">
        <v>104</v>
      </c>
    </row>
    <row r="2515" spans="1:15" x14ac:dyDescent="0.25">
      <c r="A2515">
        <v>2062</v>
      </c>
      <c r="B2515" s="10">
        <v>45666</v>
      </c>
      <c r="C2515">
        <v>9</v>
      </c>
      <c r="D2515" t="s">
        <v>130</v>
      </c>
      <c r="E2515" t="s">
        <v>128</v>
      </c>
      <c r="F2515" t="s">
        <v>49</v>
      </c>
      <c r="G2515" t="s">
        <v>118</v>
      </c>
      <c r="H2515" t="s">
        <v>131</v>
      </c>
      <c r="I2515" t="s">
        <v>132</v>
      </c>
      <c r="J2515" t="s">
        <v>103</v>
      </c>
      <c r="K2515">
        <v>30</v>
      </c>
      <c r="L2515">
        <v>12700</v>
      </c>
      <c r="M2515">
        <v>381000</v>
      </c>
      <c r="N2515" t="s">
        <v>108</v>
      </c>
      <c r="O2515" t="s">
        <v>96</v>
      </c>
    </row>
    <row r="2516" spans="1:15" x14ac:dyDescent="0.25">
      <c r="A2516">
        <v>2254</v>
      </c>
      <c r="B2516" s="10">
        <v>45939</v>
      </c>
      <c r="C2516">
        <v>9</v>
      </c>
      <c r="D2516" t="s">
        <v>136</v>
      </c>
      <c r="E2516" t="s">
        <v>142</v>
      </c>
      <c r="F2516" t="s">
        <v>148</v>
      </c>
      <c r="G2516" t="s">
        <v>118</v>
      </c>
      <c r="H2516" t="s">
        <v>131</v>
      </c>
      <c r="I2516" t="s">
        <v>132</v>
      </c>
      <c r="J2516" t="s">
        <v>103</v>
      </c>
      <c r="K2516">
        <v>45</v>
      </c>
      <c r="L2516">
        <v>12700</v>
      </c>
      <c r="M2516">
        <v>571500</v>
      </c>
      <c r="N2516" t="s">
        <v>95</v>
      </c>
      <c r="O2516" t="s">
        <v>104</v>
      </c>
    </row>
    <row r="2517" spans="1:15" x14ac:dyDescent="0.25">
      <c r="A2517">
        <v>3501</v>
      </c>
      <c r="B2517" s="10">
        <v>45984</v>
      </c>
      <c r="C2517">
        <v>23</v>
      </c>
      <c r="D2517" t="s">
        <v>90</v>
      </c>
      <c r="E2517" t="s">
        <v>31</v>
      </c>
      <c r="F2517" t="s">
        <v>99</v>
      </c>
      <c r="G2517" t="s">
        <v>100</v>
      </c>
      <c r="H2517" t="s">
        <v>29</v>
      </c>
      <c r="I2517" t="s">
        <v>163</v>
      </c>
      <c r="J2517" t="s">
        <v>94</v>
      </c>
      <c r="K2517">
        <v>6</v>
      </c>
      <c r="L2517">
        <v>12700</v>
      </c>
      <c r="M2517">
        <v>76200</v>
      </c>
      <c r="N2517" t="s">
        <v>108</v>
      </c>
      <c r="O2517" t="s">
        <v>96</v>
      </c>
    </row>
    <row r="2518" spans="1:15" x14ac:dyDescent="0.25">
      <c r="A2518">
        <v>3589</v>
      </c>
      <c r="B2518" s="10">
        <v>45843</v>
      </c>
      <c r="C2518">
        <v>5</v>
      </c>
      <c r="D2518" t="s">
        <v>145</v>
      </c>
      <c r="E2518" t="s">
        <v>98</v>
      </c>
      <c r="F2518" t="s">
        <v>44</v>
      </c>
      <c r="G2518" t="s">
        <v>111</v>
      </c>
      <c r="H2518" t="s">
        <v>37</v>
      </c>
      <c r="I2518" t="s">
        <v>160</v>
      </c>
      <c r="J2518" t="s">
        <v>94</v>
      </c>
      <c r="K2518">
        <v>5</v>
      </c>
      <c r="L2518">
        <v>12700</v>
      </c>
      <c r="M2518">
        <v>63500</v>
      </c>
      <c r="N2518" t="s">
        <v>108</v>
      </c>
      <c r="O2518" t="s">
        <v>96</v>
      </c>
    </row>
    <row r="2519" spans="1:15" x14ac:dyDescent="0.25">
      <c r="A2519">
        <v>3596</v>
      </c>
      <c r="B2519" s="10">
        <v>45670</v>
      </c>
      <c r="C2519">
        <v>13</v>
      </c>
      <c r="D2519" t="s">
        <v>130</v>
      </c>
      <c r="E2519" t="s">
        <v>112</v>
      </c>
      <c r="F2519" t="s">
        <v>99</v>
      </c>
      <c r="G2519" t="s">
        <v>100</v>
      </c>
      <c r="H2519" t="s">
        <v>37</v>
      </c>
      <c r="I2519" t="s">
        <v>160</v>
      </c>
      <c r="J2519" t="s">
        <v>94</v>
      </c>
      <c r="K2519">
        <v>6</v>
      </c>
      <c r="L2519">
        <v>12700</v>
      </c>
      <c r="M2519">
        <v>76200</v>
      </c>
      <c r="N2519" t="s">
        <v>95</v>
      </c>
      <c r="O2519" t="s">
        <v>96</v>
      </c>
    </row>
    <row r="2520" spans="1:15" x14ac:dyDescent="0.25">
      <c r="A2520">
        <v>3665</v>
      </c>
      <c r="B2520" s="10">
        <v>45672</v>
      </c>
      <c r="C2520">
        <v>15</v>
      </c>
      <c r="D2520" t="s">
        <v>130</v>
      </c>
      <c r="E2520" t="s">
        <v>116</v>
      </c>
      <c r="F2520" t="s">
        <v>107</v>
      </c>
      <c r="G2520" t="s">
        <v>100</v>
      </c>
      <c r="H2520" t="s">
        <v>29</v>
      </c>
      <c r="I2520" t="s">
        <v>163</v>
      </c>
      <c r="J2520" t="s">
        <v>94</v>
      </c>
      <c r="K2520">
        <v>7</v>
      </c>
      <c r="L2520">
        <v>12700</v>
      </c>
      <c r="M2520">
        <v>88900</v>
      </c>
      <c r="N2520" t="s">
        <v>95</v>
      </c>
      <c r="O2520" t="s">
        <v>96</v>
      </c>
    </row>
    <row r="2521" spans="1:15" x14ac:dyDescent="0.25">
      <c r="A2521">
        <v>3826</v>
      </c>
      <c r="B2521" s="10">
        <v>45902</v>
      </c>
      <c r="C2521">
        <v>2</v>
      </c>
      <c r="D2521" t="s">
        <v>147</v>
      </c>
      <c r="E2521" t="s">
        <v>150</v>
      </c>
      <c r="F2521" t="s">
        <v>144</v>
      </c>
      <c r="G2521" t="s">
        <v>91</v>
      </c>
      <c r="H2521" t="s">
        <v>37</v>
      </c>
      <c r="I2521" t="s">
        <v>160</v>
      </c>
      <c r="J2521" t="s">
        <v>94</v>
      </c>
      <c r="K2521">
        <v>9</v>
      </c>
      <c r="L2521">
        <v>12700</v>
      </c>
      <c r="M2521">
        <v>114300</v>
      </c>
      <c r="N2521" t="s">
        <v>108</v>
      </c>
      <c r="O2521" t="s">
        <v>115</v>
      </c>
    </row>
    <row r="2522" spans="1:15" x14ac:dyDescent="0.25">
      <c r="A2522">
        <v>3937</v>
      </c>
      <c r="B2522" s="10">
        <v>45912</v>
      </c>
      <c r="C2522">
        <v>12</v>
      </c>
      <c r="D2522" t="s">
        <v>147</v>
      </c>
      <c r="E2522" t="s">
        <v>133</v>
      </c>
      <c r="F2522" t="s">
        <v>148</v>
      </c>
      <c r="G2522" t="s">
        <v>118</v>
      </c>
      <c r="H2522" t="s">
        <v>29</v>
      </c>
      <c r="I2522" t="s">
        <v>163</v>
      </c>
      <c r="J2522" t="s">
        <v>94</v>
      </c>
      <c r="K2522">
        <v>2</v>
      </c>
      <c r="L2522">
        <v>12700</v>
      </c>
      <c r="M2522">
        <v>25400</v>
      </c>
      <c r="N2522" t="s">
        <v>95</v>
      </c>
      <c r="O2522" t="s">
        <v>115</v>
      </c>
    </row>
    <row r="2523" spans="1:15" x14ac:dyDescent="0.25">
      <c r="A2523">
        <v>4407</v>
      </c>
      <c r="B2523" s="10">
        <v>45795</v>
      </c>
      <c r="C2523">
        <v>18</v>
      </c>
      <c r="D2523" t="s">
        <v>120</v>
      </c>
      <c r="E2523" t="s">
        <v>112</v>
      </c>
      <c r="F2523" t="s">
        <v>113</v>
      </c>
      <c r="G2523" t="s">
        <v>114</v>
      </c>
      <c r="H2523" t="s">
        <v>131</v>
      </c>
      <c r="I2523" t="s">
        <v>132</v>
      </c>
      <c r="J2523" t="s">
        <v>103</v>
      </c>
      <c r="K2523">
        <v>13</v>
      </c>
      <c r="L2523">
        <v>12700</v>
      </c>
      <c r="M2523">
        <v>165100</v>
      </c>
      <c r="N2523" t="s">
        <v>108</v>
      </c>
      <c r="O2523" t="s">
        <v>115</v>
      </c>
    </row>
    <row r="2524" spans="1:15" x14ac:dyDescent="0.25">
      <c r="A2524">
        <v>4525</v>
      </c>
      <c r="B2524" s="10">
        <v>45681</v>
      </c>
      <c r="C2524">
        <v>24</v>
      </c>
      <c r="D2524" t="s">
        <v>130</v>
      </c>
      <c r="E2524" t="s">
        <v>106</v>
      </c>
      <c r="F2524" t="s">
        <v>44</v>
      </c>
      <c r="G2524" t="s">
        <v>111</v>
      </c>
      <c r="H2524" t="s">
        <v>37</v>
      </c>
      <c r="I2524" t="s">
        <v>160</v>
      </c>
      <c r="J2524" t="s">
        <v>94</v>
      </c>
      <c r="K2524">
        <v>9</v>
      </c>
      <c r="L2524">
        <v>12700</v>
      </c>
      <c r="M2524">
        <v>114300</v>
      </c>
      <c r="N2524" t="s">
        <v>95</v>
      </c>
      <c r="O2524" t="s">
        <v>96</v>
      </c>
    </row>
    <row r="2525" spans="1:15" x14ac:dyDescent="0.25">
      <c r="A2525">
        <v>4586</v>
      </c>
      <c r="B2525" s="10">
        <v>45774</v>
      </c>
      <c r="C2525">
        <v>27</v>
      </c>
      <c r="D2525" t="s">
        <v>105</v>
      </c>
      <c r="E2525" t="s">
        <v>98</v>
      </c>
      <c r="F2525" t="s">
        <v>148</v>
      </c>
      <c r="G2525" t="s">
        <v>118</v>
      </c>
      <c r="H2525" t="s">
        <v>37</v>
      </c>
      <c r="I2525" t="s">
        <v>160</v>
      </c>
      <c r="J2525" t="s">
        <v>94</v>
      </c>
      <c r="K2525">
        <v>4</v>
      </c>
      <c r="L2525">
        <v>12700</v>
      </c>
      <c r="M2525">
        <v>50800</v>
      </c>
      <c r="N2525" t="s">
        <v>108</v>
      </c>
      <c r="O2525" t="s">
        <v>115</v>
      </c>
    </row>
    <row r="2526" spans="1:15" x14ac:dyDescent="0.25">
      <c r="A2526">
        <v>142</v>
      </c>
      <c r="B2526" s="10">
        <v>45848</v>
      </c>
      <c r="C2526">
        <v>10</v>
      </c>
      <c r="D2526" t="s">
        <v>145</v>
      </c>
      <c r="E2526" t="s">
        <v>31</v>
      </c>
      <c r="F2526" t="s">
        <v>122</v>
      </c>
      <c r="G2526" t="s">
        <v>114</v>
      </c>
      <c r="H2526" t="s">
        <v>29</v>
      </c>
      <c r="I2526" t="s">
        <v>163</v>
      </c>
      <c r="J2526" t="s">
        <v>94</v>
      </c>
      <c r="K2526">
        <v>10</v>
      </c>
      <c r="L2526">
        <v>12800</v>
      </c>
      <c r="M2526">
        <v>128000</v>
      </c>
      <c r="N2526" t="s">
        <v>108</v>
      </c>
      <c r="O2526" t="s">
        <v>96</v>
      </c>
    </row>
    <row r="2527" spans="1:15" x14ac:dyDescent="0.25">
      <c r="A2527">
        <v>682</v>
      </c>
      <c r="B2527" s="10">
        <v>45677</v>
      </c>
      <c r="C2527">
        <v>20</v>
      </c>
      <c r="D2527" t="s">
        <v>130</v>
      </c>
      <c r="E2527" t="s">
        <v>133</v>
      </c>
      <c r="F2527" t="s">
        <v>113</v>
      </c>
      <c r="G2527" t="s">
        <v>114</v>
      </c>
      <c r="H2527" t="s">
        <v>29</v>
      </c>
      <c r="I2527" t="s">
        <v>42</v>
      </c>
      <c r="J2527" t="s">
        <v>103</v>
      </c>
      <c r="K2527">
        <v>28</v>
      </c>
      <c r="L2527">
        <v>12800</v>
      </c>
      <c r="M2527">
        <v>358400</v>
      </c>
      <c r="N2527" t="s">
        <v>95</v>
      </c>
      <c r="O2527" t="s">
        <v>104</v>
      </c>
    </row>
    <row r="2528" spans="1:15" x14ac:dyDescent="0.25">
      <c r="A2528">
        <v>809</v>
      </c>
      <c r="B2528" s="10">
        <v>46012</v>
      </c>
      <c r="C2528">
        <v>21</v>
      </c>
      <c r="D2528" t="s">
        <v>125</v>
      </c>
      <c r="E2528" t="s">
        <v>128</v>
      </c>
      <c r="F2528" t="s">
        <v>122</v>
      </c>
      <c r="G2528" t="s">
        <v>114</v>
      </c>
      <c r="H2528" t="s">
        <v>37</v>
      </c>
      <c r="I2528" t="s">
        <v>160</v>
      </c>
      <c r="J2528" t="s">
        <v>94</v>
      </c>
      <c r="K2528">
        <v>2</v>
      </c>
      <c r="L2528">
        <v>12800</v>
      </c>
      <c r="M2528">
        <v>25600</v>
      </c>
      <c r="N2528" t="s">
        <v>108</v>
      </c>
      <c r="O2528" t="s">
        <v>104</v>
      </c>
    </row>
    <row r="2529" spans="1:15" x14ac:dyDescent="0.25">
      <c r="A2529">
        <v>962</v>
      </c>
      <c r="B2529" s="10">
        <v>45863</v>
      </c>
      <c r="C2529">
        <v>25</v>
      </c>
      <c r="D2529" t="s">
        <v>145</v>
      </c>
      <c r="E2529" t="s">
        <v>106</v>
      </c>
      <c r="F2529" t="s">
        <v>122</v>
      </c>
      <c r="G2529" t="s">
        <v>114</v>
      </c>
      <c r="H2529" t="s">
        <v>37</v>
      </c>
      <c r="I2529" t="s">
        <v>160</v>
      </c>
      <c r="J2529" t="s">
        <v>94</v>
      </c>
      <c r="K2529">
        <v>2</v>
      </c>
      <c r="L2529">
        <v>12800</v>
      </c>
      <c r="M2529">
        <v>25600</v>
      </c>
      <c r="N2529" t="s">
        <v>95</v>
      </c>
      <c r="O2529" t="s">
        <v>104</v>
      </c>
    </row>
    <row r="2530" spans="1:15" x14ac:dyDescent="0.25">
      <c r="A2530">
        <v>1363</v>
      </c>
      <c r="B2530" s="10">
        <v>45669</v>
      </c>
      <c r="C2530">
        <v>12</v>
      </c>
      <c r="D2530" t="s">
        <v>130</v>
      </c>
      <c r="E2530" t="s">
        <v>112</v>
      </c>
      <c r="F2530" t="s">
        <v>122</v>
      </c>
      <c r="G2530" t="s">
        <v>114</v>
      </c>
      <c r="H2530" t="s">
        <v>131</v>
      </c>
      <c r="I2530" t="s">
        <v>132</v>
      </c>
      <c r="J2530" t="s">
        <v>103</v>
      </c>
      <c r="K2530">
        <v>45</v>
      </c>
      <c r="L2530">
        <v>12800</v>
      </c>
      <c r="M2530">
        <v>576000</v>
      </c>
      <c r="N2530" t="s">
        <v>95</v>
      </c>
      <c r="O2530" t="s">
        <v>104</v>
      </c>
    </row>
    <row r="2531" spans="1:15" x14ac:dyDescent="0.25">
      <c r="A2531">
        <v>1474</v>
      </c>
      <c r="B2531" s="10">
        <v>45999</v>
      </c>
      <c r="C2531">
        <v>8</v>
      </c>
      <c r="D2531" t="s">
        <v>125</v>
      </c>
      <c r="E2531" t="s">
        <v>31</v>
      </c>
      <c r="F2531" t="s">
        <v>148</v>
      </c>
      <c r="G2531" t="s">
        <v>118</v>
      </c>
      <c r="H2531" t="s">
        <v>131</v>
      </c>
      <c r="I2531" t="s">
        <v>132</v>
      </c>
      <c r="J2531" t="s">
        <v>103</v>
      </c>
      <c r="K2531">
        <v>30</v>
      </c>
      <c r="L2531">
        <v>12800</v>
      </c>
      <c r="M2531">
        <v>384000</v>
      </c>
      <c r="N2531" t="s">
        <v>108</v>
      </c>
      <c r="O2531" t="s">
        <v>96</v>
      </c>
    </row>
    <row r="2532" spans="1:15" x14ac:dyDescent="0.25">
      <c r="A2532">
        <v>1602</v>
      </c>
      <c r="B2532" s="10">
        <v>45820</v>
      </c>
      <c r="C2532">
        <v>12</v>
      </c>
      <c r="D2532" t="s">
        <v>153</v>
      </c>
      <c r="E2532" t="s">
        <v>142</v>
      </c>
      <c r="F2532" t="s">
        <v>36</v>
      </c>
      <c r="G2532" t="s">
        <v>100</v>
      </c>
      <c r="H2532" t="s">
        <v>29</v>
      </c>
      <c r="I2532" t="s">
        <v>163</v>
      </c>
      <c r="J2532" t="s">
        <v>94</v>
      </c>
      <c r="K2532">
        <v>1</v>
      </c>
      <c r="L2532">
        <v>12800</v>
      </c>
      <c r="M2532">
        <v>12800</v>
      </c>
      <c r="N2532" t="s">
        <v>108</v>
      </c>
      <c r="O2532" t="s">
        <v>96</v>
      </c>
    </row>
    <row r="2533" spans="1:15" x14ac:dyDescent="0.25">
      <c r="A2533">
        <v>1665</v>
      </c>
      <c r="B2533" s="10">
        <v>45871</v>
      </c>
      <c r="C2533">
        <v>2</v>
      </c>
      <c r="D2533" t="s">
        <v>109</v>
      </c>
      <c r="E2533" t="s">
        <v>25</v>
      </c>
      <c r="F2533" t="s">
        <v>151</v>
      </c>
      <c r="G2533" t="s">
        <v>111</v>
      </c>
      <c r="H2533" t="s">
        <v>37</v>
      </c>
      <c r="I2533" t="s">
        <v>160</v>
      </c>
      <c r="J2533" t="s">
        <v>94</v>
      </c>
      <c r="K2533">
        <v>10</v>
      </c>
      <c r="L2533">
        <v>12800</v>
      </c>
      <c r="M2533">
        <v>128000</v>
      </c>
      <c r="N2533" t="s">
        <v>95</v>
      </c>
      <c r="O2533" t="s">
        <v>115</v>
      </c>
    </row>
    <row r="2534" spans="1:15" x14ac:dyDescent="0.25">
      <c r="A2534">
        <v>1883</v>
      </c>
      <c r="B2534" s="10">
        <v>45868</v>
      </c>
      <c r="C2534">
        <v>30</v>
      </c>
      <c r="D2534" t="s">
        <v>145</v>
      </c>
      <c r="E2534" t="s">
        <v>150</v>
      </c>
      <c r="F2534" t="s">
        <v>151</v>
      </c>
      <c r="G2534" t="s">
        <v>111</v>
      </c>
      <c r="H2534" t="s">
        <v>29</v>
      </c>
      <c r="I2534" t="s">
        <v>42</v>
      </c>
      <c r="J2534" t="s">
        <v>103</v>
      </c>
      <c r="K2534">
        <v>25</v>
      </c>
      <c r="L2534">
        <v>12800</v>
      </c>
      <c r="M2534">
        <v>320000</v>
      </c>
      <c r="N2534" t="s">
        <v>95</v>
      </c>
      <c r="O2534" t="s">
        <v>96</v>
      </c>
    </row>
    <row r="2535" spans="1:15" x14ac:dyDescent="0.25">
      <c r="A2535">
        <v>2105</v>
      </c>
      <c r="B2535" s="10">
        <v>45967</v>
      </c>
      <c r="C2535">
        <v>6</v>
      </c>
      <c r="D2535" t="s">
        <v>90</v>
      </c>
      <c r="E2535" t="s">
        <v>133</v>
      </c>
      <c r="F2535" t="s">
        <v>44</v>
      </c>
      <c r="G2535" t="s">
        <v>111</v>
      </c>
      <c r="H2535" t="s">
        <v>29</v>
      </c>
      <c r="I2535" t="s">
        <v>42</v>
      </c>
      <c r="J2535" t="s">
        <v>103</v>
      </c>
      <c r="K2535">
        <v>7</v>
      </c>
      <c r="L2535">
        <v>12800</v>
      </c>
      <c r="M2535">
        <v>89600</v>
      </c>
      <c r="N2535" t="s">
        <v>95</v>
      </c>
      <c r="O2535" t="s">
        <v>96</v>
      </c>
    </row>
    <row r="2536" spans="1:15" x14ac:dyDescent="0.25">
      <c r="A2536">
        <v>2610</v>
      </c>
      <c r="B2536" s="10">
        <v>45702</v>
      </c>
      <c r="C2536">
        <v>14</v>
      </c>
      <c r="D2536" t="s">
        <v>97</v>
      </c>
      <c r="E2536" t="s">
        <v>121</v>
      </c>
      <c r="F2536" t="s">
        <v>113</v>
      </c>
      <c r="G2536" t="s">
        <v>114</v>
      </c>
      <c r="H2536" t="s">
        <v>29</v>
      </c>
      <c r="I2536" t="s">
        <v>163</v>
      </c>
      <c r="J2536" t="s">
        <v>94</v>
      </c>
      <c r="K2536">
        <v>6</v>
      </c>
      <c r="L2536">
        <v>12800</v>
      </c>
      <c r="M2536">
        <v>76800</v>
      </c>
      <c r="N2536" t="s">
        <v>108</v>
      </c>
      <c r="O2536" t="s">
        <v>96</v>
      </c>
    </row>
    <row r="2537" spans="1:15" x14ac:dyDescent="0.25">
      <c r="A2537">
        <v>2920</v>
      </c>
      <c r="B2537" s="10">
        <v>45748</v>
      </c>
      <c r="C2537">
        <v>1</v>
      </c>
      <c r="D2537" t="s">
        <v>105</v>
      </c>
      <c r="E2537" t="s">
        <v>112</v>
      </c>
      <c r="F2537" t="s">
        <v>122</v>
      </c>
      <c r="G2537" t="s">
        <v>114</v>
      </c>
      <c r="H2537" t="s">
        <v>37</v>
      </c>
      <c r="I2537" t="s">
        <v>160</v>
      </c>
      <c r="J2537" t="s">
        <v>94</v>
      </c>
      <c r="K2537">
        <v>5</v>
      </c>
      <c r="L2537">
        <v>12800</v>
      </c>
      <c r="M2537">
        <v>64000</v>
      </c>
      <c r="N2537" t="s">
        <v>108</v>
      </c>
      <c r="O2537" t="s">
        <v>104</v>
      </c>
    </row>
    <row r="2538" spans="1:15" x14ac:dyDescent="0.25">
      <c r="A2538">
        <v>4389</v>
      </c>
      <c r="B2538" s="10">
        <v>45870</v>
      </c>
      <c r="C2538">
        <v>1</v>
      </c>
      <c r="D2538" t="s">
        <v>109</v>
      </c>
      <c r="E2538" t="s">
        <v>128</v>
      </c>
      <c r="F2538" t="s">
        <v>113</v>
      </c>
      <c r="G2538" t="s">
        <v>114</v>
      </c>
      <c r="H2538" t="s">
        <v>131</v>
      </c>
      <c r="I2538" t="s">
        <v>132</v>
      </c>
      <c r="J2538" t="s">
        <v>103</v>
      </c>
      <c r="K2538">
        <v>50</v>
      </c>
      <c r="L2538">
        <v>12800</v>
      </c>
      <c r="M2538">
        <v>640000</v>
      </c>
      <c r="N2538" t="s">
        <v>108</v>
      </c>
      <c r="O2538" t="s">
        <v>104</v>
      </c>
    </row>
    <row r="2539" spans="1:15" x14ac:dyDescent="0.25">
      <c r="A2539">
        <v>4638</v>
      </c>
      <c r="B2539" s="10">
        <v>45917</v>
      </c>
      <c r="C2539">
        <v>17</v>
      </c>
      <c r="D2539" t="s">
        <v>147</v>
      </c>
      <c r="E2539" t="s">
        <v>112</v>
      </c>
      <c r="F2539" t="s">
        <v>99</v>
      </c>
      <c r="G2539" t="s">
        <v>100</v>
      </c>
      <c r="H2539" t="s">
        <v>29</v>
      </c>
      <c r="I2539" t="s">
        <v>42</v>
      </c>
      <c r="J2539" t="s">
        <v>103</v>
      </c>
      <c r="K2539">
        <v>33</v>
      </c>
      <c r="L2539">
        <v>12800</v>
      </c>
      <c r="M2539">
        <v>422400</v>
      </c>
      <c r="N2539" t="s">
        <v>108</v>
      </c>
      <c r="O2539" t="s">
        <v>115</v>
      </c>
    </row>
    <row r="2540" spans="1:15" x14ac:dyDescent="0.25">
      <c r="A2540">
        <v>4731</v>
      </c>
      <c r="B2540" s="10">
        <v>45897</v>
      </c>
      <c r="C2540">
        <v>28</v>
      </c>
      <c r="D2540" t="s">
        <v>109</v>
      </c>
      <c r="E2540" t="s">
        <v>25</v>
      </c>
      <c r="F2540" t="s">
        <v>22</v>
      </c>
      <c r="G2540" t="s">
        <v>91</v>
      </c>
      <c r="H2540" t="s">
        <v>29</v>
      </c>
      <c r="I2540" t="s">
        <v>42</v>
      </c>
      <c r="J2540" t="s">
        <v>103</v>
      </c>
      <c r="K2540">
        <v>49</v>
      </c>
      <c r="L2540">
        <v>12800</v>
      </c>
      <c r="M2540">
        <v>627200</v>
      </c>
      <c r="N2540" t="s">
        <v>108</v>
      </c>
      <c r="O2540" t="s">
        <v>96</v>
      </c>
    </row>
    <row r="2541" spans="1:15" x14ac:dyDescent="0.25">
      <c r="A2541">
        <v>4920</v>
      </c>
      <c r="B2541" s="10">
        <v>45957</v>
      </c>
      <c r="C2541">
        <v>27</v>
      </c>
      <c r="D2541" t="s">
        <v>136</v>
      </c>
      <c r="E2541" t="s">
        <v>121</v>
      </c>
      <c r="F2541" t="s">
        <v>117</v>
      </c>
      <c r="G2541" t="s">
        <v>118</v>
      </c>
      <c r="H2541" t="s">
        <v>37</v>
      </c>
      <c r="I2541" t="s">
        <v>160</v>
      </c>
      <c r="J2541" t="s">
        <v>94</v>
      </c>
      <c r="K2541">
        <v>4</v>
      </c>
      <c r="L2541">
        <v>12800</v>
      </c>
      <c r="M2541">
        <v>51200</v>
      </c>
      <c r="N2541" t="s">
        <v>108</v>
      </c>
      <c r="O2541" t="s">
        <v>96</v>
      </c>
    </row>
    <row r="2542" spans="1:15" x14ac:dyDescent="0.25">
      <c r="A2542">
        <v>141</v>
      </c>
      <c r="B2542" s="10">
        <v>45793</v>
      </c>
      <c r="C2542">
        <v>16</v>
      </c>
      <c r="D2542" t="s">
        <v>120</v>
      </c>
      <c r="E2542" t="s">
        <v>137</v>
      </c>
      <c r="F2542" t="s">
        <v>28</v>
      </c>
      <c r="G2542" t="s">
        <v>126</v>
      </c>
      <c r="H2542" t="s">
        <v>131</v>
      </c>
      <c r="I2542" t="s">
        <v>132</v>
      </c>
      <c r="J2542" t="s">
        <v>103</v>
      </c>
      <c r="K2542">
        <v>42</v>
      </c>
      <c r="L2542">
        <v>12900</v>
      </c>
      <c r="M2542">
        <v>541800</v>
      </c>
      <c r="N2542" t="s">
        <v>108</v>
      </c>
      <c r="O2542" t="s">
        <v>96</v>
      </c>
    </row>
    <row r="2543" spans="1:15" x14ac:dyDescent="0.25">
      <c r="A2543">
        <v>464</v>
      </c>
      <c r="B2543" s="10">
        <v>45779</v>
      </c>
      <c r="C2543">
        <v>2</v>
      </c>
      <c r="D2543" t="s">
        <v>120</v>
      </c>
      <c r="E2543" t="s">
        <v>25</v>
      </c>
      <c r="F2543" t="s">
        <v>99</v>
      </c>
      <c r="G2543" t="s">
        <v>100</v>
      </c>
      <c r="H2543" t="s">
        <v>131</v>
      </c>
      <c r="I2543" t="s">
        <v>132</v>
      </c>
      <c r="J2543" t="s">
        <v>103</v>
      </c>
      <c r="K2543">
        <v>6</v>
      </c>
      <c r="L2543">
        <v>12900</v>
      </c>
      <c r="M2543">
        <v>77400</v>
      </c>
      <c r="N2543" t="s">
        <v>108</v>
      </c>
      <c r="O2543" t="s">
        <v>115</v>
      </c>
    </row>
    <row r="2544" spans="1:15" x14ac:dyDescent="0.25">
      <c r="A2544">
        <v>929</v>
      </c>
      <c r="B2544" s="10">
        <v>45681</v>
      </c>
      <c r="C2544">
        <v>24</v>
      </c>
      <c r="D2544" t="s">
        <v>130</v>
      </c>
      <c r="E2544" t="s">
        <v>138</v>
      </c>
      <c r="F2544" t="s">
        <v>141</v>
      </c>
      <c r="G2544" t="s">
        <v>100</v>
      </c>
      <c r="H2544" t="s">
        <v>37</v>
      </c>
      <c r="I2544" t="s">
        <v>160</v>
      </c>
      <c r="J2544" t="s">
        <v>94</v>
      </c>
      <c r="K2544">
        <v>6</v>
      </c>
      <c r="L2544">
        <v>12900</v>
      </c>
      <c r="M2544">
        <v>77400</v>
      </c>
      <c r="N2544" t="s">
        <v>108</v>
      </c>
      <c r="O2544" t="s">
        <v>104</v>
      </c>
    </row>
    <row r="2545" spans="1:15" x14ac:dyDescent="0.25">
      <c r="A2545">
        <v>1181</v>
      </c>
      <c r="B2545" s="10">
        <v>45747</v>
      </c>
      <c r="C2545">
        <v>31</v>
      </c>
      <c r="D2545" t="s">
        <v>140</v>
      </c>
      <c r="E2545" t="s">
        <v>116</v>
      </c>
      <c r="F2545" t="s">
        <v>134</v>
      </c>
      <c r="G2545" t="s">
        <v>100</v>
      </c>
      <c r="H2545" t="s">
        <v>131</v>
      </c>
      <c r="I2545" t="s">
        <v>132</v>
      </c>
      <c r="J2545" t="s">
        <v>103</v>
      </c>
      <c r="K2545">
        <v>23</v>
      </c>
      <c r="L2545">
        <v>12900</v>
      </c>
      <c r="M2545">
        <v>296700</v>
      </c>
      <c r="N2545" t="s">
        <v>108</v>
      </c>
      <c r="O2545" t="s">
        <v>96</v>
      </c>
    </row>
    <row r="2546" spans="1:15" x14ac:dyDescent="0.25">
      <c r="A2546">
        <v>1185</v>
      </c>
      <c r="B2546" s="10">
        <v>45855</v>
      </c>
      <c r="C2546">
        <v>17</v>
      </c>
      <c r="D2546" t="s">
        <v>145</v>
      </c>
      <c r="E2546" t="s">
        <v>128</v>
      </c>
      <c r="F2546" t="s">
        <v>148</v>
      </c>
      <c r="G2546" t="s">
        <v>118</v>
      </c>
      <c r="H2546" t="s">
        <v>29</v>
      </c>
      <c r="I2546" t="s">
        <v>42</v>
      </c>
      <c r="J2546" t="s">
        <v>103</v>
      </c>
      <c r="K2546">
        <v>21</v>
      </c>
      <c r="L2546">
        <v>12900</v>
      </c>
      <c r="M2546">
        <v>270900</v>
      </c>
      <c r="N2546" t="s">
        <v>108</v>
      </c>
      <c r="O2546" t="s">
        <v>96</v>
      </c>
    </row>
    <row r="2547" spans="1:15" x14ac:dyDescent="0.25">
      <c r="A2547">
        <v>2143</v>
      </c>
      <c r="B2547" s="10">
        <v>45727</v>
      </c>
      <c r="C2547">
        <v>11</v>
      </c>
      <c r="D2547" t="s">
        <v>140</v>
      </c>
      <c r="E2547" t="s">
        <v>142</v>
      </c>
      <c r="F2547" t="s">
        <v>148</v>
      </c>
      <c r="G2547" t="s">
        <v>118</v>
      </c>
      <c r="H2547" t="s">
        <v>131</v>
      </c>
      <c r="I2547" t="s">
        <v>132</v>
      </c>
      <c r="J2547" t="s">
        <v>103</v>
      </c>
      <c r="K2547">
        <v>20</v>
      </c>
      <c r="L2547">
        <v>12900</v>
      </c>
      <c r="M2547">
        <v>258000</v>
      </c>
      <c r="N2547" t="s">
        <v>95</v>
      </c>
      <c r="O2547" t="s">
        <v>96</v>
      </c>
    </row>
    <row r="2548" spans="1:15" x14ac:dyDescent="0.25">
      <c r="A2548">
        <v>2207</v>
      </c>
      <c r="B2548" s="10">
        <v>45810</v>
      </c>
      <c r="C2548">
        <v>2</v>
      </c>
      <c r="D2548" t="s">
        <v>153</v>
      </c>
      <c r="E2548" t="s">
        <v>138</v>
      </c>
      <c r="F2548" t="s">
        <v>22</v>
      </c>
      <c r="G2548" t="s">
        <v>91</v>
      </c>
      <c r="H2548" t="s">
        <v>29</v>
      </c>
      <c r="I2548" t="s">
        <v>163</v>
      </c>
      <c r="J2548" t="s">
        <v>94</v>
      </c>
      <c r="K2548">
        <v>6</v>
      </c>
      <c r="L2548">
        <v>12900</v>
      </c>
      <c r="M2548">
        <v>77400</v>
      </c>
      <c r="N2548" t="s">
        <v>108</v>
      </c>
      <c r="O2548" t="s">
        <v>104</v>
      </c>
    </row>
    <row r="2549" spans="1:15" x14ac:dyDescent="0.25">
      <c r="A2549">
        <v>2412</v>
      </c>
      <c r="B2549" s="10">
        <v>45937</v>
      </c>
      <c r="C2549">
        <v>7</v>
      </c>
      <c r="D2549" t="s">
        <v>136</v>
      </c>
      <c r="E2549" t="s">
        <v>128</v>
      </c>
      <c r="F2549" t="s">
        <v>134</v>
      </c>
      <c r="G2549" t="s">
        <v>100</v>
      </c>
      <c r="H2549" t="s">
        <v>37</v>
      </c>
      <c r="I2549" t="s">
        <v>160</v>
      </c>
      <c r="J2549" t="s">
        <v>94</v>
      </c>
      <c r="K2549">
        <v>3</v>
      </c>
      <c r="L2549">
        <v>12900</v>
      </c>
      <c r="M2549">
        <v>38700</v>
      </c>
      <c r="N2549" t="s">
        <v>95</v>
      </c>
      <c r="O2549" t="s">
        <v>115</v>
      </c>
    </row>
    <row r="2550" spans="1:15" x14ac:dyDescent="0.25">
      <c r="A2550">
        <v>4537</v>
      </c>
      <c r="B2550" s="10">
        <v>45812</v>
      </c>
      <c r="C2550">
        <v>4</v>
      </c>
      <c r="D2550" t="s">
        <v>153</v>
      </c>
      <c r="E2550" t="s">
        <v>110</v>
      </c>
      <c r="F2550" t="s">
        <v>148</v>
      </c>
      <c r="G2550" t="s">
        <v>118</v>
      </c>
      <c r="H2550" t="s">
        <v>131</v>
      </c>
      <c r="I2550" t="s">
        <v>132</v>
      </c>
      <c r="J2550" t="s">
        <v>103</v>
      </c>
      <c r="K2550">
        <v>40</v>
      </c>
      <c r="L2550">
        <v>12900</v>
      </c>
      <c r="M2550">
        <v>516000</v>
      </c>
      <c r="N2550" t="s">
        <v>108</v>
      </c>
      <c r="O2550" t="s">
        <v>96</v>
      </c>
    </row>
    <row r="2551" spans="1:15" x14ac:dyDescent="0.25">
      <c r="A2551">
        <v>4826</v>
      </c>
      <c r="B2551" s="10">
        <v>45781</v>
      </c>
      <c r="C2551">
        <v>4</v>
      </c>
      <c r="D2551" t="s">
        <v>120</v>
      </c>
      <c r="E2551" t="s">
        <v>25</v>
      </c>
      <c r="F2551" t="s">
        <v>141</v>
      </c>
      <c r="G2551" t="s">
        <v>100</v>
      </c>
      <c r="H2551" t="s">
        <v>131</v>
      </c>
      <c r="I2551" t="s">
        <v>132</v>
      </c>
      <c r="J2551" t="s">
        <v>103</v>
      </c>
      <c r="K2551">
        <v>48</v>
      </c>
      <c r="L2551">
        <v>12900</v>
      </c>
      <c r="M2551">
        <v>619200</v>
      </c>
      <c r="N2551" t="s">
        <v>95</v>
      </c>
      <c r="O2551" t="s">
        <v>104</v>
      </c>
    </row>
    <row r="2552" spans="1:15" x14ac:dyDescent="0.25">
      <c r="A2552">
        <v>447</v>
      </c>
      <c r="B2552" s="10">
        <v>45827</v>
      </c>
      <c r="C2552">
        <v>19</v>
      </c>
      <c r="D2552" t="s">
        <v>153</v>
      </c>
      <c r="E2552" t="s">
        <v>106</v>
      </c>
      <c r="F2552" t="s">
        <v>49</v>
      </c>
      <c r="G2552" t="s">
        <v>118</v>
      </c>
      <c r="H2552" t="s">
        <v>131</v>
      </c>
      <c r="I2552" t="s">
        <v>132</v>
      </c>
      <c r="J2552" t="s">
        <v>103</v>
      </c>
      <c r="K2552">
        <v>24</v>
      </c>
      <c r="L2552">
        <v>13000</v>
      </c>
      <c r="M2552">
        <v>312000</v>
      </c>
      <c r="N2552" t="s">
        <v>95</v>
      </c>
      <c r="O2552" t="s">
        <v>104</v>
      </c>
    </row>
    <row r="2553" spans="1:15" x14ac:dyDescent="0.25">
      <c r="A2553">
        <v>957</v>
      </c>
      <c r="B2553" s="10">
        <v>45856</v>
      </c>
      <c r="C2553">
        <v>18</v>
      </c>
      <c r="D2553" t="s">
        <v>145</v>
      </c>
      <c r="E2553" t="s">
        <v>25</v>
      </c>
      <c r="F2553" t="s">
        <v>144</v>
      </c>
      <c r="G2553" t="s">
        <v>91</v>
      </c>
      <c r="H2553" t="s">
        <v>131</v>
      </c>
      <c r="I2553" t="s">
        <v>132</v>
      </c>
      <c r="J2553" t="s">
        <v>103</v>
      </c>
      <c r="K2553">
        <v>10</v>
      </c>
      <c r="L2553">
        <v>13000</v>
      </c>
      <c r="M2553">
        <v>130000</v>
      </c>
      <c r="N2553" t="s">
        <v>95</v>
      </c>
      <c r="O2553" t="s">
        <v>115</v>
      </c>
    </row>
    <row r="2554" spans="1:15" x14ac:dyDescent="0.25">
      <c r="A2554">
        <v>1543</v>
      </c>
      <c r="B2554" s="10">
        <v>45791</v>
      </c>
      <c r="C2554">
        <v>14</v>
      </c>
      <c r="D2554" t="s">
        <v>120</v>
      </c>
      <c r="E2554" t="s">
        <v>112</v>
      </c>
      <c r="F2554" t="s">
        <v>44</v>
      </c>
      <c r="G2554" t="s">
        <v>111</v>
      </c>
      <c r="H2554" t="s">
        <v>37</v>
      </c>
      <c r="I2554" t="s">
        <v>160</v>
      </c>
      <c r="J2554" t="s">
        <v>94</v>
      </c>
      <c r="K2554">
        <v>2</v>
      </c>
      <c r="L2554">
        <v>13000</v>
      </c>
      <c r="M2554">
        <v>26000</v>
      </c>
      <c r="N2554" t="s">
        <v>108</v>
      </c>
      <c r="O2554" t="s">
        <v>115</v>
      </c>
    </row>
    <row r="2555" spans="1:15" x14ac:dyDescent="0.25">
      <c r="A2555">
        <v>1701</v>
      </c>
      <c r="B2555" s="10">
        <v>46010</v>
      </c>
      <c r="C2555">
        <v>19</v>
      </c>
      <c r="D2555" t="s">
        <v>125</v>
      </c>
      <c r="E2555" t="s">
        <v>133</v>
      </c>
      <c r="F2555" t="s">
        <v>113</v>
      </c>
      <c r="G2555" t="s">
        <v>114</v>
      </c>
      <c r="H2555" t="s">
        <v>131</v>
      </c>
      <c r="I2555" t="s">
        <v>132</v>
      </c>
      <c r="J2555" t="s">
        <v>103</v>
      </c>
      <c r="K2555">
        <v>43</v>
      </c>
      <c r="L2555">
        <v>13000</v>
      </c>
      <c r="M2555">
        <v>559000</v>
      </c>
      <c r="N2555" t="s">
        <v>95</v>
      </c>
      <c r="O2555" t="s">
        <v>104</v>
      </c>
    </row>
    <row r="2556" spans="1:15" x14ac:dyDescent="0.25">
      <c r="A2556">
        <v>1990</v>
      </c>
      <c r="B2556" s="10">
        <v>45933</v>
      </c>
      <c r="C2556">
        <v>3</v>
      </c>
      <c r="D2556" t="s">
        <v>136</v>
      </c>
      <c r="E2556" t="s">
        <v>112</v>
      </c>
      <c r="F2556" t="s">
        <v>28</v>
      </c>
      <c r="G2556" t="s">
        <v>126</v>
      </c>
      <c r="H2556" t="s">
        <v>131</v>
      </c>
      <c r="I2556" t="s">
        <v>132</v>
      </c>
      <c r="J2556" t="s">
        <v>103</v>
      </c>
      <c r="K2556">
        <v>6</v>
      </c>
      <c r="L2556">
        <v>13000</v>
      </c>
      <c r="M2556">
        <v>78000</v>
      </c>
      <c r="N2556" t="s">
        <v>108</v>
      </c>
      <c r="O2556" t="s">
        <v>104</v>
      </c>
    </row>
    <row r="2557" spans="1:15" x14ac:dyDescent="0.25">
      <c r="A2557">
        <v>2008</v>
      </c>
      <c r="B2557" s="10">
        <v>45782</v>
      </c>
      <c r="C2557">
        <v>5</v>
      </c>
      <c r="D2557" t="s">
        <v>120</v>
      </c>
      <c r="E2557" t="s">
        <v>121</v>
      </c>
      <c r="F2557" t="s">
        <v>151</v>
      </c>
      <c r="G2557" t="s">
        <v>111</v>
      </c>
      <c r="H2557" t="s">
        <v>29</v>
      </c>
      <c r="I2557" t="s">
        <v>42</v>
      </c>
      <c r="J2557" t="s">
        <v>103</v>
      </c>
      <c r="K2557">
        <v>35</v>
      </c>
      <c r="L2557">
        <v>13000</v>
      </c>
      <c r="M2557">
        <v>455000</v>
      </c>
      <c r="N2557" t="s">
        <v>108</v>
      </c>
      <c r="O2557" t="s">
        <v>104</v>
      </c>
    </row>
    <row r="2558" spans="1:15" x14ac:dyDescent="0.25">
      <c r="A2558">
        <v>2167</v>
      </c>
      <c r="B2558" s="10">
        <v>45727</v>
      </c>
      <c r="C2558">
        <v>11</v>
      </c>
      <c r="D2558" t="s">
        <v>140</v>
      </c>
      <c r="E2558" t="s">
        <v>106</v>
      </c>
      <c r="F2558" t="s">
        <v>99</v>
      </c>
      <c r="G2558" t="s">
        <v>100</v>
      </c>
      <c r="H2558" t="s">
        <v>29</v>
      </c>
      <c r="I2558" t="s">
        <v>42</v>
      </c>
      <c r="J2558" t="s">
        <v>103</v>
      </c>
      <c r="K2558">
        <v>11</v>
      </c>
      <c r="L2558">
        <v>13000</v>
      </c>
      <c r="M2558">
        <v>143000</v>
      </c>
      <c r="N2558" t="s">
        <v>95</v>
      </c>
      <c r="O2558" t="s">
        <v>115</v>
      </c>
    </row>
    <row r="2559" spans="1:15" x14ac:dyDescent="0.25">
      <c r="A2559">
        <v>2686</v>
      </c>
      <c r="B2559" s="10">
        <v>45894</v>
      </c>
      <c r="C2559">
        <v>25</v>
      </c>
      <c r="D2559" t="s">
        <v>109</v>
      </c>
      <c r="E2559" t="s">
        <v>150</v>
      </c>
      <c r="F2559" t="s">
        <v>141</v>
      </c>
      <c r="G2559" t="s">
        <v>100</v>
      </c>
      <c r="H2559" t="s">
        <v>131</v>
      </c>
      <c r="I2559" t="s">
        <v>132</v>
      </c>
      <c r="J2559" t="s">
        <v>103</v>
      </c>
      <c r="K2559">
        <v>17</v>
      </c>
      <c r="L2559">
        <v>13000</v>
      </c>
      <c r="M2559">
        <v>221000</v>
      </c>
      <c r="N2559" t="s">
        <v>108</v>
      </c>
      <c r="O2559" t="s">
        <v>96</v>
      </c>
    </row>
    <row r="2560" spans="1:15" x14ac:dyDescent="0.25">
      <c r="A2560">
        <v>2732</v>
      </c>
      <c r="B2560" s="10">
        <v>45895</v>
      </c>
      <c r="C2560">
        <v>26</v>
      </c>
      <c r="D2560" t="s">
        <v>109</v>
      </c>
      <c r="E2560" t="s">
        <v>98</v>
      </c>
      <c r="F2560" t="s">
        <v>99</v>
      </c>
      <c r="G2560" t="s">
        <v>100</v>
      </c>
      <c r="H2560" t="s">
        <v>29</v>
      </c>
      <c r="I2560" t="s">
        <v>163</v>
      </c>
      <c r="J2560" t="s">
        <v>94</v>
      </c>
      <c r="K2560">
        <v>10</v>
      </c>
      <c r="L2560">
        <v>13000</v>
      </c>
      <c r="M2560">
        <v>130000</v>
      </c>
      <c r="N2560" t="s">
        <v>108</v>
      </c>
      <c r="O2560" t="s">
        <v>96</v>
      </c>
    </row>
    <row r="2561" spans="1:15" x14ac:dyDescent="0.25">
      <c r="A2561">
        <v>2826</v>
      </c>
      <c r="B2561" s="10">
        <v>45928</v>
      </c>
      <c r="C2561">
        <v>28</v>
      </c>
      <c r="D2561" t="s">
        <v>147</v>
      </c>
      <c r="E2561" t="s">
        <v>116</v>
      </c>
      <c r="F2561" t="s">
        <v>144</v>
      </c>
      <c r="G2561" t="s">
        <v>91</v>
      </c>
      <c r="H2561" t="s">
        <v>37</v>
      </c>
      <c r="I2561" t="s">
        <v>160</v>
      </c>
      <c r="J2561" t="s">
        <v>94</v>
      </c>
      <c r="K2561">
        <v>5</v>
      </c>
      <c r="L2561">
        <v>13000</v>
      </c>
      <c r="M2561">
        <v>65000</v>
      </c>
      <c r="N2561" t="s">
        <v>95</v>
      </c>
      <c r="O2561" t="s">
        <v>115</v>
      </c>
    </row>
    <row r="2562" spans="1:15" x14ac:dyDescent="0.25">
      <c r="A2562">
        <v>3297</v>
      </c>
      <c r="B2562" s="10">
        <v>45769</v>
      </c>
      <c r="C2562">
        <v>22</v>
      </c>
      <c r="D2562" t="s">
        <v>105</v>
      </c>
      <c r="E2562" t="s">
        <v>31</v>
      </c>
      <c r="F2562" t="s">
        <v>113</v>
      </c>
      <c r="G2562" t="s">
        <v>114</v>
      </c>
      <c r="H2562" t="s">
        <v>37</v>
      </c>
      <c r="I2562" t="s">
        <v>160</v>
      </c>
      <c r="J2562" t="s">
        <v>94</v>
      </c>
      <c r="K2562">
        <v>6</v>
      </c>
      <c r="L2562">
        <v>13000</v>
      </c>
      <c r="M2562">
        <v>78000</v>
      </c>
      <c r="N2562" t="s">
        <v>108</v>
      </c>
      <c r="O2562" t="s">
        <v>96</v>
      </c>
    </row>
    <row r="2563" spans="1:15" x14ac:dyDescent="0.25">
      <c r="A2563">
        <v>3663</v>
      </c>
      <c r="B2563" s="10">
        <v>45671</v>
      </c>
      <c r="C2563">
        <v>14</v>
      </c>
      <c r="D2563" t="s">
        <v>130</v>
      </c>
      <c r="E2563" t="s">
        <v>121</v>
      </c>
      <c r="F2563" t="s">
        <v>44</v>
      </c>
      <c r="G2563" t="s">
        <v>111</v>
      </c>
      <c r="H2563" t="s">
        <v>131</v>
      </c>
      <c r="I2563" t="s">
        <v>132</v>
      </c>
      <c r="J2563" t="s">
        <v>103</v>
      </c>
      <c r="K2563">
        <v>39</v>
      </c>
      <c r="L2563">
        <v>13000</v>
      </c>
      <c r="M2563">
        <v>507000</v>
      </c>
      <c r="N2563" t="s">
        <v>108</v>
      </c>
      <c r="O2563" t="s">
        <v>96</v>
      </c>
    </row>
    <row r="2564" spans="1:15" x14ac:dyDescent="0.25">
      <c r="A2564">
        <v>3743</v>
      </c>
      <c r="B2564" s="10">
        <v>45682</v>
      </c>
      <c r="C2564">
        <v>25</v>
      </c>
      <c r="D2564" t="s">
        <v>130</v>
      </c>
      <c r="E2564" t="s">
        <v>128</v>
      </c>
      <c r="F2564" t="s">
        <v>49</v>
      </c>
      <c r="G2564" t="s">
        <v>118</v>
      </c>
      <c r="H2564" t="s">
        <v>131</v>
      </c>
      <c r="I2564" t="s">
        <v>132</v>
      </c>
      <c r="J2564" t="s">
        <v>103</v>
      </c>
      <c r="K2564">
        <v>14</v>
      </c>
      <c r="L2564">
        <v>13000</v>
      </c>
      <c r="M2564">
        <v>182000</v>
      </c>
      <c r="N2564" t="s">
        <v>95</v>
      </c>
      <c r="O2564" t="s">
        <v>104</v>
      </c>
    </row>
    <row r="2565" spans="1:15" x14ac:dyDescent="0.25">
      <c r="A2565">
        <v>3973</v>
      </c>
      <c r="B2565" s="10">
        <v>45742</v>
      </c>
      <c r="C2565">
        <v>26</v>
      </c>
      <c r="D2565" t="s">
        <v>140</v>
      </c>
      <c r="E2565" t="s">
        <v>25</v>
      </c>
      <c r="F2565" t="s">
        <v>144</v>
      </c>
      <c r="G2565" t="s">
        <v>91</v>
      </c>
      <c r="H2565" t="s">
        <v>131</v>
      </c>
      <c r="I2565" t="s">
        <v>132</v>
      </c>
      <c r="J2565" t="s">
        <v>103</v>
      </c>
      <c r="K2565">
        <v>24</v>
      </c>
      <c r="L2565">
        <v>13000</v>
      </c>
      <c r="M2565">
        <v>312000</v>
      </c>
      <c r="N2565" t="s">
        <v>95</v>
      </c>
      <c r="O2565" t="s">
        <v>115</v>
      </c>
    </row>
    <row r="2566" spans="1:15" x14ac:dyDescent="0.25">
      <c r="A2566">
        <v>1880</v>
      </c>
      <c r="B2566" s="10">
        <v>45977</v>
      </c>
      <c r="C2566">
        <v>16</v>
      </c>
      <c r="D2566" t="s">
        <v>90</v>
      </c>
      <c r="E2566" t="s">
        <v>142</v>
      </c>
      <c r="F2566" t="s">
        <v>22</v>
      </c>
      <c r="G2566" t="s">
        <v>91</v>
      </c>
      <c r="H2566" t="s">
        <v>29</v>
      </c>
      <c r="I2566" t="s">
        <v>42</v>
      </c>
      <c r="J2566" t="s">
        <v>103</v>
      </c>
      <c r="K2566">
        <v>40</v>
      </c>
      <c r="L2566">
        <v>13100</v>
      </c>
      <c r="M2566">
        <v>524000</v>
      </c>
      <c r="N2566" t="s">
        <v>95</v>
      </c>
      <c r="O2566" t="s">
        <v>96</v>
      </c>
    </row>
    <row r="2567" spans="1:15" x14ac:dyDescent="0.25">
      <c r="A2567">
        <v>2013</v>
      </c>
      <c r="B2567" s="10">
        <v>45888</v>
      </c>
      <c r="C2567">
        <v>19</v>
      </c>
      <c r="D2567" t="s">
        <v>109</v>
      </c>
      <c r="E2567" t="s">
        <v>110</v>
      </c>
      <c r="F2567" t="s">
        <v>141</v>
      </c>
      <c r="G2567" t="s">
        <v>100</v>
      </c>
      <c r="H2567" t="s">
        <v>29</v>
      </c>
      <c r="I2567" t="s">
        <v>42</v>
      </c>
      <c r="J2567" t="s">
        <v>103</v>
      </c>
      <c r="K2567">
        <v>44</v>
      </c>
      <c r="L2567">
        <v>13100</v>
      </c>
      <c r="M2567">
        <v>576400</v>
      </c>
      <c r="N2567" t="s">
        <v>108</v>
      </c>
      <c r="O2567" t="s">
        <v>96</v>
      </c>
    </row>
    <row r="2568" spans="1:15" x14ac:dyDescent="0.25">
      <c r="A2568">
        <v>2660</v>
      </c>
      <c r="B2568" s="10">
        <v>45704</v>
      </c>
      <c r="C2568">
        <v>16</v>
      </c>
      <c r="D2568" t="s">
        <v>97</v>
      </c>
      <c r="E2568" t="s">
        <v>98</v>
      </c>
      <c r="F2568" t="s">
        <v>117</v>
      </c>
      <c r="G2568" t="s">
        <v>118</v>
      </c>
      <c r="H2568" t="s">
        <v>131</v>
      </c>
      <c r="I2568" t="s">
        <v>132</v>
      </c>
      <c r="J2568" t="s">
        <v>103</v>
      </c>
      <c r="K2568">
        <v>17</v>
      </c>
      <c r="L2568">
        <v>13100</v>
      </c>
      <c r="M2568">
        <v>222700</v>
      </c>
      <c r="N2568" t="s">
        <v>95</v>
      </c>
      <c r="O2568" t="s">
        <v>96</v>
      </c>
    </row>
    <row r="2569" spans="1:15" x14ac:dyDescent="0.25">
      <c r="A2569">
        <v>3251</v>
      </c>
      <c r="B2569" s="10">
        <v>45684</v>
      </c>
      <c r="C2569">
        <v>27</v>
      </c>
      <c r="D2569" t="s">
        <v>130</v>
      </c>
      <c r="E2569" t="s">
        <v>142</v>
      </c>
      <c r="F2569" t="s">
        <v>107</v>
      </c>
      <c r="G2569" t="s">
        <v>100</v>
      </c>
      <c r="H2569" t="s">
        <v>131</v>
      </c>
      <c r="I2569" t="s">
        <v>132</v>
      </c>
      <c r="J2569" t="s">
        <v>103</v>
      </c>
      <c r="K2569">
        <v>38</v>
      </c>
      <c r="L2569">
        <v>13100</v>
      </c>
      <c r="M2569">
        <v>497800</v>
      </c>
      <c r="N2569" t="s">
        <v>95</v>
      </c>
      <c r="O2569" t="s">
        <v>115</v>
      </c>
    </row>
    <row r="2570" spans="1:15" x14ac:dyDescent="0.25">
      <c r="A2570">
        <v>3280</v>
      </c>
      <c r="B2570" s="10">
        <v>46020</v>
      </c>
      <c r="C2570">
        <v>29</v>
      </c>
      <c r="D2570" t="s">
        <v>125</v>
      </c>
      <c r="E2570" t="s">
        <v>121</v>
      </c>
      <c r="F2570" t="s">
        <v>117</v>
      </c>
      <c r="G2570" t="s">
        <v>118</v>
      </c>
      <c r="H2570" t="s">
        <v>131</v>
      </c>
      <c r="I2570" t="s">
        <v>132</v>
      </c>
      <c r="J2570" t="s">
        <v>103</v>
      </c>
      <c r="K2570">
        <v>50</v>
      </c>
      <c r="L2570">
        <v>13100</v>
      </c>
      <c r="M2570">
        <v>655000</v>
      </c>
      <c r="N2570" t="s">
        <v>108</v>
      </c>
      <c r="O2570" t="s">
        <v>104</v>
      </c>
    </row>
    <row r="2571" spans="1:15" x14ac:dyDescent="0.25">
      <c r="A2571">
        <v>3652</v>
      </c>
      <c r="B2571" s="10">
        <v>45899</v>
      </c>
      <c r="C2571">
        <v>30</v>
      </c>
      <c r="D2571" t="s">
        <v>109</v>
      </c>
      <c r="E2571" t="s">
        <v>138</v>
      </c>
      <c r="F2571" t="s">
        <v>148</v>
      </c>
      <c r="G2571" t="s">
        <v>118</v>
      </c>
      <c r="H2571" t="s">
        <v>131</v>
      </c>
      <c r="I2571" t="s">
        <v>132</v>
      </c>
      <c r="J2571" t="s">
        <v>103</v>
      </c>
      <c r="K2571">
        <v>29</v>
      </c>
      <c r="L2571">
        <v>13100</v>
      </c>
      <c r="M2571">
        <v>379900</v>
      </c>
      <c r="N2571" t="s">
        <v>95</v>
      </c>
      <c r="O2571" t="s">
        <v>96</v>
      </c>
    </row>
    <row r="2572" spans="1:15" x14ac:dyDescent="0.25">
      <c r="A2572">
        <v>4179</v>
      </c>
      <c r="B2572" s="10">
        <v>45889</v>
      </c>
      <c r="C2572">
        <v>20</v>
      </c>
      <c r="D2572" t="s">
        <v>109</v>
      </c>
      <c r="E2572" t="s">
        <v>142</v>
      </c>
      <c r="F2572" t="s">
        <v>148</v>
      </c>
      <c r="G2572" t="s">
        <v>118</v>
      </c>
      <c r="H2572" t="s">
        <v>29</v>
      </c>
      <c r="I2572" t="s">
        <v>163</v>
      </c>
      <c r="J2572" t="s">
        <v>94</v>
      </c>
      <c r="K2572">
        <v>7</v>
      </c>
      <c r="L2572">
        <v>13100</v>
      </c>
      <c r="M2572">
        <v>91700</v>
      </c>
      <c r="N2572" t="s">
        <v>108</v>
      </c>
      <c r="O2572" t="s">
        <v>115</v>
      </c>
    </row>
    <row r="2573" spans="1:15" x14ac:dyDescent="0.25">
      <c r="A2573">
        <v>4411</v>
      </c>
      <c r="B2573" s="10">
        <v>45971</v>
      </c>
      <c r="C2573">
        <v>10</v>
      </c>
      <c r="D2573" t="s">
        <v>90</v>
      </c>
      <c r="E2573" t="s">
        <v>106</v>
      </c>
      <c r="F2573" t="s">
        <v>22</v>
      </c>
      <c r="G2573" t="s">
        <v>91</v>
      </c>
      <c r="H2573" t="s">
        <v>29</v>
      </c>
      <c r="I2573" t="s">
        <v>42</v>
      </c>
      <c r="J2573" t="s">
        <v>103</v>
      </c>
      <c r="K2573">
        <v>47</v>
      </c>
      <c r="L2573">
        <v>13100</v>
      </c>
      <c r="M2573">
        <v>615700</v>
      </c>
      <c r="N2573" t="s">
        <v>108</v>
      </c>
      <c r="O2573" t="s">
        <v>115</v>
      </c>
    </row>
    <row r="2574" spans="1:15" x14ac:dyDescent="0.25">
      <c r="A2574">
        <v>4687</v>
      </c>
      <c r="B2574" s="10">
        <v>45792</v>
      </c>
      <c r="C2574">
        <v>15</v>
      </c>
      <c r="D2574" t="s">
        <v>120</v>
      </c>
      <c r="E2574" t="s">
        <v>106</v>
      </c>
      <c r="F2574" t="s">
        <v>144</v>
      </c>
      <c r="G2574" t="s">
        <v>91</v>
      </c>
      <c r="H2574" t="s">
        <v>29</v>
      </c>
      <c r="I2574" t="s">
        <v>42</v>
      </c>
      <c r="J2574" t="s">
        <v>103</v>
      </c>
      <c r="K2574">
        <v>32</v>
      </c>
      <c r="L2574">
        <v>13100</v>
      </c>
      <c r="M2574">
        <v>419200</v>
      </c>
      <c r="N2574" t="s">
        <v>108</v>
      </c>
      <c r="O2574" t="s">
        <v>96</v>
      </c>
    </row>
    <row r="2575" spans="1:15" x14ac:dyDescent="0.25">
      <c r="A2575">
        <v>4801</v>
      </c>
      <c r="B2575" s="10">
        <v>45834</v>
      </c>
      <c r="C2575">
        <v>26</v>
      </c>
      <c r="D2575" t="s">
        <v>153</v>
      </c>
      <c r="E2575" t="s">
        <v>116</v>
      </c>
      <c r="F2575" t="s">
        <v>36</v>
      </c>
      <c r="G2575" t="s">
        <v>100</v>
      </c>
      <c r="H2575" t="s">
        <v>131</v>
      </c>
      <c r="I2575" t="s">
        <v>132</v>
      </c>
      <c r="J2575" t="s">
        <v>103</v>
      </c>
      <c r="K2575">
        <v>9</v>
      </c>
      <c r="L2575">
        <v>13100</v>
      </c>
      <c r="M2575">
        <v>117900</v>
      </c>
      <c r="N2575" t="s">
        <v>108</v>
      </c>
      <c r="O2575" t="s">
        <v>96</v>
      </c>
    </row>
    <row r="2576" spans="1:15" x14ac:dyDescent="0.25">
      <c r="A2576">
        <v>300</v>
      </c>
      <c r="B2576" s="10">
        <v>45834</v>
      </c>
      <c r="C2576">
        <v>26</v>
      </c>
      <c r="D2576" t="s">
        <v>153</v>
      </c>
      <c r="E2576" t="s">
        <v>98</v>
      </c>
      <c r="F2576" t="s">
        <v>122</v>
      </c>
      <c r="G2576" t="s">
        <v>114</v>
      </c>
      <c r="H2576" t="s">
        <v>131</v>
      </c>
      <c r="I2576" t="s">
        <v>132</v>
      </c>
      <c r="J2576" t="s">
        <v>103</v>
      </c>
      <c r="K2576">
        <v>31</v>
      </c>
      <c r="L2576">
        <v>13200</v>
      </c>
      <c r="M2576">
        <v>409200</v>
      </c>
      <c r="N2576" t="s">
        <v>95</v>
      </c>
      <c r="O2576" t="s">
        <v>115</v>
      </c>
    </row>
    <row r="2577" spans="1:15" x14ac:dyDescent="0.25">
      <c r="A2577">
        <v>849</v>
      </c>
      <c r="B2577" s="10">
        <v>45877</v>
      </c>
      <c r="C2577">
        <v>8</v>
      </c>
      <c r="D2577" t="s">
        <v>109</v>
      </c>
      <c r="E2577" t="s">
        <v>161</v>
      </c>
      <c r="F2577" t="s">
        <v>141</v>
      </c>
      <c r="G2577" t="s">
        <v>100</v>
      </c>
      <c r="H2577" t="s">
        <v>29</v>
      </c>
      <c r="I2577" t="s">
        <v>42</v>
      </c>
      <c r="J2577" t="s">
        <v>103</v>
      </c>
      <c r="K2577">
        <v>32</v>
      </c>
      <c r="L2577">
        <v>13200</v>
      </c>
      <c r="M2577">
        <v>422400</v>
      </c>
      <c r="N2577" t="s">
        <v>95</v>
      </c>
      <c r="O2577" t="s">
        <v>96</v>
      </c>
    </row>
    <row r="2578" spans="1:15" x14ac:dyDescent="0.25">
      <c r="A2578">
        <v>1491</v>
      </c>
      <c r="B2578" s="10">
        <v>45986</v>
      </c>
      <c r="C2578">
        <v>25</v>
      </c>
      <c r="D2578" t="s">
        <v>90</v>
      </c>
      <c r="E2578" t="s">
        <v>137</v>
      </c>
      <c r="F2578" t="s">
        <v>151</v>
      </c>
      <c r="G2578" t="s">
        <v>111</v>
      </c>
      <c r="H2578" t="s">
        <v>29</v>
      </c>
      <c r="I2578" t="s">
        <v>42</v>
      </c>
      <c r="J2578" t="s">
        <v>103</v>
      </c>
      <c r="K2578">
        <v>37</v>
      </c>
      <c r="L2578">
        <v>13200</v>
      </c>
      <c r="M2578">
        <v>488400</v>
      </c>
      <c r="N2578" t="s">
        <v>108</v>
      </c>
      <c r="O2578" t="s">
        <v>115</v>
      </c>
    </row>
    <row r="2579" spans="1:15" x14ac:dyDescent="0.25">
      <c r="A2579">
        <v>1549</v>
      </c>
      <c r="B2579" s="10">
        <v>45980</v>
      </c>
      <c r="C2579">
        <v>19</v>
      </c>
      <c r="D2579" t="s">
        <v>90</v>
      </c>
      <c r="E2579" t="s">
        <v>133</v>
      </c>
      <c r="F2579" t="s">
        <v>99</v>
      </c>
      <c r="G2579" t="s">
        <v>100</v>
      </c>
      <c r="H2579" t="s">
        <v>131</v>
      </c>
      <c r="I2579" t="s">
        <v>132</v>
      </c>
      <c r="J2579" t="s">
        <v>103</v>
      </c>
      <c r="K2579">
        <v>49</v>
      </c>
      <c r="L2579">
        <v>13200</v>
      </c>
      <c r="M2579">
        <v>646800</v>
      </c>
      <c r="N2579" t="s">
        <v>95</v>
      </c>
      <c r="O2579" t="s">
        <v>96</v>
      </c>
    </row>
    <row r="2580" spans="1:15" x14ac:dyDescent="0.25">
      <c r="A2580">
        <v>2883</v>
      </c>
      <c r="B2580" s="10">
        <v>45812</v>
      </c>
      <c r="C2580">
        <v>4</v>
      </c>
      <c r="D2580" t="s">
        <v>153</v>
      </c>
      <c r="E2580" t="s">
        <v>116</v>
      </c>
      <c r="F2580" t="s">
        <v>141</v>
      </c>
      <c r="G2580" t="s">
        <v>100</v>
      </c>
      <c r="H2580" t="s">
        <v>29</v>
      </c>
      <c r="I2580" t="s">
        <v>42</v>
      </c>
      <c r="J2580" t="s">
        <v>103</v>
      </c>
      <c r="K2580">
        <v>14</v>
      </c>
      <c r="L2580">
        <v>13200</v>
      </c>
      <c r="M2580">
        <v>184800</v>
      </c>
      <c r="N2580" t="s">
        <v>95</v>
      </c>
      <c r="O2580" t="s">
        <v>96</v>
      </c>
    </row>
    <row r="2581" spans="1:15" x14ac:dyDescent="0.25">
      <c r="A2581">
        <v>3192</v>
      </c>
      <c r="B2581" s="10">
        <v>45836</v>
      </c>
      <c r="C2581">
        <v>28</v>
      </c>
      <c r="D2581" t="s">
        <v>153</v>
      </c>
      <c r="E2581" t="s">
        <v>128</v>
      </c>
      <c r="F2581" t="s">
        <v>141</v>
      </c>
      <c r="G2581" t="s">
        <v>100</v>
      </c>
      <c r="H2581" t="s">
        <v>131</v>
      </c>
      <c r="I2581" t="s">
        <v>132</v>
      </c>
      <c r="J2581" t="s">
        <v>103</v>
      </c>
      <c r="K2581">
        <v>21</v>
      </c>
      <c r="L2581">
        <v>13200</v>
      </c>
      <c r="M2581">
        <v>277200</v>
      </c>
      <c r="N2581" t="s">
        <v>108</v>
      </c>
      <c r="O2581" t="s">
        <v>96</v>
      </c>
    </row>
    <row r="2582" spans="1:15" x14ac:dyDescent="0.25">
      <c r="A2582">
        <v>3220</v>
      </c>
      <c r="B2582" s="10">
        <v>45857</v>
      </c>
      <c r="C2582">
        <v>19</v>
      </c>
      <c r="D2582" t="s">
        <v>145</v>
      </c>
      <c r="E2582" t="s">
        <v>25</v>
      </c>
      <c r="F2582" t="s">
        <v>144</v>
      </c>
      <c r="G2582" t="s">
        <v>91</v>
      </c>
      <c r="H2582" t="s">
        <v>131</v>
      </c>
      <c r="I2582" t="s">
        <v>132</v>
      </c>
      <c r="J2582" t="s">
        <v>103</v>
      </c>
      <c r="K2582">
        <v>41</v>
      </c>
      <c r="L2582">
        <v>13200</v>
      </c>
      <c r="M2582">
        <v>541200</v>
      </c>
      <c r="N2582" t="s">
        <v>95</v>
      </c>
      <c r="O2582" t="s">
        <v>104</v>
      </c>
    </row>
    <row r="2583" spans="1:15" x14ac:dyDescent="0.25">
      <c r="A2583">
        <v>3583</v>
      </c>
      <c r="B2583" s="10">
        <v>45750</v>
      </c>
      <c r="C2583">
        <v>3</v>
      </c>
      <c r="D2583" t="s">
        <v>105</v>
      </c>
      <c r="E2583" t="s">
        <v>138</v>
      </c>
      <c r="F2583" t="s">
        <v>49</v>
      </c>
      <c r="G2583" t="s">
        <v>118</v>
      </c>
      <c r="H2583" t="s">
        <v>29</v>
      </c>
      <c r="I2583" t="s">
        <v>163</v>
      </c>
      <c r="J2583" t="s">
        <v>94</v>
      </c>
      <c r="K2583">
        <v>2</v>
      </c>
      <c r="L2583">
        <v>13200</v>
      </c>
      <c r="M2583">
        <v>26400</v>
      </c>
      <c r="N2583" t="s">
        <v>95</v>
      </c>
      <c r="O2583" t="s">
        <v>115</v>
      </c>
    </row>
    <row r="2584" spans="1:15" x14ac:dyDescent="0.25">
      <c r="A2584">
        <v>3697</v>
      </c>
      <c r="B2584" s="10">
        <v>45690</v>
      </c>
      <c r="C2584">
        <v>2</v>
      </c>
      <c r="D2584" t="s">
        <v>97</v>
      </c>
      <c r="E2584" t="s">
        <v>31</v>
      </c>
      <c r="F2584" t="s">
        <v>144</v>
      </c>
      <c r="G2584" t="s">
        <v>91</v>
      </c>
      <c r="H2584" t="s">
        <v>29</v>
      </c>
      <c r="I2584" t="s">
        <v>42</v>
      </c>
      <c r="J2584" t="s">
        <v>103</v>
      </c>
      <c r="K2584">
        <v>17</v>
      </c>
      <c r="L2584">
        <v>13200</v>
      </c>
      <c r="M2584">
        <v>224400</v>
      </c>
      <c r="N2584" t="s">
        <v>108</v>
      </c>
      <c r="O2584" t="s">
        <v>115</v>
      </c>
    </row>
    <row r="2585" spans="1:15" x14ac:dyDescent="0.25">
      <c r="A2585">
        <v>3965</v>
      </c>
      <c r="B2585" s="10">
        <v>45886</v>
      </c>
      <c r="C2585">
        <v>17</v>
      </c>
      <c r="D2585" t="s">
        <v>109</v>
      </c>
      <c r="E2585" t="s">
        <v>110</v>
      </c>
      <c r="F2585" t="s">
        <v>36</v>
      </c>
      <c r="G2585" t="s">
        <v>100</v>
      </c>
      <c r="H2585" t="s">
        <v>29</v>
      </c>
      <c r="I2585" t="s">
        <v>42</v>
      </c>
      <c r="J2585" t="s">
        <v>103</v>
      </c>
      <c r="K2585">
        <v>36</v>
      </c>
      <c r="L2585">
        <v>13200</v>
      </c>
      <c r="M2585">
        <v>475200</v>
      </c>
      <c r="N2585" t="s">
        <v>95</v>
      </c>
      <c r="O2585" t="s">
        <v>115</v>
      </c>
    </row>
    <row r="2586" spans="1:15" x14ac:dyDescent="0.25">
      <c r="A2586">
        <v>4378</v>
      </c>
      <c r="B2586" s="10">
        <v>45856</v>
      </c>
      <c r="C2586">
        <v>18</v>
      </c>
      <c r="D2586" t="s">
        <v>145</v>
      </c>
      <c r="E2586" t="s">
        <v>142</v>
      </c>
      <c r="F2586" t="s">
        <v>148</v>
      </c>
      <c r="G2586" t="s">
        <v>118</v>
      </c>
      <c r="H2586" t="s">
        <v>37</v>
      </c>
      <c r="I2586" t="s">
        <v>160</v>
      </c>
      <c r="J2586" t="s">
        <v>94</v>
      </c>
      <c r="K2586">
        <v>2</v>
      </c>
      <c r="L2586">
        <v>13200</v>
      </c>
      <c r="M2586">
        <v>26400</v>
      </c>
      <c r="N2586" t="s">
        <v>108</v>
      </c>
      <c r="O2586" t="s">
        <v>96</v>
      </c>
    </row>
    <row r="2587" spans="1:15" x14ac:dyDescent="0.25">
      <c r="A2587">
        <v>4579</v>
      </c>
      <c r="B2587" s="10">
        <v>45960</v>
      </c>
      <c r="C2587">
        <v>30</v>
      </c>
      <c r="D2587" t="s">
        <v>136</v>
      </c>
      <c r="E2587" t="s">
        <v>116</v>
      </c>
      <c r="F2587" t="s">
        <v>141</v>
      </c>
      <c r="G2587" t="s">
        <v>100</v>
      </c>
      <c r="H2587" t="s">
        <v>29</v>
      </c>
      <c r="I2587" t="s">
        <v>42</v>
      </c>
      <c r="J2587" t="s">
        <v>103</v>
      </c>
      <c r="K2587">
        <v>22</v>
      </c>
      <c r="L2587">
        <v>13200</v>
      </c>
      <c r="M2587">
        <v>290400</v>
      </c>
      <c r="N2587" t="s">
        <v>108</v>
      </c>
      <c r="O2587" t="s">
        <v>115</v>
      </c>
    </row>
    <row r="2588" spans="1:15" x14ac:dyDescent="0.25">
      <c r="A2588">
        <v>4893</v>
      </c>
      <c r="B2588" s="10">
        <v>45951</v>
      </c>
      <c r="C2588">
        <v>21</v>
      </c>
      <c r="D2588" t="s">
        <v>136</v>
      </c>
      <c r="E2588" t="s">
        <v>121</v>
      </c>
      <c r="F2588" t="s">
        <v>148</v>
      </c>
      <c r="G2588" t="s">
        <v>118</v>
      </c>
      <c r="H2588" t="s">
        <v>29</v>
      </c>
      <c r="I2588" t="s">
        <v>42</v>
      </c>
      <c r="J2588" t="s">
        <v>103</v>
      </c>
      <c r="K2588">
        <v>34</v>
      </c>
      <c r="L2588">
        <v>13200</v>
      </c>
      <c r="M2588">
        <v>448800</v>
      </c>
      <c r="N2588" t="s">
        <v>95</v>
      </c>
      <c r="O2588" t="s">
        <v>115</v>
      </c>
    </row>
    <row r="2589" spans="1:15" x14ac:dyDescent="0.25">
      <c r="A2589">
        <v>65</v>
      </c>
      <c r="B2589" s="10">
        <v>45891</v>
      </c>
      <c r="C2589">
        <v>22</v>
      </c>
      <c r="D2589" t="s">
        <v>109</v>
      </c>
      <c r="E2589" t="s">
        <v>138</v>
      </c>
      <c r="F2589" t="s">
        <v>117</v>
      </c>
      <c r="G2589" t="s">
        <v>118</v>
      </c>
      <c r="H2589" t="s">
        <v>131</v>
      </c>
      <c r="I2589" t="s">
        <v>132</v>
      </c>
      <c r="J2589" t="s">
        <v>103</v>
      </c>
      <c r="K2589">
        <v>44</v>
      </c>
      <c r="L2589">
        <v>13300</v>
      </c>
      <c r="M2589">
        <v>585200</v>
      </c>
      <c r="N2589" t="s">
        <v>108</v>
      </c>
      <c r="O2589" t="s">
        <v>96</v>
      </c>
    </row>
    <row r="2590" spans="1:15" x14ac:dyDescent="0.25">
      <c r="A2590">
        <v>139</v>
      </c>
      <c r="B2590" s="10">
        <v>45789</v>
      </c>
      <c r="C2590">
        <v>12</v>
      </c>
      <c r="D2590" t="s">
        <v>120</v>
      </c>
      <c r="E2590" t="s">
        <v>128</v>
      </c>
      <c r="F2590" t="s">
        <v>141</v>
      </c>
      <c r="G2590" t="s">
        <v>100</v>
      </c>
      <c r="H2590" t="s">
        <v>131</v>
      </c>
      <c r="I2590" t="s">
        <v>132</v>
      </c>
      <c r="J2590" t="s">
        <v>103</v>
      </c>
      <c r="K2590">
        <v>12</v>
      </c>
      <c r="L2590">
        <v>13300</v>
      </c>
      <c r="M2590">
        <v>159600</v>
      </c>
      <c r="N2590" t="s">
        <v>108</v>
      </c>
      <c r="O2590" t="s">
        <v>104</v>
      </c>
    </row>
    <row r="2591" spans="1:15" x14ac:dyDescent="0.25">
      <c r="A2591">
        <v>2466</v>
      </c>
      <c r="B2591" s="10">
        <v>45682</v>
      </c>
      <c r="C2591">
        <v>25</v>
      </c>
      <c r="D2591" t="s">
        <v>130</v>
      </c>
      <c r="E2591" t="s">
        <v>25</v>
      </c>
      <c r="F2591" t="s">
        <v>122</v>
      </c>
      <c r="G2591" t="s">
        <v>114</v>
      </c>
      <c r="H2591" t="s">
        <v>131</v>
      </c>
      <c r="I2591" t="s">
        <v>132</v>
      </c>
      <c r="J2591" t="s">
        <v>103</v>
      </c>
      <c r="K2591">
        <v>46</v>
      </c>
      <c r="L2591">
        <v>13300</v>
      </c>
      <c r="M2591">
        <v>611800</v>
      </c>
      <c r="N2591" t="s">
        <v>108</v>
      </c>
      <c r="O2591" t="s">
        <v>115</v>
      </c>
    </row>
    <row r="2592" spans="1:15" x14ac:dyDescent="0.25">
      <c r="A2592">
        <v>3170</v>
      </c>
      <c r="B2592" s="10">
        <v>45965</v>
      </c>
      <c r="C2592">
        <v>4</v>
      </c>
      <c r="D2592" t="s">
        <v>90</v>
      </c>
      <c r="E2592" t="s">
        <v>106</v>
      </c>
      <c r="F2592" t="s">
        <v>141</v>
      </c>
      <c r="G2592" t="s">
        <v>100</v>
      </c>
      <c r="H2592" t="s">
        <v>29</v>
      </c>
      <c r="I2592" t="s">
        <v>42</v>
      </c>
      <c r="J2592" t="s">
        <v>103</v>
      </c>
      <c r="K2592">
        <v>31</v>
      </c>
      <c r="L2592">
        <v>13300</v>
      </c>
      <c r="M2592">
        <v>412300</v>
      </c>
      <c r="N2592" t="s">
        <v>95</v>
      </c>
      <c r="O2592" t="s">
        <v>104</v>
      </c>
    </row>
    <row r="2593" spans="1:15" x14ac:dyDescent="0.25">
      <c r="A2593">
        <v>3208</v>
      </c>
      <c r="B2593" s="10">
        <v>45823</v>
      </c>
      <c r="C2593">
        <v>15</v>
      </c>
      <c r="D2593" t="s">
        <v>153</v>
      </c>
      <c r="E2593" t="s">
        <v>161</v>
      </c>
      <c r="F2593" t="s">
        <v>148</v>
      </c>
      <c r="G2593" t="s">
        <v>118</v>
      </c>
      <c r="H2593" t="s">
        <v>131</v>
      </c>
      <c r="I2593" t="s">
        <v>132</v>
      </c>
      <c r="J2593" t="s">
        <v>103</v>
      </c>
      <c r="K2593">
        <v>30</v>
      </c>
      <c r="L2593">
        <v>13300</v>
      </c>
      <c r="M2593">
        <v>399000</v>
      </c>
      <c r="N2593" t="s">
        <v>95</v>
      </c>
      <c r="O2593" t="s">
        <v>115</v>
      </c>
    </row>
    <row r="2594" spans="1:15" x14ac:dyDescent="0.25">
      <c r="A2594">
        <v>3933</v>
      </c>
      <c r="B2594" s="10">
        <v>45917</v>
      </c>
      <c r="C2594">
        <v>17</v>
      </c>
      <c r="D2594" t="s">
        <v>147</v>
      </c>
      <c r="E2594" t="s">
        <v>116</v>
      </c>
      <c r="F2594" t="s">
        <v>122</v>
      </c>
      <c r="G2594" t="s">
        <v>114</v>
      </c>
      <c r="H2594" t="s">
        <v>131</v>
      </c>
      <c r="I2594" t="s">
        <v>132</v>
      </c>
      <c r="J2594" t="s">
        <v>103</v>
      </c>
      <c r="K2594">
        <v>5</v>
      </c>
      <c r="L2594">
        <v>13300</v>
      </c>
      <c r="M2594">
        <v>66500</v>
      </c>
      <c r="N2594" t="s">
        <v>108</v>
      </c>
      <c r="O2594" t="s">
        <v>115</v>
      </c>
    </row>
    <row r="2595" spans="1:15" x14ac:dyDescent="0.25">
      <c r="A2595">
        <v>4242</v>
      </c>
      <c r="B2595" s="10">
        <v>45775</v>
      </c>
      <c r="C2595">
        <v>28</v>
      </c>
      <c r="D2595" t="s">
        <v>105</v>
      </c>
      <c r="E2595" t="s">
        <v>121</v>
      </c>
      <c r="F2595" t="s">
        <v>148</v>
      </c>
      <c r="G2595" t="s">
        <v>118</v>
      </c>
      <c r="H2595" t="s">
        <v>131</v>
      </c>
      <c r="I2595" t="s">
        <v>132</v>
      </c>
      <c r="J2595" t="s">
        <v>103</v>
      </c>
      <c r="K2595">
        <v>24</v>
      </c>
      <c r="L2595">
        <v>13300</v>
      </c>
      <c r="M2595">
        <v>319200</v>
      </c>
      <c r="N2595" t="s">
        <v>108</v>
      </c>
      <c r="O2595" t="s">
        <v>104</v>
      </c>
    </row>
    <row r="2596" spans="1:15" x14ac:dyDescent="0.25">
      <c r="A2596">
        <v>4567</v>
      </c>
      <c r="B2596" s="10">
        <v>45926</v>
      </c>
      <c r="C2596">
        <v>26</v>
      </c>
      <c r="D2596" t="s">
        <v>147</v>
      </c>
      <c r="E2596" t="s">
        <v>142</v>
      </c>
      <c r="F2596" t="s">
        <v>28</v>
      </c>
      <c r="G2596" t="s">
        <v>126</v>
      </c>
      <c r="H2596" t="s">
        <v>131</v>
      </c>
      <c r="I2596" t="s">
        <v>132</v>
      </c>
      <c r="J2596" t="s">
        <v>103</v>
      </c>
      <c r="K2596">
        <v>50</v>
      </c>
      <c r="L2596">
        <v>13300</v>
      </c>
      <c r="M2596">
        <v>665000</v>
      </c>
      <c r="N2596" t="s">
        <v>95</v>
      </c>
      <c r="O2596" t="s">
        <v>115</v>
      </c>
    </row>
    <row r="2597" spans="1:15" x14ac:dyDescent="0.25">
      <c r="A2597">
        <v>4906</v>
      </c>
      <c r="B2597" s="10">
        <v>45966</v>
      </c>
      <c r="C2597">
        <v>5</v>
      </c>
      <c r="D2597" t="s">
        <v>90</v>
      </c>
      <c r="E2597" t="s">
        <v>138</v>
      </c>
      <c r="F2597" t="s">
        <v>22</v>
      </c>
      <c r="G2597" t="s">
        <v>91</v>
      </c>
      <c r="H2597" t="s">
        <v>131</v>
      </c>
      <c r="I2597" t="s">
        <v>132</v>
      </c>
      <c r="J2597" t="s">
        <v>103</v>
      </c>
      <c r="K2597">
        <v>42</v>
      </c>
      <c r="L2597">
        <v>13300</v>
      </c>
      <c r="M2597">
        <v>558600</v>
      </c>
      <c r="N2597" t="s">
        <v>108</v>
      </c>
      <c r="O2597" t="s">
        <v>104</v>
      </c>
    </row>
    <row r="2598" spans="1:15" x14ac:dyDescent="0.25">
      <c r="A2598">
        <v>335</v>
      </c>
      <c r="B2598" s="10">
        <v>45743</v>
      </c>
      <c r="C2598">
        <v>27</v>
      </c>
      <c r="D2598" t="s">
        <v>140</v>
      </c>
      <c r="E2598" t="s">
        <v>142</v>
      </c>
      <c r="F2598" t="s">
        <v>44</v>
      </c>
      <c r="G2598" t="s">
        <v>111</v>
      </c>
      <c r="H2598" t="s">
        <v>131</v>
      </c>
      <c r="I2598" t="s">
        <v>132</v>
      </c>
      <c r="J2598" t="s">
        <v>103</v>
      </c>
      <c r="K2598">
        <v>9</v>
      </c>
      <c r="L2598">
        <v>13400</v>
      </c>
      <c r="M2598">
        <v>120600</v>
      </c>
      <c r="N2598" t="s">
        <v>108</v>
      </c>
      <c r="O2598" t="s">
        <v>115</v>
      </c>
    </row>
    <row r="2599" spans="1:15" x14ac:dyDescent="0.25">
      <c r="A2599">
        <v>433</v>
      </c>
      <c r="B2599" s="10">
        <v>45827</v>
      </c>
      <c r="C2599">
        <v>19</v>
      </c>
      <c r="D2599" t="s">
        <v>153</v>
      </c>
      <c r="E2599" t="s">
        <v>128</v>
      </c>
      <c r="F2599" t="s">
        <v>148</v>
      </c>
      <c r="G2599" t="s">
        <v>118</v>
      </c>
      <c r="H2599" t="s">
        <v>29</v>
      </c>
      <c r="I2599" t="s">
        <v>42</v>
      </c>
      <c r="J2599" t="s">
        <v>103</v>
      </c>
      <c r="K2599">
        <v>50</v>
      </c>
      <c r="L2599">
        <v>13400</v>
      </c>
      <c r="M2599">
        <v>670000</v>
      </c>
      <c r="N2599" t="s">
        <v>95</v>
      </c>
      <c r="O2599" t="s">
        <v>115</v>
      </c>
    </row>
    <row r="2600" spans="1:15" x14ac:dyDescent="0.25">
      <c r="A2600">
        <v>691</v>
      </c>
      <c r="B2600" s="10">
        <v>45880</v>
      </c>
      <c r="C2600">
        <v>11</v>
      </c>
      <c r="D2600" t="s">
        <v>109</v>
      </c>
      <c r="E2600" t="s">
        <v>112</v>
      </c>
      <c r="F2600" t="s">
        <v>99</v>
      </c>
      <c r="G2600" t="s">
        <v>100</v>
      </c>
      <c r="H2600" t="s">
        <v>29</v>
      </c>
      <c r="I2600" t="s">
        <v>42</v>
      </c>
      <c r="J2600" t="s">
        <v>103</v>
      </c>
      <c r="K2600">
        <v>40</v>
      </c>
      <c r="L2600">
        <v>13400</v>
      </c>
      <c r="M2600">
        <v>536000</v>
      </c>
      <c r="N2600" t="s">
        <v>95</v>
      </c>
      <c r="O2600" t="s">
        <v>115</v>
      </c>
    </row>
    <row r="2601" spans="1:15" x14ac:dyDescent="0.25">
      <c r="A2601">
        <v>2054</v>
      </c>
      <c r="B2601" s="10">
        <v>45682</v>
      </c>
      <c r="C2601">
        <v>25</v>
      </c>
      <c r="D2601" t="s">
        <v>130</v>
      </c>
      <c r="E2601" t="s">
        <v>133</v>
      </c>
      <c r="F2601" t="s">
        <v>36</v>
      </c>
      <c r="G2601" t="s">
        <v>100</v>
      </c>
      <c r="H2601" t="s">
        <v>29</v>
      </c>
      <c r="I2601" t="s">
        <v>42</v>
      </c>
      <c r="J2601" t="s">
        <v>103</v>
      </c>
      <c r="K2601">
        <v>41</v>
      </c>
      <c r="L2601">
        <v>13400</v>
      </c>
      <c r="M2601">
        <v>549400</v>
      </c>
      <c r="N2601" t="s">
        <v>108</v>
      </c>
      <c r="O2601" t="s">
        <v>115</v>
      </c>
    </row>
    <row r="2602" spans="1:15" x14ac:dyDescent="0.25">
      <c r="A2602">
        <v>3718</v>
      </c>
      <c r="B2602" s="10">
        <v>45677</v>
      </c>
      <c r="C2602">
        <v>20</v>
      </c>
      <c r="D2602" t="s">
        <v>130</v>
      </c>
      <c r="E2602" t="s">
        <v>137</v>
      </c>
      <c r="F2602" t="s">
        <v>134</v>
      </c>
      <c r="G2602" t="s">
        <v>100</v>
      </c>
      <c r="H2602" t="s">
        <v>37</v>
      </c>
      <c r="I2602" t="s">
        <v>160</v>
      </c>
      <c r="J2602" t="s">
        <v>94</v>
      </c>
      <c r="K2602">
        <v>5</v>
      </c>
      <c r="L2602">
        <v>13400</v>
      </c>
      <c r="M2602">
        <v>67000</v>
      </c>
      <c r="N2602" t="s">
        <v>95</v>
      </c>
      <c r="O2602" t="s">
        <v>96</v>
      </c>
    </row>
    <row r="2603" spans="1:15" x14ac:dyDescent="0.25">
      <c r="A2603">
        <v>4251</v>
      </c>
      <c r="B2603" s="10">
        <v>45681</v>
      </c>
      <c r="C2603">
        <v>24</v>
      </c>
      <c r="D2603" t="s">
        <v>130</v>
      </c>
      <c r="E2603" t="s">
        <v>98</v>
      </c>
      <c r="F2603" t="s">
        <v>113</v>
      </c>
      <c r="G2603" t="s">
        <v>114</v>
      </c>
      <c r="H2603" t="s">
        <v>131</v>
      </c>
      <c r="I2603" t="s">
        <v>132</v>
      </c>
      <c r="J2603" t="s">
        <v>103</v>
      </c>
      <c r="K2603">
        <v>26</v>
      </c>
      <c r="L2603">
        <v>13400</v>
      </c>
      <c r="M2603">
        <v>348400</v>
      </c>
      <c r="N2603" t="s">
        <v>95</v>
      </c>
      <c r="O2603" t="s">
        <v>96</v>
      </c>
    </row>
    <row r="2604" spans="1:15" x14ac:dyDescent="0.25">
      <c r="A2604">
        <v>4932</v>
      </c>
      <c r="B2604" s="10">
        <v>45712</v>
      </c>
      <c r="C2604">
        <v>24</v>
      </c>
      <c r="D2604" t="s">
        <v>97</v>
      </c>
      <c r="E2604" t="s">
        <v>133</v>
      </c>
      <c r="F2604" t="s">
        <v>144</v>
      </c>
      <c r="G2604" t="s">
        <v>91</v>
      </c>
      <c r="H2604" t="s">
        <v>131</v>
      </c>
      <c r="I2604" t="s">
        <v>132</v>
      </c>
      <c r="J2604" t="s">
        <v>94</v>
      </c>
      <c r="K2604">
        <v>5</v>
      </c>
      <c r="L2604">
        <v>13400</v>
      </c>
      <c r="M2604">
        <v>67000</v>
      </c>
      <c r="N2604" t="s">
        <v>95</v>
      </c>
      <c r="O2604" t="s">
        <v>96</v>
      </c>
    </row>
    <row r="2605" spans="1:15" x14ac:dyDescent="0.25">
      <c r="A2605">
        <v>1647</v>
      </c>
      <c r="B2605" s="10">
        <v>45815</v>
      </c>
      <c r="C2605">
        <v>7</v>
      </c>
      <c r="D2605" t="s">
        <v>153</v>
      </c>
      <c r="E2605" t="s">
        <v>31</v>
      </c>
      <c r="F2605" t="s">
        <v>36</v>
      </c>
      <c r="G2605" t="s">
        <v>100</v>
      </c>
      <c r="H2605" t="s">
        <v>29</v>
      </c>
      <c r="I2605" t="s">
        <v>42</v>
      </c>
      <c r="J2605" t="s">
        <v>103</v>
      </c>
      <c r="K2605">
        <v>10</v>
      </c>
      <c r="L2605">
        <v>13500</v>
      </c>
      <c r="M2605">
        <v>135000</v>
      </c>
      <c r="N2605" t="s">
        <v>95</v>
      </c>
      <c r="O2605" t="s">
        <v>104</v>
      </c>
    </row>
    <row r="2606" spans="1:15" x14ac:dyDescent="0.25">
      <c r="A2606">
        <v>1686</v>
      </c>
      <c r="B2606" s="10">
        <v>45864</v>
      </c>
      <c r="C2606">
        <v>26</v>
      </c>
      <c r="D2606" t="s">
        <v>145</v>
      </c>
      <c r="E2606" t="s">
        <v>133</v>
      </c>
      <c r="F2606" t="s">
        <v>117</v>
      </c>
      <c r="G2606" t="s">
        <v>118</v>
      </c>
      <c r="H2606" t="s">
        <v>131</v>
      </c>
      <c r="I2606" t="s">
        <v>132</v>
      </c>
      <c r="J2606" t="s">
        <v>103</v>
      </c>
      <c r="K2606">
        <v>15</v>
      </c>
      <c r="L2606">
        <v>13500</v>
      </c>
      <c r="M2606">
        <v>202500</v>
      </c>
      <c r="N2606" t="s">
        <v>95</v>
      </c>
      <c r="O2606" t="s">
        <v>115</v>
      </c>
    </row>
    <row r="2607" spans="1:15" x14ac:dyDescent="0.25">
      <c r="A2607">
        <v>1929</v>
      </c>
      <c r="B2607" s="10">
        <v>45982</v>
      </c>
      <c r="C2607">
        <v>21</v>
      </c>
      <c r="D2607" t="s">
        <v>90</v>
      </c>
      <c r="E2607" t="s">
        <v>128</v>
      </c>
      <c r="F2607" t="s">
        <v>144</v>
      </c>
      <c r="G2607" t="s">
        <v>91</v>
      </c>
      <c r="H2607" t="s">
        <v>131</v>
      </c>
      <c r="I2607" t="s">
        <v>132</v>
      </c>
      <c r="J2607" t="s">
        <v>103</v>
      </c>
      <c r="K2607">
        <v>41</v>
      </c>
      <c r="L2607">
        <v>13500</v>
      </c>
      <c r="M2607">
        <v>553500</v>
      </c>
      <c r="N2607" t="s">
        <v>108</v>
      </c>
      <c r="O2607" t="s">
        <v>96</v>
      </c>
    </row>
    <row r="2608" spans="1:15" x14ac:dyDescent="0.25">
      <c r="A2608">
        <v>4049</v>
      </c>
      <c r="B2608" s="10">
        <v>45723</v>
      </c>
      <c r="C2608">
        <v>7</v>
      </c>
      <c r="D2608" t="s">
        <v>140</v>
      </c>
      <c r="E2608" t="s">
        <v>106</v>
      </c>
      <c r="F2608" t="s">
        <v>22</v>
      </c>
      <c r="G2608" t="s">
        <v>91</v>
      </c>
      <c r="H2608" t="s">
        <v>29</v>
      </c>
      <c r="I2608" t="s">
        <v>42</v>
      </c>
      <c r="J2608" t="s">
        <v>103</v>
      </c>
      <c r="K2608">
        <v>7</v>
      </c>
      <c r="L2608">
        <v>13500</v>
      </c>
      <c r="M2608">
        <v>94500</v>
      </c>
      <c r="N2608" t="s">
        <v>108</v>
      </c>
      <c r="O2608" t="s">
        <v>115</v>
      </c>
    </row>
    <row r="2609" spans="1:15" x14ac:dyDescent="0.25">
      <c r="A2609">
        <v>4464</v>
      </c>
      <c r="B2609" s="10">
        <v>45827</v>
      </c>
      <c r="C2609">
        <v>19</v>
      </c>
      <c r="D2609" t="s">
        <v>153</v>
      </c>
      <c r="E2609" t="s">
        <v>121</v>
      </c>
      <c r="F2609" t="s">
        <v>44</v>
      </c>
      <c r="G2609" t="s">
        <v>111</v>
      </c>
      <c r="H2609" t="s">
        <v>131</v>
      </c>
      <c r="I2609" t="s">
        <v>132</v>
      </c>
      <c r="J2609" t="s">
        <v>103</v>
      </c>
      <c r="K2609">
        <v>32</v>
      </c>
      <c r="L2609">
        <v>13500</v>
      </c>
      <c r="M2609">
        <v>432000</v>
      </c>
      <c r="N2609" t="s">
        <v>95</v>
      </c>
      <c r="O2609" t="s">
        <v>115</v>
      </c>
    </row>
    <row r="2610" spans="1:15" x14ac:dyDescent="0.25">
      <c r="A2610">
        <v>4620</v>
      </c>
      <c r="B2610" s="10">
        <v>45668</v>
      </c>
      <c r="C2610">
        <v>11</v>
      </c>
      <c r="D2610" t="s">
        <v>130</v>
      </c>
      <c r="E2610" t="s">
        <v>110</v>
      </c>
      <c r="F2610" t="s">
        <v>141</v>
      </c>
      <c r="G2610" t="s">
        <v>100</v>
      </c>
      <c r="H2610" t="s">
        <v>29</v>
      </c>
      <c r="I2610" t="s">
        <v>42</v>
      </c>
      <c r="J2610" t="s">
        <v>103</v>
      </c>
      <c r="K2610">
        <v>30</v>
      </c>
      <c r="L2610">
        <v>13500</v>
      </c>
      <c r="M2610">
        <v>405000</v>
      </c>
      <c r="N2610" t="s">
        <v>108</v>
      </c>
      <c r="O2610" t="s">
        <v>115</v>
      </c>
    </row>
    <row r="2611" spans="1:15" x14ac:dyDescent="0.25">
      <c r="A2611">
        <v>976</v>
      </c>
      <c r="B2611" s="10">
        <v>45975</v>
      </c>
      <c r="C2611">
        <v>14</v>
      </c>
      <c r="D2611" t="s">
        <v>90</v>
      </c>
      <c r="E2611" t="s">
        <v>142</v>
      </c>
      <c r="F2611" t="s">
        <v>44</v>
      </c>
      <c r="G2611" t="s">
        <v>111</v>
      </c>
      <c r="H2611" t="s">
        <v>131</v>
      </c>
      <c r="I2611" t="s">
        <v>132</v>
      </c>
      <c r="J2611" t="s">
        <v>94</v>
      </c>
      <c r="K2611">
        <v>9</v>
      </c>
      <c r="L2611">
        <v>13600</v>
      </c>
      <c r="M2611">
        <v>122400</v>
      </c>
      <c r="N2611" t="s">
        <v>95</v>
      </c>
      <c r="O2611" t="s">
        <v>96</v>
      </c>
    </row>
    <row r="2612" spans="1:15" x14ac:dyDescent="0.25">
      <c r="A2612">
        <v>1733</v>
      </c>
      <c r="B2612" s="10">
        <v>45943</v>
      </c>
      <c r="C2612">
        <v>13</v>
      </c>
      <c r="D2612" t="s">
        <v>136</v>
      </c>
      <c r="E2612" t="s">
        <v>137</v>
      </c>
      <c r="F2612" t="s">
        <v>99</v>
      </c>
      <c r="G2612" t="s">
        <v>100</v>
      </c>
      <c r="H2612" t="s">
        <v>29</v>
      </c>
      <c r="I2612" t="s">
        <v>42</v>
      </c>
      <c r="J2612" t="s">
        <v>103</v>
      </c>
      <c r="K2612">
        <v>22</v>
      </c>
      <c r="L2612">
        <v>13600</v>
      </c>
      <c r="M2612">
        <v>299200</v>
      </c>
      <c r="N2612" t="s">
        <v>95</v>
      </c>
      <c r="O2612" t="s">
        <v>104</v>
      </c>
    </row>
    <row r="2613" spans="1:15" x14ac:dyDescent="0.25">
      <c r="A2613">
        <v>2048</v>
      </c>
      <c r="B2613" s="10">
        <v>45800</v>
      </c>
      <c r="C2613">
        <v>23</v>
      </c>
      <c r="D2613" t="s">
        <v>120</v>
      </c>
      <c r="E2613" t="s">
        <v>121</v>
      </c>
      <c r="F2613" t="s">
        <v>144</v>
      </c>
      <c r="G2613" t="s">
        <v>91</v>
      </c>
      <c r="H2613" t="s">
        <v>29</v>
      </c>
      <c r="I2613" t="s">
        <v>42</v>
      </c>
      <c r="J2613" t="s">
        <v>103</v>
      </c>
      <c r="K2613">
        <v>24</v>
      </c>
      <c r="L2613">
        <v>13600</v>
      </c>
      <c r="M2613">
        <v>326400</v>
      </c>
      <c r="N2613" t="s">
        <v>95</v>
      </c>
      <c r="O2613" t="s">
        <v>96</v>
      </c>
    </row>
    <row r="2614" spans="1:15" x14ac:dyDescent="0.25">
      <c r="A2614">
        <v>3068</v>
      </c>
      <c r="B2614" s="10">
        <v>45975</v>
      </c>
      <c r="C2614">
        <v>14</v>
      </c>
      <c r="D2614" t="s">
        <v>90</v>
      </c>
      <c r="E2614" t="s">
        <v>110</v>
      </c>
      <c r="F2614" t="s">
        <v>148</v>
      </c>
      <c r="G2614" t="s">
        <v>118</v>
      </c>
      <c r="H2614" t="s">
        <v>29</v>
      </c>
      <c r="I2614" t="s">
        <v>42</v>
      </c>
      <c r="J2614" t="s">
        <v>103</v>
      </c>
      <c r="K2614">
        <v>49</v>
      </c>
      <c r="L2614">
        <v>13600</v>
      </c>
      <c r="M2614">
        <v>666400</v>
      </c>
      <c r="N2614" t="s">
        <v>95</v>
      </c>
      <c r="O2614" t="s">
        <v>104</v>
      </c>
    </row>
    <row r="2615" spans="1:15" x14ac:dyDescent="0.25">
      <c r="A2615">
        <v>3747</v>
      </c>
      <c r="B2615" s="10">
        <v>45682</v>
      </c>
      <c r="C2615">
        <v>25</v>
      </c>
      <c r="D2615" t="s">
        <v>130</v>
      </c>
      <c r="E2615" t="s">
        <v>133</v>
      </c>
      <c r="F2615" t="s">
        <v>144</v>
      </c>
      <c r="G2615" t="s">
        <v>91</v>
      </c>
      <c r="H2615" t="s">
        <v>29</v>
      </c>
      <c r="I2615" t="s">
        <v>30</v>
      </c>
      <c r="J2615" t="s">
        <v>103</v>
      </c>
      <c r="K2615">
        <v>24</v>
      </c>
      <c r="L2615">
        <v>13600</v>
      </c>
      <c r="M2615">
        <v>326400</v>
      </c>
      <c r="N2615" t="s">
        <v>108</v>
      </c>
      <c r="O2615" t="s">
        <v>115</v>
      </c>
    </row>
    <row r="2616" spans="1:15" x14ac:dyDescent="0.25">
      <c r="A2616">
        <v>4003</v>
      </c>
      <c r="B2616" s="10">
        <v>45816</v>
      </c>
      <c r="C2616">
        <v>8</v>
      </c>
      <c r="D2616" t="s">
        <v>153</v>
      </c>
      <c r="E2616" t="s">
        <v>31</v>
      </c>
      <c r="F2616" t="s">
        <v>141</v>
      </c>
      <c r="G2616" t="s">
        <v>100</v>
      </c>
      <c r="H2616" t="s">
        <v>29</v>
      </c>
      <c r="I2616" t="s">
        <v>42</v>
      </c>
      <c r="J2616" t="s">
        <v>103</v>
      </c>
      <c r="K2616">
        <v>35</v>
      </c>
      <c r="L2616">
        <v>13600</v>
      </c>
      <c r="M2616">
        <v>476000</v>
      </c>
      <c r="N2616" t="s">
        <v>108</v>
      </c>
      <c r="O2616" t="s">
        <v>104</v>
      </c>
    </row>
    <row r="2617" spans="1:15" x14ac:dyDescent="0.25">
      <c r="A2617">
        <v>4134</v>
      </c>
      <c r="B2617" s="10">
        <v>45883</v>
      </c>
      <c r="C2617">
        <v>14</v>
      </c>
      <c r="D2617" t="s">
        <v>109</v>
      </c>
      <c r="E2617" t="s">
        <v>106</v>
      </c>
      <c r="F2617" t="s">
        <v>99</v>
      </c>
      <c r="G2617" t="s">
        <v>100</v>
      </c>
      <c r="H2617" t="s">
        <v>131</v>
      </c>
      <c r="I2617" t="s">
        <v>132</v>
      </c>
      <c r="J2617" t="s">
        <v>103</v>
      </c>
      <c r="K2617">
        <v>39</v>
      </c>
      <c r="L2617">
        <v>13600</v>
      </c>
      <c r="M2617">
        <v>530400</v>
      </c>
      <c r="N2617" t="s">
        <v>108</v>
      </c>
      <c r="O2617" t="s">
        <v>104</v>
      </c>
    </row>
    <row r="2618" spans="1:15" x14ac:dyDescent="0.25">
      <c r="A2618">
        <v>4598</v>
      </c>
      <c r="B2618" s="10">
        <v>45963</v>
      </c>
      <c r="C2618">
        <v>2</v>
      </c>
      <c r="D2618" t="s">
        <v>90</v>
      </c>
      <c r="E2618" t="s">
        <v>150</v>
      </c>
      <c r="F2618" t="s">
        <v>28</v>
      </c>
      <c r="G2618" t="s">
        <v>126</v>
      </c>
      <c r="H2618" t="s">
        <v>131</v>
      </c>
      <c r="I2618" t="s">
        <v>132</v>
      </c>
      <c r="J2618" t="s">
        <v>103</v>
      </c>
      <c r="K2618">
        <v>42</v>
      </c>
      <c r="L2618">
        <v>13600</v>
      </c>
      <c r="M2618">
        <v>571200</v>
      </c>
      <c r="N2618" t="s">
        <v>108</v>
      </c>
      <c r="O2618" t="s">
        <v>115</v>
      </c>
    </row>
    <row r="2619" spans="1:15" x14ac:dyDescent="0.25">
      <c r="A2619">
        <v>2988</v>
      </c>
      <c r="B2619" s="10">
        <v>45728</v>
      </c>
      <c r="C2619">
        <v>12</v>
      </c>
      <c r="D2619" t="s">
        <v>140</v>
      </c>
      <c r="E2619" t="s">
        <v>150</v>
      </c>
      <c r="F2619" t="s">
        <v>148</v>
      </c>
      <c r="G2619" t="s">
        <v>118</v>
      </c>
      <c r="H2619" t="s">
        <v>29</v>
      </c>
      <c r="I2619" t="s">
        <v>42</v>
      </c>
      <c r="J2619" t="s">
        <v>103</v>
      </c>
      <c r="K2619">
        <v>37</v>
      </c>
      <c r="L2619">
        <v>13700</v>
      </c>
      <c r="M2619">
        <v>506900</v>
      </c>
      <c r="N2619" t="s">
        <v>108</v>
      </c>
      <c r="O2619" t="s">
        <v>96</v>
      </c>
    </row>
    <row r="2620" spans="1:15" x14ac:dyDescent="0.25">
      <c r="A2620">
        <v>3278</v>
      </c>
      <c r="B2620" s="10">
        <v>45726</v>
      </c>
      <c r="C2620">
        <v>10</v>
      </c>
      <c r="D2620" t="s">
        <v>140</v>
      </c>
      <c r="E2620" t="s">
        <v>133</v>
      </c>
      <c r="F2620" t="s">
        <v>99</v>
      </c>
      <c r="G2620" t="s">
        <v>100</v>
      </c>
      <c r="H2620" t="s">
        <v>29</v>
      </c>
      <c r="I2620" t="s">
        <v>42</v>
      </c>
      <c r="J2620" t="s">
        <v>103</v>
      </c>
      <c r="K2620">
        <v>12</v>
      </c>
      <c r="L2620">
        <v>13700</v>
      </c>
      <c r="M2620">
        <v>164400</v>
      </c>
      <c r="N2620" t="s">
        <v>108</v>
      </c>
      <c r="O2620" t="s">
        <v>96</v>
      </c>
    </row>
    <row r="2621" spans="1:15" x14ac:dyDescent="0.25">
      <c r="A2621">
        <v>4334</v>
      </c>
      <c r="B2621" s="10">
        <v>45736</v>
      </c>
      <c r="C2621">
        <v>20</v>
      </c>
      <c r="D2621" t="s">
        <v>140</v>
      </c>
      <c r="E2621" t="s">
        <v>31</v>
      </c>
      <c r="F2621" t="s">
        <v>122</v>
      </c>
      <c r="G2621" t="s">
        <v>114</v>
      </c>
      <c r="H2621" t="s">
        <v>29</v>
      </c>
      <c r="I2621" t="s">
        <v>42</v>
      </c>
      <c r="J2621" t="s">
        <v>103</v>
      </c>
      <c r="K2621">
        <v>30</v>
      </c>
      <c r="L2621">
        <v>13700</v>
      </c>
      <c r="M2621">
        <v>411000</v>
      </c>
      <c r="N2621" t="s">
        <v>95</v>
      </c>
      <c r="O2621" t="s">
        <v>104</v>
      </c>
    </row>
    <row r="2622" spans="1:15" x14ac:dyDescent="0.25">
      <c r="A2622">
        <v>359</v>
      </c>
      <c r="B2622" s="10">
        <v>45743</v>
      </c>
      <c r="C2622">
        <v>27</v>
      </c>
      <c r="D2622" t="s">
        <v>140</v>
      </c>
      <c r="E2622" t="s">
        <v>133</v>
      </c>
      <c r="F2622" t="s">
        <v>44</v>
      </c>
      <c r="G2622" t="s">
        <v>111</v>
      </c>
      <c r="H2622" t="s">
        <v>29</v>
      </c>
      <c r="I2622" t="s">
        <v>42</v>
      </c>
      <c r="J2622" t="s">
        <v>103</v>
      </c>
      <c r="K2622">
        <v>33</v>
      </c>
      <c r="L2622">
        <v>13800</v>
      </c>
      <c r="M2622">
        <v>455400</v>
      </c>
      <c r="N2622" t="s">
        <v>95</v>
      </c>
      <c r="O2622" t="s">
        <v>115</v>
      </c>
    </row>
    <row r="2623" spans="1:15" x14ac:dyDescent="0.25">
      <c r="A2623">
        <v>1249</v>
      </c>
      <c r="B2623" s="10">
        <v>45828</v>
      </c>
      <c r="C2623">
        <v>20</v>
      </c>
      <c r="D2623" t="s">
        <v>153</v>
      </c>
      <c r="E2623" t="s">
        <v>112</v>
      </c>
      <c r="F2623" t="s">
        <v>44</v>
      </c>
      <c r="G2623" t="s">
        <v>111</v>
      </c>
      <c r="H2623" t="s">
        <v>29</v>
      </c>
      <c r="I2623" t="s">
        <v>42</v>
      </c>
      <c r="J2623" t="s">
        <v>103</v>
      </c>
      <c r="K2623">
        <v>5</v>
      </c>
      <c r="L2623">
        <v>13800</v>
      </c>
      <c r="M2623">
        <v>69000</v>
      </c>
      <c r="N2623" t="s">
        <v>95</v>
      </c>
      <c r="O2623" t="s">
        <v>115</v>
      </c>
    </row>
    <row r="2624" spans="1:15" x14ac:dyDescent="0.25">
      <c r="A2624">
        <v>1374</v>
      </c>
      <c r="B2624" s="10">
        <v>45838</v>
      </c>
      <c r="C2624">
        <v>30</v>
      </c>
      <c r="D2624" t="s">
        <v>153</v>
      </c>
      <c r="E2624" t="s">
        <v>121</v>
      </c>
      <c r="F2624" t="s">
        <v>107</v>
      </c>
      <c r="G2624" t="s">
        <v>100</v>
      </c>
      <c r="H2624" t="s">
        <v>131</v>
      </c>
      <c r="I2624" t="s">
        <v>132</v>
      </c>
      <c r="J2624" t="s">
        <v>94</v>
      </c>
      <c r="K2624">
        <v>3</v>
      </c>
      <c r="L2624">
        <v>13800</v>
      </c>
      <c r="M2624">
        <v>41400</v>
      </c>
      <c r="N2624" t="s">
        <v>108</v>
      </c>
      <c r="O2624" t="s">
        <v>115</v>
      </c>
    </row>
    <row r="2625" spans="1:15" x14ac:dyDescent="0.25">
      <c r="A2625">
        <v>1907</v>
      </c>
      <c r="B2625" s="10">
        <v>45683</v>
      </c>
      <c r="C2625">
        <v>26</v>
      </c>
      <c r="D2625" t="s">
        <v>130</v>
      </c>
      <c r="E2625" t="s">
        <v>161</v>
      </c>
      <c r="F2625" t="s">
        <v>28</v>
      </c>
      <c r="G2625" t="s">
        <v>126</v>
      </c>
      <c r="H2625" t="s">
        <v>131</v>
      </c>
      <c r="I2625" t="s">
        <v>132</v>
      </c>
      <c r="J2625" t="s">
        <v>94</v>
      </c>
      <c r="K2625">
        <v>8</v>
      </c>
      <c r="L2625">
        <v>13800</v>
      </c>
      <c r="M2625">
        <v>110400</v>
      </c>
      <c r="N2625" t="s">
        <v>95</v>
      </c>
      <c r="O2625" t="s">
        <v>96</v>
      </c>
    </row>
    <row r="2626" spans="1:15" x14ac:dyDescent="0.25">
      <c r="A2626">
        <v>2304</v>
      </c>
      <c r="B2626" s="10">
        <v>45808</v>
      </c>
      <c r="C2626">
        <v>31</v>
      </c>
      <c r="D2626" t="s">
        <v>120</v>
      </c>
      <c r="E2626" t="s">
        <v>138</v>
      </c>
      <c r="F2626" t="s">
        <v>122</v>
      </c>
      <c r="G2626" t="s">
        <v>114</v>
      </c>
      <c r="H2626" t="s">
        <v>29</v>
      </c>
      <c r="I2626" t="s">
        <v>42</v>
      </c>
      <c r="J2626" t="s">
        <v>103</v>
      </c>
      <c r="K2626">
        <v>30</v>
      </c>
      <c r="L2626">
        <v>13800</v>
      </c>
      <c r="M2626">
        <v>414000</v>
      </c>
      <c r="N2626" t="s">
        <v>95</v>
      </c>
      <c r="O2626" t="s">
        <v>104</v>
      </c>
    </row>
    <row r="2627" spans="1:15" x14ac:dyDescent="0.25">
      <c r="A2627">
        <v>2774</v>
      </c>
      <c r="B2627" s="10">
        <v>45782</v>
      </c>
      <c r="C2627">
        <v>5</v>
      </c>
      <c r="D2627" t="s">
        <v>120</v>
      </c>
      <c r="E2627" t="s">
        <v>116</v>
      </c>
      <c r="F2627" t="s">
        <v>141</v>
      </c>
      <c r="G2627" t="s">
        <v>100</v>
      </c>
      <c r="H2627" t="s">
        <v>131</v>
      </c>
      <c r="I2627" t="s">
        <v>132</v>
      </c>
      <c r="J2627" t="s">
        <v>94</v>
      </c>
      <c r="K2627">
        <v>7</v>
      </c>
      <c r="L2627">
        <v>13800</v>
      </c>
      <c r="M2627">
        <v>96600</v>
      </c>
      <c r="N2627" t="s">
        <v>95</v>
      </c>
      <c r="O2627" t="s">
        <v>115</v>
      </c>
    </row>
    <row r="2628" spans="1:15" x14ac:dyDescent="0.25">
      <c r="A2628">
        <v>3490</v>
      </c>
      <c r="B2628" s="10">
        <v>45952</v>
      </c>
      <c r="C2628">
        <v>22</v>
      </c>
      <c r="D2628" t="s">
        <v>136</v>
      </c>
      <c r="E2628" t="s">
        <v>31</v>
      </c>
      <c r="F2628" t="s">
        <v>44</v>
      </c>
      <c r="G2628" t="s">
        <v>111</v>
      </c>
      <c r="H2628" t="s">
        <v>131</v>
      </c>
      <c r="I2628" t="s">
        <v>132</v>
      </c>
      <c r="J2628" t="s">
        <v>94</v>
      </c>
      <c r="K2628">
        <v>3</v>
      </c>
      <c r="L2628">
        <v>13800</v>
      </c>
      <c r="M2628">
        <v>41400</v>
      </c>
      <c r="N2628" t="s">
        <v>95</v>
      </c>
      <c r="O2628" t="s">
        <v>104</v>
      </c>
    </row>
    <row r="2629" spans="1:15" x14ac:dyDescent="0.25">
      <c r="A2629">
        <v>4073</v>
      </c>
      <c r="B2629" s="10">
        <v>45753</v>
      </c>
      <c r="C2629">
        <v>6</v>
      </c>
      <c r="D2629" t="s">
        <v>105</v>
      </c>
      <c r="E2629" t="s">
        <v>121</v>
      </c>
      <c r="F2629" t="s">
        <v>122</v>
      </c>
      <c r="G2629" t="s">
        <v>114</v>
      </c>
      <c r="H2629" t="s">
        <v>131</v>
      </c>
      <c r="I2629" t="s">
        <v>132</v>
      </c>
      <c r="J2629" t="s">
        <v>94</v>
      </c>
      <c r="K2629">
        <v>1</v>
      </c>
      <c r="L2629">
        <v>13800</v>
      </c>
      <c r="M2629">
        <v>13800</v>
      </c>
      <c r="N2629" t="s">
        <v>108</v>
      </c>
      <c r="O2629" t="s">
        <v>104</v>
      </c>
    </row>
    <row r="2630" spans="1:15" x14ac:dyDescent="0.25">
      <c r="A2630">
        <v>4337</v>
      </c>
      <c r="B2630" s="10">
        <v>45716</v>
      </c>
      <c r="C2630">
        <v>28</v>
      </c>
      <c r="D2630" t="s">
        <v>97</v>
      </c>
      <c r="E2630" t="s">
        <v>128</v>
      </c>
      <c r="F2630" t="s">
        <v>107</v>
      </c>
      <c r="G2630" t="s">
        <v>100</v>
      </c>
      <c r="H2630" t="s">
        <v>131</v>
      </c>
      <c r="I2630" t="s">
        <v>132</v>
      </c>
      <c r="J2630" t="s">
        <v>94</v>
      </c>
      <c r="K2630">
        <v>6</v>
      </c>
      <c r="L2630">
        <v>13800</v>
      </c>
      <c r="M2630">
        <v>82800</v>
      </c>
      <c r="N2630" t="s">
        <v>95</v>
      </c>
      <c r="O2630" t="s">
        <v>104</v>
      </c>
    </row>
    <row r="2631" spans="1:15" x14ac:dyDescent="0.25">
      <c r="A2631">
        <v>4417</v>
      </c>
      <c r="B2631" s="10">
        <v>45727</v>
      </c>
      <c r="C2631">
        <v>11</v>
      </c>
      <c r="D2631" t="s">
        <v>140</v>
      </c>
      <c r="E2631" t="s">
        <v>133</v>
      </c>
      <c r="F2631" t="s">
        <v>134</v>
      </c>
      <c r="G2631" t="s">
        <v>100</v>
      </c>
      <c r="H2631" t="s">
        <v>29</v>
      </c>
      <c r="I2631" t="s">
        <v>42</v>
      </c>
      <c r="J2631" t="s">
        <v>103</v>
      </c>
      <c r="K2631">
        <v>13</v>
      </c>
      <c r="L2631">
        <v>13800</v>
      </c>
      <c r="M2631">
        <v>179400</v>
      </c>
      <c r="N2631" t="s">
        <v>95</v>
      </c>
      <c r="O2631" t="s">
        <v>96</v>
      </c>
    </row>
    <row r="2632" spans="1:15" x14ac:dyDescent="0.25">
      <c r="A2632">
        <v>4603</v>
      </c>
      <c r="B2632" s="10">
        <v>45864</v>
      </c>
      <c r="C2632">
        <v>26</v>
      </c>
      <c r="D2632" t="s">
        <v>145</v>
      </c>
      <c r="E2632" t="s">
        <v>121</v>
      </c>
      <c r="F2632" t="s">
        <v>107</v>
      </c>
      <c r="G2632" t="s">
        <v>100</v>
      </c>
      <c r="H2632" t="s">
        <v>131</v>
      </c>
      <c r="I2632" t="s">
        <v>132</v>
      </c>
      <c r="J2632" t="s">
        <v>103</v>
      </c>
      <c r="K2632">
        <v>35</v>
      </c>
      <c r="L2632">
        <v>13800</v>
      </c>
      <c r="M2632">
        <v>483000</v>
      </c>
      <c r="N2632" t="s">
        <v>95</v>
      </c>
      <c r="O2632" t="s">
        <v>115</v>
      </c>
    </row>
    <row r="2633" spans="1:15" x14ac:dyDescent="0.25">
      <c r="A2633">
        <v>651</v>
      </c>
      <c r="B2633" s="10">
        <v>45833</v>
      </c>
      <c r="C2633">
        <v>25</v>
      </c>
      <c r="D2633" t="s">
        <v>153</v>
      </c>
      <c r="E2633" t="s">
        <v>142</v>
      </c>
      <c r="F2633" t="s">
        <v>44</v>
      </c>
      <c r="G2633" t="s">
        <v>111</v>
      </c>
      <c r="H2633" t="s">
        <v>131</v>
      </c>
      <c r="I2633" t="s">
        <v>132</v>
      </c>
      <c r="J2633" t="s">
        <v>103</v>
      </c>
      <c r="K2633">
        <v>49</v>
      </c>
      <c r="L2633">
        <v>13900</v>
      </c>
      <c r="M2633">
        <v>681100</v>
      </c>
      <c r="N2633" t="s">
        <v>95</v>
      </c>
      <c r="O2633" t="s">
        <v>115</v>
      </c>
    </row>
    <row r="2634" spans="1:15" x14ac:dyDescent="0.25">
      <c r="A2634">
        <v>1439</v>
      </c>
      <c r="B2634" s="10">
        <v>45819</v>
      </c>
      <c r="C2634">
        <v>11</v>
      </c>
      <c r="D2634" t="s">
        <v>153</v>
      </c>
      <c r="E2634" t="s">
        <v>98</v>
      </c>
      <c r="F2634" t="s">
        <v>28</v>
      </c>
      <c r="G2634" t="s">
        <v>126</v>
      </c>
      <c r="H2634" t="s">
        <v>29</v>
      </c>
      <c r="I2634" t="s">
        <v>42</v>
      </c>
      <c r="J2634" t="s">
        <v>103</v>
      </c>
      <c r="K2634">
        <v>34</v>
      </c>
      <c r="L2634">
        <v>13900</v>
      </c>
      <c r="M2634">
        <v>472600</v>
      </c>
      <c r="N2634" t="s">
        <v>95</v>
      </c>
      <c r="O2634" t="s">
        <v>104</v>
      </c>
    </row>
    <row r="2635" spans="1:15" x14ac:dyDescent="0.25">
      <c r="A2635">
        <v>2163</v>
      </c>
      <c r="B2635" s="10">
        <v>45852</v>
      </c>
      <c r="C2635">
        <v>14</v>
      </c>
      <c r="D2635" t="s">
        <v>145</v>
      </c>
      <c r="E2635" t="s">
        <v>133</v>
      </c>
      <c r="F2635" t="s">
        <v>148</v>
      </c>
      <c r="G2635" t="s">
        <v>118</v>
      </c>
      <c r="H2635" t="s">
        <v>29</v>
      </c>
      <c r="I2635" t="s">
        <v>42</v>
      </c>
      <c r="J2635" t="s">
        <v>103</v>
      </c>
      <c r="K2635">
        <v>7</v>
      </c>
      <c r="L2635">
        <v>13900</v>
      </c>
      <c r="M2635">
        <v>97300</v>
      </c>
      <c r="N2635" t="s">
        <v>108</v>
      </c>
      <c r="O2635" t="s">
        <v>115</v>
      </c>
    </row>
    <row r="2636" spans="1:15" x14ac:dyDescent="0.25">
      <c r="A2636">
        <v>4523</v>
      </c>
      <c r="B2636" s="10">
        <v>45817</v>
      </c>
      <c r="C2636">
        <v>9</v>
      </c>
      <c r="D2636" t="s">
        <v>153</v>
      </c>
      <c r="E2636" t="s">
        <v>116</v>
      </c>
      <c r="F2636" t="s">
        <v>99</v>
      </c>
      <c r="G2636" t="s">
        <v>100</v>
      </c>
      <c r="H2636" t="s">
        <v>29</v>
      </c>
      <c r="I2636" t="s">
        <v>42</v>
      </c>
      <c r="J2636" t="s">
        <v>103</v>
      </c>
      <c r="K2636">
        <v>17</v>
      </c>
      <c r="L2636">
        <v>13900</v>
      </c>
      <c r="M2636">
        <v>236300</v>
      </c>
      <c r="N2636" t="s">
        <v>108</v>
      </c>
      <c r="O2636" t="s">
        <v>104</v>
      </c>
    </row>
    <row r="2637" spans="1:15" x14ac:dyDescent="0.25">
      <c r="A2637">
        <v>4543</v>
      </c>
      <c r="B2637" s="10">
        <v>45665</v>
      </c>
      <c r="C2637">
        <v>8</v>
      </c>
      <c r="D2637" t="s">
        <v>130</v>
      </c>
      <c r="E2637" t="s">
        <v>116</v>
      </c>
      <c r="F2637" t="s">
        <v>151</v>
      </c>
      <c r="G2637" t="s">
        <v>111</v>
      </c>
      <c r="H2637" t="s">
        <v>29</v>
      </c>
      <c r="I2637" t="s">
        <v>30</v>
      </c>
      <c r="J2637" t="s">
        <v>103</v>
      </c>
      <c r="K2637">
        <v>38</v>
      </c>
      <c r="L2637">
        <v>13900</v>
      </c>
      <c r="M2637">
        <v>528200</v>
      </c>
      <c r="N2637" t="s">
        <v>95</v>
      </c>
      <c r="O2637" t="s">
        <v>115</v>
      </c>
    </row>
    <row r="2638" spans="1:15" x14ac:dyDescent="0.25">
      <c r="A2638">
        <v>780</v>
      </c>
      <c r="B2638" s="10">
        <v>45853</v>
      </c>
      <c r="C2638">
        <v>15</v>
      </c>
      <c r="D2638" t="s">
        <v>145</v>
      </c>
      <c r="E2638" t="s">
        <v>142</v>
      </c>
      <c r="F2638" t="s">
        <v>107</v>
      </c>
      <c r="G2638" t="s">
        <v>100</v>
      </c>
      <c r="H2638" t="s">
        <v>29</v>
      </c>
      <c r="I2638" t="s">
        <v>42</v>
      </c>
      <c r="J2638" t="s">
        <v>103</v>
      </c>
      <c r="K2638">
        <v>13</v>
      </c>
      <c r="L2638">
        <v>14000</v>
      </c>
      <c r="M2638">
        <v>182000</v>
      </c>
      <c r="N2638" t="s">
        <v>95</v>
      </c>
      <c r="O2638" t="s">
        <v>96</v>
      </c>
    </row>
    <row r="2639" spans="1:15" x14ac:dyDescent="0.25">
      <c r="A2639">
        <v>2602</v>
      </c>
      <c r="B2639" s="10">
        <v>45944</v>
      </c>
      <c r="C2639">
        <v>14</v>
      </c>
      <c r="D2639" t="s">
        <v>136</v>
      </c>
      <c r="E2639" t="s">
        <v>150</v>
      </c>
      <c r="F2639" t="s">
        <v>117</v>
      </c>
      <c r="G2639" t="s">
        <v>118</v>
      </c>
      <c r="H2639" t="s">
        <v>29</v>
      </c>
      <c r="I2639" t="s">
        <v>42</v>
      </c>
      <c r="J2639" t="s">
        <v>103</v>
      </c>
      <c r="K2639">
        <v>34</v>
      </c>
      <c r="L2639">
        <v>14000</v>
      </c>
      <c r="M2639">
        <v>476000</v>
      </c>
      <c r="N2639" t="s">
        <v>95</v>
      </c>
      <c r="O2639" t="s">
        <v>115</v>
      </c>
    </row>
    <row r="2640" spans="1:15" x14ac:dyDescent="0.25">
      <c r="A2640">
        <v>2869</v>
      </c>
      <c r="B2640" s="10">
        <v>45952</v>
      </c>
      <c r="C2640">
        <v>22</v>
      </c>
      <c r="D2640" t="s">
        <v>136</v>
      </c>
      <c r="E2640" t="s">
        <v>142</v>
      </c>
      <c r="F2640" t="s">
        <v>49</v>
      </c>
      <c r="G2640" t="s">
        <v>118</v>
      </c>
      <c r="H2640" t="s">
        <v>29</v>
      </c>
      <c r="I2640" t="s">
        <v>42</v>
      </c>
      <c r="J2640" t="s">
        <v>103</v>
      </c>
      <c r="K2640">
        <v>10</v>
      </c>
      <c r="L2640">
        <v>14000</v>
      </c>
      <c r="M2640">
        <v>140000</v>
      </c>
      <c r="N2640" t="s">
        <v>108</v>
      </c>
      <c r="O2640" t="s">
        <v>115</v>
      </c>
    </row>
    <row r="2641" spans="1:15" x14ac:dyDescent="0.25">
      <c r="A2641">
        <v>3375</v>
      </c>
      <c r="B2641" s="10">
        <v>45894</v>
      </c>
      <c r="C2641">
        <v>25</v>
      </c>
      <c r="D2641" t="s">
        <v>109</v>
      </c>
      <c r="E2641" t="s">
        <v>31</v>
      </c>
      <c r="F2641" t="s">
        <v>22</v>
      </c>
      <c r="G2641" t="s">
        <v>91</v>
      </c>
      <c r="H2641" t="s">
        <v>29</v>
      </c>
      <c r="I2641" t="s">
        <v>30</v>
      </c>
      <c r="J2641" t="s">
        <v>103</v>
      </c>
      <c r="K2641">
        <v>18</v>
      </c>
      <c r="L2641">
        <v>14000</v>
      </c>
      <c r="M2641">
        <v>252000</v>
      </c>
      <c r="N2641" t="s">
        <v>108</v>
      </c>
      <c r="O2641" t="s">
        <v>104</v>
      </c>
    </row>
    <row r="2642" spans="1:15" x14ac:dyDescent="0.25">
      <c r="A2642">
        <v>1414</v>
      </c>
      <c r="B2642" s="10">
        <v>45898</v>
      </c>
      <c r="C2642">
        <v>29</v>
      </c>
      <c r="D2642" t="s">
        <v>109</v>
      </c>
      <c r="E2642" t="s">
        <v>31</v>
      </c>
      <c r="F2642" t="s">
        <v>141</v>
      </c>
      <c r="G2642" t="s">
        <v>100</v>
      </c>
      <c r="H2642" t="s">
        <v>131</v>
      </c>
      <c r="I2642" t="s">
        <v>132</v>
      </c>
      <c r="J2642" t="s">
        <v>103</v>
      </c>
      <c r="K2642">
        <v>25</v>
      </c>
      <c r="L2642">
        <v>14100</v>
      </c>
      <c r="M2642">
        <v>352500</v>
      </c>
      <c r="N2642" t="s">
        <v>108</v>
      </c>
      <c r="O2642" t="s">
        <v>115</v>
      </c>
    </row>
    <row r="2643" spans="1:15" x14ac:dyDescent="0.25">
      <c r="A2643">
        <v>1804</v>
      </c>
      <c r="B2643" s="10">
        <v>45671</v>
      </c>
      <c r="C2643">
        <v>14</v>
      </c>
      <c r="D2643" t="s">
        <v>130</v>
      </c>
      <c r="E2643" t="s">
        <v>106</v>
      </c>
      <c r="F2643" t="s">
        <v>148</v>
      </c>
      <c r="G2643" t="s">
        <v>118</v>
      </c>
      <c r="H2643" t="s">
        <v>29</v>
      </c>
      <c r="I2643" t="s">
        <v>30</v>
      </c>
      <c r="J2643" t="s">
        <v>103</v>
      </c>
      <c r="K2643">
        <v>11</v>
      </c>
      <c r="L2643">
        <v>14100</v>
      </c>
      <c r="M2643">
        <v>155100</v>
      </c>
      <c r="N2643" t="s">
        <v>108</v>
      </c>
      <c r="O2643" t="s">
        <v>115</v>
      </c>
    </row>
    <row r="2644" spans="1:15" x14ac:dyDescent="0.25">
      <c r="A2644">
        <v>3157</v>
      </c>
      <c r="B2644" s="10">
        <v>46012</v>
      </c>
      <c r="C2644">
        <v>21</v>
      </c>
      <c r="D2644" t="s">
        <v>125</v>
      </c>
      <c r="E2644" t="s">
        <v>121</v>
      </c>
      <c r="F2644" t="s">
        <v>151</v>
      </c>
      <c r="G2644" t="s">
        <v>111</v>
      </c>
      <c r="H2644" t="s">
        <v>131</v>
      </c>
      <c r="I2644" t="s">
        <v>132</v>
      </c>
      <c r="J2644" t="s">
        <v>94</v>
      </c>
      <c r="K2644">
        <v>10</v>
      </c>
      <c r="L2644">
        <v>14100</v>
      </c>
      <c r="M2644">
        <v>141000</v>
      </c>
      <c r="N2644" t="s">
        <v>95</v>
      </c>
      <c r="O2644" t="s">
        <v>115</v>
      </c>
    </row>
    <row r="2645" spans="1:15" x14ac:dyDescent="0.25">
      <c r="A2645">
        <v>3349</v>
      </c>
      <c r="B2645" s="10">
        <v>45667</v>
      </c>
      <c r="C2645">
        <v>10</v>
      </c>
      <c r="D2645" t="s">
        <v>130</v>
      </c>
      <c r="E2645" t="s">
        <v>98</v>
      </c>
      <c r="F2645" t="s">
        <v>113</v>
      </c>
      <c r="G2645" t="s">
        <v>114</v>
      </c>
      <c r="H2645" t="s">
        <v>29</v>
      </c>
      <c r="I2645" t="s">
        <v>42</v>
      </c>
      <c r="J2645" t="s">
        <v>103</v>
      </c>
      <c r="K2645">
        <v>11</v>
      </c>
      <c r="L2645">
        <v>14100</v>
      </c>
      <c r="M2645">
        <v>155100</v>
      </c>
      <c r="N2645" t="s">
        <v>95</v>
      </c>
      <c r="O2645" t="s">
        <v>115</v>
      </c>
    </row>
    <row r="2646" spans="1:15" x14ac:dyDescent="0.25">
      <c r="A2646">
        <v>3446</v>
      </c>
      <c r="B2646" s="10">
        <v>45931</v>
      </c>
      <c r="C2646">
        <v>1</v>
      </c>
      <c r="D2646" t="s">
        <v>136</v>
      </c>
      <c r="E2646" t="s">
        <v>150</v>
      </c>
      <c r="F2646" t="s">
        <v>113</v>
      </c>
      <c r="G2646" t="s">
        <v>114</v>
      </c>
      <c r="H2646" t="s">
        <v>131</v>
      </c>
      <c r="I2646" t="s">
        <v>132</v>
      </c>
      <c r="J2646" t="s">
        <v>94</v>
      </c>
      <c r="K2646">
        <v>7</v>
      </c>
      <c r="L2646">
        <v>14100</v>
      </c>
      <c r="M2646">
        <v>98700</v>
      </c>
      <c r="N2646" t="s">
        <v>95</v>
      </c>
      <c r="O2646" t="s">
        <v>115</v>
      </c>
    </row>
    <row r="2647" spans="1:15" x14ac:dyDescent="0.25">
      <c r="A2647">
        <v>3931</v>
      </c>
      <c r="B2647" s="10">
        <v>45947</v>
      </c>
      <c r="C2647">
        <v>17</v>
      </c>
      <c r="D2647" t="s">
        <v>136</v>
      </c>
      <c r="E2647" t="s">
        <v>112</v>
      </c>
      <c r="F2647" t="s">
        <v>151</v>
      </c>
      <c r="G2647" t="s">
        <v>111</v>
      </c>
      <c r="H2647" t="s">
        <v>29</v>
      </c>
      <c r="I2647" t="s">
        <v>42</v>
      </c>
      <c r="J2647" t="s">
        <v>103</v>
      </c>
      <c r="K2647">
        <v>48</v>
      </c>
      <c r="L2647">
        <v>14100</v>
      </c>
      <c r="M2647">
        <v>676800</v>
      </c>
      <c r="N2647" t="s">
        <v>95</v>
      </c>
      <c r="O2647" t="s">
        <v>115</v>
      </c>
    </row>
    <row r="2648" spans="1:15" x14ac:dyDescent="0.25">
      <c r="A2648">
        <v>4213</v>
      </c>
      <c r="B2648" s="10">
        <v>45670</v>
      </c>
      <c r="C2648">
        <v>13</v>
      </c>
      <c r="D2648" t="s">
        <v>130</v>
      </c>
      <c r="E2648" t="s">
        <v>133</v>
      </c>
      <c r="F2648" t="s">
        <v>28</v>
      </c>
      <c r="G2648" t="s">
        <v>126</v>
      </c>
      <c r="H2648" t="s">
        <v>29</v>
      </c>
      <c r="I2648" t="s">
        <v>42</v>
      </c>
      <c r="J2648" t="s">
        <v>103</v>
      </c>
      <c r="K2648">
        <v>7</v>
      </c>
      <c r="L2648">
        <v>14100</v>
      </c>
      <c r="M2648">
        <v>98700</v>
      </c>
      <c r="N2648" t="s">
        <v>95</v>
      </c>
      <c r="O2648" t="s">
        <v>96</v>
      </c>
    </row>
    <row r="2649" spans="1:15" x14ac:dyDescent="0.25">
      <c r="A2649">
        <v>4565</v>
      </c>
      <c r="B2649" s="10">
        <v>45658</v>
      </c>
      <c r="C2649">
        <v>1</v>
      </c>
      <c r="D2649" t="s">
        <v>130</v>
      </c>
      <c r="E2649" t="s">
        <v>116</v>
      </c>
      <c r="F2649" t="s">
        <v>44</v>
      </c>
      <c r="G2649" t="s">
        <v>111</v>
      </c>
      <c r="H2649" t="s">
        <v>29</v>
      </c>
      <c r="I2649" t="s">
        <v>42</v>
      </c>
      <c r="J2649" t="s">
        <v>103</v>
      </c>
      <c r="K2649">
        <v>21</v>
      </c>
      <c r="L2649">
        <v>14100</v>
      </c>
      <c r="M2649">
        <v>296100</v>
      </c>
      <c r="N2649" t="s">
        <v>108</v>
      </c>
      <c r="O2649" t="s">
        <v>96</v>
      </c>
    </row>
    <row r="2650" spans="1:15" x14ac:dyDescent="0.25">
      <c r="A2650">
        <v>4655</v>
      </c>
      <c r="B2650" s="10">
        <v>45954</v>
      </c>
      <c r="C2650">
        <v>24</v>
      </c>
      <c r="D2650" t="s">
        <v>136</v>
      </c>
      <c r="E2650" t="s">
        <v>133</v>
      </c>
      <c r="F2650" t="s">
        <v>148</v>
      </c>
      <c r="G2650" t="s">
        <v>118</v>
      </c>
      <c r="H2650" t="s">
        <v>29</v>
      </c>
      <c r="I2650" t="s">
        <v>42</v>
      </c>
      <c r="J2650" t="s">
        <v>103</v>
      </c>
      <c r="K2650">
        <v>40</v>
      </c>
      <c r="L2650">
        <v>14100</v>
      </c>
      <c r="M2650">
        <v>564000</v>
      </c>
      <c r="N2650" t="s">
        <v>108</v>
      </c>
      <c r="O2650" t="s">
        <v>104</v>
      </c>
    </row>
    <row r="2651" spans="1:15" x14ac:dyDescent="0.25">
      <c r="A2651">
        <v>96</v>
      </c>
      <c r="B2651" s="10">
        <v>45903</v>
      </c>
      <c r="C2651">
        <v>3</v>
      </c>
      <c r="D2651" t="s">
        <v>147</v>
      </c>
      <c r="E2651" t="s">
        <v>133</v>
      </c>
      <c r="F2651" t="s">
        <v>113</v>
      </c>
      <c r="G2651" t="s">
        <v>114</v>
      </c>
      <c r="H2651" t="s">
        <v>29</v>
      </c>
      <c r="I2651" t="s">
        <v>30</v>
      </c>
      <c r="J2651" t="s">
        <v>103</v>
      </c>
      <c r="K2651">
        <v>35</v>
      </c>
      <c r="L2651">
        <v>14200</v>
      </c>
      <c r="M2651">
        <v>497000</v>
      </c>
      <c r="N2651" t="s">
        <v>95</v>
      </c>
      <c r="O2651" t="s">
        <v>104</v>
      </c>
    </row>
    <row r="2652" spans="1:15" x14ac:dyDescent="0.25">
      <c r="A2652">
        <v>497</v>
      </c>
      <c r="B2652" s="10">
        <v>45991</v>
      </c>
      <c r="C2652">
        <v>30</v>
      </c>
      <c r="D2652" t="s">
        <v>90</v>
      </c>
      <c r="E2652" t="s">
        <v>112</v>
      </c>
      <c r="F2652" t="s">
        <v>22</v>
      </c>
      <c r="G2652" t="s">
        <v>91</v>
      </c>
      <c r="H2652" t="s">
        <v>131</v>
      </c>
      <c r="I2652" t="s">
        <v>132</v>
      </c>
      <c r="J2652" t="s">
        <v>94</v>
      </c>
      <c r="K2652">
        <v>10</v>
      </c>
      <c r="L2652">
        <v>14200</v>
      </c>
      <c r="M2652">
        <v>142000</v>
      </c>
      <c r="N2652" t="s">
        <v>95</v>
      </c>
      <c r="O2652" t="s">
        <v>96</v>
      </c>
    </row>
    <row r="2653" spans="1:15" x14ac:dyDescent="0.25">
      <c r="A2653">
        <v>541</v>
      </c>
      <c r="B2653" s="10">
        <v>45800</v>
      </c>
      <c r="C2653">
        <v>23</v>
      </c>
      <c r="D2653" t="s">
        <v>120</v>
      </c>
      <c r="E2653" t="s">
        <v>137</v>
      </c>
      <c r="F2653" t="s">
        <v>44</v>
      </c>
      <c r="G2653" t="s">
        <v>111</v>
      </c>
      <c r="H2653" t="s">
        <v>29</v>
      </c>
      <c r="I2653" t="s">
        <v>42</v>
      </c>
      <c r="J2653" t="s">
        <v>103</v>
      </c>
      <c r="K2653">
        <v>5</v>
      </c>
      <c r="L2653">
        <v>14200</v>
      </c>
      <c r="M2653">
        <v>71000</v>
      </c>
      <c r="N2653" t="s">
        <v>108</v>
      </c>
      <c r="O2653" t="s">
        <v>115</v>
      </c>
    </row>
    <row r="2654" spans="1:15" x14ac:dyDescent="0.25">
      <c r="A2654">
        <v>579</v>
      </c>
      <c r="B2654" s="10">
        <v>45729</v>
      </c>
      <c r="C2654">
        <v>13</v>
      </c>
      <c r="D2654" t="s">
        <v>140</v>
      </c>
      <c r="E2654" t="s">
        <v>133</v>
      </c>
      <c r="F2654" t="s">
        <v>36</v>
      </c>
      <c r="G2654" t="s">
        <v>100</v>
      </c>
      <c r="H2654" t="s">
        <v>29</v>
      </c>
      <c r="I2654" t="s">
        <v>30</v>
      </c>
      <c r="J2654" t="s">
        <v>103</v>
      </c>
      <c r="K2654">
        <v>18</v>
      </c>
      <c r="L2654">
        <v>14200</v>
      </c>
      <c r="M2654">
        <v>255600</v>
      </c>
      <c r="N2654" t="s">
        <v>95</v>
      </c>
      <c r="O2654" t="s">
        <v>104</v>
      </c>
    </row>
    <row r="2655" spans="1:15" x14ac:dyDescent="0.25">
      <c r="A2655">
        <v>704</v>
      </c>
      <c r="B2655" s="10">
        <v>45908</v>
      </c>
      <c r="C2655">
        <v>8</v>
      </c>
      <c r="D2655" t="s">
        <v>147</v>
      </c>
      <c r="E2655" t="s">
        <v>142</v>
      </c>
      <c r="F2655" t="s">
        <v>99</v>
      </c>
      <c r="G2655" t="s">
        <v>100</v>
      </c>
      <c r="H2655" t="s">
        <v>29</v>
      </c>
      <c r="I2655" t="s">
        <v>30</v>
      </c>
      <c r="J2655" t="s">
        <v>103</v>
      </c>
      <c r="K2655">
        <v>48</v>
      </c>
      <c r="L2655">
        <v>14200</v>
      </c>
      <c r="M2655">
        <v>681600</v>
      </c>
      <c r="N2655" t="s">
        <v>108</v>
      </c>
      <c r="O2655" t="s">
        <v>115</v>
      </c>
    </row>
    <row r="2656" spans="1:15" x14ac:dyDescent="0.25">
      <c r="A2656">
        <v>1007</v>
      </c>
      <c r="B2656" s="10">
        <v>45765</v>
      </c>
      <c r="C2656">
        <v>18</v>
      </c>
      <c r="D2656" t="s">
        <v>105</v>
      </c>
      <c r="E2656" t="s">
        <v>133</v>
      </c>
      <c r="F2656" t="s">
        <v>122</v>
      </c>
      <c r="G2656" t="s">
        <v>114</v>
      </c>
      <c r="H2656" t="s">
        <v>29</v>
      </c>
      <c r="I2656" t="s">
        <v>42</v>
      </c>
      <c r="J2656" t="s">
        <v>103</v>
      </c>
      <c r="K2656">
        <v>45</v>
      </c>
      <c r="L2656">
        <v>14200</v>
      </c>
      <c r="M2656">
        <v>639000</v>
      </c>
      <c r="N2656" t="s">
        <v>95</v>
      </c>
      <c r="O2656" t="s">
        <v>104</v>
      </c>
    </row>
    <row r="2657" spans="1:15" x14ac:dyDescent="0.25">
      <c r="A2657">
        <v>1613</v>
      </c>
      <c r="B2657" s="10">
        <v>45698</v>
      </c>
      <c r="C2657">
        <v>10</v>
      </c>
      <c r="D2657" t="s">
        <v>97</v>
      </c>
      <c r="E2657" t="s">
        <v>128</v>
      </c>
      <c r="F2657" t="s">
        <v>148</v>
      </c>
      <c r="G2657" t="s">
        <v>118</v>
      </c>
      <c r="H2657" t="s">
        <v>29</v>
      </c>
      <c r="I2657" t="s">
        <v>42</v>
      </c>
      <c r="J2657" t="s">
        <v>103</v>
      </c>
      <c r="K2657">
        <v>50</v>
      </c>
      <c r="L2657">
        <v>14200</v>
      </c>
      <c r="M2657">
        <v>710000</v>
      </c>
      <c r="N2657" t="s">
        <v>95</v>
      </c>
      <c r="O2657" t="s">
        <v>115</v>
      </c>
    </row>
    <row r="2658" spans="1:15" x14ac:dyDescent="0.25">
      <c r="A2658">
        <v>1622</v>
      </c>
      <c r="B2658" s="10">
        <v>45748</v>
      </c>
      <c r="C2658">
        <v>1</v>
      </c>
      <c r="D2658" t="s">
        <v>105</v>
      </c>
      <c r="E2658" t="s">
        <v>121</v>
      </c>
      <c r="F2658" t="s">
        <v>141</v>
      </c>
      <c r="G2658" t="s">
        <v>100</v>
      </c>
      <c r="H2658" t="s">
        <v>29</v>
      </c>
      <c r="I2658" t="s">
        <v>30</v>
      </c>
      <c r="J2658" t="s">
        <v>103</v>
      </c>
      <c r="K2658">
        <v>12</v>
      </c>
      <c r="L2658">
        <v>14200</v>
      </c>
      <c r="M2658">
        <v>170400</v>
      </c>
      <c r="N2658" t="s">
        <v>95</v>
      </c>
      <c r="O2658" t="s">
        <v>115</v>
      </c>
    </row>
    <row r="2659" spans="1:15" x14ac:dyDescent="0.25">
      <c r="A2659">
        <v>2185</v>
      </c>
      <c r="B2659" s="10">
        <v>45923</v>
      </c>
      <c r="C2659">
        <v>23</v>
      </c>
      <c r="D2659" t="s">
        <v>147</v>
      </c>
      <c r="E2659" t="s">
        <v>138</v>
      </c>
      <c r="F2659" t="s">
        <v>107</v>
      </c>
      <c r="G2659" t="s">
        <v>100</v>
      </c>
      <c r="H2659" t="s">
        <v>29</v>
      </c>
      <c r="I2659" t="s">
        <v>42</v>
      </c>
      <c r="J2659" t="s">
        <v>94</v>
      </c>
      <c r="K2659">
        <v>1</v>
      </c>
      <c r="L2659">
        <v>14200</v>
      </c>
      <c r="M2659">
        <v>14200</v>
      </c>
      <c r="N2659" t="s">
        <v>95</v>
      </c>
      <c r="O2659" t="s">
        <v>104</v>
      </c>
    </row>
    <row r="2660" spans="1:15" x14ac:dyDescent="0.25">
      <c r="A2660">
        <v>2187</v>
      </c>
      <c r="B2660" s="10">
        <v>45939</v>
      </c>
      <c r="C2660">
        <v>9</v>
      </c>
      <c r="D2660" t="s">
        <v>136</v>
      </c>
      <c r="E2660" t="s">
        <v>138</v>
      </c>
      <c r="F2660" t="s">
        <v>141</v>
      </c>
      <c r="G2660" t="s">
        <v>100</v>
      </c>
      <c r="H2660" t="s">
        <v>29</v>
      </c>
      <c r="I2660" t="s">
        <v>30</v>
      </c>
      <c r="J2660" t="s">
        <v>103</v>
      </c>
      <c r="K2660">
        <v>36</v>
      </c>
      <c r="L2660">
        <v>14200</v>
      </c>
      <c r="M2660">
        <v>511200</v>
      </c>
      <c r="N2660" t="s">
        <v>95</v>
      </c>
      <c r="O2660" t="s">
        <v>104</v>
      </c>
    </row>
    <row r="2661" spans="1:15" x14ac:dyDescent="0.25">
      <c r="A2661">
        <v>3177</v>
      </c>
      <c r="B2661" s="10">
        <v>46008</v>
      </c>
      <c r="C2661">
        <v>17</v>
      </c>
      <c r="D2661" t="s">
        <v>125</v>
      </c>
      <c r="E2661" t="s">
        <v>98</v>
      </c>
      <c r="F2661" t="s">
        <v>36</v>
      </c>
      <c r="G2661" t="s">
        <v>100</v>
      </c>
      <c r="H2661" t="s">
        <v>29</v>
      </c>
      <c r="I2661" t="s">
        <v>30</v>
      </c>
      <c r="J2661" t="s">
        <v>103</v>
      </c>
      <c r="K2661">
        <v>19</v>
      </c>
      <c r="L2661">
        <v>14200</v>
      </c>
      <c r="M2661">
        <v>269800</v>
      </c>
      <c r="N2661" t="s">
        <v>108</v>
      </c>
      <c r="O2661" t="s">
        <v>96</v>
      </c>
    </row>
    <row r="2662" spans="1:15" x14ac:dyDescent="0.25">
      <c r="A2662">
        <v>3209</v>
      </c>
      <c r="B2662" s="10">
        <v>46009</v>
      </c>
      <c r="C2662">
        <v>18</v>
      </c>
      <c r="D2662" t="s">
        <v>125</v>
      </c>
      <c r="E2662" t="s">
        <v>133</v>
      </c>
      <c r="F2662" t="s">
        <v>22</v>
      </c>
      <c r="G2662" t="s">
        <v>91</v>
      </c>
      <c r="H2662" t="s">
        <v>29</v>
      </c>
      <c r="I2662" t="s">
        <v>42</v>
      </c>
      <c r="J2662" t="s">
        <v>103</v>
      </c>
      <c r="K2662">
        <v>35</v>
      </c>
      <c r="L2662">
        <v>14200</v>
      </c>
      <c r="M2662">
        <v>497000</v>
      </c>
      <c r="N2662" t="s">
        <v>95</v>
      </c>
      <c r="O2662" t="s">
        <v>96</v>
      </c>
    </row>
    <row r="2663" spans="1:15" x14ac:dyDescent="0.25">
      <c r="A2663">
        <v>4274</v>
      </c>
      <c r="B2663" s="10">
        <v>45725</v>
      </c>
      <c r="C2663">
        <v>9</v>
      </c>
      <c r="D2663" t="s">
        <v>140</v>
      </c>
      <c r="E2663" t="s">
        <v>161</v>
      </c>
      <c r="F2663" t="s">
        <v>36</v>
      </c>
      <c r="G2663" t="s">
        <v>100</v>
      </c>
      <c r="H2663" t="s">
        <v>131</v>
      </c>
      <c r="I2663" t="s">
        <v>132</v>
      </c>
      <c r="J2663" t="s">
        <v>94</v>
      </c>
      <c r="K2663">
        <v>4</v>
      </c>
      <c r="L2663">
        <v>14200</v>
      </c>
      <c r="M2663">
        <v>56800</v>
      </c>
      <c r="N2663" t="s">
        <v>95</v>
      </c>
      <c r="O2663" t="s">
        <v>104</v>
      </c>
    </row>
    <row r="2664" spans="1:15" x14ac:dyDescent="0.25">
      <c r="A2664">
        <v>4580</v>
      </c>
      <c r="B2664" s="10">
        <v>45684</v>
      </c>
      <c r="C2664">
        <v>27</v>
      </c>
      <c r="D2664" t="s">
        <v>130</v>
      </c>
      <c r="E2664" t="s">
        <v>138</v>
      </c>
      <c r="F2664" t="s">
        <v>134</v>
      </c>
      <c r="G2664" t="s">
        <v>100</v>
      </c>
      <c r="H2664" t="s">
        <v>29</v>
      </c>
      <c r="I2664" t="s">
        <v>42</v>
      </c>
      <c r="J2664" t="s">
        <v>103</v>
      </c>
      <c r="K2664">
        <v>30</v>
      </c>
      <c r="L2664">
        <v>14200</v>
      </c>
      <c r="M2664">
        <v>426000</v>
      </c>
      <c r="N2664" t="s">
        <v>108</v>
      </c>
      <c r="O2664" t="s">
        <v>96</v>
      </c>
    </row>
    <row r="2665" spans="1:15" x14ac:dyDescent="0.25">
      <c r="A2665">
        <v>4903</v>
      </c>
      <c r="B2665" s="10">
        <v>45856</v>
      </c>
      <c r="C2665">
        <v>18</v>
      </c>
      <c r="D2665" t="s">
        <v>145</v>
      </c>
      <c r="E2665" t="s">
        <v>31</v>
      </c>
      <c r="F2665" t="s">
        <v>151</v>
      </c>
      <c r="G2665" t="s">
        <v>111</v>
      </c>
      <c r="H2665" t="s">
        <v>131</v>
      </c>
      <c r="I2665" t="s">
        <v>132</v>
      </c>
      <c r="J2665" t="s">
        <v>94</v>
      </c>
      <c r="K2665">
        <v>5</v>
      </c>
      <c r="L2665">
        <v>14200</v>
      </c>
      <c r="M2665">
        <v>71000</v>
      </c>
      <c r="N2665" t="s">
        <v>95</v>
      </c>
      <c r="O2665" t="s">
        <v>115</v>
      </c>
    </row>
    <row r="2666" spans="1:15" x14ac:dyDescent="0.25">
      <c r="A2666">
        <v>539</v>
      </c>
      <c r="B2666" s="10">
        <v>45937</v>
      </c>
      <c r="C2666">
        <v>7</v>
      </c>
      <c r="D2666" t="s">
        <v>136</v>
      </c>
      <c r="E2666" t="s">
        <v>161</v>
      </c>
      <c r="F2666" t="s">
        <v>148</v>
      </c>
      <c r="G2666" t="s">
        <v>118</v>
      </c>
      <c r="H2666" t="s">
        <v>29</v>
      </c>
      <c r="I2666" t="s">
        <v>42</v>
      </c>
      <c r="J2666" t="s">
        <v>103</v>
      </c>
      <c r="K2666">
        <v>33</v>
      </c>
      <c r="L2666">
        <v>14300</v>
      </c>
      <c r="M2666">
        <v>471900</v>
      </c>
      <c r="N2666" t="s">
        <v>95</v>
      </c>
      <c r="O2666" t="s">
        <v>96</v>
      </c>
    </row>
    <row r="2667" spans="1:15" x14ac:dyDescent="0.25">
      <c r="A2667">
        <v>831</v>
      </c>
      <c r="B2667" s="10">
        <v>45971</v>
      </c>
      <c r="C2667">
        <v>10</v>
      </c>
      <c r="D2667" t="s">
        <v>90</v>
      </c>
      <c r="E2667" t="s">
        <v>142</v>
      </c>
      <c r="F2667" t="s">
        <v>117</v>
      </c>
      <c r="G2667" t="s">
        <v>118</v>
      </c>
      <c r="H2667" t="s">
        <v>29</v>
      </c>
      <c r="I2667" t="s">
        <v>30</v>
      </c>
      <c r="J2667" t="s">
        <v>103</v>
      </c>
      <c r="K2667">
        <v>10</v>
      </c>
      <c r="L2667">
        <v>14300</v>
      </c>
      <c r="M2667">
        <v>143000</v>
      </c>
      <c r="N2667" t="s">
        <v>95</v>
      </c>
      <c r="O2667" t="s">
        <v>104</v>
      </c>
    </row>
    <row r="2668" spans="1:15" x14ac:dyDescent="0.25">
      <c r="A2668">
        <v>2035</v>
      </c>
      <c r="B2668" s="10">
        <v>45784</v>
      </c>
      <c r="C2668">
        <v>7</v>
      </c>
      <c r="D2668" t="s">
        <v>120</v>
      </c>
      <c r="E2668" t="s">
        <v>121</v>
      </c>
      <c r="F2668" t="s">
        <v>134</v>
      </c>
      <c r="G2668" t="s">
        <v>100</v>
      </c>
      <c r="H2668" t="s">
        <v>29</v>
      </c>
      <c r="I2668" t="s">
        <v>42</v>
      </c>
      <c r="J2668" t="s">
        <v>103</v>
      </c>
      <c r="K2668">
        <v>44</v>
      </c>
      <c r="L2668">
        <v>14300</v>
      </c>
      <c r="M2668">
        <v>629200</v>
      </c>
      <c r="N2668" t="s">
        <v>95</v>
      </c>
      <c r="O2668" t="s">
        <v>104</v>
      </c>
    </row>
    <row r="2669" spans="1:15" x14ac:dyDescent="0.25">
      <c r="A2669">
        <v>3254</v>
      </c>
      <c r="B2669" s="10">
        <v>45660</v>
      </c>
      <c r="C2669">
        <v>3</v>
      </c>
      <c r="D2669" t="s">
        <v>130</v>
      </c>
      <c r="E2669" t="s">
        <v>138</v>
      </c>
      <c r="F2669" t="s">
        <v>117</v>
      </c>
      <c r="G2669" t="s">
        <v>118</v>
      </c>
      <c r="H2669" t="s">
        <v>29</v>
      </c>
      <c r="I2669" t="s">
        <v>42</v>
      </c>
      <c r="J2669" t="s">
        <v>103</v>
      </c>
      <c r="K2669">
        <v>39</v>
      </c>
      <c r="L2669">
        <v>14300</v>
      </c>
      <c r="M2669">
        <v>557700</v>
      </c>
      <c r="N2669" t="s">
        <v>108</v>
      </c>
      <c r="O2669" t="s">
        <v>104</v>
      </c>
    </row>
    <row r="2670" spans="1:15" x14ac:dyDescent="0.25">
      <c r="A2670">
        <v>3306</v>
      </c>
      <c r="B2670" s="10">
        <v>45669</v>
      </c>
      <c r="C2670">
        <v>12</v>
      </c>
      <c r="D2670" t="s">
        <v>130</v>
      </c>
      <c r="E2670" t="s">
        <v>31</v>
      </c>
      <c r="F2670" t="s">
        <v>134</v>
      </c>
      <c r="G2670" t="s">
        <v>100</v>
      </c>
      <c r="H2670" t="s">
        <v>29</v>
      </c>
      <c r="I2670" t="s">
        <v>42</v>
      </c>
      <c r="J2670" t="s">
        <v>103</v>
      </c>
      <c r="K2670">
        <v>35</v>
      </c>
      <c r="L2670">
        <v>14300</v>
      </c>
      <c r="M2670">
        <v>500500</v>
      </c>
      <c r="N2670" t="s">
        <v>95</v>
      </c>
      <c r="O2670" t="s">
        <v>115</v>
      </c>
    </row>
    <row r="2671" spans="1:15" x14ac:dyDescent="0.25">
      <c r="A2671">
        <v>3336</v>
      </c>
      <c r="B2671" s="10">
        <v>45898</v>
      </c>
      <c r="C2671">
        <v>29</v>
      </c>
      <c r="D2671" t="s">
        <v>109</v>
      </c>
      <c r="E2671" t="s">
        <v>112</v>
      </c>
      <c r="F2671" t="s">
        <v>49</v>
      </c>
      <c r="G2671" t="s">
        <v>118</v>
      </c>
      <c r="H2671" t="s">
        <v>29</v>
      </c>
      <c r="I2671" t="s">
        <v>30</v>
      </c>
      <c r="J2671" t="s">
        <v>103</v>
      </c>
      <c r="K2671">
        <v>28</v>
      </c>
      <c r="L2671">
        <v>14300</v>
      </c>
      <c r="M2671">
        <v>400400</v>
      </c>
      <c r="N2671" t="s">
        <v>108</v>
      </c>
      <c r="O2671" t="s">
        <v>115</v>
      </c>
    </row>
    <row r="2672" spans="1:15" x14ac:dyDescent="0.25">
      <c r="A2672">
        <v>3588</v>
      </c>
      <c r="B2672" s="10">
        <v>46005</v>
      </c>
      <c r="C2672">
        <v>14</v>
      </c>
      <c r="D2672" t="s">
        <v>125</v>
      </c>
      <c r="E2672" t="s">
        <v>112</v>
      </c>
      <c r="F2672" t="s">
        <v>144</v>
      </c>
      <c r="G2672" t="s">
        <v>91</v>
      </c>
      <c r="H2672" t="s">
        <v>131</v>
      </c>
      <c r="I2672" t="s">
        <v>132</v>
      </c>
      <c r="J2672" t="s">
        <v>94</v>
      </c>
      <c r="K2672">
        <v>7</v>
      </c>
      <c r="L2672">
        <v>14300</v>
      </c>
      <c r="M2672">
        <v>100100</v>
      </c>
      <c r="N2672" t="s">
        <v>108</v>
      </c>
      <c r="O2672" t="s">
        <v>104</v>
      </c>
    </row>
    <row r="2673" spans="1:15" x14ac:dyDescent="0.25">
      <c r="A2673">
        <v>4036</v>
      </c>
      <c r="B2673" s="10">
        <v>45827</v>
      </c>
      <c r="C2673">
        <v>19</v>
      </c>
      <c r="D2673" t="s">
        <v>153</v>
      </c>
      <c r="E2673" t="s">
        <v>112</v>
      </c>
      <c r="F2673" t="s">
        <v>117</v>
      </c>
      <c r="G2673" t="s">
        <v>118</v>
      </c>
      <c r="H2673" t="s">
        <v>29</v>
      </c>
      <c r="I2673" t="s">
        <v>42</v>
      </c>
      <c r="J2673" t="s">
        <v>103</v>
      </c>
      <c r="K2673">
        <v>50</v>
      </c>
      <c r="L2673">
        <v>14300</v>
      </c>
      <c r="M2673">
        <v>715000</v>
      </c>
      <c r="N2673" t="s">
        <v>108</v>
      </c>
      <c r="O2673" t="s">
        <v>115</v>
      </c>
    </row>
    <row r="2674" spans="1:15" x14ac:dyDescent="0.25">
      <c r="A2674">
        <v>4765</v>
      </c>
      <c r="B2674" s="10">
        <v>45958</v>
      </c>
      <c r="C2674">
        <v>28</v>
      </c>
      <c r="D2674" t="s">
        <v>136</v>
      </c>
      <c r="E2674" t="s">
        <v>106</v>
      </c>
      <c r="F2674" t="s">
        <v>113</v>
      </c>
      <c r="G2674" t="s">
        <v>114</v>
      </c>
      <c r="H2674" t="s">
        <v>131</v>
      </c>
      <c r="I2674" t="s">
        <v>132</v>
      </c>
      <c r="J2674" t="s">
        <v>94</v>
      </c>
      <c r="K2674">
        <v>9</v>
      </c>
      <c r="L2674">
        <v>14300</v>
      </c>
      <c r="M2674">
        <v>128700</v>
      </c>
      <c r="N2674" t="s">
        <v>108</v>
      </c>
      <c r="O2674" t="s">
        <v>96</v>
      </c>
    </row>
    <row r="2675" spans="1:15" x14ac:dyDescent="0.25">
      <c r="A2675">
        <v>4864</v>
      </c>
      <c r="B2675" s="10">
        <v>46005</v>
      </c>
      <c r="C2675">
        <v>14</v>
      </c>
      <c r="D2675" t="s">
        <v>125</v>
      </c>
      <c r="E2675" t="s">
        <v>25</v>
      </c>
      <c r="F2675" t="s">
        <v>117</v>
      </c>
      <c r="G2675" t="s">
        <v>118</v>
      </c>
      <c r="H2675" t="s">
        <v>29</v>
      </c>
      <c r="I2675" t="s">
        <v>30</v>
      </c>
      <c r="J2675" t="s">
        <v>103</v>
      </c>
      <c r="K2675">
        <v>19</v>
      </c>
      <c r="L2675">
        <v>14300</v>
      </c>
      <c r="M2675">
        <v>271700</v>
      </c>
      <c r="N2675" t="s">
        <v>95</v>
      </c>
      <c r="O2675" t="s">
        <v>115</v>
      </c>
    </row>
    <row r="2676" spans="1:15" x14ac:dyDescent="0.25">
      <c r="A2676">
        <v>4881</v>
      </c>
      <c r="B2676" s="10">
        <v>45751</v>
      </c>
      <c r="C2676">
        <v>4</v>
      </c>
      <c r="D2676" t="s">
        <v>105</v>
      </c>
      <c r="E2676" t="s">
        <v>112</v>
      </c>
      <c r="F2676" t="s">
        <v>49</v>
      </c>
      <c r="G2676" t="s">
        <v>118</v>
      </c>
      <c r="H2676" t="s">
        <v>29</v>
      </c>
      <c r="I2676" t="s">
        <v>42</v>
      </c>
      <c r="J2676" t="s">
        <v>103</v>
      </c>
      <c r="K2676">
        <v>40</v>
      </c>
      <c r="L2676">
        <v>14300</v>
      </c>
      <c r="M2676">
        <v>572000</v>
      </c>
      <c r="N2676" t="s">
        <v>108</v>
      </c>
      <c r="O2676" t="s">
        <v>96</v>
      </c>
    </row>
    <row r="2677" spans="1:15" x14ac:dyDescent="0.25">
      <c r="A2677">
        <v>4974</v>
      </c>
      <c r="B2677" s="10">
        <v>45761</v>
      </c>
      <c r="C2677">
        <v>14</v>
      </c>
      <c r="D2677" t="s">
        <v>105</v>
      </c>
      <c r="E2677" t="s">
        <v>110</v>
      </c>
      <c r="F2677" t="s">
        <v>22</v>
      </c>
      <c r="G2677" t="s">
        <v>91</v>
      </c>
      <c r="H2677" t="s">
        <v>29</v>
      </c>
      <c r="I2677" t="s">
        <v>42</v>
      </c>
      <c r="J2677" t="s">
        <v>94</v>
      </c>
      <c r="K2677">
        <v>5</v>
      </c>
      <c r="L2677">
        <v>14300</v>
      </c>
      <c r="M2677">
        <v>71500</v>
      </c>
      <c r="N2677" t="s">
        <v>95</v>
      </c>
      <c r="O2677" t="s">
        <v>104</v>
      </c>
    </row>
    <row r="2678" spans="1:15" x14ac:dyDescent="0.25">
      <c r="A2678">
        <v>341</v>
      </c>
      <c r="B2678" s="10">
        <v>45894</v>
      </c>
      <c r="C2678">
        <v>25</v>
      </c>
      <c r="D2678" t="s">
        <v>109</v>
      </c>
      <c r="E2678" t="s">
        <v>161</v>
      </c>
      <c r="F2678" t="s">
        <v>49</v>
      </c>
      <c r="G2678" t="s">
        <v>118</v>
      </c>
      <c r="H2678" t="s">
        <v>131</v>
      </c>
      <c r="I2678" t="s">
        <v>132</v>
      </c>
      <c r="J2678" t="s">
        <v>94</v>
      </c>
      <c r="K2678">
        <v>7</v>
      </c>
      <c r="L2678">
        <v>14400</v>
      </c>
      <c r="M2678">
        <v>100800</v>
      </c>
      <c r="N2678" t="s">
        <v>108</v>
      </c>
      <c r="O2678" t="s">
        <v>104</v>
      </c>
    </row>
    <row r="2679" spans="1:15" x14ac:dyDescent="0.25">
      <c r="A2679">
        <v>1796</v>
      </c>
      <c r="B2679" s="10">
        <v>46012</v>
      </c>
      <c r="C2679">
        <v>21</v>
      </c>
      <c r="D2679" t="s">
        <v>125</v>
      </c>
      <c r="E2679" t="s">
        <v>121</v>
      </c>
      <c r="F2679" t="s">
        <v>117</v>
      </c>
      <c r="G2679" t="s">
        <v>118</v>
      </c>
      <c r="H2679" t="s">
        <v>131</v>
      </c>
      <c r="I2679" t="s">
        <v>132</v>
      </c>
      <c r="J2679" t="s">
        <v>94</v>
      </c>
      <c r="K2679">
        <v>9</v>
      </c>
      <c r="L2679">
        <v>14400</v>
      </c>
      <c r="M2679">
        <v>129600</v>
      </c>
      <c r="N2679" t="s">
        <v>95</v>
      </c>
      <c r="O2679" t="s">
        <v>104</v>
      </c>
    </row>
    <row r="2680" spans="1:15" x14ac:dyDescent="0.25">
      <c r="A2680">
        <v>2139</v>
      </c>
      <c r="B2680" s="10">
        <v>45945</v>
      </c>
      <c r="C2680">
        <v>15</v>
      </c>
      <c r="D2680" t="s">
        <v>136</v>
      </c>
      <c r="E2680" t="s">
        <v>128</v>
      </c>
      <c r="F2680" t="s">
        <v>117</v>
      </c>
      <c r="G2680" t="s">
        <v>118</v>
      </c>
      <c r="H2680" t="s">
        <v>29</v>
      </c>
      <c r="I2680" t="s">
        <v>30</v>
      </c>
      <c r="J2680" t="s">
        <v>103</v>
      </c>
      <c r="K2680">
        <v>15</v>
      </c>
      <c r="L2680">
        <v>14400</v>
      </c>
      <c r="M2680">
        <v>216000</v>
      </c>
      <c r="N2680" t="s">
        <v>95</v>
      </c>
      <c r="O2680" t="s">
        <v>96</v>
      </c>
    </row>
    <row r="2681" spans="1:15" x14ac:dyDescent="0.25">
      <c r="A2681">
        <v>2278</v>
      </c>
      <c r="B2681" s="10">
        <v>45696</v>
      </c>
      <c r="C2681">
        <v>8</v>
      </c>
      <c r="D2681" t="s">
        <v>97</v>
      </c>
      <c r="E2681" t="s">
        <v>25</v>
      </c>
      <c r="F2681" t="s">
        <v>141</v>
      </c>
      <c r="G2681" t="s">
        <v>100</v>
      </c>
      <c r="H2681" t="s">
        <v>29</v>
      </c>
      <c r="I2681" t="s">
        <v>30</v>
      </c>
      <c r="J2681" t="s">
        <v>103</v>
      </c>
      <c r="K2681">
        <v>42</v>
      </c>
      <c r="L2681">
        <v>14400</v>
      </c>
      <c r="M2681">
        <v>604800</v>
      </c>
      <c r="N2681" t="s">
        <v>95</v>
      </c>
      <c r="O2681" t="s">
        <v>104</v>
      </c>
    </row>
    <row r="2682" spans="1:15" x14ac:dyDescent="0.25">
      <c r="A2682">
        <v>3227</v>
      </c>
      <c r="B2682" s="10">
        <v>45685</v>
      </c>
      <c r="C2682">
        <v>28</v>
      </c>
      <c r="D2682" t="s">
        <v>130</v>
      </c>
      <c r="E2682" t="s">
        <v>138</v>
      </c>
      <c r="F2682" t="s">
        <v>144</v>
      </c>
      <c r="G2682" t="s">
        <v>91</v>
      </c>
      <c r="H2682" t="s">
        <v>131</v>
      </c>
      <c r="I2682" t="s">
        <v>132</v>
      </c>
      <c r="J2682" t="s">
        <v>94</v>
      </c>
      <c r="K2682">
        <v>7</v>
      </c>
      <c r="L2682">
        <v>14400</v>
      </c>
      <c r="M2682">
        <v>100800</v>
      </c>
      <c r="N2682" t="s">
        <v>108</v>
      </c>
      <c r="O2682" t="s">
        <v>115</v>
      </c>
    </row>
    <row r="2683" spans="1:15" x14ac:dyDescent="0.25">
      <c r="A2683">
        <v>3681</v>
      </c>
      <c r="B2683" s="10">
        <v>45682</v>
      </c>
      <c r="C2683">
        <v>25</v>
      </c>
      <c r="D2683" t="s">
        <v>130</v>
      </c>
      <c r="E2683" t="s">
        <v>31</v>
      </c>
      <c r="F2683" t="s">
        <v>117</v>
      </c>
      <c r="G2683" t="s">
        <v>118</v>
      </c>
      <c r="H2683" t="s">
        <v>29</v>
      </c>
      <c r="I2683" t="s">
        <v>30</v>
      </c>
      <c r="J2683" t="s">
        <v>103</v>
      </c>
      <c r="K2683">
        <v>9</v>
      </c>
      <c r="L2683">
        <v>14400</v>
      </c>
      <c r="M2683">
        <v>129600</v>
      </c>
      <c r="N2683" t="s">
        <v>108</v>
      </c>
      <c r="O2683" t="s">
        <v>115</v>
      </c>
    </row>
    <row r="2684" spans="1:15" x14ac:dyDescent="0.25">
      <c r="A2684">
        <v>4718</v>
      </c>
      <c r="B2684" s="10">
        <v>46006</v>
      </c>
      <c r="C2684">
        <v>15</v>
      </c>
      <c r="D2684" t="s">
        <v>125</v>
      </c>
      <c r="E2684" t="s">
        <v>121</v>
      </c>
      <c r="F2684" t="s">
        <v>117</v>
      </c>
      <c r="G2684" t="s">
        <v>118</v>
      </c>
      <c r="H2684" t="s">
        <v>29</v>
      </c>
      <c r="I2684" t="s">
        <v>42</v>
      </c>
      <c r="J2684" t="s">
        <v>103</v>
      </c>
      <c r="K2684">
        <v>10</v>
      </c>
      <c r="L2684">
        <v>14400</v>
      </c>
      <c r="M2684">
        <v>144000</v>
      </c>
      <c r="N2684" t="s">
        <v>108</v>
      </c>
      <c r="O2684" t="s">
        <v>96</v>
      </c>
    </row>
    <row r="2685" spans="1:15" x14ac:dyDescent="0.25">
      <c r="A2685">
        <v>275</v>
      </c>
      <c r="B2685" s="10">
        <v>45916</v>
      </c>
      <c r="C2685">
        <v>16</v>
      </c>
      <c r="D2685" t="s">
        <v>147</v>
      </c>
      <c r="E2685" t="s">
        <v>133</v>
      </c>
      <c r="F2685" t="s">
        <v>44</v>
      </c>
      <c r="G2685" t="s">
        <v>111</v>
      </c>
      <c r="H2685" t="s">
        <v>29</v>
      </c>
      <c r="I2685" t="s">
        <v>30</v>
      </c>
      <c r="J2685" t="s">
        <v>103</v>
      </c>
      <c r="K2685">
        <v>15</v>
      </c>
      <c r="L2685">
        <v>14500</v>
      </c>
      <c r="M2685">
        <v>217500</v>
      </c>
      <c r="N2685" t="s">
        <v>108</v>
      </c>
      <c r="O2685" t="s">
        <v>96</v>
      </c>
    </row>
    <row r="2686" spans="1:15" x14ac:dyDescent="0.25">
      <c r="A2686">
        <v>278</v>
      </c>
      <c r="B2686" s="10">
        <v>45706</v>
      </c>
      <c r="C2686">
        <v>18</v>
      </c>
      <c r="D2686" t="s">
        <v>97</v>
      </c>
      <c r="E2686" t="s">
        <v>138</v>
      </c>
      <c r="F2686" t="s">
        <v>36</v>
      </c>
      <c r="G2686" t="s">
        <v>100</v>
      </c>
      <c r="H2686" t="s">
        <v>131</v>
      </c>
      <c r="I2686" t="s">
        <v>132</v>
      </c>
      <c r="J2686" t="s">
        <v>94</v>
      </c>
      <c r="K2686">
        <v>1</v>
      </c>
      <c r="L2686">
        <v>14500</v>
      </c>
      <c r="M2686">
        <v>14500</v>
      </c>
      <c r="N2686" t="s">
        <v>108</v>
      </c>
      <c r="O2686" t="s">
        <v>115</v>
      </c>
    </row>
    <row r="2687" spans="1:15" x14ac:dyDescent="0.25">
      <c r="A2687">
        <v>1050</v>
      </c>
      <c r="B2687" s="10">
        <v>45814</v>
      </c>
      <c r="C2687">
        <v>6</v>
      </c>
      <c r="D2687" t="s">
        <v>153</v>
      </c>
      <c r="E2687" t="s">
        <v>128</v>
      </c>
      <c r="F2687" t="s">
        <v>44</v>
      </c>
      <c r="G2687" t="s">
        <v>111</v>
      </c>
      <c r="H2687" t="s">
        <v>29</v>
      </c>
      <c r="I2687" t="s">
        <v>42</v>
      </c>
      <c r="J2687" t="s">
        <v>103</v>
      </c>
      <c r="K2687">
        <v>5</v>
      </c>
      <c r="L2687">
        <v>14500</v>
      </c>
      <c r="M2687">
        <v>72500</v>
      </c>
      <c r="N2687" t="s">
        <v>95</v>
      </c>
      <c r="O2687" t="s">
        <v>96</v>
      </c>
    </row>
    <row r="2688" spans="1:15" x14ac:dyDescent="0.25">
      <c r="A2688">
        <v>1108</v>
      </c>
      <c r="B2688" s="10">
        <v>45850</v>
      </c>
      <c r="C2688">
        <v>12</v>
      </c>
      <c r="D2688" t="s">
        <v>145</v>
      </c>
      <c r="E2688" t="s">
        <v>106</v>
      </c>
      <c r="F2688" t="s">
        <v>134</v>
      </c>
      <c r="G2688" t="s">
        <v>100</v>
      </c>
      <c r="H2688" t="s">
        <v>29</v>
      </c>
      <c r="I2688" t="s">
        <v>30</v>
      </c>
      <c r="J2688" t="s">
        <v>103</v>
      </c>
      <c r="K2688">
        <v>5</v>
      </c>
      <c r="L2688">
        <v>14500</v>
      </c>
      <c r="M2688">
        <v>72500</v>
      </c>
      <c r="N2688" t="s">
        <v>95</v>
      </c>
      <c r="O2688" t="s">
        <v>115</v>
      </c>
    </row>
    <row r="2689" spans="1:15" x14ac:dyDescent="0.25">
      <c r="A2689">
        <v>1777</v>
      </c>
      <c r="B2689" s="10">
        <v>45663</v>
      </c>
      <c r="C2689">
        <v>6</v>
      </c>
      <c r="D2689" t="s">
        <v>130</v>
      </c>
      <c r="E2689" t="s">
        <v>110</v>
      </c>
      <c r="F2689" t="s">
        <v>151</v>
      </c>
      <c r="G2689" t="s">
        <v>111</v>
      </c>
      <c r="H2689" t="s">
        <v>131</v>
      </c>
      <c r="I2689" t="s">
        <v>132</v>
      </c>
      <c r="J2689" t="s">
        <v>94</v>
      </c>
      <c r="K2689">
        <v>10</v>
      </c>
      <c r="L2689">
        <v>14500</v>
      </c>
      <c r="M2689">
        <v>145000</v>
      </c>
      <c r="N2689" t="s">
        <v>108</v>
      </c>
      <c r="O2689" t="s">
        <v>115</v>
      </c>
    </row>
    <row r="2690" spans="1:15" x14ac:dyDescent="0.25">
      <c r="A2690">
        <v>1952</v>
      </c>
      <c r="B2690" s="10">
        <v>45760</v>
      </c>
      <c r="C2690">
        <v>13</v>
      </c>
      <c r="D2690" t="s">
        <v>105</v>
      </c>
      <c r="E2690" t="s">
        <v>110</v>
      </c>
      <c r="F2690" t="s">
        <v>22</v>
      </c>
      <c r="G2690" t="s">
        <v>91</v>
      </c>
      <c r="H2690" t="s">
        <v>29</v>
      </c>
      <c r="I2690" t="s">
        <v>42</v>
      </c>
      <c r="J2690" t="s">
        <v>103</v>
      </c>
      <c r="K2690">
        <v>5</v>
      </c>
      <c r="L2690">
        <v>14500</v>
      </c>
      <c r="M2690">
        <v>72500</v>
      </c>
      <c r="N2690" t="s">
        <v>108</v>
      </c>
      <c r="O2690" t="s">
        <v>96</v>
      </c>
    </row>
    <row r="2691" spans="1:15" x14ac:dyDescent="0.25">
      <c r="A2691">
        <v>2284</v>
      </c>
      <c r="B2691" s="10">
        <v>45865</v>
      </c>
      <c r="C2691">
        <v>27</v>
      </c>
      <c r="D2691" t="s">
        <v>145</v>
      </c>
      <c r="E2691" t="s">
        <v>137</v>
      </c>
      <c r="F2691" t="s">
        <v>117</v>
      </c>
      <c r="G2691" t="s">
        <v>118</v>
      </c>
      <c r="H2691" t="s">
        <v>29</v>
      </c>
      <c r="I2691" t="s">
        <v>30</v>
      </c>
      <c r="J2691" t="s">
        <v>103</v>
      </c>
      <c r="K2691">
        <v>5</v>
      </c>
      <c r="L2691">
        <v>14500</v>
      </c>
      <c r="M2691">
        <v>72500</v>
      </c>
      <c r="N2691" t="s">
        <v>108</v>
      </c>
      <c r="O2691" t="s">
        <v>96</v>
      </c>
    </row>
    <row r="2692" spans="1:15" x14ac:dyDescent="0.25">
      <c r="A2692">
        <v>2863</v>
      </c>
      <c r="B2692" s="10">
        <v>45726</v>
      </c>
      <c r="C2692">
        <v>10</v>
      </c>
      <c r="D2692" t="s">
        <v>140</v>
      </c>
      <c r="E2692" t="s">
        <v>150</v>
      </c>
      <c r="F2692" t="s">
        <v>44</v>
      </c>
      <c r="G2692" t="s">
        <v>111</v>
      </c>
      <c r="H2692" t="s">
        <v>29</v>
      </c>
      <c r="I2692" t="s">
        <v>30</v>
      </c>
      <c r="J2692" t="s">
        <v>103</v>
      </c>
      <c r="K2692">
        <v>9</v>
      </c>
      <c r="L2692">
        <v>14500</v>
      </c>
      <c r="M2692">
        <v>130500</v>
      </c>
      <c r="N2692" t="s">
        <v>95</v>
      </c>
      <c r="O2692" t="s">
        <v>104</v>
      </c>
    </row>
    <row r="2693" spans="1:15" x14ac:dyDescent="0.25">
      <c r="A2693">
        <v>3127</v>
      </c>
      <c r="B2693" s="10">
        <v>46022</v>
      </c>
      <c r="C2693">
        <v>31</v>
      </c>
      <c r="D2693" t="s">
        <v>125</v>
      </c>
      <c r="E2693" t="s">
        <v>142</v>
      </c>
      <c r="F2693" t="s">
        <v>134</v>
      </c>
      <c r="G2693" t="s">
        <v>100</v>
      </c>
      <c r="H2693" t="s">
        <v>29</v>
      </c>
      <c r="I2693" t="s">
        <v>42</v>
      </c>
      <c r="J2693" t="s">
        <v>94</v>
      </c>
      <c r="K2693">
        <v>4</v>
      </c>
      <c r="L2693">
        <v>14500</v>
      </c>
      <c r="M2693">
        <v>58000</v>
      </c>
      <c r="N2693" t="s">
        <v>108</v>
      </c>
      <c r="O2693" t="s">
        <v>104</v>
      </c>
    </row>
    <row r="2694" spans="1:15" x14ac:dyDescent="0.25">
      <c r="A2694">
        <v>3365</v>
      </c>
      <c r="B2694" s="10">
        <v>45811</v>
      </c>
      <c r="C2694">
        <v>3</v>
      </c>
      <c r="D2694" t="s">
        <v>153</v>
      </c>
      <c r="E2694" t="s">
        <v>31</v>
      </c>
      <c r="F2694" t="s">
        <v>44</v>
      </c>
      <c r="G2694" t="s">
        <v>111</v>
      </c>
      <c r="H2694" t="s">
        <v>131</v>
      </c>
      <c r="I2694" t="s">
        <v>132</v>
      </c>
      <c r="J2694" t="s">
        <v>94</v>
      </c>
      <c r="K2694">
        <v>4</v>
      </c>
      <c r="L2694">
        <v>14500</v>
      </c>
      <c r="M2694">
        <v>58000</v>
      </c>
      <c r="N2694" t="s">
        <v>108</v>
      </c>
      <c r="O2694" t="s">
        <v>96</v>
      </c>
    </row>
    <row r="2695" spans="1:15" x14ac:dyDescent="0.25">
      <c r="A2695">
        <v>4048</v>
      </c>
      <c r="B2695" s="10">
        <v>45732</v>
      </c>
      <c r="C2695">
        <v>16</v>
      </c>
      <c r="D2695" t="s">
        <v>140</v>
      </c>
      <c r="E2695" t="s">
        <v>150</v>
      </c>
      <c r="F2695" t="s">
        <v>36</v>
      </c>
      <c r="G2695" t="s">
        <v>100</v>
      </c>
      <c r="H2695" t="s">
        <v>131</v>
      </c>
      <c r="I2695" t="s">
        <v>132</v>
      </c>
      <c r="J2695" t="s">
        <v>103</v>
      </c>
      <c r="K2695">
        <v>8</v>
      </c>
      <c r="L2695">
        <v>14500</v>
      </c>
      <c r="M2695">
        <v>116000</v>
      </c>
      <c r="N2695" t="s">
        <v>95</v>
      </c>
      <c r="O2695" t="s">
        <v>104</v>
      </c>
    </row>
    <row r="2696" spans="1:15" x14ac:dyDescent="0.25">
      <c r="A2696">
        <v>4118</v>
      </c>
      <c r="B2696" s="10">
        <v>45696</v>
      </c>
      <c r="C2696">
        <v>8</v>
      </c>
      <c r="D2696" t="s">
        <v>97</v>
      </c>
      <c r="E2696" t="s">
        <v>116</v>
      </c>
      <c r="F2696" t="s">
        <v>117</v>
      </c>
      <c r="G2696" t="s">
        <v>118</v>
      </c>
      <c r="H2696" t="s">
        <v>29</v>
      </c>
      <c r="I2696" t="s">
        <v>42</v>
      </c>
      <c r="J2696" t="s">
        <v>94</v>
      </c>
      <c r="K2696">
        <v>7</v>
      </c>
      <c r="L2696">
        <v>14500</v>
      </c>
      <c r="M2696">
        <v>101500</v>
      </c>
      <c r="N2696" t="s">
        <v>108</v>
      </c>
      <c r="O2696" t="s">
        <v>104</v>
      </c>
    </row>
    <row r="2697" spans="1:15" x14ac:dyDescent="0.25">
      <c r="A2697">
        <v>4840</v>
      </c>
      <c r="B2697" s="10">
        <v>45874</v>
      </c>
      <c r="C2697">
        <v>5</v>
      </c>
      <c r="D2697" t="s">
        <v>109</v>
      </c>
      <c r="E2697" t="s">
        <v>133</v>
      </c>
      <c r="F2697" t="s">
        <v>99</v>
      </c>
      <c r="G2697" t="s">
        <v>100</v>
      </c>
      <c r="H2697" t="s">
        <v>131</v>
      </c>
      <c r="I2697" t="s">
        <v>132</v>
      </c>
      <c r="J2697" t="s">
        <v>94</v>
      </c>
      <c r="K2697">
        <v>4</v>
      </c>
      <c r="L2697">
        <v>14500</v>
      </c>
      <c r="M2697">
        <v>58000</v>
      </c>
      <c r="N2697" t="s">
        <v>108</v>
      </c>
      <c r="O2697" t="s">
        <v>115</v>
      </c>
    </row>
    <row r="2698" spans="1:15" x14ac:dyDescent="0.25">
      <c r="A2698">
        <v>4952</v>
      </c>
      <c r="B2698" s="10">
        <v>45708</v>
      </c>
      <c r="C2698">
        <v>20</v>
      </c>
      <c r="D2698" t="s">
        <v>97</v>
      </c>
      <c r="E2698" t="s">
        <v>121</v>
      </c>
      <c r="F2698" t="s">
        <v>44</v>
      </c>
      <c r="G2698" t="s">
        <v>111</v>
      </c>
      <c r="H2698" t="s">
        <v>29</v>
      </c>
      <c r="I2698" t="s">
        <v>42</v>
      </c>
      <c r="J2698" t="s">
        <v>103</v>
      </c>
      <c r="K2698">
        <v>7</v>
      </c>
      <c r="L2698">
        <v>14500</v>
      </c>
      <c r="M2698">
        <v>101500</v>
      </c>
      <c r="N2698" t="s">
        <v>95</v>
      </c>
      <c r="O2698" t="s">
        <v>115</v>
      </c>
    </row>
    <row r="2699" spans="1:15" x14ac:dyDescent="0.25">
      <c r="A2699">
        <v>427</v>
      </c>
      <c r="B2699" s="10">
        <v>45671</v>
      </c>
      <c r="C2699">
        <v>14</v>
      </c>
      <c r="D2699" t="s">
        <v>130</v>
      </c>
      <c r="E2699" t="s">
        <v>150</v>
      </c>
      <c r="F2699" t="s">
        <v>148</v>
      </c>
      <c r="G2699" t="s">
        <v>118</v>
      </c>
      <c r="H2699" t="s">
        <v>29</v>
      </c>
      <c r="I2699" t="s">
        <v>30</v>
      </c>
      <c r="J2699" t="s">
        <v>103</v>
      </c>
      <c r="K2699">
        <v>8</v>
      </c>
      <c r="L2699">
        <v>14600</v>
      </c>
      <c r="M2699">
        <v>116800</v>
      </c>
      <c r="N2699" t="s">
        <v>108</v>
      </c>
      <c r="O2699" t="s">
        <v>96</v>
      </c>
    </row>
    <row r="2700" spans="1:15" x14ac:dyDescent="0.25">
      <c r="A2700">
        <v>495</v>
      </c>
      <c r="B2700" s="10">
        <v>45908</v>
      </c>
      <c r="C2700">
        <v>8</v>
      </c>
      <c r="D2700" t="s">
        <v>147</v>
      </c>
      <c r="E2700" t="s">
        <v>150</v>
      </c>
      <c r="F2700" t="s">
        <v>117</v>
      </c>
      <c r="G2700" t="s">
        <v>118</v>
      </c>
      <c r="H2700" t="s">
        <v>29</v>
      </c>
      <c r="I2700" t="s">
        <v>42</v>
      </c>
      <c r="J2700" t="s">
        <v>103</v>
      </c>
      <c r="K2700">
        <v>6</v>
      </c>
      <c r="L2700">
        <v>14600</v>
      </c>
      <c r="M2700">
        <v>87600</v>
      </c>
      <c r="N2700" t="s">
        <v>95</v>
      </c>
      <c r="O2700" t="s">
        <v>104</v>
      </c>
    </row>
    <row r="2701" spans="1:15" x14ac:dyDescent="0.25">
      <c r="A2701">
        <v>751</v>
      </c>
      <c r="B2701" s="10">
        <v>45768</v>
      </c>
      <c r="C2701">
        <v>21</v>
      </c>
      <c r="D2701" t="s">
        <v>105</v>
      </c>
      <c r="E2701" t="s">
        <v>137</v>
      </c>
      <c r="F2701" t="s">
        <v>44</v>
      </c>
      <c r="G2701" t="s">
        <v>111</v>
      </c>
      <c r="H2701" t="s">
        <v>29</v>
      </c>
      <c r="I2701" t="s">
        <v>30</v>
      </c>
      <c r="J2701" t="s">
        <v>103</v>
      </c>
      <c r="K2701">
        <v>7</v>
      </c>
      <c r="L2701">
        <v>14600</v>
      </c>
      <c r="M2701">
        <v>102200</v>
      </c>
      <c r="N2701" t="s">
        <v>95</v>
      </c>
      <c r="O2701" t="s">
        <v>104</v>
      </c>
    </row>
    <row r="2702" spans="1:15" x14ac:dyDescent="0.25">
      <c r="A2702">
        <v>1529</v>
      </c>
      <c r="B2702" s="10">
        <v>46008</v>
      </c>
      <c r="C2702">
        <v>17</v>
      </c>
      <c r="D2702" t="s">
        <v>125</v>
      </c>
      <c r="E2702" t="s">
        <v>137</v>
      </c>
      <c r="F2702" t="s">
        <v>141</v>
      </c>
      <c r="G2702" t="s">
        <v>100</v>
      </c>
      <c r="H2702" t="s">
        <v>131</v>
      </c>
      <c r="I2702" t="s">
        <v>132</v>
      </c>
      <c r="J2702" t="s">
        <v>94</v>
      </c>
      <c r="K2702">
        <v>9</v>
      </c>
      <c r="L2702">
        <v>14600</v>
      </c>
      <c r="M2702">
        <v>131400</v>
      </c>
      <c r="N2702" t="s">
        <v>95</v>
      </c>
      <c r="O2702" t="s">
        <v>104</v>
      </c>
    </row>
    <row r="2703" spans="1:15" x14ac:dyDescent="0.25">
      <c r="A2703">
        <v>3029</v>
      </c>
      <c r="B2703" s="10">
        <v>45705</v>
      </c>
      <c r="C2703">
        <v>17</v>
      </c>
      <c r="D2703" t="s">
        <v>97</v>
      </c>
      <c r="E2703" t="s">
        <v>110</v>
      </c>
      <c r="F2703" t="s">
        <v>49</v>
      </c>
      <c r="G2703" t="s">
        <v>118</v>
      </c>
      <c r="H2703" t="s">
        <v>131</v>
      </c>
      <c r="I2703" t="s">
        <v>132</v>
      </c>
      <c r="J2703" t="s">
        <v>94</v>
      </c>
      <c r="K2703">
        <v>10</v>
      </c>
      <c r="L2703">
        <v>14600</v>
      </c>
      <c r="M2703">
        <v>146000</v>
      </c>
      <c r="N2703" t="s">
        <v>95</v>
      </c>
      <c r="O2703" t="s">
        <v>104</v>
      </c>
    </row>
    <row r="2704" spans="1:15" x14ac:dyDescent="0.25">
      <c r="A2704">
        <v>3943</v>
      </c>
      <c r="B2704" s="10">
        <v>45832</v>
      </c>
      <c r="C2704">
        <v>24</v>
      </c>
      <c r="D2704" t="s">
        <v>153</v>
      </c>
      <c r="E2704" t="s">
        <v>133</v>
      </c>
      <c r="F2704" t="s">
        <v>107</v>
      </c>
      <c r="G2704" t="s">
        <v>100</v>
      </c>
      <c r="H2704" t="s">
        <v>131</v>
      </c>
      <c r="I2704" t="s">
        <v>132</v>
      </c>
      <c r="J2704" t="s">
        <v>94</v>
      </c>
      <c r="K2704">
        <v>10</v>
      </c>
      <c r="L2704">
        <v>14600</v>
      </c>
      <c r="M2704">
        <v>146000</v>
      </c>
      <c r="N2704" t="s">
        <v>108</v>
      </c>
      <c r="O2704" t="s">
        <v>104</v>
      </c>
    </row>
    <row r="2705" spans="1:15" x14ac:dyDescent="0.25">
      <c r="A2705">
        <v>4001</v>
      </c>
      <c r="B2705" s="10">
        <v>45708</v>
      </c>
      <c r="C2705">
        <v>20</v>
      </c>
      <c r="D2705" t="s">
        <v>97</v>
      </c>
      <c r="E2705" t="s">
        <v>128</v>
      </c>
      <c r="F2705" t="s">
        <v>49</v>
      </c>
      <c r="G2705" t="s">
        <v>118</v>
      </c>
      <c r="H2705" t="s">
        <v>29</v>
      </c>
      <c r="I2705" t="s">
        <v>30</v>
      </c>
      <c r="J2705" t="s">
        <v>103</v>
      </c>
      <c r="K2705">
        <v>19</v>
      </c>
      <c r="L2705">
        <v>14600</v>
      </c>
      <c r="M2705">
        <v>277400</v>
      </c>
      <c r="N2705" t="s">
        <v>108</v>
      </c>
      <c r="O2705" t="s">
        <v>115</v>
      </c>
    </row>
    <row r="2706" spans="1:15" x14ac:dyDescent="0.25">
      <c r="A2706">
        <v>4184</v>
      </c>
      <c r="B2706" s="10">
        <v>45940</v>
      </c>
      <c r="C2706">
        <v>10</v>
      </c>
      <c r="D2706" t="s">
        <v>136</v>
      </c>
      <c r="E2706" t="s">
        <v>31</v>
      </c>
      <c r="F2706" t="s">
        <v>134</v>
      </c>
      <c r="G2706" t="s">
        <v>100</v>
      </c>
      <c r="H2706" t="s">
        <v>131</v>
      </c>
      <c r="I2706" t="s">
        <v>132</v>
      </c>
      <c r="J2706" t="s">
        <v>94</v>
      </c>
      <c r="K2706">
        <v>5</v>
      </c>
      <c r="L2706">
        <v>14600</v>
      </c>
      <c r="M2706">
        <v>73000</v>
      </c>
      <c r="N2706" t="s">
        <v>95</v>
      </c>
      <c r="O2706" t="s">
        <v>115</v>
      </c>
    </row>
    <row r="2707" spans="1:15" x14ac:dyDescent="0.25">
      <c r="A2707">
        <v>4260</v>
      </c>
      <c r="B2707" s="10">
        <v>45710</v>
      </c>
      <c r="C2707">
        <v>22</v>
      </c>
      <c r="D2707" t="s">
        <v>97</v>
      </c>
      <c r="E2707" t="s">
        <v>161</v>
      </c>
      <c r="F2707" t="s">
        <v>148</v>
      </c>
      <c r="G2707" t="s">
        <v>118</v>
      </c>
      <c r="H2707" t="s">
        <v>29</v>
      </c>
      <c r="I2707" t="s">
        <v>30</v>
      </c>
      <c r="J2707" t="s">
        <v>103</v>
      </c>
      <c r="K2707">
        <v>35</v>
      </c>
      <c r="L2707">
        <v>14600</v>
      </c>
      <c r="M2707">
        <v>511000</v>
      </c>
      <c r="N2707" t="s">
        <v>108</v>
      </c>
      <c r="O2707" t="s">
        <v>96</v>
      </c>
    </row>
    <row r="2708" spans="1:15" x14ac:dyDescent="0.25">
      <c r="A2708">
        <v>4534</v>
      </c>
      <c r="B2708" s="10">
        <v>45796</v>
      </c>
      <c r="C2708">
        <v>19</v>
      </c>
      <c r="D2708" t="s">
        <v>120</v>
      </c>
      <c r="E2708" t="s">
        <v>128</v>
      </c>
      <c r="F2708" t="s">
        <v>49</v>
      </c>
      <c r="G2708" t="s">
        <v>118</v>
      </c>
      <c r="H2708" t="s">
        <v>29</v>
      </c>
      <c r="I2708" t="s">
        <v>30</v>
      </c>
      <c r="J2708" t="s">
        <v>103</v>
      </c>
      <c r="K2708">
        <v>11</v>
      </c>
      <c r="L2708">
        <v>14600</v>
      </c>
      <c r="M2708">
        <v>160600</v>
      </c>
      <c r="N2708" t="s">
        <v>95</v>
      </c>
      <c r="O2708" t="s">
        <v>96</v>
      </c>
    </row>
    <row r="2709" spans="1:15" x14ac:dyDescent="0.25">
      <c r="A2709">
        <v>12</v>
      </c>
      <c r="B2709" s="10">
        <v>45674</v>
      </c>
      <c r="C2709">
        <v>17</v>
      </c>
      <c r="D2709" t="s">
        <v>130</v>
      </c>
      <c r="E2709" t="s">
        <v>112</v>
      </c>
      <c r="F2709" t="s">
        <v>113</v>
      </c>
      <c r="G2709" t="s">
        <v>114</v>
      </c>
      <c r="H2709" t="s">
        <v>131</v>
      </c>
      <c r="I2709" t="s">
        <v>132</v>
      </c>
      <c r="J2709" t="s">
        <v>94</v>
      </c>
      <c r="K2709">
        <v>4</v>
      </c>
      <c r="L2709">
        <v>14700</v>
      </c>
      <c r="M2709">
        <v>58800</v>
      </c>
      <c r="N2709" t="s">
        <v>108</v>
      </c>
      <c r="O2709" t="s">
        <v>104</v>
      </c>
    </row>
    <row r="2710" spans="1:15" x14ac:dyDescent="0.25">
      <c r="A2710">
        <v>1604</v>
      </c>
      <c r="B2710" s="10">
        <v>45977</v>
      </c>
      <c r="C2710">
        <v>16</v>
      </c>
      <c r="D2710" t="s">
        <v>90</v>
      </c>
      <c r="E2710" t="s">
        <v>133</v>
      </c>
      <c r="F2710" t="s">
        <v>148</v>
      </c>
      <c r="G2710" t="s">
        <v>118</v>
      </c>
      <c r="H2710" t="s">
        <v>29</v>
      </c>
      <c r="I2710" t="s">
        <v>30</v>
      </c>
      <c r="J2710" t="s">
        <v>103</v>
      </c>
      <c r="K2710">
        <v>45</v>
      </c>
      <c r="L2710">
        <v>14700</v>
      </c>
      <c r="M2710">
        <v>661500</v>
      </c>
      <c r="N2710" t="s">
        <v>95</v>
      </c>
      <c r="O2710" t="s">
        <v>115</v>
      </c>
    </row>
    <row r="2711" spans="1:15" x14ac:dyDescent="0.25">
      <c r="A2711">
        <v>1672</v>
      </c>
      <c r="B2711" s="10">
        <v>45900</v>
      </c>
      <c r="C2711">
        <v>31</v>
      </c>
      <c r="D2711" t="s">
        <v>109</v>
      </c>
      <c r="E2711" t="s">
        <v>106</v>
      </c>
      <c r="F2711" t="s">
        <v>117</v>
      </c>
      <c r="G2711" t="s">
        <v>118</v>
      </c>
      <c r="H2711" t="s">
        <v>131</v>
      </c>
      <c r="I2711" t="s">
        <v>132</v>
      </c>
      <c r="J2711" t="s">
        <v>94</v>
      </c>
      <c r="K2711">
        <v>5</v>
      </c>
      <c r="L2711">
        <v>14700</v>
      </c>
      <c r="M2711">
        <v>73500</v>
      </c>
      <c r="N2711" t="s">
        <v>95</v>
      </c>
      <c r="O2711" t="s">
        <v>96</v>
      </c>
    </row>
    <row r="2712" spans="1:15" x14ac:dyDescent="0.25">
      <c r="A2712">
        <v>2295</v>
      </c>
      <c r="B2712" s="10">
        <v>45934</v>
      </c>
      <c r="C2712">
        <v>4</v>
      </c>
      <c r="D2712" t="s">
        <v>136</v>
      </c>
      <c r="E2712" t="s">
        <v>112</v>
      </c>
      <c r="F2712" t="s">
        <v>122</v>
      </c>
      <c r="G2712" t="s">
        <v>114</v>
      </c>
      <c r="H2712" t="s">
        <v>29</v>
      </c>
      <c r="I2712" t="s">
        <v>30</v>
      </c>
      <c r="J2712" t="s">
        <v>103</v>
      </c>
      <c r="K2712">
        <v>22</v>
      </c>
      <c r="L2712">
        <v>14700</v>
      </c>
      <c r="M2712">
        <v>323400</v>
      </c>
      <c r="N2712" t="s">
        <v>108</v>
      </c>
      <c r="O2712" t="s">
        <v>104</v>
      </c>
    </row>
    <row r="2713" spans="1:15" x14ac:dyDescent="0.25">
      <c r="A2713">
        <v>2473</v>
      </c>
      <c r="B2713" s="10">
        <v>45826</v>
      </c>
      <c r="C2713">
        <v>18</v>
      </c>
      <c r="D2713" t="s">
        <v>153</v>
      </c>
      <c r="E2713" t="s">
        <v>161</v>
      </c>
      <c r="F2713" t="s">
        <v>122</v>
      </c>
      <c r="G2713" t="s">
        <v>114</v>
      </c>
      <c r="H2713" t="s">
        <v>29</v>
      </c>
      <c r="I2713" t="s">
        <v>30</v>
      </c>
      <c r="J2713" t="s">
        <v>103</v>
      </c>
      <c r="K2713">
        <v>43</v>
      </c>
      <c r="L2713">
        <v>14700</v>
      </c>
      <c r="M2713">
        <v>632100</v>
      </c>
      <c r="N2713" t="s">
        <v>95</v>
      </c>
      <c r="O2713" t="s">
        <v>115</v>
      </c>
    </row>
    <row r="2714" spans="1:15" x14ac:dyDescent="0.25">
      <c r="A2714">
        <v>2799</v>
      </c>
      <c r="B2714" s="10">
        <v>45895</v>
      </c>
      <c r="C2714">
        <v>26</v>
      </c>
      <c r="D2714" t="s">
        <v>109</v>
      </c>
      <c r="E2714" t="s">
        <v>133</v>
      </c>
      <c r="F2714" t="s">
        <v>36</v>
      </c>
      <c r="G2714" t="s">
        <v>100</v>
      </c>
      <c r="H2714" t="s">
        <v>131</v>
      </c>
      <c r="I2714" t="s">
        <v>132</v>
      </c>
      <c r="J2714" t="s">
        <v>94</v>
      </c>
      <c r="K2714">
        <v>10</v>
      </c>
      <c r="L2714">
        <v>14700</v>
      </c>
      <c r="M2714">
        <v>147000</v>
      </c>
      <c r="N2714" t="s">
        <v>108</v>
      </c>
      <c r="O2714" t="s">
        <v>96</v>
      </c>
    </row>
    <row r="2715" spans="1:15" x14ac:dyDescent="0.25">
      <c r="A2715">
        <v>3026</v>
      </c>
      <c r="B2715" s="10">
        <v>45828</v>
      </c>
      <c r="C2715">
        <v>20</v>
      </c>
      <c r="D2715" t="s">
        <v>153</v>
      </c>
      <c r="E2715" t="s">
        <v>112</v>
      </c>
      <c r="F2715" t="s">
        <v>148</v>
      </c>
      <c r="G2715" t="s">
        <v>118</v>
      </c>
      <c r="H2715" t="s">
        <v>131</v>
      </c>
      <c r="I2715" t="s">
        <v>132</v>
      </c>
      <c r="J2715" t="s">
        <v>94</v>
      </c>
      <c r="K2715">
        <v>1</v>
      </c>
      <c r="L2715">
        <v>14700</v>
      </c>
      <c r="M2715">
        <v>14700</v>
      </c>
      <c r="N2715" t="s">
        <v>95</v>
      </c>
      <c r="O2715" t="s">
        <v>104</v>
      </c>
    </row>
    <row r="2716" spans="1:15" x14ac:dyDescent="0.25">
      <c r="A2716">
        <v>3315</v>
      </c>
      <c r="B2716" s="10">
        <v>45700</v>
      </c>
      <c r="C2716">
        <v>12</v>
      </c>
      <c r="D2716" t="s">
        <v>97</v>
      </c>
      <c r="E2716" t="s">
        <v>128</v>
      </c>
      <c r="F2716" t="s">
        <v>122</v>
      </c>
      <c r="G2716" t="s">
        <v>114</v>
      </c>
      <c r="H2716" t="s">
        <v>131</v>
      </c>
      <c r="I2716" t="s">
        <v>132</v>
      </c>
      <c r="J2716" t="s">
        <v>94</v>
      </c>
      <c r="K2716">
        <v>7</v>
      </c>
      <c r="L2716">
        <v>14700</v>
      </c>
      <c r="M2716">
        <v>102900</v>
      </c>
      <c r="N2716" t="s">
        <v>95</v>
      </c>
      <c r="O2716" t="s">
        <v>115</v>
      </c>
    </row>
    <row r="2717" spans="1:15" x14ac:dyDescent="0.25">
      <c r="A2717">
        <v>4077</v>
      </c>
      <c r="B2717" s="10">
        <v>45773</v>
      </c>
      <c r="C2717">
        <v>26</v>
      </c>
      <c r="D2717" t="s">
        <v>105</v>
      </c>
      <c r="E2717" t="s">
        <v>142</v>
      </c>
      <c r="F2717" t="s">
        <v>22</v>
      </c>
      <c r="G2717" t="s">
        <v>91</v>
      </c>
      <c r="H2717" t="s">
        <v>131</v>
      </c>
      <c r="I2717" t="s">
        <v>132</v>
      </c>
      <c r="J2717" t="s">
        <v>94</v>
      </c>
      <c r="K2717">
        <v>1</v>
      </c>
      <c r="L2717">
        <v>14700</v>
      </c>
      <c r="M2717">
        <v>14700</v>
      </c>
      <c r="N2717" t="s">
        <v>108</v>
      </c>
      <c r="O2717" t="s">
        <v>115</v>
      </c>
    </row>
    <row r="2718" spans="1:15" x14ac:dyDescent="0.25">
      <c r="A2718">
        <v>4180</v>
      </c>
      <c r="B2718" s="10">
        <v>45992</v>
      </c>
      <c r="C2718">
        <v>1</v>
      </c>
      <c r="D2718" t="s">
        <v>125</v>
      </c>
      <c r="E2718" t="s">
        <v>106</v>
      </c>
      <c r="F2718" t="s">
        <v>44</v>
      </c>
      <c r="G2718" t="s">
        <v>111</v>
      </c>
      <c r="H2718" t="s">
        <v>131</v>
      </c>
      <c r="I2718" t="s">
        <v>132</v>
      </c>
      <c r="J2718" t="s">
        <v>94</v>
      </c>
      <c r="K2718">
        <v>7</v>
      </c>
      <c r="L2718">
        <v>14700</v>
      </c>
      <c r="M2718">
        <v>102900</v>
      </c>
      <c r="N2718" t="s">
        <v>95</v>
      </c>
      <c r="O2718" t="s">
        <v>96</v>
      </c>
    </row>
    <row r="2719" spans="1:15" x14ac:dyDescent="0.25">
      <c r="A2719">
        <v>4745</v>
      </c>
      <c r="B2719" s="10">
        <v>45873</v>
      </c>
      <c r="C2719">
        <v>4</v>
      </c>
      <c r="D2719" t="s">
        <v>109</v>
      </c>
      <c r="E2719" t="s">
        <v>110</v>
      </c>
      <c r="F2719" t="s">
        <v>148</v>
      </c>
      <c r="G2719" t="s">
        <v>118</v>
      </c>
      <c r="H2719" t="s">
        <v>29</v>
      </c>
      <c r="I2719" t="s">
        <v>42</v>
      </c>
      <c r="J2719" t="s">
        <v>103</v>
      </c>
      <c r="K2719">
        <v>20</v>
      </c>
      <c r="L2719">
        <v>14700</v>
      </c>
      <c r="M2719">
        <v>294000</v>
      </c>
      <c r="N2719" t="s">
        <v>95</v>
      </c>
      <c r="O2719" t="s">
        <v>104</v>
      </c>
    </row>
    <row r="2720" spans="1:15" x14ac:dyDescent="0.25">
      <c r="A2720">
        <v>4949</v>
      </c>
      <c r="B2720" s="10">
        <v>45783</v>
      </c>
      <c r="C2720">
        <v>6</v>
      </c>
      <c r="D2720" t="s">
        <v>120</v>
      </c>
      <c r="E2720" t="s">
        <v>121</v>
      </c>
      <c r="F2720" t="s">
        <v>122</v>
      </c>
      <c r="G2720" t="s">
        <v>114</v>
      </c>
      <c r="H2720" t="s">
        <v>131</v>
      </c>
      <c r="I2720" t="s">
        <v>132</v>
      </c>
      <c r="J2720" t="s">
        <v>94</v>
      </c>
      <c r="K2720">
        <v>3</v>
      </c>
      <c r="L2720">
        <v>14700</v>
      </c>
      <c r="M2720">
        <v>44100</v>
      </c>
      <c r="N2720" t="s">
        <v>108</v>
      </c>
      <c r="O2720" t="s">
        <v>115</v>
      </c>
    </row>
    <row r="2721" spans="1:15" x14ac:dyDescent="0.25">
      <c r="A2721">
        <v>44</v>
      </c>
      <c r="B2721" s="10">
        <v>45684</v>
      </c>
      <c r="C2721">
        <v>27</v>
      </c>
      <c r="D2721" t="s">
        <v>130</v>
      </c>
      <c r="E2721" t="s">
        <v>31</v>
      </c>
      <c r="F2721" t="s">
        <v>122</v>
      </c>
      <c r="G2721" t="s">
        <v>114</v>
      </c>
      <c r="H2721" t="s">
        <v>131</v>
      </c>
      <c r="I2721" t="s">
        <v>132</v>
      </c>
      <c r="J2721" t="s">
        <v>94</v>
      </c>
      <c r="K2721">
        <v>1</v>
      </c>
      <c r="L2721">
        <v>14800</v>
      </c>
      <c r="M2721">
        <v>14800</v>
      </c>
      <c r="N2721" t="s">
        <v>108</v>
      </c>
      <c r="O2721" t="s">
        <v>104</v>
      </c>
    </row>
    <row r="2722" spans="1:15" x14ac:dyDescent="0.25">
      <c r="A2722">
        <v>310</v>
      </c>
      <c r="B2722" s="10">
        <v>45957</v>
      </c>
      <c r="C2722">
        <v>27</v>
      </c>
      <c r="D2722" t="s">
        <v>136</v>
      </c>
      <c r="E2722" t="s">
        <v>110</v>
      </c>
      <c r="F2722" t="s">
        <v>99</v>
      </c>
      <c r="G2722" t="s">
        <v>100</v>
      </c>
      <c r="H2722" t="s">
        <v>131</v>
      </c>
      <c r="I2722" t="s">
        <v>132</v>
      </c>
      <c r="J2722" t="s">
        <v>94</v>
      </c>
      <c r="K2722">
        <v>4</v>
      </c>
      <c r="L2722">
        <v>14800</v>
      </c>
      <c r="M2722">
        <v>59200</v>
      </c>
      <c r="N2722" t="s">
        <v>108</v>
      </c>
      <c r="O2722" t="s">
        <v>104</v>
      </c>
    </row>
    <row r="2723" spans="1:15" x14ac:dyDescent="0.25">
      <c r="A2723">
        <v>948</v>
      </c>
      <c r="B2723" s="10">
        <v>45800</v>
      </c>
      <c r="C2723">
        <v>23</v>
      </c>
      <c r="D2723" t="s">
        <v>120</v>
      </c>
      <c r="E2723" t="s">
        <v>98</v>
      </c>
      <c r="F2723" t="s">
        <v>107</v>
      </c>
      <c r="G2723" t="s">
        <v>100</v>
      </c>
      <c r="H2723" t="s">
        <v>29</v>
      </c>
      <c r="I2723" t="s">
        <v>30</v>
      </c>
      <c r="J2723" t="s">
        <v>103</v>
      </c>
      <c r="K2723">
        <v>6</v>
      </c>
      <c r="L2723">
        <v>14800</v>
      </c>
      <c r="M2723">
        <v>88800</v>
      </c>
      <c r="N2723" t="s">
        <v>95</v>
      </c>
      <c r="O2723" t="s">
        <v>104</v>
      </c>
    </row>
    <row r="2724" spans="1:15" x14ac:dyDescent="0.25">
      <c r="A2724">
        <v>1731</v>
      </c>
      <c r="B2724" s="10">
        <v>45988</v>
      </c>
      <c r="C2724">
        <v>27</v>
      </c>
      <c r="D2724" t="s">
        <v>90</v>
      </c>
      <c r="E2724" t="s">
        <v>112</v>
      </c>
      <c r="F2724" t="s">
        <v>36</v>
      </c>
      <c r="G2724" t="s">
        <v>100</v>
      </c>
      <c r="H2724" t="s">
        <v>131</v>
      </c>
      <c r="I2724" t="s">
        <v>132</v>
      </c>
      <c r="J2724" t="s">
        <v>94</v>
      </c>
      <c r="K2724">
        <v>4</v>
      </c>
      <c r="L2724">
        <v>14800</v>
      </c>
      <c r="M2724">
        <v>59200</v>
      </c>
      <c r="N2724" t="s">
        <v>95</v>
      </c>
      <c r="O2724" t="s">
        <v>96</v>
      </c>
    </row>
    <row r="2725" spans="1:15" x14ac:dyDescent="0.25">
      <c r="A2725">
        <v>2201</v>
      </c>
      <c r="B2725" s="10">
        <v>45898</v>
      </c>
      <c r="C2725">
        <v>29</v>
      </c>
      <c r="D2725" t="s">
        <v>109</v>
      </c>
      <c r="E2725" t="s">
        <v>25</v>
      </c>
      <c r="F2725" t="s">
        <v>134</v>
      </c>
      <c r="G2725" t="s">
        <v>100</v>
      </c>
      <c r="H2725" t="s">
        <v>29</v>
      </c>
      <c r="I2725" t="s">
        <v>42</v>
      </c>
      <c r="J2725" t="s">
        <v>103</v>
      </c>
      <c r="K2725">
        <v>43</v>
      </c>
      <c r="L2725">
        <v>14800</v>
      </c>
      <c r="M2725">
        <v>636400</v>
      </c>
      <c r="N2725" t="s">
        <v>108</v>
      </c>
      <c r="O2725" t="s">
        <v>96</v>
      </c>
    </row>
    <row r="2726" spans="1:15" x14ac:dyDescent="0.25">
      <c r="A2726">
        <v>2835</v>
      </c>
      <c r="B2726" s="10">
        <v>45722</v>
      </c>
      <c r="C2726">
        <v>6</v>
      </c>
      <c r="D2726" t="s">
        <v>140</v>
      </c>
      <c r="E2726" t="s">
        <v>121</v>
      </c>
      <c r="F2726" t="s">
        <v>148</v>
      </c>
      <c r="G2726" t="s">
        <v>118</v>
      </c>
      <c r="H2726" t="s">
        <v>131</v>
      </c>
      <c r="I2726" t="s">
        <v>132</v>
      </c>
      <c r="J2726" t="s">
        <v>94</v>
      </c>
      <c r="K2726">
        <v>6</v>
      </c>
      <c r="L2726">
        <v>14800</v>
      </c>
      <c r="M2726">
        <v>88800</v>
      </c>
      <c r="N2726" t="s">
        <v>108</v>
      </c>
      <c r="O2726" t="s">
        <v>104</v>
      </c>
    </row>
    <row r="2727" spans="1:15" x14ac:dyDescent="0.25">
      <c r="A2727">
        <v>2857</v>
      </c>
      <c r="B2727" s="10">
        <v>45890</v>
      </c>
      <c r="C2727">
        <v>21</v>
      </c>
      <c r="D2727" t="s">
        <v>109</v>
      </c>
      <c r="E2727" t="s">
        <v>116</v>
      </c>
      <c r="F2727" t="s">
        <v>144</v>
      </c>
      <c r="G2727" t="s">
        <v>91</v>
      </c>
      <c r="H2727" t="s">
        <v>29</v>
      </c>
      <c r="I2727" t="s">
        <v>30</v>
      </c>
      <c r="J2727" t="s">
        <v>103</v>
      </c>
      <c r="K2727">
        <v>40</v>
      </c>
      <c r="L2727">
        <v>14800</v>
      </c>
      <c r="M2727">
        <v>592000</v>
      </c>
      <c r="N2727" t="s">
        <v>95</v>
      </c>
      <c r="O2727" t="s">
        <v>104</v>
      </c>
    </row>
    <row r="2728" spans="1:15" x14ac:dyDescent="0.25">
      <c r="A2728">
        <v>2958</v>
      </c>
      <c r="B2728" s="10">
        <v>45719</v>
      </c>
      <c r="C2728">
        <v>3</v>
      </c>
      <c r="D2728" t="s">
        <v>140</v>
      </c>
      <c r="E2728" t="s">
        <v>137</v>
      </c>
      <c r="F2728" t="s">
        <v>49</v>
      </c>
      <c r="G2728" t="s">
        <v>118</v>
      </c>
      <c r="H2728" t="s">
        <v>131</v>
      </c>
      <c r="I2728" t="s">
        <v>132</v>
      </c>
      <c r="J2728" t="s">
        <v>94</v>
      </c>
      <c r="K2728">
        <v>1</v>
      </c>
      <c r="L2728">
        <v>14800</v>
      </c>
      <c r="M2728">
        <v>14800</v>
      </c>
      <c r="N2728" t="s">
        <v>108</v>
      </c>
      <c r="O2728" t="s">
        <v>115</v>
      </c>
    </row>
    <row r="2729" spans="1:15" x14ac:dyDescent="0.25">
      <c r="A2729">
        <v>3032</v>
      </c>
      <c r="B2729" s="10">
        <v>45854</v>
      </c>
      <c r="C2729">
        <v>16</v>
      </c>
      <c r="D2729" t="s">
        <v>145</v>
      </c>
      <c r="E2729" t="s">
        <v>31</v>
      </c>
      <c r="F2729" t="s">
        <v>144</v>
      </c>
      <c r="G2729" t="s">
        <v>91</v>
      </c>
      <c r="H2729" t="s">
        <v>29</v>
      </c>
      <c r="I2729" t="s">
        <v>30</v>
      </c>
      <c r="J2729" t="s">
        <v>103</v>
      </c>
      <c r="K2729">
        <v>12</v>
      </c>
      <c r="L2729">
        <v>14800</v>
      </c>
      <c r="M2729">
        <v>177600</v>
      </c>
      <c r="N2729" t="s">
        <v>108</v>
      </c>
      <c r="O2729" t="s">
        <v>104</v>
      </c>
    </row>
    <row r="2730" spans="1:15" x14ac:dyDescent="0.25">
      <c r="A2730">
        <v>3053</v>
      </c>
      <c r="B2730" s="10">
        <v>45757</v>
      </c>
      <c r="C2730">
        <v>10</v>
      </c>
      <c r="D2730" t="s">
        <v>105</v>
      </c>
      <c r="E2730" t="s">
        <v>138</v>
      </c>
      <c r="F2730" t="s">
        <v>28</v>
      </c>
      <c r="G2730" t="s">
        <v>126</v>
      </c>
      <c r="H2730" t="s">
        <v>131</v>
      </c>
      <c r="I2730" t="s">
        <v>132</v>
      </c>
      <c r="J2730" t="s">
        <v>94</v>
      </c>
      <c r="K2730">
        <v>1</v>
      </c>
      <c r="L2730">
        <v>14800</v>
      </c>
      <c r="M2730">
        <v>14800</v>
      </c>
      <c r="N2730" t="s">
        <v>95</v>
      </c>
      <c r="O2730" t="s">
        <v>96</v>
      </c>
    </row>
    <row r="2731" spans="1:15" x14ac:dyDescent="0.25">
      <c r="A2731">
        <v>3055</v>
      </c>
      <c r="B2731" s="10">
        <v>45933</v>
      </c>
      <c r="C2731">
        <v>3</v>
      </c>
      <c r="D2731" t="s">
        <v>136</v>
      </c>
      <c r="E2731" t="s">
        <v>110</v>
      </c>
      <c r="F2731" t="s">
        <v>36</v>
      </c>
      <c r="G2731" t="s">
        <v>100</v>
      </c>
      <c r="H2731" t="s">
        <v>29</v>
      </c>
      <c r="I2731" t="s">
        <v>42</v>
      </c>
      <c r="J2731" t="s">
        <v>103</v>
      </c>
      <c r="K2731">
        <v>34</v>
      </c>
      <c r="L2731">
        <v>14800</v>
      </c>
      <c r="M2731">
        <v>503200</v>
      </c>
      <c r="N2731" t="s">
        <v>95</v>
      </c>
      <c r="O2731" t="s">
        <v>104</v>
      </c>
    </row>
    <row r="2732" spans="1:15" x14ac:dyDescent="0.25">
      <c r="A2732">
        <v>3258</v>
      </c>
      <c r="B2732" s="10">
        <v>45971</v>
      </c>
      <c r="C2732">
        <v>10</v>
      </c>
      <c r="D2732" t="s">
        <v>90</v>
      </c>
      <c r="E2732" t="s">
        <v>161</v>
      </c>
      <c r="F2732" t="s">
        <v>107</v>
      </c>
      <c r="G2732" t="s">
        <v>100</v>
      </c>
      <c r="H2732" t="s">
        <v>29</v>
      </c>
      <c r="I2732" t="s">
        <v>30</v>
      </c>
      <c r="J2732" t="s">
        <v>103</v>
      </c>
      <c r="K2732">
        <v>9</v>
      </c>
      <c r="L2732">
        <v>14800</v>
      </c>
      <c r="M2732">
        <v>133200</v>
      </c>
      <c r="N2732" t="s">
        <v>95</v>
      </c>
      <c r="O2732" t="s">
        <v>115</v>
      </c>
    </row>
    <row r="2733" spans="1:15" x14ac:dyDescent="0.25">
      <c r="A2733">
        <v>384</v>
      </c>
      <c r="B2733" s="10">
        <v>45702</v>
      </c>
      <c r="C2733">
        <v>14</v>
      </c>
      <c r="D2733" t="s">
        <v>97</v>
      </c>
      <c r="E2733" t="s">
        <v>128</v>
      </c>
      <c r="F2733" t="s">
        <v>28</v>
      </c>
      <c r="G2733" t="s">
        <v>126</v>
      </c>
      <c r="H2733" t="s">
        <v>29</v>
      </c>
      <c r="I2733" t="s">
        <v>30</v>
      </c>
      <c r="J2733" t="s">
        <v>103</v>
      </c>
      <c r="K2733">
        <v>27</v>
      </c>
      <c r="L2733">
        <v>14900</v>
      </c>
      <c r="M2733">
        <v>402300</v>
      </c>
      <c r="N2733" t="s">
        <v>108</v>
      </c>
      <c r="O2733" t="s">
        <v>115</v>
      </c>
    </row>
    <row r="2734" spans="1:15" x14ac:dyDescent="0.25">
      <c r="A2734">
        <v>506</v>
      </c>
      <c r="B2734" s="10">
        <v>45895</v>
      </c>
      <c r="C2734">
        <v>26</v>
      </c>
      <c r="D2734" t="s">
        <v>109</v>
      </c>
      <c r="E2734" t="s">
        <v>25</v>
      </c>
      <c r="F2734" t="s">
        <v>28</v>
      </c>
      <c r="G2734" t="s">
        <v>126</v>
      </c>
      <c r="H2734" t="s">
        <v>29</v>
      </c>
      <c r="I2734" t="s">
        <v>30</v>
      </c>
      <c r="J2734" t="s">
        <v>103</v>
      </c>
      <c r="K2734">
        <v>28</v>
      </c>
      <c r="L2734">
        <v>14900</v>
      </c>
      <c r="M2734">
        <v>417200</v>
      </c>
      <c r="N2734" t="s">
        <v>108</v>
      </c>
      <c r="O2734" t="s">
        <v>115</v>
      </c>
    </row>
    <row r="2735" spans="1:15" x14ac:dyDescent="0.25">
      <c r="A2735">
        <v>552</v>
      </c>
      <c r="B2735" s="10">
        <v>46009</v>
      </c>
      <c r="C2735">
        <v>18</v>
      </c>
      <c r="D2735" t="s">
        <v>125</v>
      </c>
      <c r="E2735" t="s">
        <v>138</v>
      </c>
      <c r="F2735" t="s">
        <v>22</v>
      </c>
      <c r="G2735" t="s">
        <v>91</v>
      </c>
      <c r="H2735" t="s">
        <v>131</v>
      </c>
      <c r="I2735" t="s">
        <v>132</v>
      </c>
      <c r="J2735" t="s">
        <v>94</v>
      </c>
      <c r="K2735">
        <v>2</v>
      </c>
      <c r="L2735">
        <v>14900</v>
      </c>
      <c r="M2735">
        <v>29800</v>
      </c>
      <c r="N2735" t="s">
        <v>95</v>
      </c>
      <c r="O2735" t="s">
        <v>104</v>
      </c>
    </row>
    <row r="2736" spans="1:15" x14ac:dyDescent="0.25">
      <c r="A2736">
        <v>1226</v>
      </c>
      <c r="B2736" s="10">
        <v>45728</v>
      </c>
      <c r="C2736">
        <v>12</v>
      </c>
      <c r="D2736" t="s">
        <v>140</v>
      </c>
      <c r="E2736" t="s">
        <v>133</v>
      </c>
      <c r="F2736" t="s">
        <v>99</v>
      </c>
      <c r="G2736" t="s">
        <v>100</v>
      </c>
      <c r="H2736" t="s">
        <v>131</v>
      </c>
      <c r="I2736" t="s">
        <v>132</v>
      </c>
      <c r="J2736" t="s">
        <v>94</v>
      </c>
      <c r="K2736">
        <v>4</v>
      </c>
      <c r="L2736">
        <v>14900</v>
      </c>
      <c r="M2736">
        <v>59600</v>
      </c>
      <c r="N2736" t="s">
        <v>95</v>
      </c>
      <c r="O2736" t="s">
        <v>96</v>
      </c>
    </row>
    <row r="2737" spans="1:15" x14ac:dyDescent="0.25">
      <c r="A2737">
        <v>2434</v>
      </c>
      <c r="B2737" s="10">
        <v>45721</v>
      </c>
      <c r="C2737">
        <v>5</v>
      </c>
      <c r="D2737" t="s">
        <v>140</v>
      </c>
      <c r="E2737" t="s">
        <v>110</v>
      </c>
      <c r="F2737" t="s">
        <v>28</v>
      </c>
      <c r="G2737" t="s">
        <v>126</v>
      </c>
      <c r="H2737" t="s">
        <v>131</v>
      </c>
      <c r="I2737" t="s">
        <v>132</v>
      </c>
      <c r="J2737" t="s">
        <v>94</v>
      </c>
      <c r="K2737">
        <v>4</v>
      </c>
      <c r="L2737">
        <v>14900</v>
      </c>
      <c r="M2737">
        <v>59600</v>
      </c>
      <c r="N2737" t="s">
        <v>108</v>
      </c>
      <c r="O2737" t="s">
        <v>115</v>
      </c>
    </row>
    <row r="2738" spans="1:15" x14ac:dyDescent="0.25">
      <c r="A2738">
        <v>4074</v>
      </c>
      <c r="B2738" s="10">
        <v>45772</v>
      </c>
      <c r="C2738">
        <v>25</v>
      </c>
      <c r="D2738" t="s">
        <v>105</v>
      </c>
      <c r="E2738" t="s">
        <v>138</v>
      </c>
      <c r="F2738" t="s">
        <v>134</v>
      </c>
      <c r="G2738" t="s">
        <v>100</v>
      </c>
      <c r="H2738" t="s">
        <v>131</v>
      </c>
      <c r="I2738" t="s">
        <v>132</v>
      </c>
      <c r="J2738" t="s">
        <v>94</v>
      </c>
      <c r="K2738">
        <v>2</v>
      </c>
      <c r="L2738">
        <v>14900</v>
      </c>
      <c r="M2738">
        <v>29800</v>
      </c>
      <c r="N2738" t="s">
        <v>95</v>
      </c>
      <c r="O2738" t="s">
        <v>115</v>
      </c>
    </row>
    <row r="2739" spans="1:15" x14ac:dyDescent="0.25">
      <c r="A2739">
        <v>4272</v>
      </c>
      <c r="B2739" s="10">
        <v>46019</v>
      </c>
      <c r="C2739">
        <v>28</v>
      </c>
      <c r="D2739" t="s">
        <v>125</v>
      </c>
      <c r="E2739" t="s">
        <v>138</v>
      </c>
      <c r="F2739" t="s">
        <v>99</v>
      </c>
      <c r="G2739" t="s">
        <v>100</v>
      </c>
      <c r="H2739" t="s">
        <v>29</v>
      </c>
      <c r="I2739" t="s">
        <v>30</v>
      </c>
      <c r="J2739" t="s">
        <v>103</v>
      </c>
      <c r="K2739">
        <v>6</v>
      </c>
      <c r="L2739">
        <v>14900</v>
      </c>
      <c r="M2739">
        <v>89400</v>
      </c>
      <c r="N2739" t="s">
        <v>108</v>
      </c>
      <c r="O2739" t="s">
        <v>115</v>
      </c>
    </row>
    <row r="2740" spans="1:15" x14ac:dyDescent="0.25">
      <c r="A2740">
        <v>4488</v>
      </c>
      <c r="B2740" s="10">
        <v>45877</v>
      </c>
      <c r="C2740">
        <v>8</v>
      </c>
      <c r="D2740" t="s">
        <v>109</v>
      </c>
      <c r="E2740" t="s">
        <v>112</v>
      </c>
      <c r="F2740" t="s">
        <v>36</v>
      </c>
      <c r="G2740" t="s">
        <v>100</v>
      </c>
      <c r="H2740" t="s">
        <v>29</v>
      </c>
      <c r="I2740" t="s">
        <v>30</v>
      </c>
      <c r="J2740" t="s">
        <v>103</v>
      </c>
      <c r="K2740">
        <v>47</v>
      </c>
      <c r="L2740">
        <v>14900</v>
      </c>
      <c r="M2740">
        <v>700300</v>
      </c>
      <c r="N2740" t="s">
        <v>108</v>
      </c>
      <c r="O2740" t="s">
        <v>96</v>
      </c>
    </row>
    <row r="2741" spans="1:15" x14ac:dyDescent="0.25">
      <c r="A2741">
        <v>4691</v>
      </c>
      <c r="B2741" s="10">
        <v>45809</v>
      </c>
      <c r="C2741">
        <v>1</v>
      </c>
      <c r="D2741" t="s">
        <v>153</v>
      </c>
      <c r="E2741" t="s">
        <v>110</v>
      </c>
      <c r="F2741" t="s">
        <v>141</v>
      </c>
      <c r="G2741" t="s">
        <v>100</v>
      </c>
      <c r="H2741" t="s">
        <v>131</v>
      </c>
      <c r="I2741" t="s">
        <v>132</v>
      </c>
      <c r="J2741" t="s">
        <v>94</v>
      </c>
      <c r="K2741">
        <v>6</v>
      </c>
      <c r="L2741">
        <v>14900</v>
      </c>
      <c r="M2741">
        <v>89400</v>
      </c>
      <c r="N2741" t="s">
        <v>95</v>
      </c>
      <c r="O2741" t="s">
        <v>115</v>
      </c>
    </row>
    <row r="2742" spans="1:15" x14ac:dyDescent="0.25">
      <c r="A2742">
        <v>177</v>
      </c>
      <c r="B2742" s="10">
        <v>45745</v>
      </c>
      <c r="C2742">
        <v>29</v>
      </c>
      <c r="D2742" t="s">
        <v>140</v>
      </c>
      <c r="E2742" t="s">
        <v>112</v>
      </c>
      <c r="F2742" t="s">
        <v>148</v>
      </c>
      <c r="G2742" t="s">
        <v>118</v>
      </c>
      <c r="H2742" t="s">
        <v>131</v>
      </c>
      <c r="I2742" t="s">
        <v>132</v>
      </c>
      <c r="J2742" t="s">
        <v>94</v>
      </c>
      <c r="K2742">
        <v>7</v>
      </c>
      <c r="L2742">
        <v>15000</v>
      </c>
      <c r="M2742">
        <v>105000</v>
      </c>
      <c r="N2742" t="s">
        <v>95</v>
      </c>
      <c r="O2742" t="s">
        <v>104</v>
      </c>
    </row>
    <row r="2743" spans="1:15" x14ac:dyDescent="0.25">
      <c r="A2743">
        <v>688</v>
      </c>
      <c r="B2743" s="10">
        <v>45915</v>
      </c>
      <c r="C2743">
        <v>15</v>
      </c>
      <c r="D2743" t="s">
        <v>147</v>
      </c>
      <c r="E2743" t="s">
        <v>161</v>
      </c>
      <c r="F2743" t="s">
        <v>49</v>
      </c>
      <c r="G2743" t="s">
        <v>118</v>
      </c>
      <c r="H2743" t="s">
        <v>29</v>
      </c>
      <c r="I2743" t="s">
        <v>30</v>
      </c>
      <c r="J2743" t="s">
        <v>103</v>
      </c>
      <c r="K2743">
        <v>33</v>
      </c>
      <c r="L2743">
        <v>15000</v>
      </c>
      <c r="M2743">
        <v>495000</v>
      </c>
      <c r="N2743" t="s">
        <v>95</v>
      </c>
      <c r="O2743" t="s">
        <v>104</v>
      </c>
    </row>
    <row r="2744" spans="1:15" x14ac:dyDescent="0.25">
      <c r="A2744">
        <v>930</v>
      </c>
      <c r="B2744" s="10">
        <v>45877</v>
      </c>
      <c r="C2744">
        <v>8</v>
      </c>
      <c r="D2744" t="s">
        <v>109</v>
      </c>
      <c r="E2744" t="s">
        <v>150</v>
      </c>
      <c r="F2744" t="s">
        <v>113</v>
      </c>
      <c r="G2744" t="s">
        <v>114</v>
      </c>
      <c r="H2744" t="s">
        <v>131</v>
      </c>
      <c r="I2744" t="s">
        <v>132</v>
      </c>
      <c r="J2744" t="s">
        <v>94</v>
      </c>
      <c r="K2744">
        <v>4</v>
      </c>
      <c r="L2744">
        <v>15000</v>
      </c>
      <c r="M2744">
        <v>60000</v>
      </c>
      <c r="N2744" t="s">
        <v>95</v>
      </c>
      <c r="O2744" t="s">
        <v>104</v>
      </c>
    </row>
    <row r="2745" spans="1:15" x14ac:dyDescent="0.25">
      <c r="A2745">
        <v>2157</v>
      </c>
      <c r="B2745" s="10">
        <v>45940</v>
      </c>
      <c r="C2745">
        <v>10</v>
      </c>
      <c r="D2745" t="s">
        <v>136</v>
      </c>
      <c r="E2745" t="s">
        <v>137</v>
      </c>
      <c r="F2745" t="s">
        <v>122</v>
      </c>
      <c r="G2745" t="s">
        <v>114</v>
      </c>
      <c r="H2745" t="s">
        <v>29</v>
      </c>
      <c r="I2745" t="s">
        <v>30</v>
      </c>
      <c r="J2745" t="s">
        <v>103</v>
      </c>
      <c r="K2745">
        <v>28</v>
      </c>
      <c r="L2745">
        <v>15000</v>
      </c>
      <c r="M2745">
        <v>420000</v>
      </c>
      <c r="N2745" t="s">
        <v>108</v>
      </c>
      <c r="O2745" t="s">
        <v>96</v>
      </c>
    </row>
    <row r="2746" spans="1:15" x14ac:dyDescent="0.25">
      <c r="A2746">
        <v>2795</v>
      </c>
      <c r="B2746" s="10">
        <v>45963</v>
      </c>
      <c r="C2746">
        <v>2</v>
      </c>
      <c r="D2746" t="s">
        <v>90</v>
      </c>
      <c r="E2746" t="s">
        <v>106</v>
      </c>
      <c r="F2746" t="s">
        <v>148</v>
      </c>
      <c r="G2746" t="s">
        <v>118</v>
      </c>
      <c r="H2746" t="s">
        <v>131</v>
      </c>
      <c r="I2746" t="s">
        <v>132</v>
      </c>
      <c r="J2746" t="s">
        <v>94</v>
      </c>
      <c r="K2746">
        <v>2</v>
      </c>
      <c r="L2746">
        <v>15000</v>
      </c>
      <c r="M2746">
        <v>30000</v>
      </c>
      <c r="N2746" t="s">
        <v>95</v>
      </c>
      <c r="O2746" t="s">
        <v>96</v>
      </c>
    </row>
    <row r="2747" spans="1:15" x14ac:dyDescent="0.25">
      <c r="A2747">
        <v>3758</v>
      </c>
      <c r="B2747" s="10">
        <v>45783</v>
      </c>
      <c r="C2747">
        <v>6</v>
      </c>
      <c r="D2747" t="s">
        <v>120</v>
      </c>
      <c r="E2747" t="s">
        <v>150</v>
      </c>
      <c r="F2747" t="s">
        <v>36</v>
      </c>
      <c r="G2747" t="s">
        <v>100</v>
      </c>
      <c r="H2747" t="s">
        <v>29</v>
      </c>
      <c r="I2747" t="s">
        <v>42</v>
      </c>
      <c r="J2747" t="s">
        <v>103</v>
      </c>
      <c r="K2747">
        <v>32</v>
      </c>
      <c r="L2747">
        <v>15000</v>
      </c>
      <c r="M2747">
        <v>480000</v>
      </c>
      <c r="N2747" t="s">
        <v>95</v>
      </c>
      <c r="O2747" t="s">
        <v>96</v>
      </c>
    </row>
    <row r="2748" spans="1:15" x14ac:dyDescent="0.25">
      <c r="A2748">
        <v>3950</v>
      </c>
      <c r="B2748" s="10">
        <v>45775</v>
      </c>
      <c r="C2748">
        <v>28</v>
      </c>
      <c r="D2748" t="s">
        <v>105</v>
      </c>
      <c r="E2748" t="s">
        <v>161</v>
      </c>
      <c r="F2748" t="s">
        <v>148</v>
      </c>
      <c r="G2748" t="s">
        <v>118</v>
      </c>
      <c r="H2748" t="s">
        <v>29</v>
      </c>
      <c r="I2748" t="s">
        <v>42</v>
      </c>
      <c r="J2748" t="s">
        <v>94</v>
      </c>
      <c r="K2748">
        <v>4</v>
      </c>
      <c r="L2748">
        <v>15000</v>
      </c>
      <c r="M2748">
        <v>60000</v>
      </c>
      <c r="N2748" t="s">
        <v>95</v>
      </c>
      <c r="O2748" t="s">
        <v>115</v>
      </c>
    </row>
    <row r="2749" spans="1:15" x14ac:dyDescent="0.25">
      <c r="A2749">
        <v>4670</v>
      </c>
      <c r="B2749" s="10">
        <v>45827</v>
      </c>
      <c r="C2749">
        <v>19</v>
      </c>
      <c r="D2749" t="s">
        <v>153</v>
      </c>
      <c r="E2749" t="s">
        <v>112</v>
      </c>
      <c r="F2749" t="s">
        <v>134</v>
      </c>
      <c r="G2749" t="s">
        <v>100</v>
      </c>
      <c r="H2749" t="s">
        <v>131</v>
      </c>
      <c r="I2749" t="s">
        <v>132</v>
      </c>
      <c r="J2749" t="s">
        <v>94</v>
      </c>
      <c r="K2749">
        <v>4</v>
      </c>
      <c r="L2749">
        <v>15000</v>
      </c>
      <c r="M2749">
        <v>60000</v>
      </c>
      <c r="N2749" t="s">
        <v>108</v>
      </c>
      <c r="O2749" t="s">
        <v>104</v>
      </c>
    </row>
    <row r="2750" spans="1:15" x14ac:dyDescent="0.25">
      <c r="A2750">
        <v>649</v>
      </c>
      <c r="B2750" s="10">
        <v>45683</v>
      </c>
      <c r="C2750">
        <v>26</v>
      </c>
      <c r="D2750" t="s">
        <v>130</v>
      </c>
      <c r="E2750" t="s">
        <v>137</v>
      </c>
      <c r="F2750" t="s">
        <v>22</v>
      </c>
      <c r="G2750" t="s">
        <v>91</v>
      </c>
      <c r="H2750" t="s">
        <v>29</v>
      </c>
      <c r="I2750" t="s">
        <v>30</v>
      </c>
      <c r="J2750" t="s">
        <v>103</v>
      </c>
      <c r="K2750">
        <v>22</v>
      </c>
      <c r="L2750">
        <v>15100</v>
      </c>
      <c r="M2750">
        <v>332200</v>
      </c>
      <c r="N2750" t="s">
        <v>95</v>
      </c>
      <c r="O2750" t="s">
        <v>96</v>
      </c>
    </row>
    <row r="2751" spans="1:15" x14ac:dyDescent="0.25">
      <c r="A2751">
        <v>2161</v>
      </c>
      <c r="B2751" s="10">
        <v>45832</v>
      </c>
      <c r="C2751">
        <v>24</v>
      </c>
      <c r="D2751" t="s">
        <v>153</v>
      </c>
      <c r="E2751" t="s">
        <v>25</v>
      </c>
      <c r="F2751" t="s">
        <v>151</v>
      </c>
      <c r="G2751" t="s">
        <v>111</v>
      </c>
      <c r="H2751" t="s">
        <v>29</v>
      </c>
      <c r="I2751" t="s">
        <v>42</v>
      </c>
      <c r="J2751" t="s">
        <v>94</v>
      </c>
      <c r="K2751">
        <v>5</v>
      </c>
      <c r="L2751">
        <v>15100</v>
      </c>
      <c r="M2751">
        <v>75500</v>
      </c>
      <c r="N2751" t="s">
        <v>108</v>
      </c>
      <c r="O2751" t="s">
        <v>115</v>
      </c>
    </row>
    <row r="2752" spans="1:15" x14ac:dyDescent="0.25">
      <c r="A2752">
        <v>2790</v>
      </c>
      <c r="B2752" s="10">
        <v>45944</v>
      </c>
      <c r="C2752">
        <v>14</v>
      </c>
      <c r="D2752" t="s">
        <v>136</v>
      </c>
      <c r="E2752" t="s">
        <v>128</v>
      </c>
      <c r="F2752" t="s">
        <v>144</v>
      </c>
      <c r="G2752" t="s">
        <v>91</v>
      </c>
      <c r="H2752" t="s">
        <v>131</v>
      </c>
      <c r="I2752" t="s">
        <v>132</v>
      </c>
      <c r="J2752" t="s">
        <v>94</v>
      </c>
      <c r="K2752">
        <v>5</v>
      </c>
      <c r="L2752">
        <v>15100</v>
      </c>
      <c r="M2752">
        <v>75500</v>
      </c>
      <c r="N2752" t="s">
        <v>95</v>
      </c>
      <c r="O2752" t="s">
        <v>115</v>
      </c>
    </row>
    <row r="2753" spans="1:15" x14ac:dyDescent="0.25">
      <c r="A2753">
        <v>2938</v>
      </c>
      <c r="B2753" s="10">
        <v>45840</v>
      </c>
      <c r="C2753">
        <v>2</v>
      </c>
      <c r="D2753" t="s">
        <v>145</v>
      </c>
      <c r="E2753" t="s">
        <v>116</v>
      </c>
      <c r="F2753" t="s">
        <v>148</v>
      </c>
      <c r="G2753" t="s">
        <v>118</v>
      </c>
      <c r="H2753" t="s">
        <v>29</v>
      </c>
      <c r="I2753" t="s">
        <v>30</v>
      </c>
      <c r="J2753" t="s">
        <v>103</v>
      </c>
      <c r="K2753">
        <v>47</v>
      </c>
      <c r="L2753">
        <v>15100</v>
      </c>
      <c r="M2753">
        <v>709700</v>
      </c>
      <c r="N2753" t="s">
        <v>108</v>
      </c>
      <c r="O2753" t="s">
        <v>115</v>
      </c>
    </row>
    <row r="2754" spans="1:15" x14ac:dyDescent="0.25">
      <c r="A2754">
        <v>3290</v>
      </c>
      <c r="B2754" s="10">
        <v>45708</v>
      </c>
      <c r="C2754">
        <v>20</v>
      </c>
      <c r="D2754" t="s">
        <v>97</v>
      </c>
      <c r="E2754" t="s">
        <v>137</v>
      </c>
      <c r="F2754" t="s">
        <v>117</v>
      </c>
      <c r="G2754" t="s">
        <v>118</v>
      </c>
      <c r="H2754" t="s">
        <v>29</v>
      </c>
      <c r="I2754" t="s">
        <v>30</v>
      </c>
      <c r="J2754" t="s">
        <v>103</v>
      </c>
      <c r="K2754">
        <v>5</v>
      </c>
      <c r="L2754">
        <v>15100</v>
      </c>
      <c r="M2754">
        <v>75500</v>
      </c>
      <c r="N2754" t="s">
        <v>108</v>
      </c>
      <c r="O2754" t="s">
        <v>115</v>
      </c>
    </row>
    <row r="2755" spans="1:15" x14ac:dyDescent="0.25">
      <c r="A2755">
        <v>3342</v>
      </c>
      <c r="B2755" s="10">
        <v>46014</v>
      </c>
      <c r="C2755">
        <v>23</v>
      </c>
      <c r="D2755" t="s">
        <v>125</v>
      </c>
      <c r="E2755" t="s">
        <v>137</v>
      </c>
      <c r="F2755" t="s">
        <v>151</v>
      </c>
      <c r="G2755" t="s">
        <v>111</v>
      </c>
      <c r="H2755" t="s">
        <v>29</v>
      </c>
      <c r="I2755" t="s">
        <v>30</v>
      </c>
      <c r="J2755" t="s">
        <v>103</v>
      </c>
      <c r="K2755">
        <v>18</v>
      </c>
      <c r="L2755">
        <v>15100</v>
      </c>
      <c r="M2755">
        <v>271800</v>
      </c>
      <c r="N2755" t="s">
        <v>95</v>
      </c>
      <c r="O2755" t="s">
        <v>115</v>
      </c>
    </row>
    <row r="2756" spans="1:15" x14ac:dyDescent="0.25">
      <c r="A2756">
        <v>4539</v>
      </c>
      <c r="B2756" s="10">
        <v>46021</v>
      </c>
      <c r="C2756">
        <v>30</v>
      </c>
      <c r="D2756" t="s">
        <v>125</v>
      </c>
      <c r="E2756" t="s">
        <v>128</v>
      </c>
      <c r="F2756" t="s">
        <v>117</v>
      </c>
      <c r="G2756" t="s">
        <v>118</v>
      </c>
      <c r="H2756" t="s">
        <v>29</v>
      </c>
      <c r="I2756" t="s">
        <v>30</v>
      </c>
      <c r="J2756" t="s">
        <v>103</v>
      </c>
      <c r="K2756">
        <v>41</v>
      </c>
      <c r="L2756">
        <v>15100</v>
      </c>
      <c r="M2756">
        <v>619100</v>
      </c>
      <c r="N2756" t="s">
        <v>95</v>
      </c>
      <c r="O2756" t="s">
        <v>115</v>
      </c>
    </row>
    <row r="2757" spans="1:15" x14ac:dyDescent="0.25">
      <c r="A2757">
        <v>4791</v>
      </c>
      <c r="B2757" s="10">
        <v>45819</v>
      </c>
      <c r="C2757">
        <v>11</v>
      </c>
      <c r="D2757" t="s">
        <v>153</v>
      </c>
      <c r="E2757" t="s">
        <v>128</v>
      </c>
      <c r="F2757" t="s">
        <v>36</v>
      </c>
      <c r="G2757" t="s">
        <v>100</v>
      </c>
      <c r="H2757" t="s">
        <v>29</v>
      </c>
      <c r="I2757" t="s">
        <v>30</v>
      </c>
      <c r="J2757" t="s">
        <v>103</v>
      </c>
      <c r="K2757">
        <v>30</v>
      </c>
      <c r="L2757">
        <v>15100</v>
      </c>
      <c r="M2757">
        <v>453000</v>
      </c>
      <c r="N2757" t="s">
        <v>95</v>
      </c>
      <c r="O2757" t="s">
        <v>104</v>
      </c>
    </row>
    <row r="2758" spans="1:15" x14ac:dyDescent="0.25">
      <c r="A2758">
        <v>554</v>
      </c>
      <c r="B2758" s="10">
        <v>45888</v>
      </c>
      <c r="C2758">
        <v>19</v>
      </c>
      <c r="D2758" t="s">
        <v>109</v>
      </c>
      <c r="E2758" t="s">
        <v>98</v>
      </c>
      <c r="F2758" t="s">
        <v>134</v>
      </c>
      <c r="G2758" t="s">
        <v>100</v>
      </c>
      <c r="H2758" t="s">
        <v>131</v>
      </c>
      <c r="I2758" t="s">
        <v>132</v>
      </c>
      <c r="J2758" t="s">
        <v>94</v>
      </c>
      <c r="K2758">
        <v>7</v>
      </c>
      <c r="L2758">
        <v>15200</v>
      </c>
      <c r="M2758">
        <v>106400</v>
      </c>
      <c r="N2758" t="s">
        <v>95</v>
      </c>
      <c r="O2758" t="s">
        <v>96</v>
      </c>
    </row>
    <row r="2759" spans="1:15" x14ac:dyDescent="0.25">
      <c r="A2759">
        <v>878</v>
      </c>
      <c r="B2759" s="10">
        <v>45974</v>
      </c>
      <c r="C2759">
        <v>13</v>
      </c>
      <c r="D2759" t="s">
        <v>90</v>
      </c>
      <c r="E2759" t="s">
        <v>121</v>
      </c>
      <c r="F2759" t="s">
        <v>49</v>
      </c>
      <c r="G2759" t="s">
        <v>118</v>
      </c>
      <c r="H2759" t="s">
        <v>131</v>
      </c>
      <c r="I2759" t="s">
        <v>132</v>
      </c>
      <c r="J2759" t="s">
        <v>94</v>
      </c>
      <c r="K2759">
        <v>6</v>
      </c>
      <c r="L2759">
        <v>15200</v>
      </c>
      <c r="M2759">
        <v>91200</v>
      </c>
      <c r="N2759" t="s">
        <v>95</v>
      </c>
      <c r="O2759" t="s">
        <v>96</v>
      </c>
    </row>
    <row r="2760" spans="1:15" x14ac:dyDescent="0.25">
      <c r="A2760">
        <v>1398</v>
      </c>
      <c r="B2760" s="10">
        <v>45769</v>
      </c>
      <c r="C2760">
        <v>22</v>
      </c>
      <c r="D2760" t="s">
        <v>105</v>
      </c>
      <c r="E2760" t="s">
        <v>25</v>
      </c>
      <c r="F2760" t="s">
        <v>113</v>
      </c>
      <c r="G2760" t="s">
        <v>114</v>
      </c>
      <c r="H2760" t="s">
        <v>29</v>
      </c>
      <c r="I2760" t="s">
        <v>42</v>
      </c>
      <c r="J2760" t="s">
        <v>94</v>
      </c>
      <c r="K2760">
        <v>3</v>
      </c>
      <c r="L2760">
        <v>15200</v>
      </c>
      <c r="M2760">
        <v>45600</v>
      </c>
      <c r="N2760" t="s">
        <v>108</v>
      </c>
      <c r="O2760" t="s">
        <v>115</v>
      </c>
    </row>
    <row r="2761" spans="1:15" x14ac:dyDescent="0.25">
      <c r="A2761">
        <v>1431</v>
      </c>
      <c r="B2761" s="10">
        <v>45735</v>
      </c>
      <c r="C2761">
        <v>19</v>
      </c>
      <c r="D2761" t="s">
        <v>140</v>
      </c>
      <c r="E2761" t="s">
        <v>142</v>
      </c>
      <c r="F2761" t="s">
        <v>107</v>
      </c>
      <c r="G2761" t="s">
        <v>100</v>
      </c>
      <c r="H2761" t="s">
        <v>131</v>
      </c>
      <c r="I2761" t="s">
        <v>132</v>
      </c>
      <c r="J2761" t="s">
        <v>94</v>
      </c>
      <c r="K2761">
        <v>8</v>
      </c>
      <c r="L2761">
        <v>15200</v>
      </c>
      <c r="M2761">
        <v>121600</v>
      </c>
      <c r="N2761" t="s">
        <v>108</v>
      </c>
      <c r="O2761" t="s">
        <v>115</v>
      </c>
    </row>
    <row r="2762" spans="1:15" x14ac:dyDescent="0.25">
      <c r="A2762">
        <v>2361</v>
      </c>
      <c r="B2762" s="10">
        <v>45861</v>
      </c>
      <c r="C2762">
        <v>23</v>
      </c>
      <c r="D2762" t="s">
        <v>145</v>
      </c>
      <c r="E2762" t="s">
        <v>25</v>
      </c>
      <c r="F2762" t="s">
        <v>122</v>
      </c>
      <c r="G2762" t="s">
        <v>114</v>
      </c>
      <c r="H2762" t="s">
        <v>29</v>
      </c>
      <c r="I2762" t="s">
        <v>42</v>
      </c>
      <c r="J2762" t="s">
        <v>94</v>
      </c>
      <c r="K2762">
        <v>4</v>
      </c>
      <c r="L2762">
        <v>15200</v>
      </c>
      <c r="M2762">
        <v>60800</v>
      </c>
      <c r="N2762" t="s">
        <v>95</v>
      </c>
      <c r="O2762" t="s">
        <v>104</v>
      </c>
    </row>
    <row r="2763" spans="1:15" x14ac:dyDescent="0.25">
      <c r="A2763">
        <v>2437</v>
      </c>
      <c r="B2763" s="10">
        <v>45894</v>
      </c>
      <c r="C2763">
        <v>25</v>
      </c>
      <c r="D2763" t="s">
        <v>109</v>
      </c>
      <c r="E2763" t="s">
        <v>121</v>
      </c>
      <c r="F2763" t="s">
        <v>107</v>
      </c>
      <c r="G2763" t="s">
        <v>100</v>
      </c>
      <c r="H2763" t="s">
        <v>29</v>
      </c>
      <c r="I2763" t="s">
        <v>30</v>
      </c>
      <c r="J2763" t="s">
        <v>103</v>
      </c>
      <c r="K2763">
        <v>10</v>
      </c>
      <c r="L2763">
        <v>15200</v>
      </c>
      <c r="M2763">
        <v>152000</v>
      </c>
      <c r="N2763" t="s">
        <v>108</v>
      </c>
      <c r="O2763" t="s">
        <v>115</v>
      </c>
    </row>
    <row r="2764" spans="1:15" x14ac:dyDescent="0.25">
      <c r="A2764">
        <v>2747</v>
      </c>
      <c r="B2764" s="10">
        <v>45886</v>
      </c>
      <c r="C2764">
        <v>17</v>
      </c>
      <c r="D2764" t="s">
        <v>109</v>
      </c>
      <c r="E2764" t="s">
        <v>138</v>
      </c>
      <c r="F2764" t="s">
        <v>141</v>
      </c>
      <c r="G2764" t="s">
        <v>100</v>
      </c>
      <c r="H2764" t="s">
        <v>131</v>
      </c>
      <c r="I2764" t="s">
        <v>132</v>
      </c>
      <c r="J2764" t="s">
        <v>94</v>
      </c>
      <c r="K2764">
        <v>3</v>
      </c>
      <c r="L2764">
        <v>15200</v>
      </c>
      <c r="M2764">
        <v>45600</v>
      </c>
      <c r="N2764" t="s">
        <v>95</v>
      </c>
      <c r="O2764" t="s">
        <v>104</v>
      </c>
    </row>
    <row r="2765" spans="1:15" x14ac:dyDescent="0.25">
      <c r="A2765">
        <v>3453</v>
      </c>
      <c r="B2765" s="10">
        <v>45866</v>
      </c>
      <c r="C2765">
        <v>28</v>
      </c>
      <c r="D2765" t="s">
        <v>145</v>
      </c>
      <c r="E2765" t="s">
        <v>133</v>
      </c>
      <c r="F2765" t="s">
        <v>107</v>
      </c>
      <c r="G2765" t="s">
        <v>100</v>
      </c>
      <c r="H2765" t="s">
        <v>29</v>
      </c>
      <c r="I2765" t="s">
        <v>30</v>
      </c>
      <c r="J2765" t="s">
        <v>103</v>
      </c>
      <c r="K2765">
        <v>48</v>
      </c>
      <c r="L2765">
        <v>15200</v>
      </c>
      <c r="M2765">
        <v>729600</v>
      </c>
      <c r="N2765" t="s">
        <v>95</v>
      </c>
      <c r="O2765" t="s">
        <v>96</v>
      </c>
    </row>
    <row r="2766" spans="1:15" x14ac:dyDescent="0.25">
      <c r="A2766">
        <v>3613</v>
      </c>
      <c r="B2766" s="10">
        <v>45855</v>
      </c>
      <c r="C2766">
        <v>17</v>
      </c>
      <c r="D2766" t="s">
        <v>145</v>
      </c>
      <c r="E2766" t="s">
        <v>31</v>
      </c>
      <c r="F2766" t="s">
        <v>141</v>
      </c>
      <c r="G2766" t="s">
        <v>100</v>
      </c>
      <c r="H2766" t="s">
        <v>29</v>
      </c>
      <c r="I2766" t="s">
        <v>30</v>
      </c>
      <c r="J2766" t="s">
        <v>103</v>
      </c>
      <c r="K2766">
        <v>35</v>
      </c>
      <c r="L2766">
        <v>15200</v>
      </c>
      <c r="M2766">
        <v>532000</v>
      </c>
      <c r="N2766" t="s">
        <v>108</v>
      </c>
      <c r="O2766" t="s">
        <v>115</v>
      </c>
    </row>
    <row r="2767" spans="1:15" x14ac:dyDescent="0.25">
      <c r="A2767">
        <v>3811</v>
      </c>
      <c r="B2767" s="10">
        <v>45684</v>
      </c>
      <c r="C2767">
        <v>27</v>
      </c>
      <c r="D2767" t="s">
        <v>130</v>
      </c>
      <c r="E2767" t="s">
        <v>142</v>
      </c>
      <c r="F2767" t="s">
        <v>122</v>
      </c>
      <c r="G2767" t="s">
        <v>114</v>
      </c>
      <c r="H2767" t="s">
        <v>29</v>
      </c>
      <c r="I2767" t="s">
        <v>42</v>
      </c>
      <c r="J2767" t="s">
        <v>94</v>
      </c>
      <c r="K2767">
        <v>2</v>
      </c>
      <c r="L2767">
        <v>15200</v>
      </c>
      <c r="M2767">
        <v>30400</v>
      </c>
      <c r="N2767" t="s">
        <v>95</v>
      </c>
      <c r="O2767" t="s">
        <v>96</v>
      </c>
    </row>
    <row r="2768" spans="1:15" x14ac:dyDescent="0.25">
      <c r="A2768">
        <v>3917</v>
      </c>
      <c r="B2768" s="10">
        <v>45906</v>
      </c>
      <c r="C2768">
        <v>6</v>
      </c>
      <c r="D2768" t="s">
        <v>147</v>
      </c>
      <c r="E2768" t="s">
        <v>161</v>
      </c>
      <c r="F2768" t="s">
        <v>22</v>
      </c>
      <c r="G2768" t="s">
        <v>91</v>
      </c>
      <c r="H2768" t="s">
        <v>29</v>
      </c>
      <c r="I2768" t="s">
        <v>30</v>
      </c>
      <c r="J2768" t="s">
        <v>103</v>
      </c>
      <c r="K2768">
        <v>31</v>
      </c>
      <c r="L2768">
        <v>15200</v>
      </c>
      <c r="M2768">
        <v>471200</v>
      </c>
      <c r="N2768" t="s">
        <v>108</v>
      </c>
      <c r="O2768" t="s">
        <v>104</v>
      </c>
    </row>
    <row r="2769" spans="1:15" x14ac:dyDescent="0.25">
      <c r="A2769">
        <v>4255</v>
      </c>
      <c r="B2769" s="10">
        <v>45786</v>
      </c>
      <c r="C2769">
        <v>9</v>
      </c>
      <c r="D2769" t="s">
        <v>120</v>
      </c>
      <c r="E2769" t="s">
        <v>142</v>
      </c>
      <c r="F2769" t="s">
        <v>122</v>
      </c>
      <c r="G2769" t="s">
        <v>114</v>
      </c>
      <c r="H2769" t="s">
        <v>131</v>
      </c>
      <c r="I2769" t="s">
        <v>132</v>
      </c>
      <c r="J2769" t="s">
        <v>94</v>
      </c>
      <c r="K2769">
        <v>3</v>
      </c>
      <c r="L2769">
        <v>15200</v>
      </c>
      <c r="M2769">
        <v>45600</v>
      </c>
      <c r="N2769" t="s">
        <v>95</v>
      </c>
      <c r="O2769" t="s">
        <v>104</v>
      </c>
    </row>
    <row r="2770" spans="1:15" x14ac:dyDescent="0.25">
      <c r="A2770">
        <v>4902</v>
      </c>
      <c r="B2770" s="10">
        <v>45801</v>
      </c>
      <c r="C2770">
        <v>24</v>
      </c>
      <c r="D2770" t="s">
        <v>120</v>
      </c>
      <c r="E2770" t="s">
        <v>128</v>
      </c>
      <c r="F2770" t="s">
        <v>22</v>
      </c>
      <c r="G2770" t="s">
        <v>91</v>
      </c>
      <c r="H2770" t="s">
        <v>29</v>
      </c>
      <c r="I2770" t="s">
        <v>42</v>
      </c>
      <c r="J2770" t="s">
        <v>94</v>
      </c>
      <c r="K2770">
        <v>7</v>
      </c>
      <c r="L2770">
        <v>15200</v>
      </c>
      <c r="M2770">
        <v>106400</v>
      </c>
      <c r="N2770" t="s">
        <v>95</v>
      </c>
      <c r="O2770" t="s">
        <v>115</v>
      </c>
    </row>
    <row r="2771" spans="1:15" x14ac:dyDescent="0.25">
      <c r="A2771">
        <v>4922</v>
      </c>
      <c r="B2771" s="10">
        <v>45977</v>
      </c>
      <c r="C2771">
        <v>16</v>
      </c>
      <c r="D2771" t="s">
        <v>90</v>
      </c>
      <c r="E2771" t="s">
        <v>137</v>
      </c>
      <c r="F2771" t="s">
        <v>99</v>
      </c>
      <c r="G2771" t="s">
        <v>100</v>
      </c>
      <c r="H2771" t="s">
        <v>131</v>
      </c>
      <c r="I2771" t="s">
        <v>132</v>
      </c>
      <c r="J2771" t="s">
        <v>94</v>
      </c>
      <c r="K2771">
        <v>8</v>
      </c>
      <c r="L2771">
        <v>15200</v>
      </c>
      <c r="M2771">
        <v>121600</v>
      </c>
      <c r="N2771" t="s">
        <v>108</v>
      </c>
      <c r="O2771" t="s">
        <v>115</v>
      </c>
    </row>
    <row r="2772" spans="1:15" x14ac:dyDescent="0.25">
      <c r="A2772">
        <v>82</v>
      </c>
      <c r="B2772" s="10">
        <v>45679</v>
      </c>
      <c r="C2772">
        <v>22</v>
      </c>
      <c r="D2772" t="s">
        <v>130</v>
      </c>
      <c r="E2772" t="s">
        <v>150</v>
      </c>
      <c r="F2772" t="s">
        <v>107</v>
      </c>
      <c r="G2772" t="s">
        <v>100</v>
      </c>
      <c r="H2772" t="s">
        <v>131</v>
      </c>
      <c r="I2772" t="s">
        <v>132</v>
      </c>
      <c r="J2772" t="s">
        <v>94</v>
      </c>
      <c r="K2772">
        <v>9</v>
      </c>
      <c r="L2772">
        <v>15300</v>
      </c>
      <c r="M2772">
        <v>137700</v>
      </c>
      <c r="N2772" t="s">
        <v>108</v>
      </c>
      <c r="O2772" t="s">
        <v>104</v>
      </c>
    </row>
    <row r="2773" spans="1:15" x14ac:dyDescent="0.25">
      <c r="A2773">
        <v>1027</v>
      </c>
      <c r="B2773" s="10">
        <v>45832</v>
      </c>
      <c r="C2773">
        <v>24</v>
      </c>
      <c r="D2773" t="s">
        <v>153</v>
      </c>
      <c r="E2773" t="s">
        <v>116</v>
      </c>
      <c r="F2773" t="s">
        <v>107</v>
      </c>
      <c r="G2773" t="s">
        <v>100</v>
      </c>
      <c r="H2773" t="s">
        <v>29</v>
      </c>
      <c r="I2773" t="s">
        <v>30</v>
      </c>
      <c r="J2773" t="s">
        <v>103</v>
      </c>
      <c r="K2773">
        <v>28</v>
      </c>
      <c r="L2773">
        <v>15300</v>
      </c>
      <c r="M2773">
        <v>428400</v>
      </c>
      <c r="N2773" t="s">
        <v>108</v>
      </c>
      <c r="O2773" t="s">
        <v>115</v>
      </c>
    </row>
    <row r="2774" spans="1:15" x14ac:dyDescent="0.25">
      <c r="A2774">
        <v>1070</v>
      </c>
      <c r="B2774" s="10">
        <v>45786</v>
      </c>
      <c r="C2774">
        <v>9</v>
      </c>
      <c r="D2774" t="s">
        <v>120</v>
      </c>
      <c r="E2774" t="s">
        <v>121</v>
      </c>
      <c r="F2774" t="s">
        <v>122</v>
      </c>
      <c r="G2774" t="s">
        <v>114</v>
      </c>
      <c r="H2774" t="s">
        <v>131</v>
      </c>
      <c r="I2774" t="s">
        <v>132</v>
      </c>
      <c r="J2774" t="s">
        <v>94</v>
      </c>
      <c r="K2774">
        <v>10</v>
      </c>
      <c r="L2774">
        <v>15300</v>
      </c>
      <c r="M2774">
        <v>153000</v>
      </c>
      <c r="N2774" t="s">
        <v>108</v>
      </c>
      <c r="O2774" t="s">
        <v>104</v>
      </c>
    </row>
    <row r="2775" spans="1:15" x14ac:dyDescent="0.25">
      <c r="A2775">
        <v>1094</v>
      </c>
      <c r="B2775" s="10">
        <v>46013</v>
      </c>
      <c r="C2775">
        <v>22</v>
      </c>
      <c r="D2775" t="s">
        <v>125</v>
      </c>
      <c r="E2775" t="s">
        <v>31</v>
      </c>
      <c r="F2775" t="s">
        <v>117</v>
      </c>
      <c r="G2775" t="s">
        <v>118</v>
      </c>
      <c r="H2775" t="s">
        <v>29</v>
      </c>
      <c r="I2775" t="s">
        <v>30</v>
      </c>
      <c r="J2775" t="s">
        <v>103</v>
      </c>
      <c r="K2775">
        <v>8</v>
      </c>
      <c r="L2775">
        <v>15300</v>
      </c>
      <c r="M2775">
        <v>122400</v>
      </c>
      <c r="N2775" t="s">
        <v>108</v>
      </c>
      <c r="O2775" t="s">
        <v>96</v>
      </c>
    </row>
    <row r="2776" spans="1:15" x14ac:dyDescent="0.25">
      <c r="A2776">
        <v>1816</v>
      </c>
      <c r="B2776" s="10">
        <v>45772</v>
      </c>
      <c r="C2776">
        <v>25</v>
      </c>
      <c r="D2776" t="s">
        <v>105</v>
      </c>
      <c r="E2776" t="s">
        <v>121</v>
      </c>
      <c r="F2776" t="s">
        <v>99</v>
      </c>
      <c r="G2776" t="s">
        <v>100</v>
      </c>
      <c r="H2776" t="s">
        <v>29</v>
      </c>
      <c r="I2776" t="s">
        <v>42</v>
      </c>
      <c r="J2776" t="s">
        <v>94</v>
      </c>
      <c r="K2776">
        <v>8</v>
      </c>
      <c r="L2776">
        <v>15300</v>
      </c>
      <c r="M2776">
        <v>122400</v>
      </c>
      <c r="N2776" t="s">
        <v>95</v>
      </c>
      <c r="O2776" t="s">
        <v>104</v>
      </c>
    </row>
    <row r="2777" spans="1:15" x14ac:dyDescent="0.25">
      <c r="A2777">
        <v>2052</v>
      </c>
      <c r="B2777" s="10">
        <v>45749</v>
      </c>
      <c r="C2777">
        <v>2</v>
      </c>
      <c r="D2777" t="s">
        <v>105</v>
      </c>
      <c r="E2777" t="s">
        <v>138</v>
      </c>
      <c r="F2777" t="s">
        <v>107</v>
      </c>
      <c r="G2777" t="s">
        <v>100</v>
      </c>
      <c r="H2777" t="s">
        <v>29</v>
      </c>
      <c r="I2777" t="s">
        <v>42</v>
      </c>
      <c r="J2777" t="s">
        <v>94</v>
      </c>
      <c r="K2777">
        <v>6</v>
      </c>
      <c r="L2777">
        <v>15300</v>
      </c>
      <c r="M2777">
        <v>91800</v>
      </c>
      <c r="N2777" t="s">
        <v>95</v>
      </c>
      <c r="O2777" t="s">
        <v>115</v>
      </c>
    </row>
    <row r="2778" spans="1:15" x14ac:dyDescent="0.25">
      <c r="A2778">
        <v>2081</v>
      </c>
      <c r="B2778" s="10">
        <v>45785</v>
      </c>
      <c r="C2778">
        <v>8</v>
      </c>
      <c r="D2778" t="s">
        <v>120</v>
      </c>
      <c r="E2778" t="s">
        <v>133</v>
      </c>
      <c r="F2778" t="s">
        <v>144</v>
      </c>
      <c r="G2778" t="s">
        <v>91</v>
      </c>
      <c r="H2778" t="s">
        <v>29</v>
      </c>
      <c r="I2778" t="s">
        <v>30</v>
      </c>
      <c r="J2778" t="s">
        <v>103</v>
      </c>
      <c r="K2778">
        <v>31</v>
      </c>
      <c r="L2778">
        <v>15300</v>
      </c>
      <c r="M2778">
        <v>474300</v>
      </c>
      <c r="N2778" t="s">
        <v>108</v>
      </c>
      <c r="O2778" t="s">
        <v>115</v>
      </c>
    </row>
    <row r="2779" spans="1:15" x14ac:dyDescent="0.25">
      <c r="A2779">
        <v>2649</v>
      </c>
      <c r="B2779" s="10">
        <v>45786</v>
      </c>
      <c r="C2779">
        <v>9</v>
      </c>
      <c r="D2779" t="s">
        <v>120</v>
      </c>
      <c r="E2779" t="s">
        <v>110</v>
      </c>
      <c r="F2779" t="s">
        <v>28</v>
      </c>
      <c r="G2779" t="s">
        <v>126</v>
      </c>
      <c r="H2779" t="s">
        <v>29</v>
      </c>
      <c r="I2779" t="s">
        <v>30</v>
      </c>
      <c r="J2779" t="s">
        <v>103</v>
      </c>
      <c r="K2779">
        <v>10</v>
      </c>
      <c r="L2779">
        <v>15300</v>
      </c>
      <c r="M2779">
        <v>153000</v>
      </c>
      <c r="N2779" t="s">
        <v>108</v>
      </c>
      <c r="O2779" t="s">
        <v>96</v>
      </c>
    </row>
    <row r="2780" spans="1:15" x14ac:dyDescent="0.25">
      <c r="A2780">
        <v>3087</v>
      </c>
      <c r="B2780" s="10">
        <v>45988</v>
      </c>
      <c r="C2780">
        <v>27</v>
      </c>
      <c r="D2780" t="s">
        <v>90</v>
      </c>
      <c r="E2780" t="s">
        <v>133</v>
      </c>
      <c r="F2780" t="s">
        <v>122</v>
      </c>
      <c r="G2780" t="s">
        <v>114</v>
      </c>
      <c r="H2780" t="s">
        <v>29</v>
      </c>
      <c r="I2780" t="s">
        <v>30</v>
      </c>
      <c r="J2780" t="s">
        <v>103</v>
      </c>
      <c r="K2780">
        <v>35</v>
      </c>
      <c r="L2780">
        <v>15300</v>
      </c>
      <c r="M2780">
        <v>535500</v>
      </c>
      <c r="N2780" t="s">
        <v>95</v>
      </c>
      <c r="O2780" t="s">
        <v>96</v>
      </c>
    </row>
    <row r="2781" spans="1:15" x14ac:dyDescent="0.25">
      <c r="A2781">
        <v>3429</v>
      </c>
      <c r="B2781" s="10">
        <v>45942</v>
      </c>
      <c r="C2781">
        <v>12</v>
      </c>
      <c r="D2781" t="s">
        <v>136</v>
      </c>
      <c r="E2781" t="s">
        <v>142</v>
      </c>
      <c r="F2781" t="s">
        <v>117</v>
      </c>
      <c r="G2781" t="s">
        <v>118</v>
      </c>
      <c r="H2781" t="s">
        <v>131</v>
      </c>
      <c r="I2781" t="s">
        <v>132</v>
      </c>
      <c r="J2781" t="s">
        <v>94</v>
      </c>
      <c r="K2781">
        <v>9</v>
      </c>
      <c r="L2781">
        <v>15300</v>
      </c>
      <c r="M2781">
        <v>137700</v>
      </c>
      <c r="N2781" t="s">
        <v>95</v>
      </c>
      <c r="O2781" t="s">
        <v>104</v>
      </c>
    </row>
    <row r="2782" spans="1:15" x14ac:dyDescent="0.25">
      <c r="A2782">
        <v>3687</v>
      </c>
      <c r="B2782" s="10">
        <v>45769</v>
      </c>
      <c r="C2782">
        <v>22</v>
      </c>
      <c r="D2782" t="s">
        <v>105</v>
      </c>
      <c r="E2782" t="s">
        <v>110</v>
      </c>
      <c r="F2782" t="s">
        <v>122</v>
      </c>
      <c r="G2782" t="s">
        <v>114</v>
      </c>
      <c r="H2782" t="s">
        <v>29</v>
      </c>
      <c r="I2782" t="s">
        <v>42</v>
      </c>
      <c r="J2782" t="s">
        <v>103</v>
      </c>
      <c r="K2782">
        <v>26</v>
      </c>
      <c r="L2782">
        <v>15300</v>
      </c>
      <c r="M2782">
        <v>397800</v>
      </c>
      <c r="N2782" t="s">
        <v>95</v>
      </c>
      <c r="O2782" t="s">
        <v>115</v>
      </c>
    </row>
    <row r="2783" spans="1:15" x14ac:dyDescent="0.25">
      <c r="A2783">
        <v>3996</v>
      </c>
      <c r="B2783" s="10">
        <v>45803</v>
      </c>
      <c r="C2783">
        <v>26</v>
      </c>
      <c r="D2783" t="s">
        <v>120</v>
      </c>
      <c r="E2783" t="s">
        <v>138</v>
      </c>
      <c r="F2783" t="s">
        <v>122</v>
      </c>
      <c r="G2783" t="s">
        <v>114</v>
      </c>
      <c r="H2783" t="s">
        <v>29</v>
      </c>
      <c r="I2783" t="s">
        <v>30</v>
      </c>
      <c r="J2783" t="s">
        <v>103</v>
      </c>
      <c r="K2783">
        <v>44</v>
      </c>
      <c r="L2783">
        <v>15300</v>
      </c>
      <c r="M2783">
        <v>673200</v>
      </c>
      <c r="N2783" t="s">
        <v>108</v>
      </c>
      <c r="O2783" t="s">
        <v>96</v>
      </c>
    </row>
    <row r="2784" spans="1:15" x14ac:dyDescent="0.25">
      <c r="A2784">
        <v>321</v>
      </c>
      <c r="B2784" s="10">
        <v>45984</v>
      </c>
      <c r="C2784">
        <v>23</v>
      </c>
      <c r="D2784" t="s">
        <v>90</v>
      </c>
      <c r="E2784" t="s">
        <v>25</v>
      </c>
      <c r="F2784" t="s">
        <v>99</v>
      </c>
      <c r="G2784" t="s">
        <v>100</v>
      </c>
      <c r="H2784" t="s">
        <v>29</v>
      </c>
      <c r="I2784" t="s">
        <v>30</v>
      </c>
      <c r="J2784" t="s">
        <v>103</v>
      </c>
      <c r="K2784">
        <v>32</v>
      </c>
      <c r="L2784">
        <v>15400</v>
      </c>
      <c r="M2784">
        <v>492800</v>
      </c>
      <c r="N2784" t="s">
        <v>108</v>
      </c>
      <c r="O2784" t="s">
        <v>96</v>
      </c>
    </row>
    <row r="2785" spans="1:15" x14ac:dyDescent="0.25">
      <c r="A2785">
        <v>619</v>
      </c>
      <c r="B2785" s="10">
        <v>45719</v>
      </c>
      <c r="C2785">
        <v>3</v>
      </c>
      <c r="D2785" t="s">
        <v>140</v>
      </c>
      <c r="E2785" t="s">
        <v>161</v>
      </c>
      <c r="F2785" t="s">
        <v>107</v>
      </c>
      <c r="G2785" t="s">
        <v>100</v>
      </c>
      <c r="H2785" t="s">
        <v>131</v>
      </c>
      <c r="I2785" t="s">
        <v>132</v>
      </c>
      <c r="J2785" t="s">
        <v>94</v>
      </c>
      <c r="K2785">
        <v>1</v>
      </c>
      <c r="L2785">
        <v>15400</v>
      </c>
      <c r="M2785">
        <v>15400</v>
      </c>
      <c r="N2785" t="s">
        <v>95</v>
      </c>
      <c r="O2785" t="s">
        <v>115</v>
      </c>
    </row>
    <row r="2786" spans="1:15" x14ac:dyDescent="0.25">
      <c r="A2786">
        <v>971</v>
      </c>
      <c r="B2786" s="10">
        <v>45750</v>
      </c>
      <c r="C2786">
        <v>3</v>
      </c>
      <c r="D2786" t="s">
        <v>105</v>
      </c>
      <c r="E2786" t="s">
        <v>142</v>
      </c>
      <c r="F2786" t="s">
        <v>117</v>
      </c>
      <c r="G2786" t="s">
        <v>118</v>
      </c>
      <c r="H2786" t="s">
        <v>29</v>
      </c>
      <c r="I2786" t="s">
        <v>30</v>
      </c>
      <c r="J2786" t="s">
        <v>103</v>
      </c>
      <c r="K2786">
        <v>21</v>
      </c>
      <c r="L2786">
        <v>15400</v>
      </c>
      <c r="M2786">
        <v>323400</v>
      </c>
      <c r="N2786" t="s">
        <v>95</v>
      </c>
      <c r="O2786" t="s">
        <v>96</v>
      </c>
    </row>
    <row r="2787" spans="1:15" x14ac:dyDescent="0.25">
      <c r="A2787">
        <v>1631</v>
      </c>
      <c r="B2787" s="10">
        <v>45725</v>
      </c>
      <c r="C2787">
        <v>9</v>
      </c>
      <c r="D2787" t="s">
        <v>140</v>
      </c>
      <c r="E2787" t="s">
        <v>116</v>
      </c>
      <c r="F2787" t="s">
        <v>22</v>
      </c>
      <c r="G2787" t="s">
        <v>91</v>
      </c>
      <c r="H2787" t="s">
        <v>131</v>
      </c>
      <c r="I2787" t="s">
        <v>132</v>
      </c>
      <c r="J2787" t="s">
        <v>94</v>
      </c>
      <c r="K2787">
        <v>5</v>
      </c>
      <c r="L2787">
        <v>15400</v>
      </c>
      <c r="M2787">
        <v>77000</v>
      </c>
      <c r="N2787" t="s">
        <v>95</v>
      </c>
      <c r="O2787" t="s">
        <v>96</v>
      </c>
    </row>
    <row r="2788" spans="1:15" x14ac:dyDescent="0.25">
      <c r="A2788">
        <v>2000</v>
      </c>
      <c r="B2788" s="10">
        <v>45717</v>
      </c>
      <c r="C2788">
        <v>1</v>
      </c>
      <c r="D2788" t="s">
        <v>140</v>
      </c>
      <c r="E2788" t="s">
        <v>31</v>
      </c>
      <c r="F2788" t="s">
        <v>36</v>
      </c>
      <c r="G2788" t="s">
        <v>100</v>
      </c>
      <c r="H2788" t="s">
        <v>29</v>
      </c>
      <c r="I2788" t="s">
        <v>42</v>
      </c>
      <c r="J2788" t="s">
        <v>94</v>
      </c>
      <c r="K2788">
        <v>8</v>
      </c>
      <c r="L2788">
        <v>15400</v>
      </c>
      <c r="M2788">
        <v>123200</v>
      </c>
      <c r="N2788" t="s">
        <v>108</v>
      </c>
      <c r="O2788" t="s">
        <v>115</v>
      </c>
    </row>
    <row r="2789" spans="1:15" x14ac:dyDescent="0.25">
      <c r="A2789">
        <v>2758</v>
      </c>
      <c r="B2789" s="10">
        <v>45737</v>
      </c>
      <c r="C2789">
        <v>21</v>
      </c>
      <c r="D2789" t="s">
        <v>140</v>
      </c>
      <c r="E2789" t="s">
        <v>98</v>
      </c>
      <c r="F2789" t="s">
        <v>107</v>
      </c>
      <c r="G2789" t="s">
        <v>100</v>
      </c>
      <c r="H2789" t="s">
        <v>29</v>
      </c>
      <c r="I2789" t="s">
        <v>42</v>
      </c>
      <c r="J2789" t="s">
        <v>94</v>
      </c>
      <c r="K2789">
        <v>10</v>
      </c>
      <c r="L2789">
        <v>15400</v>
      </c>
      <c r="M2789">
        <v>154000</v>
      </c>
      <c r="N2789" t="s">
        <v>95</v>
      </c>
      <c r="O2789" t="s">
        <v>104</v>
      </c>
    </row>
    <row r="2790" spans="1:15" x14ac:dyDescent="0.25">
      <c r="A2790">
        <v>2947</v>
      </c>
      <c r="B2790" s="10">
        <v>45741</v>
      </c>
      <c r="C2790">
        <v>25</v>
      </c>
      <c r="D2790" t="s">
        <v>140</v>
      </c>
      <c r="E2790" t="s">
        <v>25</v>
      </c>
      <c r="F2790" t="s">
        <v>99</v>
      </c>
      <c r="G2790" t="s">
        <v>100</v>
      </c>
      <c r="H2790" t="s">
        <v>29</v>
      </c>
      <c r="I2790" t="s">
        <v>30</v>
      </c>
      <c r="J2790" t="s">
        <v>103</v>
      </c>
      <c r="K2790">
        <v>40</v>
      </c>
      <c r="L2790">
        <v>15400</v>
      </c>
      <c r="M2790">
        <v>616000</v>
      </c>
      <c r="N2790" t="s">
        <v>95</v>
      </c>
      <c r="O2790" t="s">
        <v>104</v>
      </c>
    </row>
    <row r="2791" spans="1:15" x14ac:dyDescent="0.25">
      <c r="A2791">
        <v>3027</v>
      </c>
      <c r="B2791" s="10">
        <v>45782</v>
      </c>
      <c r="C2791">
        <v>5</v>
      </c>
      <c r="D2791" t="s">
        <v>120</v>
      </c>
      <c r="E2791" t="s">
        <v>133</v>
      </c>
      <c r="F2791" t="s">
        <v>134</v>
      </c>
      <c r="G2791" t="s">
        <v>100</v>
      </c>
      <c r="H2791" t="s">
        <v>29</v>
      </c>
      <c r="I2791" t="s">
        <v>30</v>
      </c>
      <c r="J2791" t="s">
        <v>103</v>
      </c>
      <c r="K2791">
        <v>34</v>
      </c>
      <c r="L2791">
        <v>15400</v>
      </c>
      <c r="M2791">
        <v>523600</v>
      </c>
      <c r="N2791" t="s">
        <v>108</v>
      </c>
      <c r="O2791" t="s">
        <v>96</v>
      </c>
    </row>
    <row r="2792" spans="1:15" x14ac:dyDescent="0.25">
      <c r="A2792">
        <v>3448</v>
      </c>
      <c r="B2792" s="10">
        <v>45689</v>
      </c>
      <c r="C2792">
        <v>1</v>
      </c>
      <c r="D2792" t="s">
        <v>97</v>
      </c>
      <c r="E2792" t="s">
        <v>106</v>
      </c>
      <c r="F2792" t="s">
        <v>117</v>
      </c>
      <c r="G2792" t="s">
        <v>118</v>
      </c>
      <c r="H2792" t="s">
        <v>29</v>
      </c>
      <c r="I2792" t="s">
        <v>42</v>
      </c>
      <c r="J2792" t="s">
        <v>94</v>
      </c>
      <c r="K2792">
        <v>10</v>
      </c>
      <c r="L2792">
        <v>15400</v>
      </c>
      <c r="M2792">
        <v>154000</v>
      </c>
      <c r="N2792" t="s">
        <v>108</v>
      </c>
      <c r="O2792" t="s">
        <v>96</v>
      </c>
    </row>
    <row r="2793" spans="1:15" x14ac:dyDescent="0.25">
      <c r="A2793">
        <v>3463</v>
      </c>
      <c r="B2793" s="10">
        <v>45769</v>
      </c>
      <c r="C2793">
        <v>22</v>
      </c>
      <c r="D2793" t="s">
        <v>105</v>
      </c>
      <c r="E2793" t="s">
        <v>138</v>
      </c>
      <c r="F2793" t="s">
        <v>99</v>
      </c>
      <c r="G2793" t="s">
        <v>100</v>
      </c>
      <c r="H2793" t="s">
        <v>29</v>
      </c>
      <c r="I2793" t="s">
        <v>30</v>
      </c>
      <c r="J2793" t="s">
        <v>103</v>
      </c>
      <c r="K2793">
        <v>46</v>
      </c>
      <c r="L2793">
        <v>15400</v>
      </c>
      <c r="M2793">
        <v>708400</v>
      </c>
      <c r="N2793" t="s">
        <v>108</v>
      </c>
      <c r="O2793" t="s">
        <v>115</v>
      </c>
    </row>
    <row r="2794" spans="1:15" x14ac:dyDescent="0.25">
      <c r="A2794">
        <v>3806</v>
      </c>
      <c r="B2794" s="10">
        <v>45902</v>
      </c>
      <c r="C2794">
        <v>2</v>
      </c>
      <c r="D2794" t="s">
        <v>147</v>
      </c>
      <c r="E2794" t="s">
        <v>116</v>
      </c>
      <c r="F2794" t="s">
        <v>151</v>
      </c>
      <c r="G2794" t="s">
        <v>111</v>
      </c>
      <c r="H2794" t="s">
        <v>131</v>
      </c>
      <c r="I2794" t="s">
        <v>132</v>
      </c>
      <c r="J2794" t="s">
        <v>94</v>
      </c>
      <c r="K2794">
        <v>10</v>
      </c>
      <c r="L2794">
        <v>15400</v>
      </c>
      <c r="M2794">
        <v>154000</v>
      </c>
      <c r="N2794" t="s">
        <v>95</v>
      </c>
      <c r="O2794" t="s">
        <v>115</v>
      </c>
    </row>
    <row r="2795" spans="1:15" x14ac:dyDescent="0.25">
      <c r="A2795">
        <v>3830</v>
      </c>
      <c r="B2795" s="10">
        <v>45841</v>
      </c>
      <c r="C2795">
        <v>3</v>
      </c>
      <c r="D2795" t="s">
        <v>145</v>
      </c>
      <c r="E2795" t="s">
        <v>112</v>
      </c>
      <c r="F2795" t="s">
        <v>122</v>
      </c>
      <c r="G2795" t="s">
        <v>114</v>
      </c>
      <c r="H2795" t="s">
        <v>131</v>
      </c>
      <c r="I2795" t="s">
        <v>132</v>
      </c>
      <c r="J2795" t="s">
        <v>94</v>
      </c>
      <c r="K2795">
        <v>10</v>
      </c>
      <c r="L2795">
        <v>15400</v>
      </c>
      <c r="M2795">
        <v>154000</v>
      </c>
      <c r="N2795" t="s">
        <v>108</v>
      </c>
      <c r="O2795" t="s">
        <v>115</v>
      </c>
    </row>
    <row r="2796" spans="1:15" x14ac:dyDescent="0.25">
      <c r="A2796">
        <v>3979</v>
      </c>
      <c r="B2796" s="10">
        <v>45901</v>
      </c>
      <c r="C2796">
        <v>1</v>
      </c>
      <c r="D2796" t="s">
        <v>147</v>
      </c>
      <c r="E2796" t="s">
        <v>31</v>
      </c>
      <c r="F2796" t="s">
        <v>113</v>
      </c>
      <c r="G2796" t="s">
        <v>114</v>
      </c>
      <c r="H2796" t="s">
        <v>131</v>
      </c>
      <c r="I2796" t="s">
        <v>132</v>
      </c>
      <c r="J2796" t="s">
        <v>94</v>
      </c>
      <c r="K2796">
        <v>9</v>
      </c>
      <c r="L2796">
        <v>15400</v>
      </c>
      <c r="M2796">
        <v>138600</v>
      </c>
      <c r="N2796" t="s">
        <v>95</v>
      </c>
      <c r="O2796" t="s">
        <v>104</v>
      </c>
    </row>
    <row r="2797" spans="1:15" x14ac:dyDescent="0.25">
      <c r="A2797">
        <v>4409</v>
      </c>
      <c r="B2797" s="10">
        <v>45958</v>
      </c>
      <c r="C2797">
        <v>28</v>
      </c>
      <c r="D2797" t="s">
        <v>136</v>
      </c>
      <c r="E2797" t="s">
        <v>116</v>
      </c>
      <c r="F2797" t="s">
        <v>151</v>
      </c>
      <c r="G2797" t="s">
        <v>111</v>
      </c>
      <c r="H2797" t="s">
        <v>131</v>
      </c>
      <c r="I2797" t="s">
        <v>132</v>
      </c>
      <c r="J2797" t="s">
        <v>94</v>
      </c>
      <c r="K2797">
        <v>1</v>
      </c>
      <c r="L2797">
        <v>15400</v>
      </c>
      <c r="M2797">
        <v>15400</v>
      </c>
      <c r="N2797" t="s">
        <v>95</v>
      </c>
      <c r="O2797" t="s">
        <v>115</v>
      </c>
    </row>
    <row r="2798" spans="1:15" x14ac:dyDescent="0.25">
      <c r="A2798">
        <v>4484</v>
      </c>
      <c r="B2798" s="10">
        <v>45775</v>
      </c>
      <c r="C2798">
        <v>28</v>
      </c>
      <c r="D2798" t="s">
        <v>105</v>
      </c>
      <c r="E2798" t="s">
        <v>128</v>
      </c>
      <c r="F2798" t="s">
        <v>22</v>
      </c>
      <c r="G2798" t="s">
        <v>91</v>
      </c>
      <c r="H2798" t="s">
        <v>131</v>
      </c>
      <c r="I2798" t="s">
        <v>132</v>
      </c>
      <c r="J2798" t="s">
        <v>94</v>
      </c>
      <c r="K2798">
        <v>7</v>
      </c>
      <c r="L2798">
        <v>15400</v>
      </c>
      <c r="M2798">
        <v>107800</v>
      </c>
      <c r="N2798" t="s">
        <v>108</v>
      </c>
      <c r="O2798" t="s">
        <v>115</v>
      </c>
    </row>
    <row r="2799" spans="1:15" x14ac:dyDescent="0.25">
      <c r="A2799">
        <v>4833</v>
      </c>
      <c r="B2799" s="10">
        <v>45987</v>
      </c>
      <c r="C2799">
        <v>26</v>
      </c>
      <c r="D2799" t="s">
        <v>90</v>
      </c>
      <c r="E2799" t="s">
        <v>116</v>
      </c>
      <c r="F2799" t="s">
        <v>122</v>
      </c>
      <c r="G2799" t="s">
        <v>114</v>
      </c>
      <c r="H2799" t="s">
        <v>131</v>
      </c>
      <c r="I2799" t="s">
        <v>132</v>
      </c>
      <c r="J2799" t="s">
        <v>94</v>
      </c>
      <c r="K2799">
        <v>4</v>
      </c>
      <c r="L2799">
        <v>15400</v>
      </c>
      <c r="M2799">
        <v>61600</v>
      </c>
      <c r="N2799" t="s">
        <v>108</v>
      </c>
      <c r="O2799" t="s">
        <v>115</v>
      </c>
    </row>
    <row r="2800" spans="1:15" x14ac:dyDescent="0.25">
      <c r="A2800">
        <v>4842</v>
      </c>
      <c r="B2800" s="10">
        <v>45891</v>
      </c>
      <c r="C2800">
        <v>22</v>
      </c>
      <c r="D2800" t="s">
        <v>109</v>
      </c>
      <c r="E2800" t="s">
        <v>98</v>
      </c>
      <c r="F2800" t="s">
        <v>122</v>
      </c>
      <c r="G2800" t="s">
        <v>114</v>
      </c>
      <c r="H2800" t="s">
        <v>29</v>
      </c>
      <c r="I2800" t="s">
        <v>30</v>
      </c>
      <c r="J2800" t="s">
        <v>103</v>
      </c>
      <c r="K2800">
        <v>37</v>
      </c>
      <c r="L2800">
        <v>15400</v>
      </c>
      <c r="M2800">
        <v>569800</v>
      </c>
      <c r="N2800" t="s">
        <v>108</v>
      </c>
      <c r="O2800" t="s">
        <v>104</v>
      </c>
    </row>
    <row r="2801" spans="1:15" x14ac:dyDescent="0.25">
      <c r="A2801">
        <v>382</v>
      </c>
      <c r="B2801" s="10">
        <v>45853</v>
      </c>
      <c r="C2801">
        <v>15</v>
      </c>
      <c r="D2801" t="s">
        <v>145</v>
      </c>
      <c r="E2801" t="s">
        <v>112</v>
      </c>
      <c r="F2801" t="s">
        <v>141</v>
      </c>
      <c r="G2801" t="s">
        <v>100</v>
      </c>
      <c r="H2801" t="s">
        <v>29</v>
      </c>
      <c r="I2801" t="s">
        <v>42</v>
      </c>
      <c r="J2801" t="s">
        <v>94</v>
      </c>
      <c r="K2801">
        <v>9</v>
      </c>
      <c r="L2801">
        <v>15500</v>
      </c>
      <c r="M2801">
        <v>139500</v>
      </c>
      <c r="N2801" t="s">
        <v>95</v>
      </c>
      <c r="O2801" t="s">
        <v>96</v>
      </c>
    </row>
    <row r="2802" spans="1:15" x14ac:dyDescent="0.25">
      <c r="A2802">
        <v>711</v>
      </c>
      <c r="B2802" s="10">
        <v>45820</v>
      </c>
      <c r="C2802">
        <v>12</v>
      </c>
      <c r="D2802" t="s">
        <v>153</v>
      </c>
      <c r="E2802" t="s">
        <v>121</v>
      </c>
      <c r="F2802" t="s">
        <v>144</v>
      </c>
      <c r="G2802" t="s">
        <v>91</v>
      </c>
      <c r="H2802" t="s">
        <v>29</v>
      </c>
      <c r="I2802" t="s">
        <v>30</v>
      </c>
      <c r="J2802" t="s">
        <v>103</v>
      </c>
      <c r="K2802">
        <v>31</v>
      </c>
      <c r="L2802">
        <v>15500</v>
      </c>
      <c r="M2802">
        <v>480500</v>
      </c>
      <c r="N2802" t="s">
        <v>108</v>
      </c>
      <c r="O2802" t="s">
        <v>115</v>
      </c>
    </row>
    <row r="2803" spans="1:15" x14ac:dyDescent="0.25">
      <c r="A2803">
        <v>1029</v>
      </c>
      <c r="B2803" s="10">
        <v>45869</v>
      </c>
      <c r="C2803">
        <v>31</v>
      </c>
      <c r="D2803" t="s">
        <v>145</v>
      </c>
      <c r="E2803" t="s">
        <v>128</v>
      </c>
      <c r="F2803" t="s">
        <v>134</v>
      </c>
      <c r="G2803" t="s">
        <v>100</v>
      </c>
      <c r="H2803" t="s">
        <v>131</v>
      </c>
      <c r="I2803" t="s">
        <v>132</v>
      </c>
      <c r="J2803" t="s">
        <v>94</v>
      </c>
      <c r="K2803">
        <v>8</v>
      </c>
      <c r="L2803">
        <v>15500</v>
      </c>
      <c r="M2803">
        <v>124000</v>
      </c>
      <c r="N2803" t="s">
        <v>95</v>
      </c>
      <c r="O2803" t="s">
        <v>104</v>
      </c>
    </row>
    <row r="2804" spans="1:15" x14ac:dyDescent="0.25">
      <c r="A2804">
        <v>1617</v>
      </c>
      <c r="B2804" s="10">
        <v>45884</v>
      </c>
      <c r="C2804">
        <v>15</v>
      </c>
      <c r="D2804" t="s">
        <v>109</v>
      </c>
      <c r="E2804" t="s">
        <v>150</v>
      </c>
      <c r="F2804" t="s">
        <v>107</v>
      </c>
      <c r="G2804" t="s">
        <v>100</v>
      </c>
      <c r="H2804" t="s">
        <v>29</v>
      </c>
      <c r="I2804" t="s">
        <v>30</v>
      </c>
      <c r="J2804" t="s">
        <v>103</v>
      </c>
      <c r="K2804">
        <v>26</v>
      </c>
      <c r="L2804">
        <v>15500</v>
      </c>
      <c r="M2804">
        <v>403000</v>
      </c>
      <c r="N2804" t="s">
        <v>95</v>
      </c>
      <c r="O2804" t="s">
        <v>115</v>
      </c>
    </row>
    <row r="2805" spans="1:15" x14ac:dyDescent="0.25">
      <c r="A2805">
        <v>1753</v>
      </c>
      <c r="B2805" s="10">
        <v>45825</v>
      </c>
      <c r="C2805">
        <v>17</v>
      </c>
      <c r="D2805" t="s">
        <v>153</v>
      </c>
      <c r="E2805" t="s">
        <v>121</v>
      </c>
      <c r="F2805" t="s">
        <v>113</v>
      </c>
      <c r="G2805" t="s">
        <v>114</v>
      </c>
      <c r="H2805" t="s">
        <v>29</v>
      </c>
      <c r="I2805" t="s">
        <v>42</v>
      </c>
      <c r="J2805" t="s">
        <v>94</v>
      </c>
      <c r="K2805">
        <v>5</v>
      </c>
      <c r="L2805">
        <v>15500</v>
      </c>
      <c r="M2805">
        <v>77500</v>
      </c>
      <c r="N2805" t="s">
        <v>95</v>
      </c>
      <c r="O2805" t="s">
        <v>115</v>
      </c>
    </row>
    <row r="2806" spans="1:15" x14ac:dyDescent="0.25">
      <c r="A2806">
        <v>1913</v>
      </c>
      <c r="B2806" s="10">
        <v>45691</v>
      </c>
      <c r="C2806">
        <v>3</v>
      </c>
      <c r="D2806" t="s">
        <v>97</v>
      </c>
      <c r="E2806" t="s">
        <v>25</v>
      </c>
      <c r="F2806" t="s">
        <v>28</v>
      </c>
      <c r="G2806" t="s">
        <v>126</v>
      </c>
      <c r="H2806" t="s">
        <v>131</v>
      </c>
      <c r="I2806" t="s">
        <v>132</v>
      </c>
      <c r="J2806" t="s">
        <v>94</v>
      </c>
      <c r="K2806">
        <v>10</v>
      </c>
      <c r="L2806">
        <v>15500</v>
      </c>
      <c r="M2806">
        <v>155000</v>
      </c>
      <c r="N2806" t="s">
        <v>108</v>
      </c>
      <c r="O2806" t="s">
        <v>104</v>
      </c>
    </row>
    <row r="2807" spans="1:15" x14ac:dyDescent="0.25">
      <c r="A2807">
        <v>1983</v>
      </c>
      <c r="B2807" s="10">
        <v>45985</v>
      </c>
      <c r="C2807">
        <v>24</v>
      </c>
      <c r="D2807" t="s">
        <v>90</v>
      </c>
      <c r="E2807" t="s">
        <v>98</v>
      </c>
      <c r="F2807" t="s">
        <v>151</v>
      </c>
      <c r="G2807" t="s">
        <v>111</v>
      </c>
      <c r="H2807" t="s">
        <v>29</v>
      </c>
      <c r="I2807" t="s">
        <v>42</v>
      </c>
      <c r="J2807" t="s">
        <v>94</v>
      </c>
      <c r="K2807">
        <v>9</v>
      </c>
      <c r="L2807">
        <v>15500</v>
      </c>
      <c r="M2807">
        <v>139500</v>
      </c>
      <c r="N2807" t="s">
        <v>95</v>
      </c>
      <c r="O2807" t="s">
        <v>115</v>
      </c>
    </row>
    <row r="2808" spans="1:15" x14ac:dyDescent="0.25">
      <c r="A2808">
        <v>2228</v>
      </c>
      <c r="B2808" s="10">
        <v>45729</v>
      </c>
      <c r="C2808">
        <v>13</v>
      </c>
      <c r="D2808" t="s">
        <v>140</v>
      </c>
      <c r="E2808" t="s">
        <v>112</v>
      </c>
      <c r="F2808" t="s">
        <v>134</v>
      </c>
      <c r="G2808" t="s">
        <v>100</v>
      </c>
      <c r="H2808" t="s">
        <v>29</v>
      </c>
      <c r="I2808" t="s">
        <v>42</v>
      </c>
      <c r="J2808" t="s">
        <v>94</v>
      </c>
      <c r="K2808">
        <v>4</v>
      </c>
      <c r="L2808">
        <v>15500</v>
      </c>
      <c r="M2808">
        <v>62000</v>
      </c>
      <c r="N2808" t="s">
        <v>95</v>
      </c>
      <c r="O2808" t="s">
        <v>104</v>
      </c>
    </row>
    <row r="2809" spans="1:15" x14ac:dyDescent="0.25">
      <c r="A2809">
        <v>2504</v>
      </c>
      <c r="B2809" s="10">
        <v>45669</v>
      </c>
      <c r="C2809">
        <v>12</v>
      </c>
      <c r="D2809" t="s">
        <v>130</v>
      </c>
      <c r="E2809" t="s">
        <v>161</v>
      </c>
      <c r="F2809" t="s">
        <v>148</v>
      </c>
      <c r="G2809" t="s">
        <v>118</v>
      </c>
      <c r="H2809" t="s">
        <v>29</v>
      </c>
      <c r="I2809" t="s">
        <v>42</v>
      </c>
      <c r="J2809" t="s">
        <v>94</v>
      </c>
      <c r="K2809">
        <v>2</v>
      </c>
      <c r="L2809">
        <v>15500</v>
      </c>
      <c r="M2809">
        <v>31000</v>
      </c>
      <c r="N2809" t="s">
        <v>95</v>
      </c>
      <c r="O2809" t="s">
        <v>115</v>
      </c>
    </row>
    <row r="2810" spans="1:15" x14ac:dyDescent="0.25">
      <c r="A2810">
        <v>2900</v>
      </c>
      <c r="B2810" s="10">
        <v>45909</v>
      </c>
      <c r="C2810">
        <v>9</v>
      </c>
      <c r="D2810" t="s">
        <v>147</v>
      </c>
      <c r="E2810" t="s">
        <v>98</v>
      </c>
      <c r="F2810" t="s">
        <v>99</v>
      </c>
      <c r="G2810" t="s">
        <v>100</v>
      </c>
      <c r="H2810" t="s">
        <v>29</v>
      </c>
      <c r="I2810" t="s">
        <v>30</v>
      </c>
      <c r="J2810" t="s">
        <v>103</v>
      </c>
      <c r="K2810">
        <v>26</v>
      </c>
      <c r="L2810">
        <v>15500</v>
      </c>
      <c r="M2810">
        <v>403000</v>
      </c>
      <c r="N2810" t="s">
        <v>95</v>
      </c>
      <c r="O2810" t="s">
        <v>104</v>
      </c>
    </row>
    <row r="2811" spans="1:15" x14ac:dyDescent="0.25">
      <c r="A2811">
        <v>2915</v>
      </c>
      <c r="B2811" s="10">
        <v>45992</v>
      </c>
      <c r="C2811">
        <v>1</v>
      </c>
      <c r="D2811" t="s">
        <v>125</v>
      </c>
      <c r="E2811" t="s">
        <v>106</v>
      </c>
      <c r="F2811" t="s">
        <v>107</v>
      </c>
      <c r="G2811" t="s">
        <v>100</v>
      </c>
      <c r="H2811" t="s">
        <v>131</v>
      </c>
      <c r="I2811" t="s">
        <v>132</v>
      </c>
      <c r="J2811" t="s">
        <v>94</v>
      </c>
      <c r="K2811">
        <v>3</v>
      </c>
      <c r="L2811">
        <v>15500</v>
      </c>
      <c r="M2811">
        <v>46500</v>
      </c>
      <c r="N2811" t="s">
        <v>108</v>
      </c>
      <c r="O2811" t="s">
        <v>104</v>
      </c>
    </row>
    <row r="2812" spans="1:15" x14ac:dyDescent="0.25">
      <c r="A2812">
        <v>3041</v>
      </c>
      <c r="B2812" s="10">
        <v>45959</v>
      </c>
      <c r="C2812">
        <v>29</v>
      </c>
      <c r="D2812" t="s">
        <v>136</v>
      </c>
      <c r="E2812" t="s">
        <v>110</v>
      </c>
      <c r="F2812" t="s">
        <v>107</v>
      </c>
      <c r="G2812" t="s">
        <v>100</v>
      </c>
      <c r="H2812" t="s">
        <v>131</v>
      </c>
      <c r="I2812" t="s">
        <v>132</v>
      </c>
      <c r="J2812" t="s">
        <v>94</v>
      </c>
      <c r="K2812">
        <v>6</v>
      </c>
      <c r="L2812">
        <v>15500</v>
      </c>
      <c r="M2812">
        <v>93000</v>
      </c>
      <c r="N2812" t="s">
        <v>95</v>
      </c>
      <c r="O2812" t="s">
        <v>104</v>
      </c>
    </row>
    <row r="2813" spans="1:15" x14ac:dyDescent="0.25">
      <c r="A2813">
        <v>3793</v>
      </c>
      <c r="B2813" s="10">
        <v>45964</v>
      </c>
      <c r="C2813">
        <v>3</v>
      </c>
      <c r="D2813" t="s">
        <v>90</v>
      </c>
      <c r="E2813" t="s">
        <v>116</v>
      </c>
      <c r="F2813" t="s">
        <v>113</v>
      </c>
      <c r="G2813" t="s">
        <v>114</v>
      </c>
      <c r="H2813" t="s">
        <v>29</v>
      </c>
      <c r="I2813" t="s">
        <v>30</v>
      </c>
      <c r="J2813" t="s">
        <v>103</v>
      </c>
      <c r="K2813">
        <v>24</v>
      </c>
      <c r="L2813">
        <v>15500</v>
      </c>
      <c r="M2813">
        <v>372000</v>
      </c>
      <c r="N2813" t="s">
        <v>95</v>
      </c>
      <c r="O2813" t="s">
        <v>96</v>
      </c>
    </row>
    <row r="2814" spans="1:15" x14ac:dyDescent="0.25">
      <c r="A2814">
        <v>4513</v>
      </c>
      <c r="B2814" s="10">
        <v>45997</v>
      </c>
      <c r="C2814">
        <v>6</v>
      </c>
      <c r="D2814" t="s">
        <v>125</v>
      </c>
      <c r="E2814" t="s">
        <v>138</v>
      </c>
      <c r="F2814" t="s">
        <v>49</v>
      </c>
      <c r="G2814" t="s">
        <v>118</v>
      </c>
      <c r="H2814" t="s">
        <v>29</v>
      </c>
      <c r="I2814" t="s">
        <v>42</v>
      </c>
      <c r="J2814" t="s">
        <v>94</v>
      </c>
      <c r="K2814">
        <v>1</v>
      </c>
      <c r="L2814">
        <v>15500</v>
      </c>
      <c r="M2814">
        <v>15500</v>
      </c>
      <c r="N2814" t="s">
        <v>95</v>
      </c>
      <c r="O2814" t="s">
        <v>104</v>
      </c>
    </row>
    <row r="2815" spans="1:15" x14ac:dyDescent="0.25">
      <c r="A2815">
        <v>4609</v>
      </c>
      <c r="B2815" s="10">
        <v>45979</v>
      </c>
      <c r="C2815">
        <v>18</v>
      </c>
      <c r="D2815" t="s">
        <v>90</v>
      </c>
      <c r="E2815" t="s">
        <v>112</v>
      </c>
      <c r="F2815" t="s">
        <v>117</v>
      </c>
      <c r="G2815" t="s">
        <v>118</v>
      </c>
      <c r="H2815" t="s">
        <v>131</v>
      </c>
      <c r="I2815" t="s">
        <v>132</v>
      </c>
      <c r="J2815" t="s">
        <v>94</v>
      </c>
      <c r="K2815">
        <v>1</v>
      </c>
      <c r="L2815">
        <v>15500</v>
      </c>
      <c r="M2815">
        <v>15500</v>
      </c>
      <c r="N2815" t="s">
        <v>108</v>
      </c>
      <c r="O2815" t="s">
        <v>115</v>
      </c>
    </row>
    <row r="2816" spans="1:15" x14ac:dyDescent="0.25">
      <c r="A2816">
        <v>4834</v>
      </c>
      <c r="B2816" s="10">
        <v>45724</v>
      </c>
      <c r="C2816">
        <v>8</v>
      </c>
      <c r="D2816" t="s">
        <v>140</v>
      </c>
      <c r="E2816" t="s">
        <v>31</v>
      </c>
      <c r="F2816" t="s">
        <v>22</v>
      </c>
      <c r="G2816" t="s">
        <v>91</v>
      </c>
      <c r="H2816" t="s">
        <v>131</v>
      </c>
      <c r="I2816" t="s">
        <v>132</v>
      </c>
      <c r="J2816" t="s">
        <v>94</v>
      </c>
      <c r="K2816">
        <v>1</v>
      </c>
      <c r="L2816">
        <v>15500</v>
      </c>
      <c r="M2816">
        <v>15500</v>
      </c>
      <c r="N2816" t="s">
        <v>95</v>
      </c>
      <c r="O2816" t="s">
        <v>115</v>
      </c>
    </row>
    <row r="2817" spans="1:15" x14ac:dyDescent="0.25">
      <c r="A2817">
        <v>61</v>
      </c>
      <c r="B2817" s="10">
        <v>45778</v>
      </c>
      <c r="C2817">
        <v>1</v>
      </c>
      <c r="D2817" t="s">
        <v>120</v>
      </c>
      <c r="E2817" t="s">
        <v>98</v>
      </c>
      <c r="F2817" t="s">
        <v>44</v>
      </c>
      <c r="G2817" t="s">
        <v>111</v>
      </c>
      <c r="H2817" t="s">
        <v>29</v>
      </c>
      <c r="I2817" t="s">
        <v>42</v>
      </c>
      <c r="J2817" t="s">
        <v>94</v>
      </c>
      <c r="K2817">
        <v>1</v>
      </c>
      <c r="L2817">
        <v>15600</v>
      </c>
      <c r="M2817">
        <v>15600</v>
      </c>
      <c r="N2817" t="s">
        <v>95</v>
      </c>
      <c r="O2817" t="s">
        <v>104</v>
      </c>
    </row>
    <row r="2818" spans="1:15" x14ac:dyDescent="0.25">
      <c r="A2818">
        <v>176</v>
      </c>
      <c r="B2818" s="10">
        <v>45865</v>
      </c>
      <c r="C2818">
        <v>27</v>
      </c>
      <c r="D2818" t="s">
        <v>145</v>
      </c>
      <c r="E2818" t="s">
        <v>161</v>
      </c>
      <c r="F2818" t="s">
        <v>122</v>
      </c>
      <c r="G2818" t="s">
        <v>114</v>
      </c>
      <c r="H2818" t="s">
        <v>131</v>
      </c>
      <c r="I2818" t="s">
        <v>132</v>
      </c>
      <c r="J2818" t="s">
        <v>94</v>
      </c>
      <c r="K2818">
        <v>7</v>
      </c>
      <c r="L2818">
        <v>15600</v>
      </c>
      <c r="M2818">
        <v>109200</v>
      </c>
      <c r="N2818" t="s">
        <v>95</v>
      </c>
      <c r="O2818" t="s">
        <v>115</v>
      </c>
    </row>
    <row r="2819" spans="1:15" x14ac:dyDescent="0.25">
      <c r="A2819">
        <v>292</v>
      </c>
      <c r="B2819" s="10">
        <v>45933</v>
      </c>
      <c r="C2819">
        <v>3</v>
      </c>
      <c r="D2819" t="s">
        <v>136</v>
      </c>
      <c r="E2819" t="s">
        <v>142</v>
      </c>
      <c r="F2819" t="s">
        <v>107</v>
      </c>
      <c r="G2819" t="s">
        <v>100</v>
      </c>
      <c r="H2819" t="s">
        <v>29</v>
      </c>
      <c r="I2819" t="s">
        <v>42</v>
      </c>
      <c r="J2819" t="s">
        <v>94</v>
      </c>
      <c r="K2819">
        <v>1</v>
      </c>
      <c r="L2819">
        <v>15600</v>
      </c>
      <c r="M2819">
        <v>15600</v>
      </c>
      <c r="N2819" t="s">
        <v>108</v>
      </c>
      <c r="O2819" t="s">
        <v>115</v>
      </c>
    </row>
    <row r="2820" spans="1:15" x14ac:dyDescent="0.25">
      <c r="A2820">
        <v>637</v>
      </c>
      <c r="B2820" s="10">
        <v>45993</v>
      </c>
      <c r="C2820">
        <v>2</v>
      </c>
      <c r="D2820" t="s">
        <v>125</v>
      </c>
      <c r="E2820" t="s">
        <v>128</v>
      </c>
      <c r="F2820" t="s">
        <v>144</v>
      </c>
      <c r="G2820" t="s">
        <v>91</v>
      </c>
      <c r="H2820" t="s">
        <v>131</v>
      </c>
      <c r="I2820" t="s">
        <v>132</v>
      </c>
      <c r="J2820" t="s">
        <v>94</v>
      </c>
      <c r="K2820">
        <v>4</v>
      </c>
      <c r="L2820">
        <v>15600</v>
      </c>
      <c r="M2820">
        <v>62400</v>
      </c>
      <c r="N2820" t="s">
        <v>108</v>
      </c>
      <c r="O2820" t="s">
        <v>115</v>
      </c>
    </row>
    <row r="2821" spans="1:15" x14ac:dyDescent="0.25">
      <c r="A2821">
        <v>1593</v>
      </c>
      <c r="B2821" s="10">
        <v>45817</v>
      </c>
      <c r="C2821">
        <v>9</v>
      </c>
      <c r="D2821" t="s">
        <v>153</v>
      </c>
      <c r="E2821" t="s">
        <v>161</v>
      </c>
      <c r="F2821" t="s">
        <v>113</v>
      </c>
      <c r="G2821" t="s">
        <v>114</v>
      </c>
      <c r="H2821" t="s">
        <v>29</v>
      </c>
      <c r="I2821" t="s">
        <v>30</v>
      </c>
      <c r="J2821" t="s">
        <v>103</v>
      </c>
      <c r="K2821">
        <v>49</v>
      </c>
      <c r="L2821">
        <v>15600</v>
      </c>
      <c r="M2821">
        <v>764400</v>
      </c>
      <c r="N2821" t="s">
        <v>108</v>
      </c>
      <c r="O2821" t="s">
        <v>104</v>
      </c>
    </row>
    <row r="2822" spans="1:15" x14ac:dyDescent="0.25">
      <c r="A2822">
        <v>2285</v>
      </c>
      <c r="B2822" s="10">
        <v>45731</v>
      </c>
      <c r="C2822">
        <v>15</v>
      </c>
      <c r="D2822" t="s">
        <v>140</v>
      </c>
      <c r="E2822" t="s">
        <v>31</v>
      </c>
      <c r="F2822" t="s">
        <v>122</v>
      </c>
      <c r="G2822" t="s">
        <v>114</v>
      </c>
      <c r="H2822" t="s">
        <v>29</v>
      </c>
      <c r="I2822" t="s">
        <v>42</v>
      </c>
      <c r="J2822" t="s">
        <v>94</v>
      </c>
      <c r="K2822">
        <v>6</v>
      </c>
      <c r="L2822">
        <v>15600</v>
      </c>
      <c r="M2822">
        <v>93600</v>
      </c>
      <c r="N2822" t="s">
        <v>108</v>
      </c>
      <c r="O2822" t="s">
        <v>96</v>
      </c>
    </row>
    <row r="2823" spans="1:15" x14ac:dyDescent="0.25">
      <c r="A2823">
        <v>2557</v>
      </c>
      <c r="B2823" s="10">
        <v>45955</v>
      </c>
      <c r="C2823">
        <v>25</v>
      </c>
      <c r="D2823" t="s">
        <v>136</v>
      </c>
      <c r="E2823" t="s">
        <v>161</v>
      </c>
      <c r="F2823" t="s">
        <v>113</v>
      </c>
      <c r="G2823" t="s">
        <v>114</v>
      </c>
      <c r="H2823" t="s">
        <v>29</v>
      </c>
      <c r="I2823" t="s">
        <v>30</v>
      </c>
      <c r="J2823" t="s">
        <v>94</v>
      </c>
      <c r="K2823">
        <v>7</v>
      </c>
      <c r="L2823">
        <v>15600</v>
      </c>
      <c r="M2823">
        <v>109200</v>
      </c>
      <c r="N2823" t="s">
        <v>108</v>
      </c>
      <c r="O2823" t="s">
        <v>115</v>
      </c>
    </row>
    <row r="2824" spans="1:15" x14ac:dyDescent="0.25">
      <c r="A2824">
        <v>3036</v>
      </c>
      <c r="B2824" s="10">
        <v>45985</v>
      </c>
      <c r="C2824">
        <v>24</v>
      </c>
      <c r="D2824" t="s">
        <v>90</v>
      </c>
      <c r="E2824" t="s">
        <v>31</v>
      </c>
      <c r="F2824" t="s">
        <v>44</v>
      </c>
      <c r="G2824" t="s">
        <v>111</v>
      </c>
      <c r="H2824" t="s">
        <v>29</v>
      </c>
      <c r="I2824" t="s">
        <v>30</v>
      </c>
      <c r="J2824" t="s">
        <v>103</v>
      </c>
      <c r="K2824">
        <v>36</v>
      </c>
      <c r="L2824">
        <v>15600</v>
      </c>
      <c r="M2824">
        <v>561600</v>
      </c>
      <c r="N2824" t="s">
        <v>108</v>
      </c>
      <c r="O2824" t="s">
        <v>96</v>
      </c>
    </row>
    <row r="2825" spans="1:15" x14ac:dyDescent="0.25">
      <c r="A2825">
        <v>3698</v>
      </c>
      <c r="B2825" s="10">
        <v>45672</v>
      </c>
      <c r="C2825">
        <v>15</v>
      </c>
      <c r="D2825" t="s">
        <v>130</v>
      </c>
      <c r="E2825" t="s">
        <v>133</v>
      </c>
      <c r="F2825" t="s">
        <v>99</v>
      </c>
      <c r="G2825" t="s">
        <v>100</v>
      </c>
      <c r="H2825" t="s">
        <v>29</v>
      </c>
      <c r="I2825" t="s">
        <v>30</v>
      </c>
      <c r="J2825" t="s">
        <v>103</v>
      </c>
      <c r="K2825">
        <v>47</v>
      </c>
      <c r="L2825">
        <v>15600</v>
      </c>
      <c r="M2825">
        <v>733200</v>
      </c>
      <c r="N2825" t="s">
        <v>95</v>
      </c>
      <c r="O2825" t="s">
        <v>96</v>
      </c>
    </row>
    <row r="2826" spans="1:15" x14ac:dyDescent="0.25">
      <c r="A2826">
        <v>4406</v>
      </c>
      <c r="B2826" s="10">
        <v>46008</v>
      </c>
      <c r="C2826">
        <v>17</v>
      </c>
      <c r="D2826" t="s">
        <v>125</v>
      </c>
      <c r="E2826" t="s">
        <v>138</v>
      </c>
      <c r="F2826" t="s">
        <v>148</v>
      </c>
      <c r="G2826" t="s">
        <v>118</v>
      </c>
      <c r="H2826" t="s">
        <v>131</v>
      </c>
      <c r="I2826" t="s">
        <v>132</v>
      </c>
      <c r="J2826" t="s">
        <v>94</v>
      </c>
      <c r="K2826">
        <v>8</v>
      </c>
      <c r="L2826">
        <v>15600</v>
      </c>
      <c r="M2826">
        <v>124800</v>
      </c>
      <c r="N2826" t="s">
        <v>108</v>
      </c>
      <c r="O2826" t="s">
        <v>96</v>
      </c>
    </row>
    <row r="2827" spans="1:15" x14ac:dyDescent="0.25">
      <c r="A2827">
        <v>736</v>
      </c>
      <c r="B2827" s="10">
        <v>45691</v>
      </c>
      <c r="C2827">
        <v>3</v>
      </c>
      <c r="D2827" t="s">
        <v>97</v>
      </c>
      <c r="E2827" t="s">
        <v>116</v>
      </c>
      <c r="F2827" t="s">
        <v>151</v>
      </c>
      <c r="G2827" t="s">
        <v>111</v>
      </c>
      <c r="H2827" t="s">
        <v>29</v>
      </c>
      <c r="I2827" t="s">
        <v>30</v>
      </c>
      <c r="J2827" t="s">
        <v>103</v>
      </c>
      <c r="K2827">
        <v>26</v>
      </c>
      <c r="L2827">
        <v>15700</v>
      </c>
      <c r="M2827">
        <v>408200</v>
      </c>
      <c r="N2827" t="s">
        <v>108</v>
      </c>
      <c r="O2827" t="s">
        <v>96</v>
      </c>
    </row>
    <row r="2828" spans="1:15" x14ac:dyDescent="0.25">
      <c r="A2828">
        <v>1958</v>
      </c>
      <c r="B2828" s="10">
        <v>45712</v>
      </c>
      <c r="C2828">
        <v>24</v>
      </c>
      <c r="D2828" t="s">
        <v>97</v>
      </c>
      <c r="E2828" t="s">
        <v>161</v>
      </c>
      <c r="F2828" t="s">
        <v>144</v>
      </c>
      <c r="G2828" t="s">
        <v>91</v>
      </c>
      <c r="H2828" t="s">
        <v>29</v>
      </c>
      <c r="I2828" t="s">
        <v>42</v>
      </c>
      <c r="J2828" t="s">
        <v>103</v>
      </c>
      <c r="K2828">
        <v>49</v>
      </c>
      <c r="L2828">
        <v>15700</v>
      </c>
      <c r="M2828">
        <v>769300</v>
      </c>
      <c r="N2828" t="s">
        <v>95</v>
      </c>
      <c r="O2828" t="s">
        <v>96</v>
      </c>
    </row>
    <row r="2829" spans="1:15" x14ac:dyDescent="0.25">
      <c r="A2829">
        <v>2034</v>
      </c>
      <c r="B2829" s="10">
        <v>45935</v>
      </c>
      <c r="C2829">
        <v>5</v>
      </c>
      <c r="D2829" t="s">
        <v>136</v>
      </c>
      <c r="E2829" t="s">
        <v>110</v>
      </c>
      <c r="F2829" t="s">
        <v>22</v>
      </c>
      <c r="G2829" t="s">
        <v>91</v>
      </c>
      <c r="H2829" t="s">
        <v>29</v>
      </c>
      <c r="I2829" t="s">
        <v>30</v>
      </c>
      <c r="J2829" t="s">
        <v>103</v>
      </c>
      <c r="K2829">
        <v>36</v>
      </c>
      <c r="L2829">
        <v>15700</v>
      </c>
      <c r="M2829">
        <v>565200</v>
      </c>
      <c r="N2829" t="s">
        <v>95</v>
      </c>
      <c r="O2829" t="s">
        <v>104</v>
      </c>
    </row>
    <row r="2830" spans="1:15" x14ac:dyDescent="0.25">
      <c r="A2830">
        <v>2160</v>
      </c>
      <c r="B2830" s="10">
        <v>45912</v>
      </c>
      <c r="C2830">
        <v>12</v>
      </c>
      <c r="D2830" t="s">
        <v>147</v>
      </c>
      <c r="E2830" t="s">
        <v>137</v>
      </c>
      <c r="F2830" t="s">
        <v>22</v>
      </c>
      <c r="G2830" t="s">
        <v>91</v>
      </c>
      <c r="H2830" t="s">
        <v>29</v>
      </c>
      <c r="I2830" t="s">
        <v>30</v>
      </c>
      <c r="J2830" t="s">
        <v>103</v>
      </c>
      <c r="K2830">
        <v>49</v>
      </c>
      <c r="L2830">
        <v>15700</v>
      </c>
      <c r="M2830">
        <v>769300</v>
      </c>
      <c r="N2830" t="s">
        <v>108</v>
      </c>
      <c r="O2830" t="s">
        <v>96</v>
      </c>
    </row>
    <row r="2831" spans="1:15" x14ac:dyDescent="0.25">
      <c r="A2831">
        <v>2170</v>
      </c>
      <c r="B2831" s="10">
        <v>45932</v>
      </c>
      <c r="C2831">
        <v>2</v>
      </c>
      <c r="D2831" t="s">
        <v>136</v>
      </c>
      <c r="E2831" t="s">
        <v>161</v>
      </c>
      <c r="F2831" t="s">
        <v>122</v>
      </c>
      <c r="G2831" t="s">
        <v>114</v>
      </c>
      <c r="H2831" t="s">
        <v>29</v>
      </c>
      <c r="I2831" t="s">
        <v>30</v>
      </c>
      <c r="J2831" t="s">
        <v>103</v>
      </c>
      <c r="K2831">
        <v>49</v>
      </c>
      <c r="L2831">
        <v>15700</v>
      </c>
      <c r="M2831">
        <v>769300</v>
      </c>
      <c r="N2831" t="s">
        <v>108</v>
      </c>
      <c r="O2831" t="s">
        <v>96</v>
      </c>
    </row>
    <row r="2832" spans="1:15" x14ac:dyDescent="0.25">
      <c r="A2832">
        <v>2357</v>
      </c>
      <c r="B2832" s="10">
        <v>45835</v>
      </c>
      <c r="C2832">
        <v>27</v>
      </c>
      <c r="D2832" t="s">
        <v>153</v>
      </c>
      <c r="E2832" t="s">
        <v>121</v>
      </c>
      <c r="F2832" t="s">
        <v>141</v>
      </c>
      <c r="G2832" t="s">
        <v>100</v>
      </c>
      <c r="H2832" t="s">
        <v>29</v>
      </c>
      <c r="I2832" t="s">
        <v>42</v>
      </c>
      <c r="J2832" t="s">
        <v>94</v>
      </c>
      <c r="K2832">
        <v>1</v>
      </c>
      <c r="L2832">
        <v>15700</v>
      </c>
      <c r="M2832">
        <v>15700</v>
      </c>
      <c r="N2832" t="s">
        <v>95</v>
      </c>
      <c r="O2832" t="s">
        <v>96</v>
      </c>
    </row>
    <row r="2833" spans="1:15" x14ac:dyDescent="0.25">
      <c r="A2833">
        <v>2487</v>
      </c>
      <c r="B2833" s="10">
        <v>45953</v>
      </c>
      <c r="C2833">
        <v>23</v>
      </c>
      <c r="D2833" t="s">
        <v>136</v>
      </c>
      <c r="E2833" t="s">
        <v>137</v>
      </c>
      <c r="F2833" t="s">
        <v>144</v>
      </c>
      <c r="G2833" t="s">
        <v>91</v>
      </c>
      <c r="H2833" t="s">
        <v>29</v>
      </c>
      <c r="I2833" t="s">
        <v>42</v>
      </c>
      <c r="J2833" t="s">
        <v>94</v>
      </c>
      <c r="K2833">
        <v>2</v>
      </c>
      <c r="L2833">
        <v>15700</v>
      </c>
      <c r="M2833">
        <v>31400</v>
      </c>
      <c r="N2833" t="s">
        <v>95</v>
      </c>
      <c r="O2833" t="s">
        <v>104</v>
      </c>
    </row>
    <row r="2834" spans="1:15" x14ac:dyDescent="0.25">
      <c r="A2834">
        <v>2780</v>
      </c>
      <c r="B2834" s="10">
        <v>45934</v>
      </c>
      <c r="C2834">
        <v>4</v>
      </c>
      <c r="D2834" t="s">
        <v>136</v>
      </c>
      <c r="E2834" t="s">
        <v>110</v>
      </c>
      <c r="F2834" t="s">
        <v>107</v>
      </c>
      <c r="G2834" t="s">
        <v>100</v>
      </c>
      <c r="H2834" t="s">
        <v>29</v>
      </c>
      <c r="I2834" t="s">
        <v>30</v>
      </c>
      <c r="J2834" t="s">
        <v>103</v>
      </c>
      <c r="K2834">
        <v>35</v>
      </c>
      <c r="L2834">
        <v>15700</v>
      </c>
      <c r="M2834">
        <v>549500</v>
      </c>
      <c r="N2834" t="s">
        <v>108</v>
      </c>
      <c r="O2834" t="s">
        <v>96</v>
      </c>
    </row>
    <row r="2835" spans="1:15" x14ac:dyDescent="0.25">
      <c r="A2835">
        <v>2935</v>
      </c>
      <c r="B2835" s="10">
        <v>45813</v>
      </c>
      <c r="C2835">
        <v>5</v>
      </c>
      <c r="D2835" t="s">
        <v>153</v>
      </c>
      <c r="E2835" t="s">
        <v>137</v>
      </c>
      <c r="F2835" t="s">
        <v>148</v>
      </c>
      <c r="G2835" t="s">
        <v>118</v>
      </c>
      <c r="H2835" t="s">
        <v>131</v>
      </c>
      <c r="I2835" t="s">
        <v>132</v>
      </c>
      <c r="J2835" t="s">
        <v>94</v>
      </c>
      <c r="K2835">
        <v>3</v>
      </c>
      <c r="L2835">
        <v>15700</v>
      </c>
      <c r="M2835">
        <v>47100</v>
      </c>
      <c r="N2835" t="s">
        <v>95</v>
      </c>
      <c r="O2835" t="s">
        <v>115</v>
      </c>
    </row>
    <row r="2836" spans="1:15" x14ac:dyDescent="0.25">
      <c r="A2836">
        <v>3023</v>
      </c>
      <c r="B2836" s="10">
        <v>45764</v>
      </c>
      <c r="C2836">
        <v>17</v>
      </c>
      <c r="D2836" t="s">
        <v>105</v>
      </c>
      <c r="E2836" t="s">
        <v>110</v>
      </c>
      <c r="F2836" t="s">
        <v>49</v>
      </c>
      <c r="G2836" t="s">
        <v>118</v>
      </c>
      <c r="H2836" t="s">
        <v>29</v>
      </c>
      <c r="I2836" t="s">
        <v>42</v>
      </c>
      <c r="J2836" t="s">
        <v>94</v>
      </c>
      <c r="K2836">
        <v>5</v>
      </c>
      <c r="L2836">
        <v>15700</v>
      </c>
      <c r="M2836">
        <v>78500</v>
      </c>
      <c r="N2836" t="s">
        <v>95</v>
      </c>
      <c r="O2836" t="s">
        <v>115</v>
      </c>
    </row>
    <row r="2837" spans="1:15" x14ac:dyDescent="0.25">
      <c r="A2837">
        <v>3339</v>
      </c>
      <c r="B2837" s="10">
        <v>45820</v>
      </c>
      <c r="C2837">
        <v>12</v>
      </c>
      <c r="D2837" t="s">
        <v>153</v>
      </c>
      <c r="E2837" t="s">
        <v>106</v>
      </c>
      <c r="F2837" t="s">
        <v>28</v>
      </c>
      <c r="G2837" t="s">
        <v>126</v>
      </c>
      <c r="H2837" t="s">
        <v>29</v>
      </c>
      <c r="I2837" t="s">
        <v>30</v>
      </c>
      <c r="J2837" t="s">
        <v>103</v>
      </c>
      <c r="K2837">
        <v>5</v>
      </c>
      <c r="L2837">
        <v>15700</v>
      </c>
      <c r="M2837">
        <v>78500</v>
      </c>
      <c r="N2837" t="s">
        <v>108</v>
      </c>
      <c r="O2837" t="s">
        <v>115</v>
      </c>
    </row>
    <row r="2838" spans="1:15" x14ac:dyDescent="0.25">
      <c r="A2838">
        <v>3449</v>
      </c>
      <c r="B2838" s="10">
        <v>45965</v>
      </c>
      <c r="C2838">
        <v>4</v>
      </c>
      <c r="D2838" t="s">
        <v>90</v>
      </c>
      <c r="E2838" t="s">
        <v>116</v>
      </c>
      <c r="F2838" t="s">
        <v>113</v>
      </c>
      <c r="G2838" t="s">
        <v>114</v>
      </c>
      <c r="H2838" t="s">
        <v>29</v>
      </c>
      <c r="I2838" t="s">
        <v>42</v>
      </c>
      <c r="J2838" t="s">
        <v>94</v>
      </c>
      <c r="K2838">
        <v>6</v>
      </c>
      <c r="L2838">
        <v>15700</v>
      </c>
      <c r="M2838">
        <v>94200</v>
      </c>
      <c r="N2838" t="s">
        <v>95</v>
      </c>
      <c r="O2838" t="s">
        <v>96</v>
      </c>
    </row>
    <row r="2839" spans="1:15" x14ac:dyDescent="0.25">
      <c r="A2839">
        <v>4037</v>
      </c>
      <c r="B2839" s="10">
        <v>45781</v>
      </c>
      <c r="C2839">
        <v>4</v>
      </c>
      <c r="D2839" t="s">
        <v>120</v>
      </c>
      <c r="E2839" t="s">
        <v>25</v>
      </c>
      <c r="F2839" t="s">
        <v>122</v>
      </c>
      <c r="G2839" t="s">
        <v>114</v>
      </c>
      <c r="H2839" t="s">
        <v>29</v>
      </c>
      <c r="I2839" t="s">
        <v>30</v>
      </c>
      <c r="J2839" t="s">
        <v>103</v>
      </c>
      <c r="K2839">
        <v>36</v>
      </c>
      <c r="L2839">
        <v>15700</v>
      </c>
      <c r="M2839">
        <v>565200</v>
      </c>
      <c r="N2839" t="s">
        <v>108</v>
      </c>
      <c r="O2839" t="s">
        <v>104</v>
      </c>
    </row>
    <row r="2840" spans="1:15" x14ac:dyDescent="0.25">
      <c r="A2840">
        <v>4320</v>
      </c>
      <c r="B2840" s="10">
        <v>45843</v>
      </c>
      <c r="C2840">
        <v>5</v>
      </c>
      <c r="D2840" t="s">
        <v>145</v>
      </c>
      <c r="E2840" t="s">
        <v>98</v>
      </c>
      <c r="F2840" t="s">
        <v>141</v>
      </c>
      <c r="G2840" t="s">
        <v>100</v>
      </c>
      <c r="H2840" t="s">
        <v>29</v>
      </c>
      <c r="I2840" t="s">
        <v>42</v>
      </c>
      <c r="J2840" t="s">
        <v>94</v>
      </c>
      <c r="K2840">
        <v>3</v>
      </c>
      <c r="L2840">
        <v>15700</v>
      </c>
      <c r="M2840">
        <v>47100</v>
      </c>
      <c r="N2840" t="s">
        <v>108</v>
      </c>
      <c r="O2840" t="s">
        <v>115</v>
      </c>
    </row>
    <row r="2841" spans="1:15" x14ac:dyDescent="0.25">
      <c r="A2841">
        <v>4400</v>
      </c>
      <c r="B2841" s="10">
        <v>45667</v>
      </c>
      <c r="C2841">
        <v>10</v>
      </c>
      <c r="D2841" t="s">
        <v>130</v>
      </c>
      <c r="E2841" t="s">
        <v>138</v>
      </c>
      <c r="F2841" t="s">
        <v>107</v>
      </c>
      <c r="G2841" t="s">
        <v>100</v>
      </c>
      <c r="H2841" t="s">
        <v>131</v>
      </c>
      <c r="I2841" t="s">
        <v>132</v>
      </c>
      <c r="J2841" t="s">
        <v>94</v>
      </c>
      <c r="K2841">
        <v>9</v>
      </c>
      <c r="L2841">
        <v>15700</v>
      </c>
      <c r="M2841">
        <v>141300</v>
      </c>
      <c r="N2841" t="s">
        <v>95</v>
      </c>
      <c r="O2841" t="s">
        <v>96</v>
      </c>
    </row>
    <row r="2842" spans="1:15" x14ac:dyDescent="0.25">
      <c r="A2842">
        <v>350</v>
      </c>
      <c r="B2842" s="10">
        <v>45989</v>
      </c>
      <c r="C2842">
        <v>28</v>
      </c>
      <c r="D2842" t="s">
        <v>90</v>
      </c>
      <c r="E2842" t="s">
        <v>31</v>
      </c>
      <c r="F2842" t="s">
        <v>122</v>
      </c>
      <c r="G2842" t="s">
        <v>114</v>
      </c>
      <c r="H2842" t="s">
        <v>29</v>
      </c>
      <c r="I2842" t="s">
        <v>42</v>
      </c>
      <c r="J2842" t="s">
        <v>94</v>
      </c>
      <c r="K2842">
        <v>9</v>
      </c>
      <c r="L2842">
        <v>15800</v>
      </c>
      <c r="M2842">
        <v>142200</v>
      </c>
      <c r="N2842" t="s">
        <v>95</v>
      </c>
      <c r="O2842" t="s">
        <v>115</v>
      </c>
    </row>
    <row r="2843" spans="1:15" x14ac:dyDescent="0.25">
      <c r="A2843">
        <v>1996</v>
      </c>
      <c r="B2843" s="10">
        <v>45922</v>
      </c>
      <c r="C2843">
        <v>22</v>
      </c>
      <c r="D2843" t="s">
        <v>147</v>
      </c>
      <c r="E2843" t="s">
        <v>133</v>
      </c>
      <c r="F2843" t="s">
        <v>36</v>
      </c>
      <c r="G2843" t="s">
        <v>100</v>
      </c>
      <c r="H2843" t="s">
        <v>131</v>
      </c>
      <c r="I2843" t="s">
        <v>132</v>
      </c>
      <c r="J2843" t="s">
        <v>94</v>
      </c>
      <c r="K2843">
        <v>1</v>
      </c>
      <c r="L2843">
        <v>15800</v>
      </c>
      <c r="M2843">
        <v>15800</v>
      </c>
      <c r="N2843" t="s">
        <v>108</v>
      </c>
      <c r="O2843" t="s">
        <v>96</v>
      </c>
    </row>
    <row r="2844" spans="1:15" x14ac:dyDescent="0.25">
      <c r="A2844">
        <v>2097</v>
      </c>
      <c r="B2844" s="10">
        <v>45958</v>
      </c>
      <c r="C2844">
        <v>28</v>
      </c>
      <c r="D2844" t="s">
        <v>136</v>
      </c>
      <c r="E2844" t="s">
        <v>128</v>
      </c>
      <c r="F2844" t="s">
        <v>28</v>
      </c>
      <c r="G2844" t="s">
        <v>126</v>
      </c>
      <c r="H2844" t="s">
        <v>29</v>
      </c>
      <c r="I2844" t="s">
        <v>30</v>
      </c>
      <c r="J2844" t="s">
        <v>103</v>
      </c>
      <c r="K2844">
        <v>13</v>
      </c>
      <c r="L2844">
        <v>15800</v>
      </c>
      <c r="M2844">
        <v>205400</v>
      </c>
      <c r="N2844" t="s">
        <v>95</v>
      </c>
      <c r="O2844" t="s">
        <v>96</v>
      </c>
    </row>
    <row r="2845" spans="1:15" x14ac:dyDescent="0.25">
      <c r="A2845">
        <v>2390</v>
      </c>
      <c r="B2845" s="10">
        <v>45842</v>
      </c>
      <c r="C2845">
        <v>4</v>
      </c>
      <c r="D2845" t="s">
        <v>145</v>
      </c>
      <c r="E2845" t="s">
        <v>137</v>
      </c>
      <c r="F2845" t="s">
        <v>44</v>
      </c>
      <c r="G2845" t="s">
        <v>111</v>
      </c>
      <c r="H2845" t="s">
        <v>131</v>
      </c>
      <c r="I2845" t="s">
        <v>132</v>
      </c>
      <c r="J2845" t="s">
        <v>94</v>
      </c>
      <c r="K2845">
        <v>7</v>
      </c>
      <c r="L2845">
        <v>15800</v>
      </c>
      <c r="M2845">
        <v>110600</v>
      </c>
      <c r="N2845" t="s">
        <v>95</v>
      </c>
      <c r="O2845" t="s">
        <v>104</v>
      </c>
    </row>
    <row r="2846" spans="1:15" x14ac:dyDescent="0.25">
      <c r="A2846">
        <v>2585</v>
      </c>
      <c r="B2846" s="10">
        <v>45724</v>
      </c>
      <c r="C2846">
        <v>8</v>
      </c>
      <c r="D2846" t="s">
        <v>140</v>
      </c>
      <c r="E2846" t="s">
        <v>137</v>
      </c>
      <c r="F2846" t="s">
        <v>28</v>
      </c>
      <c r="G2846" t="s">
        <v>126</v>
      </c>
      <c r="H2846" t="s">
        <v>131</v>
      </c>
      <c r="I2846" t="s">
        <v>132</v>
      </c>
      <c r="J2846" t="s">
        <v>94</v>
      </c>
      <c r="K2846">
        <v>7</v>
      </c>
      <c r="L2846">
        <v>15800</v>
      </c>
      <c r="M2846">
        <v>110600</v>
      </c>
      <c r="N2846" t="s">
        <v>108</v>
      </c>
      <c r="O2846" t="s">
        <v>115</v>
      </c>
    </row>
    <row r="2847" spans="1:15" x14ac:dyDescent="0.25">
      <c r="A2847">
        <v>2697</v>
      </c>
      <c r="B2847" s="10">
        <v>45858</v>
      </c>
      <c r="C2847">
        <v>20</v>
      </c>
      <c r="D2847" t="s">
        <v>145</v>
      </c>
      <c r="E2847" t="s">
        <v>150</v>
      </c>
      <c r="F2847" t="s">
        <v>36</v>
      </c>
      <c r="G2847" t="s">
        <v>100</v>
      </c>
      <c r="H2847" t="s">
        <v>131</v>
      </c>
      <c r="I2847" t="s">
        <v>132</v>
      </c>
      <c r="J2847" t="s">
        <v>94</v>
      </c>
      <c r="K2847">
        <v>4</v>
      </c>
      <c r="L2847">
        <v>15800</v>
      </c>
      <c r="M2847">
        <v>63200</v>
      </c>
      <c r="N2847" t="s">
        <v>95</v>
      </c>
      <c r="O2847" t="s">
        <v>104</v>
      </c>
    </row>
    <row r="2848" spans="1:15" x14ac:dyDescent="0.25">
      <c r="A2848">
        <v>2791</v>
      </c>
      <c r="B2848" s="10">
        <v>45730</v>
      </c>
      <c r="C2848">
        <v>14</v>
      </c>
      <c r="D2848" t="s">
        <v>140</v>
      </c>
      <c r="E2848" t="s">
        <v>112</v>
      </c>
      <c r="F2848" t="s">
        <v>117</v>
      </c>
      <c r="G2848" t="s">
        <v>118</v>
      </c>
      <c r="H2848" t="s">
        <v>29</v>
      </c>
      <c r="I2848" t="s">
        <v>30</v>
      </c>
      <c r="J2848" t="s">
        <v>103</v>
      </c>
      <c r="K2848">
        <v>27</v>
      </c>
      <c r="L2848">
        <v>15800</v>
      </c>
      <c r="M2848">
        <v>426600</v>
      </c>
      <c r="N2848" t="s">
        <v>108</v>
      </c>
      <c r="O2848" t="s">
        <v>115</v>
      </c>
    </row>
    <row r="2849" spans="1:15" x14ac:dyDescent="0.25">
      <c r="A2849">
        <v>3097</v>
      </c>
      <c r="B2849" s="10">
        <v>45719</v>
      </c>
      <c r="C2849">
        <v>3</v>
      </c>
      <c r="D2849" t="s">
        <v>140</v>
      </c>
      <c r="E2849" t="s">
        <v>137</v>
      </c>
      <c r="F2849" t="s">
        <v>36</v>
      </c>
      <c r="G2849" t="s">
        <v>100</v>
      </c>
      <c r="H2849" t="s">
        <v>131</v>
      </c>
      <c r="I2849" t="s">
        <v>132</v>
      </c>
      <c r="J2849" t="s">
        <v>94</v>
      </c>
      <c r="K2849">
        <v>4</v>
      </c>
      <c r="L2849">
        <v>15800</v>
      </c>
      <c r="M2849">
        <v>63200</v>
      </c>
      <c r="N2849" t="s">
        <v>108</v>
      </c>
      <c r="O2849" t="s">
        <v>104</v>
      </c>
    </row>
    <row r="2850" spans="1:15" x14ac:dyDescent="0.25">
      <c r="A2850">
        <v>3347</v>
      </c>
      <c r="B2850" s="10">
        <v>45694</v>
      </c>
      <c r="C2850">
        <v>6</v>
      </c>
      <c r="D2850" t="s">
        <v>97</v>
      </c>
      <c r="E2850" t="s">
        <v>150</v>
      </c>
      <c r="F2850" t="s">
        <v>44</v>
      </c>
      <c r="G2850" t="s">
        <v>111</v>
      </c>
      <c r="H2850" t="s">
        <v>29</v>
      </c>
      <c r="I2850" t="s">
        <v>42</v>
      </c>
      <c r="J2850" t="s">
        <v>94</v>
      </c>
      <c r="K2850">
        <v>7</v>
      </c>
      <c r="L2850">
        <v>15800</v>
      </c>
      <c r="M2850">
        <v>110600</v>
      </c>
      <c r="N2850" t="s">
        <v>95</v>
      </c>
      <c r="O2850" t="s">
        <v>104</v>
      </c>
    </row>
    <row r="2851" spans="1:15" x14ac:dyDescent="0.25">
      <c r="A2851">
        <v>3470</v>
      </c>
      <c r="B2851" s="10">
        <v>45977</v>
      </c>
      <c r="C2851">
        <v>16</v>
      </c>
      <c r="D2851" t="s">
        <v>90</v>
      </c>
      <c r="E2851" t="s">
        <v>25</v>
      </c>
      <c r="F2851" t="s">
        <v>36</v>
      </c>
      <c r="G2851" t="s">
        <v>100</v>
      </c>
      <c r="H2851" t="s">
        <v>29</v>
      </c>
      <c r="I2851" t="s">
        <v>42</v>
      </c>
      <c r="J2851" t="s">
        <v>94</v>
      </c>
      <c r="K2851">
        <v>2</v>
      </c>
      <c r="L2851">
        <v>15800</v>
      </c>
      <c r="M2851">
        <v>31600</v>
      </c>
      <c r="N2851" t="s">
        <v>108</v>
      </c>
      <c r="O2851" t="s">
        <v>115</v>
      </c>
    </row>
    <row r="2852" spans="1:15" x14ac:dyDescent="0.25">
      <c r="A2852">
        <v>3522</v>
      </c>
      <c r="B2852" s="10">
        <v>45764</v>
      </c>
      <c r="C2852">
        <v>17</v>
      </c>
      <c r="D2852" t="s">
        <v>105</v>
      </c>
      <c r="E2852" t="s">
        <v>25</v>
      </c>
      <c r="F2852" t="s">
        <v>141</v>
      </c>
      <c r="G2852" t="s">
        <v>100</v>
      </c>
      <c r="H2852" t="s">
        <v>29</v>
      </c>
      <c r="I2852" t="s">
        <v>30</v>
      </c>
      <c r="J2852" t="s">
        <v>94</v>
      </c>
      <c r="K2852">
        <v>9</v>
      </c>
      <c r="L2852">
        <v>15800</v>
      </c>
      <c r="M2852">
        <v>142200</v>
      </c>
      <c r="N2852" t="s">
        <v>108</v>
      </c>
      <c r="O2852" t="s">
        <v>104</v>
      </c>
    </row>
    <row r="2853" spans="1:15" x14ac:dyDescent="0.25">
      <c r="A2853">
        <v>4211</v>
      </c>
      <c r="B2853" s="10">
        <v>45695</v>
      </c>
      <c r="C2853">
        <v>7</v>
      </c>
      <c r="D2853" t="s">
        <v>97</v>
      </c>
      <c r="E2853" t="s">
        <v>137</v>
      </c>
      <c r="F2853" t="s">
        <v>122</v>
      </c>
      <c r="G2853" t="s">
        <v>114</v>
      </c>
      <c r="H2853" t="s">
        <v>29</v>
      </c>
      <c r="I2853" t="s">
        <v>42</v>
      </c>
      <c r="J2853" t="s">
        <v>94</v>
      </c>
      <c r="K2853">
        <v>10</v>
      </c>
      <c r="L2853">
        <v>15800</v>
      </c>
      <c r="M2853">
        <v>158000</v>
      </c>
      <c r="N2853" t="s">
        <v>95</v>
      </c>
      <c r="O2853" t="s">
        <v>96</v>
      </c>
    </row>
    <row r="2854" spans="1:15" x14ac:dyDescent="0.25">
      <c r="A2854">
        <v>4695</v>
      </c>
      <c r="B2854" s="10">
        <v>45697</v>
      </c>
      <c r="C2854">
        <v>9</v>
      </c>
      <c r="D2854" t="s">
        <v>97</v>
      </c>
      <c r="E2854" t="s">
        <v>25</v>
      </c>
      <c r="F2854" t="s">
        <v>148</v>
      </c>
      <c r="G2854" t="s">
        <v>118</v>
      </c>
      <c r="H2854" t="s">
        <v>29</v>
      </c>
      <c r="I2854" t="s">
        <v>42</v>
      </c>
      <c r="J2854" t="s">
        <v>94</v>
      </c>
      <c r="K2854">
        <v>7</v>
      </c>
      <c r="L2854">
        <v>15800</v>
      </c>
      <c r="M2854">
        <v>110600</v>
      </c>
      <c r="N2854" t="s">
        <v>108</v>
      </c>
      <c r="O2854" t="s">
        <v>115</v>
      </c>
    </row>
    <row r="2855" spans="1:15" x14ac:dyDescent="0.25">
      <c r="A2855">
        <v>260</v>
      </c>
      <c r="B2855" s="10">
        <v>45951</v>
      </c>
      <c r="C2855">
        <v>21</v>
      </c>
      <c r="D2855" t="s">
        <v>136</v>
      </c>
      <c r="E2855" t="s">
        <v>161</v>
      </c>
      <c r="F2855" t="s">
        <v>28</v>
      </c>
      <c r="G2855" t="s">
        <v>126</v>
      </c>
      <c r="H2855" t="s">
        <v>29</v>
      </c>
      <c r="I2855" t="s">
        <v>30</v>
      </c>
      <c r="J2855" t="s">
        <v>103</v>
      </c>
      <c r="K2855">
        <v>25</v>
      </c>
      <c r="L2855">
        <v>15900</v>
      </c>
      <c r="M2855">
        <v>397500</v>
      </c>
      <c r="N2855" t="s">
        <v>108</v>
      </c>
      <c r="O2855" t="s">
        <v>104</v>
      </c>
    </row>
    <row r="2856" spans="1:15" x14ac:dyDescent="0.25">
      <c r="A2856">
        <v>457</v>
      </c>
      <c r="B2856" s="10">
        <v>45743</v>
      </c>
      <c r="C2856">
        <v>27</v>
      </c>
      <c r="D2856" t="s">
        <v>140</v>
      </c>
      <c r="E2856" t="s">
        <v>106</v>
      </c>
      <c r="F2856" t="s">
        <v>117</v>
      </c>
      <c r="G2856" t="s">
        <v>118</v>
      </c>
      <c r="H2856" t="s">
        <v>29</v>
      </c>
      <c r="I2856" t="s">
        <v>42</v>
      </c>
      <c r="J2856" t="s">
        <v>94</v>
      </c>
      <c r="K2856">
        <v>7</v>
      </c>
      <c r="L2856">
        <v>15900</v>
      </c>
      <c r="M2856">
        <v>111300</v>
      </c>
      <c r="N2856" t="s">
        <v>95</v>
      </c>
      <c r="O2856" t="s">
        <v>96</v>
      </c>
    </row>
    <row r="2857" spans="1:15" x14ac:dyDescent="0.25">
      <c r="A2857">
        <v>1505</v>
      </c>
      <c r="B2857" s="10">
        <v>45881</v>
      </c>
      <c r="C2857">
        <v>12</v>
      </c>
      <c r="D2857" t="s">
        <v>109</v>
      </c>
      <c r="E2857" t="s">
        <v>128</v>
      </c>
      <c r="F2857" t="s">
        <v>22</v>
      </c>
      <c r="G2857" t="s">
        <v>91</v>
      </c>
      <c r="H2857" t="s">
        <v>29</v>
      </c>
      <c r="I2857" t="s">
        <v>42</v>
      </c>
      <c r="J2857" t="s">
        <v>94</v>
      </c>
      <c r="K2857">
        <v>10</v>
      </c>
      <c r="L2857">
        <v>15900</v>
      </c>
      <c r="M2857">
        <v>159000</v>
      </c>
      <c r="N2857" t="s">
        <v>95</v>
      </c>
      <c r="O2857" t="s">
        <v>104</v>
      </c>
    </row>
    <row r="2858" spans="1:15" x14ac:dyDescent="0.25">
      <c r="A2858">
        <v>1714</v>
      </c>
      <c r="B2858" s="10">
        <v>46011</v>
      </c>
      <c r="C2858">
        <v>20</v>
      </c>
      <c r="D2858" t="s">
        <v>125</v>
      </c>
      <c r="E2858" t="s">
        <v>161</v>
      </c>
      <c r="F2858" t="s">
        <v>151</v>
      </c>
      <c r="G2858" t="s">
        <v>111</v>
      </c>
      <c r="H2858" t="s">
        <v>29</v>
      </c>
      <c r="I2858" t="s">
        <v>30</v>
      </c>
      <c r="J2858" t="s">
        <v>103</v>
      </c>
      <c r="K2858">
        <v>40</v>
      </c>
      <c r="L2858">
        <v>15900</v>
      </c>
      <c r="M2858">
        <v>636000</v>
      </c>
      <c r="N2858" t="s">
        <v>108</v>
      </c>
      <c r="O2858" t="s">
        <v>104</v>
      </c>
    </row>
    <row r="2859" spans="1:15" x14ac:dyDescent="0.25">
      <c r="A2859">
        <v>2754</v>
      </c>
      <c r="B2859" s="10">
        <v>45892</v>
      </c>
      <c r="C2859">
        <v>23</v>
      </c>
      <c r="D2859" t="s">
        <v>109</v>
      </c>
      <c r="E2859" t="s">
        <v>112</v>
      </c>
      <c r="F2859" t="s">
        <v>134</v>
      </c>
      <c r="G2859" t="s">
        <v>100</v>
      </c>
      <c r="H2859" t="s">
        <v>29</v>
      </c>
      <c r="I2859" t="s">
        <v>42</v>
      </c>
      <c r="J2859" t="s">
        <v>94</v>
      </c>
      <c r="K2859">
        <v>9</v>
      </c>
      <c r="L2859">
        <v>15900</v>
      </c>
      <c r="M2859">
        <v>143100</v>
      </c>
      <c r="N2859" t="s">
        <v>95</v>
      </c>
      <c r="O2859" t="s">
        <v>96</v>
      </c>
    </row>
    <row r="2860" spans="1:15" x14ac:dyDescent="0.25">
      <c r="A2860">
        <v>3472</v>
      </c>
      <c r="B2860" s="10">
        <v>45876</v>
      </c>
      <c r="C2860">
        <v>7</v>
      </c>
      <c r="D2860" t="s">
        <v>109</v>
      </c>
      <c r="E2860" t="s">
        <v>106</v>
      </c>
      <c r="F2860" t="s">
        <v>113</v>
      </c>
      <c r="G2860" t="s">
        <v>114</v>
      </c>
      <c r="H2860" t="s">
        <v>29</v>
      </c>
      <c r="I2860" t="s">
        <v>42</v>
      </c>
      <c r="J2860" t="s">
        <v>94</v>
      </c>
      <c r="K2860">
        <v>4</v>
      </c>
      <c r="L2860">
        <v>15900</v>
      </c>
      <c r="M2860">
        <v>63600</v>
      </c>
      <c r="N2860" t="s">
        <v>108</v>
      </c>
      <c r="O2860" t="s">
        <v>104</v>
      </c>
    </row>
    <row r="2861" spans="1:15" x14ac:dyDescent="0.25">
      <c r="A2861">
        <v>3885</v>
      </c>
      <c r="B2861" s="10">
        <v>45722</v>
      </c>
      <c r="C2861">
        <v>6</v>
      </c>
      <c r="D2861" t="s">
        <v>140</v>
      </c>
      <c r="E2861" t="s">
        <v>98</v>
      </c>
      <c r="F2861" t="s">
        <v>36</v>
      </c>
      <c r="G2861" t="s">
        <v>100</v>
      </c>
      <c r="H2861" t="s">
        <v>29</v>
      </c>
      <c r="I2861" t="s">
        <v>42</v>
      </c>
      <c r="J2861" t="s">
        <v>94</v>
      </c>
      <c r="K2861">
        <v>5</v>
      </c>
      <c r="L2861">
        <v>15900</v>
      </c>
      <c r="M2861">
        <v>79500</v>
      </c>
      <c r="N2861" t="s">
        <v>95</v>
      </c>
      <c r="O2861" t="s">
        <v>115</v>
      </c>
    </row>
    <row r="2862" spans="1:15" x14ac:dyDescent="0.25">
      <c r="A2862">
        <v>4624</v>
      </c>
      <c r="B2862" s="10">
        <v>45698</v>
      </c>
      <c r="C2862">
        <v>10</v>
      </c>
      <c r="D2862" t="s">
        <v>97</v>
      </c>
      <c r="E2862" t="s">
        <v>98</v>
      </c>
      <c r="F2862" t="s">
        <v>107</v>
      </c>
      <c r="G2862" t="s">
        <v>100</v>
      </c>
      <c r="H2862" t="s">
        <v>29</v>
      </c>
      <c r="I2862" t="s">
        <v>30</v>
      </c>
      <c r="J2862" t="s">
        <v>103</v>
      </c>
      <c r="K2862">
        <v>38</v>
      </c>
      <c r="L2862">
        <v>15900</v>
      </c>
      <c r="M2862">
        <v>604200</v>
      </c>
      <c r="N2862" t="s">
        <v>95</v>
      </c>
      <c r="O2862" t="s">
        <v>104</v>
      </c>
    </row>
    <row r="2863" spans="1:15" x14ac:dyDescent="0.25">
      <c r="A2863">
        <v>699</v>
      </c>
      <c r="B2863" s="10">
        <v>45905</v>
      </c>
      <c r="C2863">
        <v>5</v>
      </c>
      <c r="D2863" t="s">
        <v>147</v>
      </c>
      <c r="E2863" t="s">
        <v>110</v>
      </c>
      <c r="F2863" t="s">
        <v>99</v>
      </c>
      <c r="G2863" t="s">
        <v>100</v>
      </c>
      <c r="H2863" t="s">
        <v>29</v>
      </c>
      <c r="I2863" t="s">
        <v>30</v>
      </c>
      <c r="J2863" t="s">
        <v>103</v>
      </c>
      <c r="K2863">
        <v>42</v>
      </c>
      <c r="L2863">
        <v>16000</v>
      </c>
      <c r="M2863">
        <v>672000</v>
      </c>
      <c r="N2863" t="s">
        <v>95</v>
      </c>
      <c r="O2863" t="s">
        <v>115</v>
      </c>
    </row>
    <row r="2864" spans="1:15" x14ac:dyDescent="0.25">
      <c r="A2864">
        <v>4045</v>
      </c>
      <c r="B2864" s="10">
        <v>45972</v>
      </c>
      <c r="C2864">
        <v>11</v>
      </c>
      <c r="D2864" t="s">
        <v>90</v>
      </c>
      <c r="E2864" t="s">
        <v>116</v>
      </c>
      <c r="F2864" t="s">
        <v>148</v>
      </c>
      <c r="G2864" t="s">
        <v>118</v>
      </c>
      <c r="H2864" t="s">
        <v>29</v>
      </c>
      <c r="I2864" t="s">
        <v>30</v>
      </c>
      <c r="J2864" t="s">
        <v>103</v>
      </c>
      <c r="K2864">
        <v>49</v>
      </c>
      <c r="L2864">
        <v>16000</v>
      </c>
      <c r="M2864">
        <v>784000</v>
      </c>
      <c r="N2864" t="s">
        <v>108</v>
      </c>
      <c r="O2864" t="s">
        <v>104</v>
      </c>
    </row>
    <row r="2865" spans="1:15" x14ac:dyDescent="0.25">
      <c r="A2865">
        <v>4777</v>
      </c>
      <c r="B2865" s="10">
        <v>45829</v>
      </c>
      <c r="C2865">
        <v>21</v>
      </c>
      <c r="D2865" t="s">
        <v>153</v>
      </c>
      <c r="E2865" t="s">
        <v>116</v>
      </c>
      <c r="F2865" t="s">
        <v>28</v>
      </c>
      <c r="G2865" t="s">
        <v>126</v>
      </c>
      <c r="H2865" t="s">
        <v>29</v>
      </c>
      <c r="I2865" t="s">
        <v>42</v>
      </c>
      <c r="J2865" t="s">
        <v>94</v>
      </c>
      <c r="K2865">
        <v>7</v>
      </c>
      <c r="L2865">
        <v>16000</v>
      </c>
      <c r="M2865">
        <v>112000</v>
      </c>
      <c r="N2865" t="s">
        <v>108</v>
      </c>
      <c r="O2865" t="s">
        <v>115</v>
      </c>
    </row>
    <row r="2866" spans="1:15" x14ac:dyDescent="0.25">
      <c r="A2866">
        <v>77</v>
      </c>
      <c r="B2866" s="10">
        <v>45678</v>
      </c>
      <c r="C2866">
        <v>21</v>
      </c>
      <c r="D2866" t="s">
        <v>130</v>
      </c>
      <c r="E2866" t="s">
        <v>112</v>
      </c>
      <c r="F2866" t="s">
        <v>22</v>
      </c>
      <c r="G2866" t="s">
        <v>91</v>
      </c>
      <c r="H2866" t="s">
        <v>29</v>
      </c>
      <c r="I2866" t="s">
        <v>42</v>
      </c>
      <c r="J2866" t="s">
        <v>94</v>
      </c>
      <c r="K2866">
        <v>10</v>
      </c>
      <c r="L2866">
        <v>16100</v>
      </c>
      <c r="M2866">
        <v>161000</v>
      </c>
      <c r="N2866" t="s">
        <v>95</v>
      </c>
      <c r="O2866" t="s">
        <v>104</v>
      </c>
    </row>
    <row r="2867" spans="1:15" x14ac:dyDescent="0.25">
      <c r="A2867">
        <v>369</v>
      </c>
      <c r="B2867" s="10">
        <v>45799</v>
      </c>
      <c r="C2867">
        <v>22</v>
      </c>
      <c r="D2867" t="s">
        <v>120</v>
      </c>
      <c r="E2867" t="s">
        <v>121</v>
      </c>
      <c r="F2867" t="s">
        <v>122</v>
      </c>
      <c r="G2867" t="s">
        <v>114</v>
      </c>
      <c r="H2867" t="s">
        <v>29</v>
      </c>
      <c r="I2867" t="s">
        <v>42</v>
      </c>
      <c r="J2867" t="s">
        <v>94</v>
      </c>
      <c r="K2867">
        <v>3</v>
      </c>
      <c r="L2867">
        <v>16100</v>
      </c>
      <c r="M2867">
        <v>48300</v>
      </c>
      <c r="N2867" t="s">
        <v>108</v>
      </c>
      <c r="O2867" t="s">
        <v>104</v>
      </c>
    </row>
    <row r="2868" spans="1:15" x14ac:dyDescent="0.25">
      <c r="A2868">
        <v>418</v>
      </c>
      <c r="B2868" s="10">
        <v>45720</v>
      </c>
      <c r="C2868">
        <v>4</v>
      </c>
      <c r="D2868" t="s">
        <v>140</v>
      </c>
      <c r="E2868" t="s">
        <v>25</v>
      </c>
      <c r="F2868" t="s">
        <v>22</v>
      </c>
      <c r="G2868" t="s">
        <v>91</v>
      </c>
      <c r="H2868" t="s">
        <v>29</v>
      </c>
      <c r="I2868" t="s">
        <v>42</v>
      </c>
      <c r="J2868" t="s">
        <v>94</v>
      </c>
      <c r="K2868">
        <v>7</v>
      </c>
      <c r="L2868">
        <v>16100</v>
      </c>
      <c r="M2868">
        <v>112700</v>
      </c>
      <c r="N2868" t="s">
        <v>108</v>
      </c>
      <c r="O2868" t="s">
        <v>96</v>
      </c>
    </row>
    <row r="2869" spans="1:15" x14ac:dyDescent="0.25">
      <c r="A2869">
        <v>716</v>
      </c>
      <c r="B2869" s="10">
        <v>45728</v>
      </c>
      <c r="C2869">
        <v>12</v>
      </c>
      <c r="D2869" t="s">
        <v>140</v>
      </c>
      <c r="E2869" t="s">
        <v>138</v>
      </c>
      <c r="F2869" t="s">
        <v>49</v>
      </c>
      <c r="G2869" t="s">
        <v>118</v>
      </c>
      <c r="H2869" t="s">
        <v>29</v>
      </c>
      <c r="I2869" t="s">
        <v>30</v>
      </c>
      <c r="J2869" t="s">
        <v>103</v>
      </c>
      <c r="K2869">
        <v>5</v>
      </c>
      <c r="L2869">
        <v>16100</v>
      </c>
      <c r="M2869">
        <v>80500</v>
      </c>
      <c r="N2869" t="s">
        <v>108</v>
      </c>
      <c r="O2869" t="s">
        <v>115</v>
      </c>
    </row>
    <row r="2870" spans="1:15" x14ac:dyDescent="0.25">
      <c r="A2870">
        <v>717</v>
      </c>
      <c r="B2870" s="10">
        <v>45771</v>
      </c>
      <c r="C2870">
        <v>24</v>
      </c>
      <c r="D2870" t="s">
        <v>105</v>
      </c>
      <c r="E2870" t="s">
        <v>161</v>
      </c>
      <c r="F2870" t="s">
        <v>122</v>
      </c>
      <c r="G2870" t="s">
        <v>114</v>
      </c>
      <c r="H2870" t="s">
        <v>29</v>
      </c>
      <c r="I2870" t="s">
        <v>42</v>
      </c>
      <c r="J2870" t="s">
        <v>94</v>
      </c>
      <c r="K2870">
        <v>3</v>
      </c>
      <c r="L2870">
        <v>16100</v>
      </c>
      <c r="M2870">
        <v>48300</v>
      </c>
      <c r="N2870" t="s">
        <v>108</v>
      </c>
      <c r="O2870" t="s">
        <v>96</v>
      </c>
    </row>
    <row r="2871" spans="1:15" x14ac:dyDescent="0.25">
      <c r="A2871">
        <v>2050</v>
      </c>
      <c r="B2871" s="10">
        <v>45938</v>
      </c>
      <c r="C2871">
        <v>8</v>
      </c>
      <c r="D2871" t="s">
        <v>136</v>
      </c>
      <c r="E2871" t="s">
        <v>133</v>
      </c>
      <c r="F2871" t="s">
        <v>134</v>
      </c>
      <c r="G2871" t="s">
        <v>100</v>
      </c>
      <c r="H2871" t="s">
        <v>29</v>
      </c>
      <c r="I2871" t="s">
        <v>42</v>
      </c>
      <c r="J2871" t="s">
        <v>94</v>
      </c>
      <c r="K2871">
        <v>4</v>
      </c>
      <c r="L2871">
        <v>16100</v>
      </c>
      <c r="M2871">
        <v>64400</v>
      </c>
      <c r="N2871" t="s">
        <v>95</v>
      </c>
      <c r="O2871" t="s">
        <v>104</v>
      </c>
    </row>
    <row r="2872" spans="1:15" x14ac:dyDescent="0.25">
      <c r="A2872">
        <v>2174</v>
      </c>
      <c r="B2872" s="10">
        <v>45798</v>
      </c>
      <c r="C2872">
        <v>21</v>
      </c>
      <c r="D2872" t="s">
        <v>120</v>
      </c>
      <c r="E2872" t="s">
        <v>106</v>
      </c>
      <c r="F2872" t="s">
        <v>36</v>
      </c>
      <c r="G2872" t="s">
        <v>100</v>
      </c>
      <c r="H2872" t="s">
        <v>29</v>
      </c>
      <c r="I2872" t="s">
        <v>42</v>
      </c>
      <c r="J2872" t="s">
        <v>94</v>
      </c>
      <c r="K2872">
        <v>3</v>
      </c>
      <c r="L2872">
        <v>16100</v>
      </c>
      <c r="M2872">
        <v>48300</v>
      </c>
      <c r="N2872" t="s">
        <v>95</v>
      </c>
      <c r="O2872" t="s">
        <v>104</v>
      </c>
    </row>
    <row r="2873" spans="1:15" x14ac:dyDescent="0.25">
      <c r="A2873">
        <v>2652</v>
      </c>
      <c r="B2873" s="10">
        <v>45822</v>
      </c>
      <c r="C2873">
        <v>14</v>
      </c>
      <c r="D2873" t="s">
        <v>153</v>
      </c>
      <c r="E2873" t="s">
        <v>133</v>
      </c>
      <c r="F2873" t="s">
        <v>107</v>
      </c>
      <c r="G2873" t="s">
        <v>100</v>
      </c>
      <c r="H2873" t="s">
        <v>131</v>
      </c>
      <c r="I2873" t="s">
        <v>132</v>
      </c>
      <c r="J2873" t="s">
        <v>94</v>
      </c>
      <c r="K2873">
        <v>1</v>
      </c>
      <c r="L2873">
        <v>16100</v>
      </c>
      <c r="M2873">
        <v>16100</v>
      </c>
      <c r="N2873" t="s">
        <v>108</v>
      </c>
      <c r="O2873" t="s">
        <v>104</v>
      </c>
    </row>
    <row r="2874" spans="1:15" x14ac:dyDescent="0.25">
      <c r="A2874">
        <v>3279</v>
      </c>
      <c r="B2874" s="10">
        <v>45915</v>
      </c>
      <c r="C2874">
        <v>15</v>
      </c>
      <c r="D2874" t="s">
        <v>147</v>
      </c>
      <c r="E2874" t="s">
        <v>110</v>
      </c>
      <c r="F2874" t="s">
        <v>22</v>
      </c>
      <c r="G2874" t="s">
        <v>91</v>
      </c>
      <c r="H2874" t="s">
        <v>29</v>
      </c>
      <c r="I2874" t="s">
        <v>42</v>
      </c>
      <c r="J2874" t="s">
        <v>94</v>
      </c>
      <c r="K2874">
        <v>8</v>
      </c>
      <c r="L2874">
        <v>16100</v>
      </c>
      <c r="M2874">
        <v>128800</v>
      </c>
      <c r="N2874" t="s">
        <v>95</v>
      </c>
      <c r="O2874" t="s">
        <v>104</v>
      </c>
    </row>
    <row r="2875" spans="1:15" x14ac:dyDescent="0.25">
      <c r="A2875">
        <v>3542</v>
      </c>
      <c r="B2875" s="10">
        <v>45916</v>
      </c>
      <c r="C2875">
        <v>16</v>
      </c>
      <c r="D2875" t="s">
        <v>147</v>
      </c>
      <c r="E2875" t="s">
        <v>25</v>
      </c>
      <c r="F2875" t="s">
        <v>36</v>
      </c>
      <c r="G2875" t="s">
        <v>100</v>
      </c>
      <c r="H2875" t="s">
        <v>131</v>
      </c>
      <c r="I2875" t="s">
        <v>132</v>
      </c>
      <c r="J2875" t="s">
        <v>94</v>
      </c>
      <c r="K2875">
        <v>5</v>
      </c>
      <c r="L2875">
        <v>16100</v>
      </c>
      <c r="M2875">
        <v>80500</v>
      </c>
      <c r="N2875" t="s">
        <v>108</v>
      </c>
      <c r="O2875" t="s">
        <v>115</v>
      </c>
    </row>
    <row r="2876" spans="1:15" x14ac:dyDescent="0.25">
      <c r="A2876">
        <v>4288</v>
      </c>
      <c r="B2876" s="10">
        <v>45851</v>
      </c>
      <c r="C2876">
        <v>13</v>
      </c>
      <c r="D2876" t="s">
        <v>145</v>
      </c>
      <c r="E2876" t="s">
        <v>25</v>
      </c>
      <c r="F2876" t="s">
        <v>99</v>
      </c>
      <c r="G2876" t="s">
        <v>100</v>
      </c>
      <c r="H2876" t="s">
        <v>29</v>
      </c>
      <c r="I2876" t="s">
        <v>42</v>
      </c>
      <c r="J2876" t="s">
        <v>94</v>
      </c>
      <c r="K2876">
        <v>9</v>
      </c>
      <c r="L2876">
        <v>16100</v>
      </c>
      <c r="M2876">
        <v>144900</v>
      </c>
      <c r="N2876" t="s">
        <v>108</v>
      </c>
      <c r="O2876" t="s">
        <v>115</v>
      </c>
    </row>
    <row r="2877" spans="1:15" x14ac:dyDescent="0.25">
      <c r="A2877">
        <v>4469</v>
      </c>
      <c r="B2877" s="10">
        <v>45818</v>
      </c>
      <c r="C2877">
        <v>10</v>
      </c>
      <c r="D2877" t="s">
        <v>153</v>
      </c>
      <c r="E2877" t="s">
        <v>137</v>
      </c>
      <c r="F2877" t="s">
        <v>148</v>
      </c>
      <c r="G2877" t="s">
        <v>118</v>
      </c>
      <c r="H2877" t="s">
        <v>29</v>
      </c>
      <c r="I2877" t="s">
        <v>42</v>
      </c>
      <c r="J2877" t="s">
        <v>94</v>
      </c>
      <c r="K2877">
        <v>6</v>
      </c>
      <c r="L2877">
        <v>16100</v>
      </c>
      <c r="M2877">
        <v>96600</v>
      </c>
      <c r="N2877" t="s">
        <v>95</v>
      </c>
      <c r="O2877" t="s">
        <v>96</v>
      </c>
    </row>
    <row r="2878" spans="1:15" x14ac:dyDescent="0.25">
      <c r="A2878">
        <v>652</v>
      </c>
      <c r="B2878" s="10">
        <v>45699</v>
      </c>
      <c r="C2878">
        <v>11</v>
      </c>
      <c r="D2878" t="s">
        <v>97</v>
      </c>
      <c r="E2878" t="s">
        <v>121</v>
      </c>
      <c r="F2878" t="s">
        <v>117</v>
      </c>
      <c r="G2878" t="s">
        <v>118</v>
      </c>
      <c r="H2878" t="s">
        <v>29</v>
      </c>
      <c r="I2878" t="s">
        <v>30</v>
      </c>
      <c r="J2878" t="s">
        <v>103</v>
      </c>
      <c r="K2878">
        <v>30</v>
      </c>
      <c r="L2878">
        <v>16200</v>
      </c>
      <c r="M2878">
        <v>486000</v>
      </c>
      <c r="N2878" t="s">
        <v>95</v>
      </c>
      <c r="O2878" t="s">
        <v>96</v>
      </c>
    </row>
    <row r="2879" spans="1:15" x14ac:dyDescent="0.25">
      <c r="A2879">
        <v>1098</v>
      </c>
      <c r="B2879" s="10">
        <v>45922</v>
      </c>
      <c r="C2879">
        <v>22</v>
      </c>
      <c r="D2879" t="s">
        <v>147</v>
      </c>
      <c r="E2879" t="s">
        <v>150</v>
      </c>
      <c r="F2879" t="s">
        <v>148</v>
      </c>
      <c r="G2879" t="s">
        <v>118</v>
      </c>
      <c r="H2879" t="s">
        <v>29</v>
      </c>
      <c r="I2879" t="s">
        <v>30</v>
      </c>
      <c r="J2879" t="s">
        <v>94</v>
      </c>
      <c r="K2879">
        <v>1</v>
      </c>
      <c r="L2879">
        <v>16200</v>
      </c>
      <c r="M2879">
        <v>16200</v>
      </c>
      <c r="N2879" t="s">
        <v>95</v>
      </c>
      <c r="O2879" t="s">
        <v>96</v>
      </c>
    </row>
    <row r="2880" spans="1:15" x14ac:dyDescent="0.25">
      <c r="A2880">
        <v>1122</v>
      </c>
      <c r="B2880" s="10">
        <v>45788</v>
      </c>
      <c r="C2880">
        <v>11</v>
      </c>
      <c r="D2880" t="s">
        <v>120</v>
      </c>
      <c r="E2880" t="s">
        <v>137</v>
      </c>
      <c r="F2880" t="s">
        <v>28</v>
      </c>
      <c r="G2880" t="s">
        <v>126</v>
      </c>
      <c r="H2880" t="s">
        <v>29</v>
      </c>
      <c r="I2880" t="s">
        <v>30</v>
      </c>
      <c r="J2880" t="s">
        <v>103</v>
      </c>
      <c r="K2880">
        <v>33</v>
      </c>
      <c r="L2880">
        <v>16200</v>
      </c>
      <c r="M2880">
        <v>534600</v>
      </c>
      <c r="N2880" t="s">
        <v>108</v>
      </c>
      <c r="O2880" t="s">
        <v>104</v>
      </c>
    </row>
    <row r="2881" spans="1:15" x14ac:dyDescent="0.25">
      <c r="A2881">
        <v>1344</v>
      </c>
      <c r="B2881" s="10">
        <v>45858</v>
      </c>
      <c r="C2881">
        <v>20</v>
      </c>
      <c r="D2881" t="s">
        <v>145</v>
      </c>
      <c r="E2881" t="s">
        <v>161</v>
      </c>
      <c r="F2881" t="s">
        <v>113</v>
      </c>
      <c r="G2881" t="s">
        <v>114</v>
      </c>
      <c r="H2881" t="s">
        <v>29</v>
      </c>
      <c r="I2881" t="s">
        <v>30</v>
      </c>
      <c r="J2881" t="s">
        <v>103</v>
      </c>
      <c r="K2881">
        <v>31</v>
      </c>
      <c r="L2881">
        <v>16200</v>
      </c>
      <c r="M2881">
        <v>502200</v>
      </c>
      <c r="N2881" t="s">
        <v>95</v>
      </c>
      <c r="O2881" t="s">
        <v>96</v>
      </c>
    </row>
    <row r="2882" spans="1:15" x14ac:dyDescent="0.25">
      <c r="A2882">
        <v>4855</v>
      </c>
      <c r="B2882" s="10">
        <v>45677</v>
      </c>
      <c r="C2882">
        <v>20</v>
      </c>
      <c r="D2882" t="s">
        <v>130</v>
      </c>
      <c r="E2882" t="s">
        <v>133</v>
      </c>
      <c r="F2882" t="s">
        <v>117</v>
      </c>
      <c r="G2882" t="s">
        <v>118</v>
      </c>
      <c r="H2882" t="s">
        <v>29</v>
      </c>
      <c r="I2882" t="s">
        <v>30</v>
      </c>
      <c r="J2882" t="s">
        <v>103</v>
      </c>
      <c r="K2882">
        <v>6</v>
      </c>
      <c r="L2882">
        <v>16200</v>
      </c>
      <c r="M2882">
        <v>97200</v>
      </c>
      <c r="N2882" t="s">
        <v>108</v>
      </c>
      <c r="O2882" t="s">
        <v>115</v>
      </c>
    </row>
    <row r="2883" spans="1:15" x14ac:dyDescent="0.25">
      <c r="A2883">
        <v>51</v>
      </c>
      <c r="B2883" s="10">
        <v>45893</v>
      </c>
      <c r="C2883">
        <v>24</v>
      </c>
      <c r="D2883" t="s">
        <v>109</v>
      </c>
      <c r="E2883" t="s">
        <v>150</v>
      </c>
      <c r="F2883" t="s">
        <v>44</v>
      </c>
      <c r="G2883" t="s">
        <v>111</v>
      </c>
      <c r="H2883" t="s">
        <v>29</v>
      </c>
      <c r="I2883" t="s">
        <v>42</v>
      </c>
      <c r="J2883" t="s">
        <v>94</v>
      </c>
      <c r="K2883">
        <v>4</v>
      </c>
      <c r="L2883">
        <v>16300</v>
      </c>
      <c r="M2883">
        <v>65200</v>
      </c>
      <c r="N2883" t="s">
        <v>108</v>
      </c>
      <c r="O2883" t="s">
        <v>115</v>
      </c>
    </row>
    <row r="2884" spans="1:15" x14ac:dyDescent="0.25">
      <c r="A2884">
        <v>952</v>
      </c>
      <c r="B2884" s="10">
        <v>45778</v>
      </c>
      <c r="C2884">
        <v>1</v>
      </c>
      <c r="D2884" t="s">
        <v>120</v>
      </c>
      <c r="E2884" t="s">
        <v>128</v>
      </c>
      <c r="F2884" t="s">
        <v>134</v>
      </c>
      <c r="G2884" t="s">
        <v>100</v>
      </c>
      <c r="H2884" t="s">
        <v>29</v>
      </c>
      <c r="I2884" t="s">
        <v>42</v>
      </c>
      <c r="J2884" t="s">
        <v>94</v>
      </c>
      <c r="K2884">
        <v>3</v>
      </c>
      <c r="L2884">
        <v>16300</v>
      </c>
      <c r="M2884">
        <v>48900</v>
      </c>
      <c r="N2884" t="s">
        <v>95</v>
      </c>
      <c r="O2884" t="s">
        <v>115</v>
      </c>
    </row>
    <row r="2885" spans="1:15" x14ac:dyDescent="0.25">
      <c r="A2885">
        <v>997</v>
      </c>
      <c r="B2885" s="10">
        <v>45897</v>
      </c>
      <c r="C2885">
        <v>28</v>
      </c>
      <c r="D2885" t="s">
        <v>109</v>
      </c>
      <c r="E2885" t="s">
        <v>142</v>
      </c>
      <c r="F2885" t="s">
        <v>28</v>
      </c>
      <c r="G2885" t="s">
        <v>126</v>
      </c>
      <c r="H2885" t="s">
        <v>131</v>
      </c>
      <c r="I2885" t="s">
        <v>132</v>
      </c>
      <c r="J2885" t="s">
        <v>94</v>
      </c>
      <c r="K2885">
        <v>3</v>
      </c>
      <c r="L2885">
        <v>16300</v>
      </c>
      <c r="M2885">
        <v>48900</v>
      </c>
      <c r="N2885" t="s">
        <v>108</v>
      </c>
      <c r="O2885" t="s">
        <v>104</v>
      </c>
    </row>
    <row r="2886" spans="1:15" x14ac:dyDescent="0.25">
      <c r="A2886">
        <v>1100</v>
      </c>
      <c r="B2886" s="10">
        <v>45975</v>
      </c>
      <c r="C2886">
        <v>14</v>
      </c>
      <c r="D2886" t="s">
        <v>90</v>
      </c>
      <c r="E2886" t="s">
        <v>133</v>
      </c>
      <c r="F2886" t="s">
        <v>36</v>
      </c>
      <c r="G2886" t="s">
        <v>100</v>
      </c>
      <c r="H2886" t="s">
        <v>29</v>
      </c>
      <c r="I2886" t="s">
        <v>42</v>
      </c>
      <c r="J2886" t="s">
        <v>94</v>
      </c>
      <c r="K2886">
        <v>1</v>
      </c>
      <c r="L2886">
        <v>16300</v>
      </c>
      <c r="M2886">
        <v>16300</v>
      </c>
      <c r="N2886" t="s">
        <v>95</v>
      </c>
      <c r="O2886" t="s">
        <v>115</v>
      </c>
    </row>
    <row r="2887" spans="1:15" x14ac:dyDescent="0.25">
      <c r="A2887">
        <v>1609</v>
      </c>
      <c r="B2887" s="10">
        <v>45744</v>
      </c>
      <c r="C2887">
        <v>28</v>
      </c>
      <c r="D2887" t="s">
        <v>140</v>
      </c>
      <c r="E2887" t="s">
        <v>25</v>
      </c>
      <c r="F2887" t="s">
        <v>117</v>
      </c>
      <c r="G2887" t="s">
        <v>118</v>
      </c>
      <c r="H2887" t="s">
        <v>29</v>
      </c>
      <c r="I2887" t="s">
        <v>42</v>
      </c>
      <c r="J2887" t="s">
        <v>94</v>
      </c>
      <c r="K2887">
        <v>10</v>
      </c>
      <c r="L2887">
        <v>16300</v>
      </c>
      <c r="M2887">
        <v>163000</v>
      </c>
      <c r="N2887" t="s">
        <v>95</v>
      </c>
      <c r="O2887" t="s">
        <v>104</v>
      </c>
    </row>
    <row r="2888" spans="1:15" x14ac:dyDescent="0.25">
      <c r="A2888">
        <v>2581</v>
      </c>
      <c r="B2888" s="10">
        <v>45907</v>
      </c>
      <c r="C2888">
        <v>7</v>
      </c>
      <c r="D2888" t="s">
        <v>147</v>
      </c>
      <c r="E2888" t="s">
        <v>116</v>
      </c>
      <c r="F2888" t="s">
        <v>122</v>
      </c>
      <c r="G2888" t="s">
        <v>114</v>
      </c>
      <c r="H2888" t="s">
        <v>29</v>
      </c>
      <c r="I2888" t="s">
        <v>42</v>
      </c>
      <c r="J2888" t="s">
        <v>94</v>
      </c>
      <c r="K2888">
        <v>2</v>
      </c>
      <c r="L2888">
        <v>16300</v>
      </c>
      <c r="M2888">
        <v>32600</v>
      </c>
      <c r="N2888" t="s">
        <v>108</v>
      </c>
      <c r="O2888" t="s">
        <v>115</v>
      </c>
    </row>
    <row r="2889" spans="1:15" x14ac:dyDescent="0.25">
      <c r="A2889">
        <v>3316</v>
      </c>
      <c r="B2889" s="10">
        <v>45659</v>
      </c>
      <c r="C2889">
        <v>2</v>
      </c>
      <c r="D2889" t="s">
        <v>130</v>
      </c>
      <c r="E2889" t="s">
        <v>150</v>
      </c>
      <c r="F2889" t="s">
        <v>22</v>
      </c>
      <c r="G2889" t="s">
        <v>91</v>
      </c>
      <c r="H2889" t="s">
        <v>29</v>
      </c>
      <c r="I2889" t="s">
        <v>42</v>
      </c>
      <c r="J2889" t="s">
        <v>94</v>
      </c>
      <c r="K2889">
        <v>9</v>
      </c>
      <c r="L2889">
        <v>16300</v>
      </c>
      <c r="M2889">
        <v>146700</v>
      </c>
      <c r="N2889" t="s">
        <v>95</v>
      </c>
      <c r="O2889" t="s">
        <v>115</v>
      </c>
    </row>
    <row r="2890" spans="1:15" x14ac:dyDescent="0.25">
      <c r="A2890">
        <v>4812</v>
      </c>
      <c r="B2890" s="10">
        <v>45871</v>
      </c>
      <c r="C2890">
        <v>2</v>
      </c>
      <c r="D2890" t="s">
        <v>109</v>
      </c>
      <c r="E2890" t="s">
        <v>161</v>
      </c>
      <c r="F2890" t="s">
        <v>134</v>
      </c>
      <c r="G2890" t="s">
        <v>100</v>
      </c>
      <c r="H2890" t="s">
        <v>29</v>
      </c>
      <c r="I2890" t="s">
        <v>30</v>
      </c>
      <c r="J2890" t="s">
        <v>94</v>
      </c>
      <c r="K2890">
        <v>9</v>
      </c>
      <c r="L2890">
        <v>16300</v>
      </c>
      <c r="M2890">
        <v>146700</v>
      </c>
      <c r="N2890" t="s">
        <v>95</v>
      </c>
      <c r="O2890" t="s">
        <v>115</v>
      </c>
    </row>
    <row r="2891" spans="1:15" x14ac:dyDescent="0.25">
      <c r="A2891">
        <v>966</v>
      </c>
      <c r="B2891" s="10">
        <v>45989</v>
      </c>
      <c r="C2891">
        <v>28</v>
      </c>
      <c r="D2891" t="s">
        <v>90</v>
      </c>
      <c r="E2891" t="s">
        <v>110</v>
      </c>
      <c r="F2891" t="s">
        <v>122</v>
      </c>
      <c r="G2891" t="s">
        <v>114</v>
      </c>
      <c r="H2891" t="s">
        <v>29</v>
      </c>
      <c r="I2891" t="s">
        <v>30</v>
      </c>
      <c r="J2891" t="s">
        <v>103</v>
      </c>
      <c r="K2891">
        <v>17</v>
      </c>
      <c r="L2891">
        <v>16400</v>
      </c>
      <c r="M2891">
        <v>278800</v>
      </c>
      <c r="N2891" t="s">
        <v>108</v>
      </c>
      <c r="O2891" t="s">
        <v>96</v>
      </c>
    </row>
    <row r="2892" spans="1:15" x14ac:dyDescent="0.25">
      <c r="A2892">
        <v>1114</v>
      </c>
      <c r="B2892" s="10">
        <v>45731</v>
      </c>
      <c r="C2892">
        <v>15</v>
      </c>
      <c r="D2892" t="s">
        <v>140</v>
      </c>
      <c r="E2892" t="s">
        <v>128</v>
      </c>
      <c r="F2892" t="s">
        <v>144</v>
      </c>
      <c r="G2892" t="s">
        <v>91</v>
      </c>
      <c r="H2892" t="s">
        <v>29</v>
      </c>
      <c r="I2892" t="s">
        <v>42</v>
      </c>
      <c r="J2892" t="s">
        <v>94</v>
      </c>
      <c r="K2892">
        <v>9</v>
      </c>
      <c r="L2892">
        <v>16400</v>
      </c>
      <c r="M2892">
        <v>147600</v>
      </c>
      <c r="N2892" t="s">
        <v>108</v>
      </c>
      <c r="O2892" t="s">
        <v>96</v>
      </c>
    </row>
    <row r="2893" spans="1:15" x14ac:dyDescent="0.25">
      <c r="A2893">
        <v>2374</v>
      </c>
      <c r="B2893" s="10">
        <v>45815</v>
      </c>
      <c r="C2893">
        <v>7</v>
      </c>
      <c r="D2893" t="s">
        <v>153</v>
      </c>
      <c r="E2893" t="s">
        <v>112</v>
      </c>
      <c r="F2893" t="s">
        <v>144</v>
      </c>
      <c r="G2893" t="s">
        <v>91</v>
      </c>
      <c r="H2893" t="s">
        <v>29</v>
      </c>
      <c r="I2893" t="s">
        <v>42</v>
      </c>
      <c r="J2893" t="s">
        <v>94</v>
      </c>
      <c r="K2893">
        <v>5</v>
      </c>
      <c r="L2893">
        <v>16400</v>
      </c>
      <c r="M2893">
        <v>82000</v>
      </c>
      <c r="N2893" t="s">
        <v>95</v>
      </c>
      <c r="O2893" t="s">
        <v>96</v>
      </c>
    </row>
    <row r="2894" spans="1:15" x14ac:dyDescent="0.25">
      <c r="A2894">
        <v>3989</v>
      </c>
      <c r="B2894" s="10">
        <v>45928</v>
      </c>
      <c r="C2894">
        <v>28</v>
      </c>
      <c r="D2894" t="s">
        <v>147</v>
      </c>
      <c r="E2894" t="s">
        <v>161</v>
      </c>
      <c r="F2894" t="s">
        <v>44</v>
      </c>
      <c r="G2894" t="s">
        <v>111</v>
      </c>
      <c r="H2894" t="s">
        <v>131</v>
      </c>
      <c r="I2894" t="s">
        <v>132</v>
      </c>
      <c r="J2894" t="s">
        <v>94</v>
      </c>
      <c r="K2894">
        <v>3</v>
      </c>
      <c r="L2894">
        <v>16400</v>
      </c>
      <c r="M2894">
        <v>49200</v>
      </c>
      <c r="N2894" t="s">
        <v>95</v>
      </c>
      <c r="O2894" t="s">
        <v>96</v>
      </c>
    </row>
    <row r="2895" spans="1:15" x14ac:dyDescent="0.25">
      <c r="A2895">
        <v>4673</v>
      </c>
      <c r="B2895" s="10">
        <v>45953</v>
      </c>
      <c r="C2895">
        <v>23</v>
      </c>
      <c r="D2895" t="s">
        <v>136</v>
      </c>
      <c r="E2895" t="s">
        <v>112</v>
      </c>
      <c r="F2895" t="s">
        <v>117</v>
      </c>
      <c r="G2895" t="s">
        <v>118</v>
      </c>
      <c r="H2895" t="s">
        <v>29</v>
      </c>
      <c r="I2895" t="s">
        <v>42</v>
      </c>
      <c r="J2895" t="s">
        <v>94</v>
      </c>
      <c r="K2895">
        <v>5</v>
      </c>
      <c r="L2895">
        <v>16400</v>
      </c>
      <c r="M2895">
        <v>82000</v>
      </c>
      <c r="N2895" t="s">
        <v>108</v>
      </c>
      <c r="O2895" t="s">
        <v>96</v>
      </c>
    </row>
    <row r="2896" spans="1:15" x14ac:dyDescent="0.25">
      <c r="A2896">
        <v>4722</v>
      </c>
      <c r="B2896" s="10">
        <v>45968</v>
      </c>
      <c r="C2896">
        <v>7</v>
      </c>
      <c r="D2896" t="s">
        <v>90</v>
      </c>
      <c r="E2896" t="s">
        <v>112</v>
      </c>
      <c r="F2896" t="s">
        <v>107</v>
      </c>
      <c r="G2896" t="s">
        <v>100</v>
      </c>
      <c r="H2896" t="s">
        <v>29</v>
      </c>
      <c r="I2896" t="s">
        <v>42</v>
      </c>
      <c r="J2896" t="s">
        <v>94</v>
      </c>
      <c r="K2896">
        <v>8</v>
      </c>
      <c r="L2896">
        <v>16400</v>
      </c>
      <c r="M2896">
        <v>131200</v>
      </c>
      <c r="N2896" t="s">
        <v>95</v>
      </c>
      <c r="O2896" t="s">
        <v>115</v>
      </c>
    </row>
    <row r="2897" spans="1:15" x14ac:dyDescent="0.25">
      <c r="A2897">
        <v>428</v>
      </c>
      <c r="B2897" s="10">
        <v>45841</v>
      </c>
      <c r="C2897">
        <v>3</v>
      </c>
      <c r="D2897" t="s">
        <v>145</v>
      </c>
      <c r="E2897" t="s">
        <v>112</v>
      </c>
      <c r="F2897" t="s">
        <v>148</v>
      </c>
      <c r="G2897" t="s">
        <v>118</v>
      </c>
      <c r="H2897" t="s">
        <v>29</v>
      </c>
      <c r="I2897" t="s">
        <v>42</v>
      </c>
      <c r="J2897" t="s">
        <v>94</v>
      </c>
      <c r="K2897">
        <v>4</v>
      </c>
      <c r="L2897">
        <v>16500</v>
      </c>
      <c r="M2897">
        <v>66000</v>
      </c>
      <c r="N2897" t="s">
        <v>95</v>
      </c>
      <c r="O2897" t="s">
        <v>115</v>
      </c>
    </row>
    <row r="2898" spans="1:15" x14ac:dyDescent="0.25">
      <c r="A2898">
        <v>1945</v>
      </c>
      <c r="B2898" s="10">
        <v>45735</v>
      </c>
      <c r="C2898">
        <v>19</v>
      </c>
      <c r="D2898" t="s">
        <v>140</v>
      </c>
      <c r="E2898" t="s">
        <v>31</v>
      </c>
      <c r="F2898" t="s">
        <v>107</v>
      </c>
      <c r="G2898" t="s">
        <v>100</v>
      </c>
      <c r="H2898" t="s">
        <v>29</v>
      </c>
      <c r="I2898" t="s">
        <v>42</v>
      </c>
      <c r="J2898" t="s">
        <v>94</v>
      </c>
      <c r="K2898">
        <v>6</v>
      </c>
      <c r="L2898">
        <v>16500</v>
      </c>
      <c r="M2898">
        <v>99000</v>
      </c>
      <c r="N2898" t="s">
        <v>108</v>
      </c>
      <c r="O2898" t="s">
        <v>115</v>
      </c>
    </row>
    <row r="2899" spans="1:15" x14ac:dyDescent="0.25">
      <c r="A2899">
        <v>2699</v>
      </c>
      <c r="B2899" s="10">
        <v>45863</v>
      </c>
      <c r="C2899">
        <v>25</v>
      </c>
      <c r="D2899" t="s">
        <v>145</v>
      </c>
      <c r="E2899" t="s">
        <v>110</v>
      </c>
      <c r="F2899" t="s">
        <v>28</v>
      </c>
      <c r="G2899" t="s">
        <v>126</v>
      </c>
      <c r="H2899" t="s">
        <v>29</v>
      </c>
      <c r="I2899" t="s">
        <v>42</v>
      </c>
      <c r="J2899" t="s">
        <v>94</v>
      </c>
      <c r="K2899">
        <v>4</v>
      </c>
      <c r="L2899">
        <v>16500</v>
      </c>
      <c r="M2899">
        <v>66000</v>
      </c>
      <c r="N2899" t="s">
        <v>95</v>
      </c>
      <c r="O2899" t="s">
        <v>104</v>
      </c>
    </row>
    <row r="2900" spans="1:15" x14ac:dyDescent="0.25">
      <c r="A2900">
        <v>3487</v>
      </c>
      <c r="B2900" s="10">
        <v>45828</v>
      </c>
      <c r="C2900">
        <v>20</v>
      </c>
      <c r="D2900" t="s">
        <v>153</v>
      </c>
      <c r="E2900" t="s">
        <v>121</v>
      </c>
      <c r="F2900" t="s">
        <v>28</v>
      </c>
      <c r="G2900" t="s">
        <v>126</v>
      </c>
      <c r="H2900" t="s">
        <v>29</v>
      </c>
      <c r="I2900" t="s">
        <v>30</v>
      </c>
      <c r="J2900" t="s">
        <v>103</v>
      </c>
      <c r="K2900">
        <v>13</v>
      </c>
      <c r="L2900">
        <v>16500</v>
      </c>
      <c r="M2900">
        <v>214500</v>
      </c>
      <c r="N2900" t="s">
        <v>108</v>
      </c>
      <c r="O2900" t="s">
        <v>115</v>
      </c>
    </row>
    <row r="2901" spans="1:15" x14ac:dyDescent="0.25">
      <c r="A2901">
        <v>4377</v>
      </c>
      <c r="B2901" s="10">
        <v>45721</v>
      </c>
      <c r="C2901">
        <v>5</v>
      </c>
      <c r="D2901" t="s">
        <v>140</v>
      </c>
      <c r="E2901" t="s">
        <v>116</v>
      </c>
      <c r="F2901" t="s">
        <v>117</v>
      </c>
      <c r="G2901" t="s">
        <v>118</v>
      </c>
      <c r="H2901" t="s">
        <v>29</v>
      </c>
      <c r="I2901" t="s">
        <v>159</v>
      </c>
      <c r="J2901" t="s">
        <v>103</v>
      </c>
      <c r="K2901">
        <v>21</v>
      </c>
      <c r="L2901">
        <v>16500</v>
      </c>
      <c r="M2901">
        <v>346500</v>
      </c>
      <c r="N2901" t="s">
        <v>108</v>
      </c>
      <c r="O2901" t="s">
        <v>96</v>
      </c>
    </row>
    <row r="2902" spans="1:15" x14ac:dyDescent="0.25">
      <c r="A2902">
        <v>4819</v>
      </c>
      <c r="B2902" s="10">
        <v>45779</v>
      </c>
      <c r="C2902">
        <v>2</v>
      </c>
      <c r="D2902" t="s">
        <v>120</v>
      </c>
      <c r="E2902" t="s">
        <v>133</v>
      </c>
      <c r="F2902" t="s">
        <v>144</v>
      </c>
      <c r="G2902" t="s">
        <v>91</v>
      </c>
      <c r="H2902" t="s">
        <v>29</v>
      </c>
      <c r="I2902" t="s">
        <v>42</v>
      </c>
      <c r="J2902" t="s">
        <v>94</v>
      </c>
      <c r="K2902">
        <v>5</v>
      </c>
      <c r="L2902">
        <v>16500</v>
      </c>
      <c r="M2902">
        <v>82500</v>
      </c>
      <c r="N2902" t="s">
        <v>95</v>
      </c>
      <c r="O2902" t="s">
        <v>115</v>
      </c>
    </row>
    <row r="2903" spans="1:15" x14ac:dyDescent="0.25">
      <c r="A2903">
        <v>4923</v>
      </c>
      <c r="B2903" s="10">
        <v>45975</v>
      </c>
      <c r="C2903">
        <v>14</v>
      </c>
      <c r="D2903" t="s">
        <v>90</v>
      </c>
      <c r="E2903" t="s">
        <v>25</v>
      </c>
      <c r="F2903" t="s">
        <v>49</v>
      </c>
      <c r="G2903" t="s">
        <v>118</v>
      </c>
      <c r="H2903" t="s">
        <v>29</v>
      </c>
      <c r="I2903" t="s">
        <v>42</v>
      </c>
      <c r="J2903" t="s">
        <v>94</v>
      </c>
      <c r="K2903">
        <v>9</v>
      </c>
      <c r="L2903">
        <v>16500</v>
      </c>
      <c r="M2903">
        <v>148500</v>
      </c>
      <c r="N2903" t="s">
        <v>95</v>
      </c>
      <c r="O2903" t="s">
        <v>115</v>
      </c>
    </row>
    <row r="2904" spans="1:15" x14ac:dyDescent="0.25">
      <c r="A2904">
        <v>2580</v>
      </c>
      <c r="B2904" s="10">
        <v>45775</v>
      </c>
      <c r="C2904">
        <v>28</v>
      </c>
      <c r="D2904" t="s">
        <v>105</v>
      </c>
      <c r="E2904" t="s">
        <v>138</v>
      </c>
      <c r="F2904" t="s">
        <v>122</v>
      </c>
      <c r="G2904" t="s">
        <v>114</v>
      </c>
      <c r="H2904" t="s">
        <v>29</v>
      </c>
      <c r="I2904" t="s">
        <v>30</v>
      </c>
      <c r="J2904" t="s">
        <v>103</v>
      </c>
      <c r="K2904">
        <v>10</v>
      </c>
      <c r="L2904">
        <v>16600</v>
      </c>
      <c r="M2904">
        <v>166000</v>
      </c>
      <c r="N2904" t="s">
        <v>108</v>
      </c>
      <c r="O2904" t="s">
        <v>115</v>
      </c>
    </row>
    <row r="2905" spans="1:15" x14ac:dyDescent="0.25">
      <c r="A2905">
        <v>4248</v>
      </c>
      <c r="B2905" s="10">
        <v>45912</v>
      </c>
      <c r="C2905">
        <v>12</v>
      </c>
      <c r="D2905" t="s">
        <v>147</v>
      </c>
      <c r="E2905" t="s">
        <v>112</v>
      </c>
      <c r="F2905" t="s">
        <v>28</v>
      </c>
      <c r="G2905" t="s">
        <v>126</v>
      </c>
      <c r="H2905" t="s">
        <v>131</v>
      </c>
      <c r="I2905" t="s">
        <v>132</v>
      </c>
      <c r="J2905" t="s">
        <v>94</v>
      </c>
      <c r="K2905">
        <v>6</v>
      </c>
      <c r="L2905">
        <v>16600</v>
      </c>
      <c r="M2905">
        <v>99600</v>
      </c>
      <c r="N2905" t="s">
        <v>108</v>
      </c>
      <c r="O2905" t="s">
        <v>96</v>
      </c>
    </row>
    <row r="2906" spans="1:15" x14ac:dyDescent="0.25">
      <c r="A2906">
        <v>4366</v>
      </c>
      <c r="B2906" s="10">
        <v>45861</v>
      </c>
      <c r="C2906">
        <v>23</v>
      </c>
      <c r="D2906" t="s">
        <v>145</v>
      </c>
      <c r="E2906" t="s">
        <v>137</v>
      </c>
      <c r="F2906" t="s">
        <v>49</v>
      </c>
      <c r="G2906" t="s">
        <v>118</v>
      </c>
      <c r="H2906" t="s">
        <v>131</v>
      </c>
      <c r="I2906" t="s">
        <v>132</v>
      </c>
      <c r="J2906" t="s">
        <v>94</v>
      </c>
      <c r="K2906">
        <v>8</v>
      </c>
      <c r="L2906">
        <v>16600</v>
      </c>
      <c r="M2906">
        <v>132800</v>
      </c>
      <c r="N2906" t="s">
        <v>108</v>
      </c>
      <c r="O2906" t="s">
        <v>104</v>
      </c>
    </row>
    <row r="2907" spans="1:15" x14ac:dyDescent="0.25">
      <c r="A2907">
        <v>1781</v>
      </c>
      <c r="B2907" s="10">
        <v>45986</v>
      </c>
      <c r="C2907">
        <v>25</v>
      </c>
      <c r="D2907" t="s">
        <v>90</v>
      </c>
      <c r="E2907" t="s">
        <v>25</v>
      </c>
      <c r="F2907" t="s">
        <v>107</v>
      </c>
      <c r="G2907" t="s">
        <v>100</v>
      </c>
      <c r="H2907" t="s">
        <v>29</v>
      </c>
      <c r="I2907" t="s">
        <v>30</v>
      </c>
      <c r="J2907" t="s">
        <v>94</v>
      </c>
      <c r="K2907">
        <v>8</v>
      </c>
      <c r="L2907">
        <v>16700</v>
      </c>
      <c r="M2907">
        <v>133600</v>
      </c>
      <c r="N2907" t="s">
        <v>95</v>
      </c>
      <c r="O2907" t="s">
        <v>104</v>
      </c>
    </row>
    <row r="2908" spans="1:15" x14ac:dyDescent="0.25">
      <c r="A2908">
        <v>2718</v>
      </c>
      <c r="B2908" s="10">
        <v>45714</v>
      </c>
      <c r="C2908">
        <v>26</v>
      </c>
      <c r="D2908" t="s">
        <v>97</v>
      </c>
      <c r="E2908" t="s">
        <v>133</v>
      </c>
      <c r="F2908" t="s">
        <v>28</v>
      </c>
      <c r="G2908" t="s">
        <v>126</v>
      </c>
      <c r="H2908" t="s">
        <v>29</v>
      </c>
      <c r="I2908" t="s">
        <v>42</v>
      </c>
      <c r="J2908" t="s">
        <v>94</v>
      </c>
      <c r="K2908">
        <v>8</v>
      </c>
      <c r="L2908">
        <v>16700</v>
      </c>
      <c r="M2908">
        <v>133600</v>
      </c>
      <c r="N2908" t="s">
        <v>108</v>
      </c>
      <c r="O2908" t="s">
        <v>96</v>
      </c>
    </row>
    <row r="2909" spans="1:15" x14ac:dyDescent="0.25">
      <c r="A2909">
        <v>3151</v>
      </c>
      <c r="B2909" s="10">
        <v>45912</v>
      </c>
      <c r="C2909">
        <v>12</v>
      </c>
      <c r="D2909" t="s">
        <v>147</v>
      </c>
      <c r="E2909" t="s">
        <v>133</v>
      </c>
      <c r="F2909" t="s">
        <v>151</v>
      </c>
      <c r="G2909" t="s">
        <v>111</v>
      </c>
      <c r="H2909" t="s">
        <v>29</v>
      </c>
      <c r="I2909" t="s">
        <v>42</v>
      </c>
      <c r="J2909" t="s">
        <v>94</v>
      </c>
      <c r="K2909">
        <v>8</v>
      </c>
      <c r="L2909">
        <v>16700</v>
      </c>
      <c r="M2909">
        <v>133600</v>
      </c>
      <c r="N2909" t="s">
        <v>108</v>
      </c>
      <c r="O2909" t="s">
        <v>104</v>
      </c>
    </row>
    <row r="2910" spans="1:15" x14ac:dyDescent="0.25">
      <c r="A2910">
        <v>3563</v>
      </c>
      <c r="B2910" s="10">
        <v>45879</v>
      </c>
      <c r="C2910">
        <v>10</v>
      </c>
      <c r="D2910" t="s">
        <v>109</v>
      </c>
      <c r="E2910" t="s">
        <v>133</v>
      </c>
      <c r="F2910" t="s">
        <v>144</v>
      </c>
      <c r="G2910" t="s">
        <v>91</v>
      </c>
      <c r="H2910" t="s">
        <v>29</v>
      </c>
      <c r="I2910" t="s">
        <v>159</v>
      </c>
      <c r="J2910" t="s">
        <v>103</v>
      </c>
      <c r="K2910">
        <v>44</v>
      </c>
      <c r="L2910">
        <v>16700</v>
      </c>
      <c r="M2910">
        <v>734800</v>
      </c>
      <c r="N2910" t="s">
        <v>108</v>
      </c>
      <c r="O2910" t="s">
        <v>104</v>
      </c>
    </row>
    <row r="2911" spans="1:15" x14ac:dyDescent="0.25">
      <c r="A2911">
        <v>2407</v>
      </c>
      <c r="B2911" s="10">
        <v>45878</v>
      </c>
      <c r="C2911">
        <v>9</v>
      </c>
      <c r="D2911" t="s">
        <v>109</v>
      </c>
      <c r="E2911" t="s">
        <v>121</v>
      </c>
      <c r="F2911" t="s">
        <v>122</v>
      </c>
      <c r="G2911" t="s">
        <v>114</v>
      </c>
      <c r="H2911" t="s">
        <v>29</v>
      </c>
      <c r="I2911" t="s">
        <v>30</v>
      </c>
      <c r="J2911" t="s">
        <v>94</v>
      </c>
      <c r="K2911">
        <v>8</v>
      </c>
      <c r="L2911">
        <v>16800</v>
      </c>
      <c r="M2911">
        <v>134400</v>
      </c>
      <c r="N2911" t="s">
        <v>95</v>
      </c>
      <c r="O2911" t="s">
        <v>96</v>
      </c>
    </row>
    <row r="2912" spans="1:15" x14ac:dyDescent="0.25">
      <c r="A2912">
        <v>2698</v>
      </c>
      <c r="B2912" s="10">
        <v>45924</v>
      </c>
      <c r="C2912">
        <v>24</v>
      </c>
      <c r="D2912" t="s">
        <v>147</v>
      </c>
      <c r="E2912" t="s">
        <v>138</v>
      </c>
      <c r="F2912" t="s">
        <v>148</v>
      </c>
      <c r="G2912" t="s">
        <v>118</v>
      </c>
      <c r="H2912" t="s">
        <v>29</v>
      </c>
      <c r="I2912" t="s">
        <v>30</v>
      </c>
      <c r="J2912" t="s">
        <v>94</v>
      </c>
      <c r="K2912">
        <v>1</v>
      </c>
      <c r="L2912">
        <v>16800</v>
      </c>
      <c r="M2912">
        <v>16800</v>
      </c>
      <c r="N2912" t="s">
        <v>95</v>
      </c>
      <c r="O2912" t="s">
        <v>115</v>
      </c>
    </row>
    <row r="2913" spans="1:15" x14ac:dyDescent="0.25">
      <c r="A2913">
        <v>3395</v>
      </c>
      <c r="B2913" s="10">
        <v>45688</v>
      </c>
      <c r="C2913">
        <v>31</v>
      </c>
      <c r="D2913" t="s">
        <v>130</v>
      </c>
      <c r="E2913" t="s">
        <v>106</v>
      </c>
      <c r="F2913" t="s">
        <v>113</v>
      </c>
      <c r="G2913" t="s">
        <v>114</v>
      </c>
      <c r="H2913" t="s">
        <v>29</v>
      </c>
      <c r="I2913" t="s">
        <v>30</v>
      </c>
      <c r="J2913" t="s">
        <v>103</v>
      </c>
      <c r="K2913">
        <v>8</v>
      </c>
      <c r="L2913">
        <v>16800</v>
      </c>
      <c r="M2913">
        <v>134400</v>
      </c>
      <c r="N2913" t="s">
        <v>108</v>
      </c>
      <c r="O2913" t="s">
        <v>96</v>
      </c>
    </row>
    <row r="2914" spans="1:15" x14ac:dyDescent="0.25">
      <c r="A2914">
        <v>3621</v>
      </c>
      <c r="B2914" s="10">
        <v>45994</v>
      </c>
      <c r="C2914">
        <v>3</v>
      </c>
      <c r="D2914" t="s">
        <v>125</v>
      </c>
      <c r="E2914" t="s">
        <v>116</v>
      </c>
      <c r="F2914" t="s">
        <v>122</v>
      </c>
      <c r="G2914" t="s">
        <v>114</v>
      </c>
      <c r="H2914" t="s">
        <v>29</v>
      </c>
      <c r="I2914" t="s">
        <v>30</v>
      </c>
      <c r="J2914" t="s">
        <v>94</v>
      </c>
      <c r="K2914">
        <v>6</v>
      </c>
      <c r="L2914">
        <v>16800</v>
      </c>
      <c r="M2914">
        <v>100800</v>
      </c>
      <c r="N2914" t="s">
        <v>95</v>
      </c>
      <c r="O2914" t="s">
        <v>115</v>
      </c>
    </row>
    <row r="2915" spans="1:15" x14ac:dyDescent="0.25">
      <c r="A2915">
        <v>4480</v>
      </c>
      <c r="B2915" s="10">
        <v>45801</v>
      </c>
      <c r="C2915">
        <v>24</v>
      </c>
      <c r="D2915" t="s">
        <v>120</v>
      </c>
      <c r="E2915" t="s">
        <v>110</v>
      </c>
      <c r="F2915" t="s">
        <v>113</v>
      </c>
      <c r="G2915" t="s">
        <v>114</v>
      </c>
      <c r="H2915" t="s">
        <v>29</v>
      </c>
      <c r="I2915" t="s">
        <v>42</v>
      </c>
      <c r="J2915" t="s">
        <v>94</v>
      </c>
      <c r="K2915">
        <v>10</v>
      </c>
      <c r="L2915">
        <v>16800</v>
      </c>
      <c r="M2915">
        <v>168000</v>
      </c>
      <c r="N2915" t="s">
        <v>108</v>
      </c>
      <c r="O2915" t="s">
        <v>104</v>
      </c>
    </row>
    <row r="2916" spans="1:15" x14ac:dyDescent="0.25">
      <c r="A2916">
        <v>820</v>
      </c>
      <c r="B2916" s="10">
        <v>45981</v>
      </c>
      <c r="C2916">
        <v>20</v>
      </c>
      <c r="D2916" t="s">
        <v>90</v>
      </c>
      <c r="E2916" t="s">
        <v>133</v>
      </c>
      <c r="F2916" t="s">
        <v>99</v>
      </c>
      <c r="G2916" t="s">
        <v>100</v>
      </c>
      <c r="H2916" t="s">
        <v>29</v>
      </c>
      <c r="I2916" t="s">
        <v>42</v>
      </c>
      <c r="J2916" t="s">
        <v>94</v>
      </c>
      <c r="K2916">
        <v>4</v>
      </c>
      <c r="L2916">
        <v>16900</v>
      </c>
      <c r="M2916">
        <v>67600</v>
      </c>
      <c r="N2916" t="s">
        <v>95</v>
      </c>
      <c r="O2916" t="s">
        <v>96</v>
      </c>
    </row>
    <row r="2917" spans="1:15" x14ac:dyDescent="0.25">
      <c r="A2917">
        <v>2542</v>
      </c>
      <c r="B2917" s="10">
        <v>46015</v>
      </c>
      <c r="C2917">
        <v>24</v>
      </c>
      <c r="D2917" t="s">
        <v>125</v>
      </c>
      <c r="E2917" t="s">
        <v>31</v>
      </c>
      <c r="F2917" t="s">
        <v>122</v>
      </c>
      <c r="G2917" t="s">
        <v>114</v>
      </c>
      <c r="H2917" t="s">
        <v>29</v>
      </c>
      <c r="I2917" t="s">
        <v>30</v>
      </c>
      <c r="J2917" t="s">
        <v>94</v>
      </c>
      <c r="K2917">
        <v>3</v>
      </c>
      <c r="L2917">
        <v>16900</v>
      </c>
      <c r="M2917">
        <v>50700</v>
      </c>
      <c r="N2917" t="s">
        <v>95</v>
      </c>
      <c r="O2917" t="s">
        <v>115</v>
      </c>
    </row>
    <row r="2918" spans="1:15" x14ac:dyDescent="0.25">
      <c r="A2918">
        <v>2604</v>
      </c>
      <c r="B2918" s="10">
        <v>45675</v>
      </c>
      <c r="C2918">
        <v>18</v>
      </c>
      <c r="D2918" t="s">
        <v>130</v>
      </c>
      <c r="E2918" t="s">
        <v>112</v>
      </c>
      <c r="F2918" t="s">
        <v>99</v>
      </c>
      <c r="G2918" t="s">
        <v>100</v>
      </c>
      <c r="H2918" t="s">
        <v>29</v>
      </c>
      <c r="I2918" t="s">
        <v>30</v>
      </c>
      <c r="J2918" t="s">
        <v>94</v>
      </c>
      <c r="K2918">
        <v>6</v>
      </c>
      <c r="L2918">
        <v>16900</v>
      </c>
      <c r="M2918">
        <v>101400</v>
      </c>
      <c r="N2918" t="s">
        <v>108</v>
      </c>
      <c r="O2918" t="s">
        <v>115</v>
      </c>
    </row>
    <row r="2919" spans="1:15" x14ac:dyDescent="0.25">
      <c r="A2919">
        <v>3196</v>
      </c>
      <c r="B2919" s="10">
        <v>45861</v>
      </c>
      <c r="C2919">
        <v>23</v>
      </c>
      <c r="D2919" t="s">
        <v>145</v>
      </c>
      <c r="E2919" t="s">
        <v>142</v>
      </c>
      <c r="F2919" t="s">
        <v>36</v>
      </c>
      <c r="G2919" t="s">
        <v>100</v>
      </c>
      <c r="H2919" t="s">
        <v>29</v>
      </c>
      <c r="I2919" t="s">
        <v>159</v>
      </c>
      <c r="J2919" t="s">
        <v>103</v>
      </c>
      <c r="K2919">
        <v>14</v>
      </c>
      <c r="L2919">
        <v>16900</v>
      </c>
      <c r="M2919">
        <v>236600</v>
      </c>
      <c r="N2919" t="s">
        <v>95</v>
      </c>
      <c r="O2919" t="s">
        <v>115</v>
      </c>
    </row>
    <row r="2920" spans="1:15" x14ac:dyDescent="0.25">
      <c r="A2920">
        <v>3211</v>
      </c>
      <c r="B2920" s="10">
        <v>45842</v>
      </c>
      <c r="C2920">
        <v>4</v>
      </c>
      <c r="D2920" t="s">
        <v>145</v>
      </c>
      <c r="E2920" t="s">
        <v>142</v>
      </c>
      <c r="F2920" t="s">
        <v>151</v>
      </c>
      <c r="G2920" t="s">
        <v>111</v>
      </c>
      <c r="H2920" t="s">
        <v>29</v>
      </c>
      <c r="I2920" t="s">
        <v>42</v>
      </c>
      <c r="J2920" t="s">
        <v>94</v>
      </c>
      <c r="K2920">
        <v>3</v>
      </c>
      <c r="L2920">
        <v>16900</v>
      </c>
      <c r="M2920">
        <v>50700</v>
      </c>
      <c r="N2920" t="s">
        <v>108</v>
      </c>
      <c r="O2920" t="s">
        <v>104</v>
      </c>
    </row>
    <row r="2921" spans="1:15" x14ac:dyDescent="0.25">
      <c r="A2921">
        <v>4751</v>
      </c>
      <c r="B2921" s="10">
        <v>45776</v>
      </c>
      <c r="C2921">
        <v>29</v>
      </c>
      <c r="D2921" t="s">
        <v>105</v>
      </c>
      <c r="E2921" t="s">
        <v>110</v>
      </c>
      <c r="F2921" t="s">
        <v>36</v>
      </c>
      <c r="G2921" t="s">
        <v>100</v>
      </c>
      <c r="H2921" t="s">
        <v>29</v>
      </c>
      <c r="I2921" t="s">
        <v>42</v>
      </c>
      <c r="J2921" t="s">
        <v>94</v>
      </c>
      <c r="K2921">
        <v>2</v>
      </c>
      <c r="L2921">
        <v>16900</v>
      </c>
      <c r="M2921">
        <v>33800</v>
      </c>
      <c r="N2921" t="s">
        <v>108</v>
      </c>
      <c r="O2921" t="s">
        <v>96</v>
      </c>
    </row>
    <row r="2922" spans="1:15" x14ac:dyDescent="0.25">
      <c r="A2922">
        <v>4915</v>
      </c>
      <c r="B2922" s="10">
        <v>45897</v>
      </c>
      <c r="C2922">
        <v>28</v>
      </c>
      <c r="D2922" t="s">
        <v>109</v>
      </c>
      <c r="E2922" t="s">
        <v>133</v>
      </c>
      <c r="F2922" t="s">
        <v>141</v>
      </c>
      <c r="G2922" t="s">
        <v>100</v>
      </c>
      <c r="H2922" t="s">
        <v>29</v>
      </c>
      <c r="I2922" t="s">
        <v>30</v>
      </c>
      <c r="J2922" t="s">
        <v>94</v>
      </c>
      <c r="K2922">
        <v>10</v>
      </c>
      <c r="L2922">
        <v>16900</v>
      </c>
      <c r="M2922">
        <v>169000</v>
      </c>
      <c r="N2922" t="s">
        <v>108</v>
      </c>
      <c r="O2922" t="s">
        <v>104</v>
      </c>
    </row>
    <row r="2923" spans="1:15" x14ac:dyDescent="0.25">
      <c r="A2923">
        <v>1454</v>
      </c>
      <c r="B2923" s="10">
        <v>45908</v>
      </c>
      <c r="C2923">
        <v>8</v>
      </c>
      <c r="D2923" t="s">
        <v>147</v>
      </c>
      <c r="E2923" t="s">
        <v>116</v>
      </c>
      <c r="F2923" t="s">
        <v>22</v>
      </c>
      <c r="G2923" t="s">
        <v>91</v>
      </c>
      <c r="H2923" t="s">
        <v>131</v>
      </c>
      <c r="I2923" t="s">
        <v>132</v>
      </c>
      <c r="J2923" t="s">
        <v>94</v>
      </c>
      <c r="K2923">
        <v>1</v>
      </c>
      <c r="L2923">
        <v>17000</v>
      </c>
      <c r="M2923">
        <v>17000</v>
      </c>
      <c r="N2923" t="s">
        <v>108</v>
      </c>
      <c r="O2923" t="s">
        <v>104</v>
      </c>
    </row>
    <row r="2924" spans="1:15" x14ac:dyDescent="0.25">
      <c r="A2924">
        <v>1521</v>
      </c>
      <c r="B2924" s="10">
        <v>45853</v>
      </c>
      <c r="C2924">
        <v>15</v>
      </c>
      <c r="D2924" t="s">
        <v>145</v>
      </c>
      <c r="E2924" t="s">
        <v>133</v>
      </c>
      <c r="F2924" t="s">
        <v>99</v>
      </c>
      <c r="G2924" t="s">
        <v>100</v>
      </c>
      <c r="H2924" t="s">
        <v>29</v>
      </c>
      <c r="I2924" t="s">
        <v>42</v>
      </c>
      <c r="J2924" t="s">
        <v>94</v>
      </c>
      <c r="K2924">
        <v>5</v>
      </c>
      <c r="L2924">
        <v>17000</v>
      </c>
      <c r="M2924">
        <v>85000</v>
      </c>
      <c r="N2924" t="s">
        <v>108</v>
      </c>
      <c r="O2924" t="s">
        <v>104</v>
      </c>
    </row>
    <row r="2925" spans="1:15" x14ac:dyDescent="0.25">
      <c r="A2925">
        <v>2802</v>
      </c>
      <c r="B2925" s="10">
        <v>45717</v>
      </c>
      <c r="C2925">
        <v>1</v>
      </c>
      <c r="D2925" t="s">
        <v>140</v>
      </c>
      <c r="E2925" t="s">
        <v>137</v>
      </c>
      <c r="F2925" t="s">
        <v>113</v>
      </c>
      <c r="G2925" t="s">
        <v>114</v>
      </c>
      <c r="H2925" t="s">
        <v>131</v>
      </c>
      <c r="I2925" t="s">
        <v>132</v>
      </c>
      <c r="J2925" t="s">
        <v>94</v>
      </c>
      <c r="K2925">
        <v>8</v>
      </c>
      <c r="L2925">
        <v>17000</v>
      </c>
      <c r="M2925">
        <v>136000</v>
      </c>
      <c r="N2925" t="s">
        <v>95</v>
      </c>
      <c r="O2925" t="s">
        <v>104</v>
      </c>
    </row>
    <row r="2926" spans="1:15" x14ac:dyDescent="0.25">
      <c r="A2926">
        <v>3091</v>
      </c>
      <c r="B2926" s="10">
        <v>45813</v>
      </c>
      <c r="C2926">
        <v>5</v>
      </c>
      <c r="D2926" t="s">
        <v>153</v>
      </c>
      <c r="E2926" t="s">
        <v>98</v>
      </c>
      <c r="F2926" t="s">
        <v>141</v>
      </c>
      <c r="G2926" t="s">
        <v>100</v>
      </c>
      <c r="H2926" t="s">
        <v>29</v>
      </c>
      <c r="I2926" t="s">
        <v>159</v>
      </c>
      <c r="J2926" t="s">
        <v>103</v>
      </c>
      <c r="K2926">
        <v>30</v>
      </c>
      <c r="L2926">
        <v>17000</v>
      </c>
      <c r="M2926">
        <v>510000</v>
      </c>
      <c r="N2926" t="s">
        <v>95</v>
      </c>
      <c r="O2926" t="s">
        <v>96</v>
      </c>
    </row>
    <row r="2927" spans="1:15" x14ac:dyDescent="0.25">
      <c r="A2927">
        <v>3724</v>
      </c>
      <c r="B2927" s="10">
        <v>45959</v>
      </c>
      <c r="C2927">
        <v>29</v>
      </c>
      <c r="D2927" t="s">
        <v>136</v>
      </c>
      <c r="E2927" t="s">
        <v>150</v>
      </c>
      <c r="F2927" t="s">
        <v>44</v>
      </c>
      <c r="G2927" t="s">
        <v>111</v>
      </c>
      <c r="H2927" t="s">
        <v>29</v>
      </c>
      <c r="I2927" t="s">
        <v>159</v>
      </c>
      <c r="J2927" t="s">
        <v>103</v>
      </c>
      <c r="K2927">
        <v>18</v>
      </c>
      <c r="L2927">
        <v>17000</v>
      </c>
      <c r="M2927">
        <v>306000</v>
      </c>
      <c r="N2927" t="s">
        <v>108</v>
      </c>
      <c r="O2927" t="s">
        <v>115</v>
      </c>
    </row>
    <row r="2928" spans="1:15" x14ac:dyDescent="0.25">
      <c r="A2928">
        <v>3984</v>
      </c>
      <c r="B2928" s="10">
        <v>45845</v>
      </c>
      <c r="C2928">
        <v>7</v>
      </c>
      <c r="D2928" t="s">
        <v>145</v>
      </c>
      <c r="E2928" t="s">
        <v>116</v>
      </c>
      <c r="F2928" t="s">
        <v>148</v>
      </c>
      <c r="G2928" t="s">
        <v>118</v>
      </c>
      <c r="H2928" t="s">
        <v>29</v>
      </c>
      <c r="I2928" t="s">
        <v>30</v>
      </c>
      <c r="J2928" t="s">
        <v>94</v>
      </c>
      <c r="K2928">
        <v>7</v>
      </c>
      <c r="L2928">
        <v>17000</v>
      </c>
      <c r="M2928">
        <v>119000</v>
      </c>
      <c r="N2928" t="s">
        <v>95</v>
      </c>
      <c r="O2928" t="s">
        <v>104</v>
      </c>
    </row>
    <row r="2929" spans="1:15" x14ac:dyDescent="0.25">
      <c r="A2929">
        <v>4422</v>
      </c>
      <c r="B2929" s="10">
        <v>45755</v>
      </c>
      <c r="C2929">
        <v>8</v>
      </c>
      <c r="D2929" t="s">
        <v>105</v>
      </c>
      <c r="E2929" t="s">
        <v>106</v>
      </c>
      <c r="F2929" t="s">
        <v>144</v>
      </c>
      <c r="G2929" t="s">
        <v>91</v>
      </c>
      <c r="H2929" t="s">
        <v>29</v>
      </c>
      <c r="I2929" t="s">
        <v>30</v>
      </c>
      <c r="J2929" t="s">
        <v>94</v>
      </c>
      <c r="K2929">
        <v>9</v>
      </c>
      <c r="L2929">
        <v>17000</v>
      </c>
      <c r="M2929">
        <v>153000</v>
      </c>
      <c r="N2929" t="s">
        <v>108</v>
      </c>
      <c r="O2929" t="s">
        <v>115</v>
      </c>
    </row>
    <row r="2930" spans="1:15" x14ac:dyDescent="0.25">
      <c r="A2930">
        <v>474</v>
      </c>
      <c r="B2930" s="10">
        <v>45662</v>
      </c>
      <c r="C2930">
        <v>5</v>
      </c>
      <c r="D2930" t="s">
        <v>130</v>
      </c>
      <c r="E2930" t="s">
        <v>133</v>
      </c>
      <c r="F2930" t="s">
        <v>144</v>
      </c>
      <c r="G2930" t="s">
        <v>91</v>
      </c>
      <c r="H2930" t="s">
        <v>29</v>
      </c>
      <c r="I2930" t="s">
        <v>42</v>
      </c>
      <c r="J2930" t="s">
        <v>94</v>
      </c>
      <c r="K2930">
        <v>4</v>
      </c>
      <c r="L2930">
        <v>17100</v>
      </c>
      <c r="M2930">
        <v>68400</v>
      </c>
      <c r="N2930" t="s">
        <v>108</v>
      </c>
      <c r="O2930" t="s">
        <v>96</v>
      </c>
    </row>
    <row r="2931" spans="1:15" x14ac:dyDescent="0.25">
      <c r="A2931">
        <v>624</v>
      </c>
      <c r="B2931" s="10">
        <v>45879</v>
      </c>
      <c r="C2931">
        <v>10</v>
      </c>
      <c r="D2931" t="s">
        <v>109</v>
      </c>
      <c r="E2931" t="s">
        <v>121</v>
      </c>
      <c r="F2931" t="s">
        <v>134</v>
      </c>
      <c r="G2931" t="s">
        <v>100</v>
      </c>
      <c r="H2931" t="s">
        <v>29</v>
      </c>
      <c r="I2931" t="s">
        <v>42</v>
      </c>
      <c r="J2931" t="s">
        <v>94</v>
      </c>
      <c r="K2931">
        <v>8</v>
      </c>
      <c r="L2931">
        <v>17100</v>
      </c>
      <c r="M2931">
        <v>136800</v>
      </c>
      <c r="N2931" t="s">
        <v>95</v>
      </c>
      <c r="O2931" t="s">
        <v>104</v>
      </c>
    </row>
    <row r="2932" spans="1:15" x14ac:dyDescent="0.25">
      <c r="A2932">
        <v>732</v>
      </c>
      <c r="B2932" s="10">
        <v>45979</v>
      </c>
      <c r="C2932">
        <v>18</v>
      </c>
      <c r="D2932" t="s">
        <v>90</v>
      </c>
      <c r="E2932" t="s">
        <v>137</v>
      </c>
      <c r="F2932" t="s">
        <v>141</v>
      </c>
      <c r="G2932" t="s">
        <v>100</v>
      </c>
      <c r="H2932" t="s">
        <v>29</v>
      </c>
      <c r="I2932" t="s">
        <v>30</v>
      </c>
      <c r="J2932" t="s">
        <v>94</v>
      </c>
      <c r="K2932">
        <v>3</v>
      </c>
      <c r="L2932">
        <v>17100</v>
      </c>
      <c r="M2932">
        <v>51300</v>
      </c>
      <c r="N2932" t="s">
        <v>95</v>
      </c>
      <c r="O2932" t="s">
        <v>96</v>
      </c>
    </row>
    <row r="2933" spans="1:15" x14ac:dyDescent="0.25">
      <c r="A2933">
        <v>1117</v>
      </c>
      <c r="B2933" s="10">
        <v>45957</v>
      </c>
      <c r="C2933">
        <v>27</v>
      </c>
      <c r="D2933" t="s">
        <v>136</v>
      </c>
      <c r="E2933" t="s">
        <v>128</v>
      </c>
      <c r="F2933" t="s">
        <v>151</v>
      </c>
      <c r="G2933" t="s">
        <v>111</v>
      </c>
      <c r="H2933" t="s">
        <v>29</v>
      </c>
      <c r="I2933" t="s">
        <v>30</v>
      </c>
      <c r="J2933" t="s">
        <v>103</v>
      </c>
      <c r="K2933">
        <v>47</v>
      </c>
      <c r="L2933">
        <v>17100</v>
      </c>
      <c r="M2933">
        <v>803700</v>
      </c>
      <c r="N2933" t="s">
        <v>95</v>
      </c>
      <c r="O2933" t="s">
        <v>104</v>
      </c>
    </row>
    <row r="2934" spans="1:15" x14ac:dyDescent="0.25">
      <c r="A2934">
        <v>4108</v>
      </c>
      <c r="B2934" s="10">
        <v>45872</v>
      </c>
      <c r="C2934">
        <v>3</v>
      </c>
      <c r="D2934" t="s">
        <v>109</v>
      </c>
      <c r="E2934" t="s">
        <v>31</v>
      </c>
      <c r="F2934" t="s">
        <v>148</v>
      </c>
      <c r="G2934" t="s">
        <v>118</v>
      </c>
      <c r="H2934" t="s">
        <v>29</v>
      </c>
      <c r="I2934" t="s">
        <v>42</v>
      </c>
      <c r="J2934" t="s">
        <v>94</v>
      </c>
      <c r="K2934">
        <v>9</v>
      </c>
      <c r="L2934">
        <v>17100</v>
      </c>
      <c r="M2934">
        <v>153900</v>
      </c>
      <c r="N2934" t="s">
        <v>95</v>
      </c>
      <c r="O2934" t="s">
        <v>104</v>
      </c>
    </row>
    <row r="2935" spans="1:15" x14ac:dyDescent="0.25">
      <c r="A2935">
        <v>4784</v>
      </c>
      <c r="B2935" s="10">
        <v>45744</v>
      </c>
      <c r="C2935">
        <v>28</v>
      </c>
      <c r="D2935" t="s">
        <v>140</v>
      </c>
      <c r="E2935" t="s">
        <v>142</v>
      </c>
      <c r="F2935" t="s">
        <v>113</v>
      </c>
      <c r="G2935" t="s">
        <v>114</v>
      </c>
      <c r="H2935" t="s">
        <v>29</v>
      </c>
      <c r="I2935" t="s">
        <v>30</v>
      </c>
      <c r="J2935" t="s">
        <v>94</v>
      </c>
      <c r="K2935">
        <v>3</v>
      </c>
      <c r="L2935">
        <v>17100</v>
      </c>
      <c r="M2935">
        <v>51300</v>
      </c>
      <c r="N2935" t="s">
        <v>95</v>
      </c>
      <c r="O2935" t="s">
        <v>104</v>
      </c>
    </row>
    <row r="2936" spans="1:15" x14ac:dyDescent="0.25">
      <c r="A2936">
        <v>3802</v>
      </c>
      <c r="B2936" s="10">
        <v>45723</v>
      </c>
      <c r="C2936">
        <v>7</v>
      </c>
      <c r="D2936" t="s">
        <v>140</v>
      </c>
      <c r="E2936" t="s">
        <v>116</v>
      </c>
      <c r="F2936" t="s">
        <v>117</v>
      </c>
      <c r="G2936" t="s">
        <v>118</v>
      </c>
      <c r="H2936" t="s">
        <v>29</v>
      </c>
      <c r="I2936" t="s">
        <v>159</v>
      </c>
      <c r="J2936" t="s">
        <v>103</v>
      </c>
      <c r="K2936">
        <v>12</v>
      </c>
      <c r="L2936">
        <v>17200</v>
      </c>
      <c r="M2936">
        <v>206400</v>
      </c>
      <c r="N2936" t="s">
        <v>95</v>
      </c>
      <c r="O2936" t="s">
        <v>96</v>
      </c>
    </row>
    <row r="2937" spans="1:15" x14ac:dyDescent="0.25">
      <c r="A2937">
        <v>5000</v>
      </c>
      <c r="B2937" s="10">
        <v>45796</v>
      </c>
      <c r="C2937">
        <v>19</v>
      </c>
      <c r="D2937" t="s">
        <v>120</v>
      </c>
      <c r="E2937" t="s">
        <v>25</v>
      </c>
      <c r="F2937" t="s">
        <v>44</v>
      </c>
      <c r="G2937" t="s">
        <v>111</v>
      </c>
      <c r="H2937" t="s">
        <v>29</v>
      </c>
      <c r="I2937" t="s">
        <v>30</v>
      </c>
      <c r="J2937" t="s">
        <v>94</v>
      </c>
      <c r="K2937">
        <v>10</v>
      </c>
      <c r="L2937">
        <v>17200</v>
      </c>
      <c r="M2937">
        <v>172000</v>
      </c>
      <c r="N2937" t="s">
        <v>95</v>
      </c>
      <c r="O2937" t="s">
        <v>115</v>
      </c>
    </row>
    <row r="2938" spans="1:15" x14ac:dyDescent="0.25">
      <c r="A2938">
        <v>104</v>
      </c>
      <c r="B2938" s="10">
        <v>45734</v>
      </c>
      <c r="C2938">
        <v>18</v>
      </c>
      <c r="D2938" t="s">
        <v>140</v>
      </c>
      <c r="E2938" t="s">
        <v>128</v>
      </c>
      <c r="F2938" t="s">
        <v>44</v>
      </c>
      <c r="G2938" t="s">
        <v>111</v>
      </c>
      <c r="H2938" t="s">
        <v>29</v>
      </c>
      <c r="I2938" t="s">
        <v>30</v>
      </c>
      <c r="J2938" t="s">
        <v>94</v>
      </c>
      <c r="K2938">
        <v>3</v>
      </c>
      <c r="L2938">
        <v>17300</v>
      </c>
      <c r="M2938">
        <v>51900</v>
      </c>
      <c r="N2938" t="s">
        <v>108</v>
      </c>
      <c r="O2938" t="s">
        <v>96</v>
      </c>
    </row>
    <row r="2939" spans="1:15" x14ac:dyDescent="0.25">
      <c r="A2939">
        <v>1285</v>
      </c>
      <c r="B2939" s="10">
        <v>45821</v>
      </c>
      <c r="C2939">
        <v>13</v>
      </c>
      <c r="D2939" t="s">
        <v>153</v>
      </c>
      <c r="E2939" t="s">
        <v>128</v>
      </c>
      <c r="F2939" t="s">
        <v>22</v>
      </c>
      <c r="G2939" t="s">
        <v>91</v>
      </c>
      <c r="H2939" t="s">
        <v>29</v>
      </c>
      <c r="I2939" t="s">
        <v>30</v>
      </c>
      <c r="J2939" t="s">
        <v>94</v>
      </c>
      <c r="K2939">
        <v>1</v>
      </c>
      <c r="L2939">
        <v>17300</v>
      </c>
      <c r="M2939">
        <v>17300</v>
      </c>
      <c r="N2939" t="s">
        <v>108</v>
      </c>
      <c r="O2939" t="s">
        <v>104</v>
      </c>
    </row>
    <row r="2940" spans="1:15" x14ac:dyDescent="0.25">
      <c r="A2940">
        <v>1492</v>
      </c>
      <c r="B2940" s="10">
        <v>45974</v>
      </c>
      <c r="C2940">
        <v>13</v>
      </c>
      <c r="D2940" t="s">
        <v>90</v>
      </c>
      <c r="E2940" t="s">
        <v>128</v>
      </c>
      <c r="F2940" t="s">
        <v>107</v>
      </c>
      <c r="G2940" t="s">
        <v>100</v>
      </c>
      <c r="H2940" t="s">
        <v>29</v>
      </c>
      <c r="I2940" t="s">
        <v>30</v>
      </c>
      <c r="J2940" t="s">
        <v>103</v>
      </c>
      <c r="K2940">
        <v>32</v>
      </c>
      <c r="L2940">
        <v>17300</v>
      </c>
      <c r="M2940">
        <v>553600</v>
      </c>
      <c r="N2940" t="s">
        <v>108</v>
      </c>
      <c r="O2940" t="s">
        <v>104</v>
      </c>
    </row>
    <row r="2941" spans="1:15" x14ac:dyDescent="0.25">
      <c r="A2941">
        <v>1554</v>
      </c>
      <c r="B2941" s="10">
        <v>45821</v>
      </c>
      <c r="C2941">
        <v>13</v>
      </c>
      <c r="D2941" t="s">
        <v>153</v>
      </c>
      <c r="E2941" t="s">
        <v>112</v>
      </c>
      <c r="F2941" t="s">
        <v>36</v>
      </c>
      <c r="G2941" t="s">
        <v>100</v>
      </c>
      <c r="H2941" t="s">
        <v>29</v>
      </c>
      <c r="I2941" t="s">
        <v>30</v>
      </c>
      <c r="J2941" t="s">
        <v>94</v>
      </c>
      <c r="K2941">
        <v>7</v>
      </c>
      <c r="L2941">
        <v>17300</v>
      </c>
      <c r="M2941">
        <v>121100</v>
      </c>
      <c r="N2941" t="s">
        <v>108</v>
      </c>
      <c r="O2941" t="s">
        <v>96</v>
      </c>
    </row>
    <row r="2942" spans="1:15" x14ac:dyDescent="0.25">
      <c r="A2942">
        <v>1675</v>
      </c>
      <c r="B2942" s="10">
        <v>45983</v>
      </c>
      <c r="C2942">
        <v>22</v>
      </c>
      <c r="D2942" t="s">
        <v>90</v>
      </c>
      <c r="E2942" t="s">
        <v>150</v>
      </c>
      <c r="F2942" t="s">
        <v>28</v>
      </c>
      <c r="G2942" t="s">
        <v>126</v>
      </c>
      <c r="H2942" t="s">
        <v>29</v>
      </c>
      <c r="I2942" t="s">
        <v>42</v>
      </c>
      <c r="J2942" t="s">
        <v>94</v>
      </c>
      <c r="K2942">
        <v>6</v>
      </c>
      <c r="L2942">
        <v>17300</v>
      </c>
      <c r="M2942">
        <v>103800</v>
      </c>
      <c r="N2942" t="s">
        <v>95</v>
      </c>
      <c r="O2942" t="s">
        <v>104</v>
      </c>
    </row>
    <row r="2943" spans="1:15" x14ac:dyDescent="0.25">
      <c r="A2943">
        <v>1936</v>
      </c>
      <c r="B2943" s="10">
        <v>45689</v>
      </c>
      <c r="C2943">
        <v>1</v>
      </c>
      <c r="D2943" t="s">
        <v>97</v>
      </c>
      <c r="E2943" t="s">
        <v>161</v>
      </c>
      <c r="F2943" t="s">
        <v>144</v>
      </c>
      <c r="G2943" t="s">
        <v>91</v>
      </c>
      <c r="H2943" t="s">
        <v>29</v>
      </c>
      <c r="I2943" t="s">
        <v>159</v>
      </c>
      <c r="J2943" t="s">
        <v>103</v>
      </c>
      <c r="K2943">
        <v>20</v>
      </c>
      <c r="L2943">
        <v>17300</v>
      </c>
      <c r="M2943">
        <v>346000</v>
      </c>
      <c r="N2943" t="s">
        <v>108</v>
      </c>
      <c r="O2943" t="s">
        <v>115</v>
      </c>
    </row>
    <row r="2944" spans="1:15" x14ac:dyDescent="0.25">
      <c r="A2944">
        <v>2425</v>
      </c>
      <c r="B2944" s="10">
        <v>45691</v>
      </c>
      <c r="C2944">
        <v>3</v>
      </c>
      <c r="D2944" t="s">
        <v>97</v>
      </c>
      <c r="E2944" t="s">
        <v>133</v>
      </c>
      <c r="F2944" t="s">
        <v>22</v>
      </c>
      <c r="G2944" t="s">
        <v>91</v>
      </c>
      <c r="H2944" t="s">
        <v>29</v>
      </c>
      <c r="I2944" t="s">
        <v>159</v>
      </c>
      <c r="J2944" t="s">
        <v>103</v>
      </c>
      <c r="K2944">
        <v>11</v>
      </c>
      <c r="L2944">
        <v>17300</v>
      </c>
      <c r="M2944">
        <v>190300</v>
      </c>
      <c r="N2944" t="s">
        <v>108</v>
      </c>
      <c r="O2944" t="s">
        <v>104</v>
      </c>
    </row>
    <row r="2945" spans="1:15" x14ac:dyDescent="0.25">
      <c r="A2945">
        <v>3392</v>
      </c>
      <c r="B2945" s="10">
        <v>45993</v>
      </c>
      <c r="C2945">
        <v>2</v>
      </c>
      <c r="D2945" t="s">
        <v>125</v>
      </c>
      <c r="E2945" t="s">
        <v>128</v>
      </c>
      <c r="F2945" t="s">
        <v>144</v>
      </c>
      <c r="G2945" t="s">
        <v>91</v>
      </c>
      <c r="H2945" t="s">
        <v>29</v>
      </c>
      <c r="I2945" t="s">
        <v>30</v>
      </c>
      <c r="J2945" t="s">
        <v>94</v>
      </c>
      <c r="K2945">
        <v>9</v>
      </c>
      <c r="L2945">
        <v>17300</v>
      </c>
      <c r="M2945">
        <v>155700</v>
      </c>
      <c r="N2945" t="s">
        <v>108</v>
      </c>
      <c r="O2945" t="s">
        <v>115</v>
      </c>
    </row>
    <row r="2946" spans="1:15" x14ac:dyDescent="0.25">
      <c r="A2946">
        <v>3874</v>
      </c>
      <c r="B2946" s="10">
        <v>45844</v>
      </c>
      <c r="C2946">
        <v>6</v>
      </c>
      <c r="D2946" t="s">
        <v>145</v>
      </c>
      <c r="E2946" t="s">
        <v>110</v>
      </c>
      <c r="F2946" t="s">
        <v>117</v>
      </c>
      <c r="G2946" t="s">
        <v>118</v>
      </c>
      <c r="H2946" t="s">
        <v>29</v>
      </c>
      <c r="I2946" t="s">
        <v>159</v>
      </c>
      <c r="J2946" t="s">
        <v>103</v>
      </c>
      <c r="K2946">
        <v>33</v>
      </c>
      <c r="L2946">
        <v>17300</v>
      </c>
      <c r="M2946">
        <v>570900</v>
      </c>
      <c r="N2946" t="s">
        <v>108</v>
      </c>
      <c r="O2946" t="s">
        <v>96</v>
      </c>
    </row>
    <row r="2947" spans="1:15" x14ac:dyDescent="0.25">
      <c r="A2947">
        <v>3940</v>
      </c>
      <c r="B2947" s="10">
        <v>45756</v>
      </c>
      <c r="C2947">
        <v>9</v>
      </c>
      <c r="D2947" t="s">
        <v>105</v>
      </c>
      <c r="E2947" t="s">
        <v>98</v>
      </c>
      <c r="F2947" t="s">
        <v>117</v>
      </c>
      <c r="G2947" t="s">
        <v>118</v>
      </c>
      <c r="H2947" t="s">
        <v>29</v>
      </c>
      <c r="I2947" t="s">
        <v>30</v>
      </c>
      <c r="J2947" t="s">
        <v>94</v>
      </c>
      <c r="K2947">
        <v>4</v>
      </c>
      <c r="L2947">
        <v>17300</v>
      </c>
      <c r="M2947">
        <v>69200</v>
      </c>
      <c r="N2947" t="s">
        <v>95</v>
      </c>
      <c r="O2947" t="s">
        <v>115</v>
      </c>
    </row>
    <row r="2948" spans="1:15" x14ac:dyDescent="0.25">
      <c r="A2948">
        <v>4660</v>
      </c>
      <c r="B2948" s="10">
        <v>45913</v>
      </c>
      <c r="C2948">
        <v>13</v>
      </c>
      <c r="D2948" t="s">
        <v>147</v>
      </c>
      <c r="E2948" t="s">
        <v>110</v>
      </c>
      <c r="F2948" t="s">
        <v>22</v>
      </c>
      <c r="G2948" t="s">
        <v>91</v>
      </c>
      <c r="H2948" t="s">
        <v>29</v>
      </c>
      <c r="I2948" t="s">
        <v>30</v>
      </c>
      <c r="J2948" t="s">
        <v>94</v>
      </c>
      <c r="K2948">
        <v>9</v>
      </c>
      <c r="L2948">
        <v>17300</v>
      </c>
      <c r="M2948">
        <v>155700</v>
      </c>
      <c r="N2948" t="s">
        <v>108</v>
      </c>
      <c r="O2948" t="s">
        <v>96</v>
      </c>
    </row>
    <row r="2949" spans="1:15" x14ac:dyDescent="0.25">
      <c r="A2949">
        <v>4921</v>
      </c>
      <c r="B2949" s="10">
        <v>45869</v>
      </c>
      <c r="C2949">
        <v>31</v>
      </c>
      <c r="D2949" t="s">
        <v>145</v>
      </c>
      <c r="E2949" t="s">
        <v>112</v>
      </c>
      <c r="F2949" t="s">
        <v>22</v>
      </c>
      <c r="G2949" t="s">
        <v>91</v>
      </c>
      <c r="H2949" t="s">
        <v>29</v>
      </c>
      <c r="I2949" t="s">
        <v>42</v>
      </c>
      <c r="J2949" t="s">
        <v>94</v>
      </c>
      <c r="K2949">
        <v>2</v>
      </c>
      <c r="L2949">
        <v>17300</v>
      </c>
      <c r="M2949">
        <v>34600</v>
      </c>
      <c r="N2949" t="s">
        <v>108</v>
      </c>
      <c r="O2949" t="s">
        <v>96</v>
      </c>
    </row>
    <row r="2950" spans="1:15" x14ac:dyDescent="0.25">
      <c r="A2950">
        <v>4944</v>
      </c>
      <c r="B2950" s="10">
        <v>45695</v>
      </c>
      <c r="C2950">
        <v>7</v>
      </c>
      <c r="D2950" t="s">
        <v>97</v>
      </c>
      <c r="E2950" t="s">
        <v>138</v>
      </c>
      <c r="F2950" t="s">
        <v>141</v>
      </c>
      <c r="G2950" t="s">
        <v>100</v>
      </c>
      <c r="H2950" t="s">
        <v>29</v>
      </c>
      <c r="I2950" t="s">
        <v>30</v>
      </c>
      <c r="J2950" t="s">
        <v>94</v>
      </c>
      <c r="K2950">
        <v>9</v>
      </c>
      <c r="L2950">
        <v>17300</v>
      </c>
      <c r="M2950">
        <v>155700</v>
      </c>
      <c r="N2950" t="s">
        <v>108</v>
      </c>
      <c r="O2950" t="s">
        <v>115</v>
      </c>
    </row>
    <row r="2951" spans="1:15" x14ac:dyDescent="0.25">
      <c r="A2951">
        <v>1210</v>
      </c>
      <c r="B2951" s="10">
        <v>45997</v>
      </c>
      <c r="C2951">
        <v>6</v>
      </c>
      <c r="D2951" t="s">
        <v>125</v>
      </c>
      <c r="E2951" t="s">
        <v>137</v>
      </c>
      <c r="F2951" t="s">
        <v>49</v>
      </c>
      <c r="G2951" t="s">
        <v>118</v>
      </c>
      <c r="H2951" t="s">
        <v>29</v>
      </c>
      <c r="I2951" t="s">
        <v>42</v>
      </c>
      <c r="J2951" t="s">
        <v>94</v>
      </c>
      <c r="K2951">
        <v>2</v>
      </c>
      <c r="L2951">
        <v>17400</v>
      </c>
      <c r="M2951">
        <v>34800</v>
      </c>
      <c r="N2951" t="s">
        <v>95</v>
      </c>
      <c r="O2951" t="s">
        <v>115</v>
      </c>
    </row>
    <row r="2952" spans="1:15" x14ac:dyDescent="0.25">
      <c r="A2952">
        <v>1392</v>
      </c>
      <c r="B2952" s="10">
        <v>45730</v>
      </c>
      <c r="C2952">
        <v>14</v>
      </c>
      <c r="D2952" t="s">
        <v>140</v>
      </c>
      <c r="E2952" t="s">
        <v>116</v>
      </c>
      <c r="F2952" t="s">
        <v>44</v>
      </c>
      <c r="G2952" t="s">
        <v>111</v>
      </c>
      <c r="H2952" t="s">
        <v>29</v>
      </c>
      <c r="I2952" t="s">
        <v>30</v>
      </c>
      <c r="J2952" t="s">
        <v>94</v>
      </c>
      <c r="K2952">
        <v>8</v>
      </c>
      <c r="L2952">
        <v>17400</v>
      </c>
      <c r="M2952">
        <v>139200</v>
      </c>
      <c r="N2952" t="s">
        <v>108</v>
      </c>
      <c r="O2952" t="s">
        <v>104</v>
      </c>
    </row>
    <row r="2953" spans="1:15" x14ac:dyDescent="0.25">
      <c r="A2953">
        <v>2156</v>
      </c>
      <c r="B2953" s="10">
        <v>45903</v>
      </c>
      <c r="C2953">
        <v>3</v>
      </c>
      <c r="D2953" t="s">
        <v>147</v>
      </c>
      <c r="E2953" t="s">
        <v>106</v>
      </c>
      <c r="F2953" t="s">
        <v>151</v>
      </c>
      <c r="G2953" t="s">
        <v>111</v>
      </c>
      <c r="H2953" t="s">
        <v>29</v>
      </c>
      <c r="I2953" t="s">
        <v>30</v>
      </c>
      <c r="J2953" t="s">
        <v>94</v>
      </c>
      <c r="K2953">
        <v>8</v>
      </c>
      <c r="L2953">
        <v>17400</v>
      </c>
      <c r="M2953">
        <v>139200</v>
      </c>
      <c r="N2953" t="s">
        <v>108</v>
      </c>
      <c r="O2953" t="s">
        <v>104</v>
      </c>
    </row>
    <row r="2954" spans="1:15" x14ac:dyDescent="0.25">
      <c r="A2954">
        <v>2194</v>
      </c>
      <c r="B2954" s="10">
        <v>45701</v>
      </c>
      <c r="C2954">
        <v>13</v>
      </c>
      <c r="D2954" t="s">
        <v>97</v>
      </c>
      <c r="E2954" t="s">
        <v>137</v>
      </c>
      <c r="F2954" t="s">
        <v>141</v>
      </c>
      <c r="G2954" t="s">
        <v>100</v>
      </c>
      <c r="H2954" t="s">
        <v>29</v>
      </c>
      <c r="I2954" t="s">
        <v>159</v>
      </c>
      <c r="J2954" t="s">
        <v>103</v>
      </c>
      <c r="K2954">
        <v>23</v>
      </c>
      <c r="L2954">
        <v>17400</v>
      </c>
      <c r="M2954">
        <v>400200</v>
      </c>
      <c r="N2954" t="s">
        <v>108</v>
      </c>
      <c r="O2954" t="s">
        <v>96</v>
      </c>
    </row>
    <row r="2955" spans="1:15" x14ac:dyDescent="0.25">
      <c r="A2955">
        <v>2782</v>
      </c>
      <c r="B2955" s="10">
        <v>45835</v>
      </c>
      <c r="C2955">
        <v>27</v>
      </c>
      <c r="D2955" t="s">
        <v>153</v>
      </c>
      <c r="E2955" t="s">
        <v>142</v>
      </c>
      <c r="F2955" t="s">
        <v>141</v>
      </c>
      <c r="G2955" t="s">
        <v>100</v>
      </c>
      <c r="H2955" t="s">
        <v>29</v>
      </c>
      <c r="I2955" t="s">
        <v>30</v>
      </c>
      <c r="J2955" t="s">
        <v>94</v>
      </c>
      <c r="K2955">
        <v>8</v>
      </c>
      <c r="L2955">
        <v>17400</v>
      </c>
      <c r="M2955">
        <v>139200</v>
      </c>
      <c r="N2955" t="s">
        <v>108</v>
      </c>
      <c r="O2955" t="s">
        <v>104</v>
      </c>
    </row>
    <row r="2956" spans="1:15" x14ac:dyDescent="0.25">
      <c r="A2956">
        <v>3216</v>
      </c>
      <c r="B2956" s="10">
        <v>45730</v>
      </c>
      <c r="C2956">
        <v>14</v>
      </c>
      <c r="D2956" t="s">
        <v>140</v>
      </c>
      <c r="E2956" t="s">
        <v>25</v>
      </c>
      <c r="F2956" t="s">
        <v>36</v>
      </c>
      <c r="G2956" t="s">
        <v>100</v>
      </c>
      <c r="H2956" t="s">
        <v>29</v>
      </c>
      <c r="I2956" t="s">
        <v>42</v>
      </c>
      <c r="J2956" t="s">
        <v>94</v>
      </c>
      <c r="K2956">
        <v>10</v>
      </c>
      <c r="L2956">
        <v>17400</v>
      </c>
      <c r="M2956">
        <v>174000</v>
      </c>
      <c r="N2956" t="s">
        <v>95</v>
      </c>
      <c r="O2956" t="s">
        <v>115</v>
      </c>
    </row>
    <row r="2957" spans="1:15" x14ac:dyDescent="0.25">
      <c r="A2957">
        <v>4302</v>
      </c>
      <c r="B2957" s="10">
        <v>45874</v>
      </c>
      <c r="C2957">
        <v>5</v>
      </c>
      <c r="D2957" t="s">
        <v>109</v>
      </c>
      <c r="E2957" t="s">
        <v>128</v>
      </c>
      <c r="F2957" t="s">
        <v>36</v>
      </c>
      <c r="G2957" t="s">
        <v>100</v>
      </c>
      <c r="H2957" t="s">
        <v>29</v>
      </c>
      <c r="I2957" t="s">
        <v>159</v>
      </c>
      <c r="J2957" t="s">
        <v>103</v>
      </c>
      <c r="K2957">
        <v>25</v>
      </c>
      <c r="L2957">
        <v>17400</v>
      </c>
      <c r="M2957">
        <v>435000</v>
      </c>
      <c r="N2957" t="s">
        <v>108</v>
      </c>
      <c r="O2957" t="s">
        <v>104</v>
      </c>
    </row>
    <row r="2958" spans="1:15" x14ac:dyDescent="0.25">
      <c r="A2958">
        <v>393</v>
      </c>
      <c r="B2958" s="10">
        <v>45919</v>
      </c>
      <c r="C2958">
        <v>19</v>
      </c>
      <c r="D2958" t="s">
        <v>147</v>
      </c>
      <c r="E2958" t="s">
        <v>128</v>
      </c>
      <c r="F2958" t="s">
        <v>49</v>
      </c>
      <c r="G2958" t="s">
        <v>118</v>
      </c>
      <c r="H2958" t="s">
        <v>29</v>
      </c>
      <c r="I2958" t="s">
        <v>159</v>
      </c>
      <c r="J2958" t="s">
        <v>103</v>
      </c>
      <c r="K2958">
        <v>30</v>
      </c>
      <c r="L2958">
        <v>17500</v>
      </c>
      <c r="M2958">
        <v>525000</v>
      </c>
      <c r="N2958" t="s">
        <v>95</v>
      </c>
      <c r="O2958" t="s">
        <v>115</v>
      </c>
    </row>
    <row r="2959" spans="1:15" x14ac:dyDescent="0.25">
      <c r="A2959">
        <v>941</v>
      </c>
      <c r="B2959" s="10">
        <v>45979</v>
      </c>
      <c r="C2959">
        <v>18</v>
      </c>
      <c r="D2959" t="s">
        <v>90</v>
      </c>
      <c r="E2959" t="s">
        <v>161</v>
      </c>
      <c r="F2959" t="s">
        <v>107</v>
      </c>
      <c r="G2959" t="s">
        <v>100</v>
      </c>
      <c r="H2959" t="s">
        <v>29</v>
      </c>
      <c r="I2959" t="s">
        <v>159</v>
      </c>
      <c r="J2959" t="s">
        <v>103</v>
      </c>
      <c r="K2959">
        <v>18</v>
      </c>
      <c r="L2959">
        <v>17500</v>
      </c>
      <c r="M2959">
        <v>315000</v>
      </c>
      <c r="N2959" t="s">
        <v>108</v>
      </c>
      <c r="O2959" t="s">
        <v>115</v>
      </c>
    </row>
    <row r="2960" spans="1:15" x14ac:dyDescent="0.25">
      <c r="A2960">
        <v>1434</v>
      </c>
      <c r="B2960" s="10">
        <v>46006</v>
      </c>
      <c r="C2960">
        <v>15</v>
      </c>
      <c r="D2960" t="s">
        <v>125</v>
      </c>
      <c r="E2960" t="s">
        <v>25</v>
      </c>
      <c r="F2960" t="s">
        <v>122</v>
      </c>
      <c r="G2960" t="s">
        <v>114</v>
      </c>
      <c r="H2960" t="s">
        <v>29</v>
      </c>
      <c r="I2960" t="s">
        <v>30</v>
      </c>
      <c r="J2960" t="s">
        <v>94</v>
      </c>
      <c r="K2960">
        <v>2</v>
      </c>
      <c r="L2960">
        <v>17500</v>
      </c>
      <c r="M2960">
        <v>35000</v>
      </c>
      <c r="N2960" t="s">
        <v>95</v>
      </c>
      <c r="O2960" t="s">
        <v>104</v>
      </c>
    </row>
    <row r="2961" spans="1:15" x14ac:dyDescent="0.25">
      <c r="A2961">
        <v>1472</v>
      </c>
      <c r="B2961" s="10">
        <v>45973</v>
      </c>
      <c r="C2961">
        <v>12</v>
      </c>
      <c r="D2961" t="s">
        <v>90</v>
      </c>
      <c r="E2961" t="s">
        <v>31</v>
      </c>
      <c r="F2961" t="s">
        <v>134</v>
      </c>
      <c r="G2961" t="s">
        <v>100</v>
      </c>
      <c r="H2961" t="s">
        <v>29</v>
      </c>
      <c r="I2961" t="s">
        <v>30</v>
      </c>
      <c r="J2961" t="s">
        <v>94</v>
      </c>
      <c r="K2961">
        <v>3</v>
      </c>
      <c r="L2961">
        <v>17500</v>
      </c>
      <c r="M2961">
        <v>52500</v>
      </c>
      <c r="N2961" t="s">
        <v>95</v>
      </c>
      <c r="O2961" t="s">
        <v>104</v>
      </c>
    </row>
    <row r="2962" spans="1:15" x14ac:dyDescent="0.25">
      <c r="A2962">
        <v>3462</v>
      </c>
      <c r="B2962" s="10">
        <v>45976</v>
      </c>
      <c r="C2962">
        <v>15</v>
      </c>
      <c r="D2962" t="s">
        <v>90</v>
      </c>
      <c r="E2962" t="s">
        <v>112</v>
      </c>
      <c r="F2962" t="s">
        <v>144</v>
      </c>
      <c r="G2962" t="s">
        <v>91</v>
      </c>
      <c r="H2962" t="s">
        <v>29</v>
      </c>
      <c r="I2962" t="s">
        <v>42</v>
      </c>
      <c r="J2962" t="s">
        <v>94</v>
      </c>
      <c r="K2962">
        <v>5</v>
      </c>
      <c r="L2962">
        <v>17500</v>
      </c>
      <c r="M2962">
        <v>87500</v>
      </c>
      <c r="N2962" t="s">
        <v>108</v>
      </c>
      <c r="O2962" t="s">
        <v>96</v>
      </c>
    </row>
    <row r="2963" spans="1:15" x14ac:dyDescent="0.25">
      <c r="A2963">
        <v>3712</v>
      </c>
      <c r="B2963" s="10">
        <v>45949</v>
      </c>
      <c r="C2963">
        <v>19</v>
      </c>
      <c r="D2963" t="s">
        <v>136</v>
      </c>
      <c r="E2963" t="s">
        <v>150</v>
      </c>
      <c r="F2963" t="s">
        <v>49</v>
      </c>
      <c r="G2963" t="s">
        <v>118</v>
      </c>
      <c r="H2963" t="s">
        <v>29</v>
      </c>
      <c r="I2963" t="s">
        <v>159</v>
      </c>
      <c r="J2963" t="s">
        <v>103</v>
      </c>
      <c r="K2963">
        <v>10</v>
      </c>
      <c r="L2963">
        <v>17500</v>
      </c>
      <c r="M2963">
        <v>175000</v>
      </c>
      <c r="N2963" t="s">
        <v>108</v>
      </c>
      <c r="O2963" t="s">
        <v>104</v>
      </c>
    </row>
    <row r="2964" spans="1:15" x14ac:dyDescent="0.25">
      <c r="A2964">
        <v>3938</v>
      </c>
      <c r="B2964" s="10">
        <v>45780</v>
      </c>
      <c r="C2964">
        <v>3</v>
      </c>
      <c r="D2964" t="s">
        <v>120</v>
      </c>
      <c r="E2964" t="s">
        <v>150</v>
      </c>
      <c r="F2964" t="s">
        <v>28</v>
      </c>
      <c r="G2964" t="s">
        <v>126</v>
      </c>
      <c r="H2964" t="s">
        <v>29</v>
      </c>
      <c r="I2964" t="s">
        <v>159</v>
      </c>
      <c r="J2964" t="s">
        <v>103</v>
      </c>
      <c r="K2964">
        <v>16</v>
      </c>
      <c r="L2964">
        <v>17500</v>
      </c>
      <c r="M2964">
        <v>280000</v>
      </c>
      <c r="N2964" t="s">
        <v>95</v>
      </c>
      <c r="O2964" t="s">
        <v>96</v>
      </c>
    </row>
    <row r="2965" spans="1:15" x14ac:dyDescent="0.25">
      <c r="A2965">
        <v>4663</v>
      </c>
      <c r="B2965" s="10">
        <v>45797</v>
      </c>
      <c r="C2965">
        <v>20</v>
      </c>
      <c r="D2965" t="s">
        <v>120</v>
      </c>
      <c r="E2965" t="s">
        <v>128</v>
      </c>
      <c r="F2965" t="s">
        <v>141</v>
      </c>
      <c r="G2965" t="s">
        <v>100</v>
      </c>
      <c r="H2965" t="s">
        <v>29</v>
      </c>
      <c r="I2965" t="s">
        <v>30</v>
      </c>
      <c r="J2965" t="s">
        <v>94</v>
      </c>
      <c r="K2965">
        <v>5</v>
      </c>
      <c r="L2965">
        <v>17500</v>
      </c>
      <c r="M2965">
        <v>87500</v>
      </c>
      <c r="N2965" t="s">
        <v>95</v>
      </c>
      <c r="O2965" t="s">
        <v>104</v>
      </c>
    </row>
    <row r="2966" spans="1:15" x14ac:dyDescent="0.25">
      <c r="A2966">
        <v>4761</v>
      </c>
      <c r="B2966" s="10">
        <v>45951</v>
      </c>
      <c r="C2966">
        <v>21</v>
      </c>
      <c r="D2966" t="s">
        <v>136</v>
      </c>
      <c r="E2966" t="s">
        <v>112</v>
      </c>
      <c r="F2966" t="s">
        <v>44</v>
      </c>
      <c r="G2966" t="s">
        <v>111</v>
      </c>
      <c r="H2966" t="s">
        <v>29</v>
      </c>
      <c r="I2966" t="s">
        <v>159</v>
      </c>
      <c r="J2966" t="s">
        <v>103</v>
      </c>
      <c r="K2966">
        <v>22</v>
      </c>
      <c r="L2966">
        <v>17500</v>
      </c>
      <c r="M2966">
        <v>385000</v>
      </c>
      <c r="N2966" t="s">
        <v>95</v>
      </c>
      <c r="O2966" t="s">
        <v>104</v>
      </c>
    </row>
    <row r="2967" spans="1:15" x14ac:dyDescent="0.25">
      <c r="A2967">
        <v>4929</v>
      </c>
      <c r="B2967" s="10">
        <v>45859</v>
      </c>
      <c r="C2967">
        <v>21</v>
      </c>
      <c r="D2967" t="s">
        <v>145</v>
      </c>
      <c r="E2967" t="s">
        <v>138</v>
      </c>
      <c r="F2967" t="s">
        <v>151</v>
      </c>
      <c r="G2967" t="s">
        <v>111</v>
      </c>
      <c r="H2967" t="s">
        <v>29</v>
      </c>
      <c r="I2967" t="s">
        <v>159</v>
      </c>
      <c r="J2967" t="s">
        <v>103</v>
      </c>
      <c r="K2967">
        <v>26</v>
      </c>
      <c r="L2967">
        <v>17500</v>
      </c>
      <c r="M2967">
        <v>455000</v>
      </c>
      <c r="N2967" t="s">
        <v>95</v>
      </c>
      <c r="O2967" t="s">
        <v>96</v>
      </c>
    </row>
    <row r="2968" spans="1:15" x14ac:dyDescent="0.25">
      <c r="A2968">
        <v>269</v>
      </c>
      <c r="B2968" s="10">
        <v>45929</v>
      </c>
      <c r="C2968">
        <v>29</v>
      </c>
      <c r="D2968" t="s">
        <v>147</v>
      </c>
      <c r="E2968" t="s">
        <v>106</v>
      </c>
      <c r="F2968" t="s">
        <v>122</v>
      </c>
      <c r="G2968" t="s">
        <v>114</v>
      </c>
      <c r="H2968" t="s">
        <v>29</v>
      </c>
      <c r="I2968" t="s">
        <v>30</v>
      </c>
      <c r="J2968" t="s">
        <v>94</v>
      </c>
      <c r="K2968">
        <v>7</v>
      </c>
      <c r="L2968">
        <v>17600</v>
      </c>
      <c r="M2968">
        <v>123200</v>
      </c>
      <c r="N2968" t="s">
        <v>108</v>
      </c>
      <c r="O2968" t="s">
        <v>96</v>
      </c>
    </row>
    <row r="2969" spans="1:15" x14ac:dyDescent="0.25">
      <c r="A2969">
        <v>1069</v>
      </c>
      <c r="B2969" s="10">
        <v>45975</v>
      </c>
      <c r="C2969">
        <v>14</v>
      </c>
      <c r="D2969" t="s">
        <v>90</v>
      </c>
      <c r="E2969" t="s">
        <v>116</v>
      </c>
      <c r="F2969" t="s">
        <v>122</v>
      </c>
      <c r="G2969" t="s">
        <v>114</v>
      </c>
      <c r="H2969" t="s">
        <v>29</v>
      </c>
      <c r="I2969" t="s">
        <v>30</v>
      </c>
      <c r="J2969" t="s">
        <v>94</v>
      </c>
      <c r="K2969">
        <v>8</v>
      </c>
      <c r="L2969">
        <v>17600</v>
      </c>
      <c r="M2969">
        <v>140800</v>
      </c>
      <c r="N2969" t="s">
        <v>108</v>
      </c>
      <c r="O2969" t="s">
        <v>96</v>
      </c>
    </row>
    <row r="2970" spans="1:15" x14ac:dyDescent="0.25">
      <c r="A2970">
        <v>1889</v>
      </c>
      <c r="B2970" s="10">
        <v>45801</v>
      </c>
      <c r="C2970">
        <v>24</v>
      </c>
      <c r="D2970" t="s">
        <v>120</v>
      </c>
      <c r="E2970" t="s">
        <v>161</v>
      </c>
      <c r="F2970" t="s">
        <v>141</v>
      </c>
      <c r="G2970" t="s">
        <v>100</v>
      </c>
      <c r="H2970" t="s">
        <v>29</v>
      </c>
      <c r="I2970" t="s">
        <v>30</v>
      </c>
      <c r="J2970" t="s">
        <v>94</v>
      </c>
      <c r="K2970">
        <v>8</v>
      </c>
      <c r="L2970">
        <v>17600</v>
      </c>
      <c r="M2970">
        <v>140800</v>
      </c>
      <c r="N2970" t="s">
        <v>95</v>
      </c>
      <c r="O2970" t="s">
        <v>104</v>
      </c>
    </row>
    <row r="2971" spans="1:15" x14ac:dyDescent="0.25">
      <c r="A2971">
        <v>2258</v>
      </c>
      <c r="B2971" s="10">
        <v>45742</v>
      </c>
      <c r="C2971">
        <v>26</v>
      </c>
      <c r="D2971" t="s">
        <v>140</v>
      </c>
      <c r="E2971" t="s">
        <v>133</v>
      </c>
      <c r="F2971" t="s">
        <v>117</v>
      </c>
      <c r="G2971" t="s">
        <v>118</v>
      </c>
      <c r="H2971" t="s">
        <v>29</v>
      </c>
      <c r="I2971" t="s">
        <v>30</v>
      </c>
      <c r="J2971" t="s">
        <v>94</v>
      </c>
      <c r="K2971">
        <v>9</v>
      </c>
      <c r="L2971">
        <v>17600</v>
      </c>
      <c r="M2971">
        <v>158400</v>
      </c>
      <c r="N2971" t="s">
        <v>108</v>
      </c>
      <c r="O2971" t="s">
        <v>96</v>
      </c>
    </row>
    <row r="2972" spans="1:15" x14ac:dyDescent="0.25">
      <c r="A2972">
        <v>4075</v>
      </c>
      <c r="B2972" s="10">
        <v>45908</v>
      </c>
      <c r="C2972">
        <v>8</v>
      </c>
      <c r="D2972" t="s">
        <v>147</v>
      </c>
      <c r="E2972" t="s">
        <v>128</v>
      </c>
      <c r="F2972" t="s">
        <v>134</v>
      </c>
      <c r="G2972" t="s">
        <v>100</v>
      </c>
      <c r="H2972" t="s">
        <v>29</v>
      </c>
      <c r="I2972" t="s">
        <v>30</v>
      </c>
      <c r="J2972" t="s">
        <v>94</v>
      </c>
      <c r="K2972">
        <v>2</v>
      </c>
      <c r="L2972">
        <v>17600</v>
      </c>
      <c r="M2972">
        <v>35200</v>
      </c>
      <c r="N2972" t="s">
        <v>95</v>
      </c>
      <c r="O2972" t="s">
        <v>96</v>
      </c>
    </row>
    <row r="2973" spans="1:15" x14ac:dyDescent="0.25">
      <c r="A2973">
        <v>280</v>
      </c>
      <c r="B2973" s="10">
        <v>45992</v>
      </c>
      <c r="C2973">
        <v>1</v>
      </c>
      <c r="D2973" t="s">
        <v>125</v>
      </c>
      <c r="E2973" t="s">
        <v>150</v>
      </c>
      <c r="F2973" t="s">
        <v>99</v>
      </c>
      <c r="G2973" t="s">
        <v>100</v>
      </c>
      <c r="H2973" t="s">
        <v>29</v>
      </c>
      <c r="I2973" t="s">
        <v>30</v>
      </c>
      <c r="J2973" t="s">
        <v>94</v>
      </c>
      <c r="K2973">
        <v>8</v>
      </c>
      <c r="L2973">
        <v>17700</v>
      </c>
      <c r="M2973">
        <v>141600</v>
      </c>
      <c r="N2973" t="s">
        <v>108</v>
      </c>
      <c r="O2973" t="s">
        <v>104</v>
      </c>
    </row>
    <row r="2974" spans="1:15" x14ac:dyDescent="0.25">
      <c r="A2974">
        <v>479</v>
      </c>
      <c r="B2974" s="10">
        <v>45734</v>
      </c>
      <c r="C2974">
        <v>18</v>
      </c>
      <c r="D2974" t="s">
        <v>140</v>
      </c>
      <c r="E2974" t="s">
        <v>137</v>
      </c>
      <c r="F2974" t="s">
        <v>117</v>
      </c>
      <c r="G2974" t="s">
        <v>118</v>
      </c>
      <c r="H2974" t="s">
        <v>29</v>
      </c>
      <c r="I2974" t="s">
        <v>30</v>
      </c>
      <c r="J2974" t="s">
        <v>103</v>
      </c>
      <c r="K2974">
        <v>47</v>
      </c>
      <c r="L2974">
        <v>17700</v>
      </c>
      <c r="M2974">
        <v>831900</v>
      </c>
      <c r="N2974" t="s">
        <v>108</v>
      </c>
      <c r="O2974" t="s">
        <v>96</v>
      </c>
    </row>
    <row r="2975" spans="1:15" x14ac:dyDescent="0.25">
      <c r="A2975">
        <v>2182</v>
      </c>
      <c r="B2975" s="10">
        <v>45819</v>
      </c>
      <c r="C2975">
        <v>11</v>
      </c>
      <c r="D2975" t="s">
        <v>153</v>
      </c>
      <c r="E2975" t="s">
        <v>116</v>
      </c>
      <c r="F2975" t="s">
        <v>148</v>
      </c>
      <c r="G2975" t="s">
        <v>118</v>
      </c>
      <c r="H2975" t="s">
        <v>29</v>
      </c>
      <c r="I2975" t="s">
        <v>30</v>
      </c>
      <c r="J2975" t="s">
        <v>94</v>
      </c>
      <c r="K2975">
        <v>7</v>
      </c>
      <c r="L2975">
        <v>17700</v>
      </c>
      <c r="M2975">
        <v>123900</v>
      </c>
      <c r="N2975" t="s">
        <v>108</v>
      </c>
      <c r="O2975" t="s">
        <v>115</v>
      </c>
    </row>
    <row r="2976" spans="1:15" x14ac:dyDescent="0.25">
      <c r="A2976">
        <v>2331</v>
      </c>
      <c r="B2976" s="10">
        <v>45807</v>
      </c>
      <c r="C2976">
        <v>30</v>
      </c>
      <c r="D2976" t="s">
        <v>120</v>
      </c>
      <c r="E2976" t="s">
        <v>98</v>
      </c>
      <c r="F2976" t="s">
        <v>134</v>
      </c>
      <c r="G2976" t="s">
        <v>100</v>
      </c>
      <c r="H2976" t="s">
        <v>29</v>
      </c>
      <c r="I2976" t="s">
        <v>30</v>
      </c>
      <c r="J2976" t="s">
        <v>94</v>
      </c>
      <c r="K2976">
        <v>6</v>
      </c>
      <c r="L2976">
        <v>17700</v>
      </c>
      <c r="M2976">
        <v>106200</v>
      </c>
      <c r="N2976" t="s">
        <v>95</v>
      </c>
      <c r="O2976" t="s">
        <v>115</v>
      </c>
    </row>
    <row r="2977" spans="1:15" x14ac:dyDescent="0.25">
      <c r="A2977">
        <v>2645</v>
      </c>
      <c r="B2977" s="10">
        <v>45906</v>
      </c>
      <c r="C2977">
        <v>6</v>
      </c>
      <c r="D2977" t="s">
        <v>147</v>
      </c>
      <c r="E2977" t="s">
        <v>98</v>
      </c>
      <c r="F2977" t="s">
        <v>113</v>
      </c>
      <c r="G2977" t="s">
        <v>114</v>
      </c>
      <c r="H2977" t="s">
        <v>29</v>
      </c>
      <c r="I2977" t="s">
        <v>159</v>
      </c>
      <c r="J2977" t="s">
        <v>103</v>
      </c>
      <c r="K2977">
        <v>12</v>
      </c>
      <c r="L2977">
        <v>17700</v>
      </c>
      <c r="M2977">
        <v>212400</v>
      </c>
      <c r="N2977" t="s">
        <v>108</v>
      </c>
      <c r="O2977" t="s">
        <v>104</v>
      </c>
    </row>
    <row r="2978" spans="1:15" x14ac:dyDescent="0.25">
      <c r="A2978">
        <v>2683</v>
      </c>
      <c r="B2978" s="10">
        <v>45725</v>
      </c>
      <c r="C2978">
        <v>9</v>
      </c>
      <c r="D2978" t="s">
        <v>140</v>
      </c>
      <c r="E2978" t="s">
        <v>121</v>
      </c>
      <c r="F2978" t="s">
        <v>117</v>
      </c>
      <c r="G2978" t="s">
        <v>118</v>
      </c>
      <c r="H2978" t="s">
        <v>29</v>
      </c>
      <c r="I2978" t="s">
        <v>30</v>
      </c>
      <c r="J2978" t="s">
        <v>94</v>
      </c>
      <c r="K2978">
        <v>1</v>
      </c>
      <c r="L2978">
        <v>17700</v>
      </c>
      <c r="M2978">
        <v>17700</v>
      </c>
      <c r="N2978" t="s">
        <v>95</v>
      </c>
      <c r="O2978" t="s">
        <v>115</v>
      </c>
    </row>
    <row r="2979" spans="1:15" x14ac:dyDescent="0.25">
      <c r="A2979">
        <v>3923</v>
      </c>
      <c r="B2979" s="10">
        <v>45985</v>
      </c>
      <c r="C2979">
        <v>24</v>
      </c>
      <c r="D2979" t="s">
        <v>90</v>
      </c>
      <c r="E2979" t="s">
        <v>112</v>
      </c>
      <c r="F2979" t="s">
        <v>151</v>
      </c>
      <c r="G2979" t="s">
        <v>111</v>
      </c>
      <c r="H2979" t="s">
        <v>29</v>
      </c>
      <c r="I2979" t="s">
        <v>30</v>
      </c>
      <c r="J2979" t="s">
        <v>94</v>
      </c>
      <c r="K2979">
        <v>4</v>
      </c>
      <c r="L2979">
        <v>17700</v>
      </c>
      <c r="M2979">
        <v>70800</v>
      </c>
      <c r="N2979" t="s">
        <v>95</v>
      </c>
      <c r="O2979" t="s">
        <v>115</v>
      </c>
    </row>
    <row r="2980" spans="1:15" x14ac:dyDescent="0.25">
      <c r="A2980">
        <v>3972</v>
      </c>
      <c r="B2980" s="10">
        <v>45721</v>
      </c>
      <c r="C2980">
        <v>5</v>
      </c>
      <c r="D2980" t="s">
        <v>140</v>
      </c>
      <c r="E2980" t="s">
        <v>31</v>
      </c>
      <c r="F2980" t="s">
        <v>134</v>
      </c>
      <c r="G2980" t="s">
        <v>100</v>
      </c>
      <c r="H2980" t="s">
        <v>29</v>
      </c>
      <c r="I2980" t="s">
        <v>159</v>
      </c>
      <c r="J2980" t="s">
        <v>103</v>
      </c>
      <c r="K2980">
        <v>10</v>
      </c>
      <c r="L2980">
        <v>17700</v>
      </c>
      <c r="M2980">
        <v>177000</v>
      </c>
      <c r="N2980" t="s">
        <v>108</v>
      </c>
      <c r="O2980" t="s">
        <v>96</v>
      </c>
    </row>
    <row r="2981" spans="1:15" x14ac:dyDescent="0.25">
      <c r="A2981">
        <v>4167</v>
      </c>
      <c r="B2981" s="10">
        <v>45995</v>
      </c>
      <c r="C2981">
        <v>4</v>
      </c>
      <c r="D2981" t="s">
        <v>125</v>
      </c>
      <c r="E2981" t="s">
        <v>128</v>
      </c>
      <c r="F2981" t="s">
        <v>36</v>
      </c>
      <c r="G2981" t="s">
        <v>100</v>
      </c>
      <c r="H2981" t="s">
        <v>29</v>
      </c>
      <c r="I2981" t="s">
        <v>30</v>
      </c>
      <c r="J2981" t="s">
        <v>94</v>
      </c>
      <c r="K2981">
        <v>4</v>
      </c>
      <c r="L2981">
        <v>17700</v>
      </c>
      <c r="M2981">
        <v>70800</v>
      </c>
      <c r="N2981" t="s">
        <v>108</v>
      </c>
      <c r="O2981" t="s">
        <v>96</v>
      </c>
    </row>
    <row r="2982" spans="1:15" x14ac:dyDescent="0.25">
      <c r="A2982">
        <v>206</v>
      </c>
      <c r="B2982" s="10">
        <v>45667</v>
      </c>
      <c r="C2982">
        <v>10</v>
      </c>
      <c r="D2982" t="s">
        <v>130</v>
      </c>
      <c r="E2982" t="s">
        <v>116</v>
      </c>
      <c r="F2982" t="s">
        <v>49</v>
      </c>
      <c r="G2982" t="s">
        <v>118</v>
      </c>
      <c r="H2982" t="s">
        <v>29</v>
      </c>
      <c r="I2982" t="s">
        <v>159</v>
      </c>
      <c r="J2982" t="s">
        <v>103</v>
      </c>
      <c r="K2982">
        <v>12</v>
      </c>
      <c r="L2982">
        <v>17800</v>
      </c>
      <c r="M2982">
        <v>213600</v>
      </c>
      <c r="N2982" t="s">
        <v>108</v>
      </c>
      <c r="O2982" t="s">
        <v>104</v>
      </c>
    </row>
    <row r="2983" spans="1:15" x14ac:dyDescent="0.25">
      <c r="A2983">
        <v>598</v>
      </c>
      <c r="B2983" s="10">
        <v>46016</v>
      </c>
      <c r="C2983">
        <v>25</v>
      </c>
      <c r="D2983" t="s">
        <v>125</v>
      </c>
      <c r="E2983" t="s">
        <v>138</v>
      </c>
      <c r="F2983" t="s">
        <v>28</v>
      </c>
      <c r="G2983" t="s">
        <v>126</v>
      </c>
      <c r="H2983" t="s">
        <v>29</v>
      </c>
      <c r="I2983" t="s">
        <v>159</v>
      </c>
      <c r="J2983" t="s">
        <v>103</v>
      </c>
      <c r="K2983">
        <v>26</v>
      </c>
      <c r="L2983">
        <v>17800</v>
      </c>
      <c r="M2983">
        <v>462800</v>
      </c>
      <c r="N2983" t="s">
        <v>95</v>
      </c>
      <c r="O2983" t="s">
        <v>104</v>
      </c>
    </row>
    <row r="2984" spans="1:15" x14ac:dyDescent="0.25">
      <c r="A2984">
        <v>897</v>
      </c>
      <c r="B2984" s="10">
        <v>45931</v>
      </c>
      <c r="C2984">
        <v>1</v>
      </c>
      <c r="D2984" t="s">
        <v>136</v>
      </c>
      <c r="E2984" t="s">
        <v>110</v>
      </c>
      <c r="F2984" t="s">
        <v>113</v>
      </c>
      <c r="G2984" t="s">
        <v>114</v>
      </c>
      <c r="H2984" t="s">
        <v>29</v>
      </c>
      <c r="I2984" t="s">
        <v>30</v>
      </c>
      <c r="J2984" t="s">
        <v>94</v>
      </c>
      <c r="K2984">
        <v>9</v>
      </c>
      <c r="L2984">
        <v>17800</v>
      </c>
      <c r="M2984">
        <v>160200</v>
      </c>
      <c r="N2984" t="s">
        <v>108</v>
      </c>
      <c r="O2984" t="s">
        <v>115</v>
      </c>
    </row>
    <row r="2985" spans="1:15" x14ac:dyDescent="0.25">
      <c r="A2985">
        <v>1111</v>
      </c>
      <c r="B2985" s="10">
        <v>45941</v>
      </c>
      <c r="C2985">
        <v>11</v>
      </c>
      <c r="D2985" t="s">
        <v>136</v>
      </c>
      <c r="E2985" t="s">
        <v>106</v>
      </c>
      <c r="F2985" t="s">
        <v>36</v>
      </c>
      <c r="G2985" t="s">
        <v>100</v>
      </c>
      <c r="H2985" t="s">
        <v>29</v>
      </c>
      <c r="I2985" t="s">
        <v>30</v>
      </c>
      <c r="J2985" t="s">
        <v>94</v>
      </c>
      <c r="K2985">
        <v>5</v>
      </c>
      <c r="L2985">
        <v>17800</v>
      </c>
      <c r="M2985">
        <v>89000</v>
      </c>
      <c r="N2985" t="s">
        <v>95</v>
      </c>
      <c r="O2985" t="s">
        <v>104</v>
      </c>
    </row>
    <row r="2986" spans="1:15" x14ac:dyDescent="0.25">
      <c r="A2986">
        <v>1162</v>
      </c>
      <c r="B2986" s="10">
        <v>45860</v>
      </c>
      <c r="C2986">
        <v>22</v>
      </c>
      <c r="D2986" t="s">
        <v>145</v>
      </c>
      <c r="E2986" t="s">
        <v>142</v>
      </c>
      <c r="F2986" t="s">
        <v>28</v>
      </c>
      <c r="G2986" t="s">
        <v>126</v>
      </c>
      <c r="H2986" t="s">
        <v>29</v>
      </c>
      <c r="I2986" t="s">
        <v>42</v>
      </c>
      <c r="J2986" t="s">
        <v>94</v>
      </c>
      <c r="K2986">
        <v>6</v>
      </c>
      <c r="L2986">
        <v>17800</v>
      </c>
      <c r="M2986">
        <v>106800</v>
      </c>
      <c r="N2986" t="s">
        <v>108</v>
      </c>
      <c r="O2986" t="s">
        <v>104</v>
      </c>
    </row>
    <row r="2987" spans="1:15" x14ac:dyDescent="0.25">
      <c r="A2987">
        <v>2032</v>
      </c>
      <c r="B2987" s="10">
        <v>45878</v>
      </c>
      <c r="C2987">
        <v>9</v>
      </c>
      <c r="D2987" t="s">
        <v>109</v>
      </c>
      <c r="E2987" t="s">
        <v>106</v>
      </c>
      <c r="F2987" t="s">
        <v>49</v>
      </c>
      <c r="G2987" t="s">
        <v>118</v>
      </c>
      <c r="H2987" t="s">
        <v>29</v>
      </c>
      <c r="I2987" t="s">
        <v>159</v>
      </c>
      <c r="J2987" t="s">
        <v>103</v>
      </c>
      <c r="K2987">
        <v>40</v>
      </c>
      <c r="L2987">
        <v>17800</v>
      </c>
      <c r="M2987">
        <v>712000</v>
      </c>
      <c r="N2987" t="s">
        <v>108</v>
      </c>
      <c r="O2987" t="s">
        <v>104</v>
      </c>
    </row>
    <row r="2988" spans="1:15" x14ac:dyDescent="0.25">
      <c r="A2988">
        <v>3617</v>
      </c>
      <c r="B2988" s="10">
        <v>45668</v>
      </c>
      <c r="C2988">
        <v>11</v>
      </c>
      <c r="D2988" t="s">
        <v>130</v>
      </c>
      <c r="E2988" t="s">
        <v>112</v>
      </c>
      <c r="F2988" t="s">
        <v>141</v>
      </c>
      <c r="G2988" t="s">
        <v>100</v>
      </c>
      <c r="H2988" t="s">
        <v>29</v>
      </c>
      <c r="I2988" t="s">
        <v>159</v>
      </c>
      <c r="J2988" t="s">
        <v>103</v>
      </c>
      <c r="K2988">
        <v>9</v>
      </c>
      <c r="L2988">
        <v>17800</v>
      </c>
      <c r="M2988">
        <v>160200</v>
      </c>
      <c r="N2988" t="s">
        <v>108</v>
      </c>
      <c r="O2988" t="s">
        <v>96</v>
      </c>
    </row>
    <row r="2989" spans="1:15" x14ac:dyDescent="0.25">
      <c r="A2989">
        <v>3831</v>
      </c>
      <c r="B2989" s="10">
        <v>45929</v>
      </c>
      <c r="C2989">
        <v>29</v>
      </c>
      <c r="D2989" t="s">
        <v>147</v>
      </c>
      <c r="E2989" t="s">
        <v>110</v>
      </c>
      <c r="F2989" t="s">
        <v>134</v>
      </c>
      <c r="G2989" t="s">
        <v>100</v>
      </c>
      <c r="H2989" t="s">
        <v>29</v>
      </c>
      <c r="I2989" t="s">
        <v>30</v>
      </c>
      <c r="J2989" t="s">
        <v>94</v>
      </c>
      <c r="K2989">
        <v>10</v>
      </c>
      <c r="L2989">
        <v>17800</v>
      </c>
      <c r="M2989">
        <v>178000</v>
      </c>
      <c r="N2989" t="s">
        <v>95</v>
      </c>
      <c r="O2989" t="s">
        <v>115</v>
      </c>
    </row>
    <row r="2990" spans="1:15" x14ac:dyDescent="0.25">
      <c r="A2990">
        <v>4942</v>
      </c>
      <c r="B2990" s="10">
        <v>46014</v>
      </c>
      <c r="C2990">
        <v>23</v>
      </c>
      <c r="D2990" t="s">
        <v>125</v>
      </c>
      <c r="E2990" t="s">
        <v>128</v>
      </c>
      <c r="F2990" t="s">
        <v>148</v>
      </c>
      <c r="G2990" t="s">
        <v>118</v>
      </c>
      <c r="H2990" t="s">
        <v>29</v>
      </c>
      <c r="I2990" t="s">
        <v>30</v>
      </c>
      <c r="J2990" t="s">
        <v>94</v>
      </c>
      <c r="K2990">
        <v>3</v>
      </c>
      <c r="L2990">
        <v>17800</v>
      </c>
      <c r="M2990">
        <v>53400</v>
      </c>
      <c r="N2990" t="s">
        <v>108</v>
      </c>
      <c r="O2990" t="s">
        <v>104</v>
      </c>
    </row>
    <row r="2991" spans="1:15" x14ac:dyDescent="0.25">
      <c r="A2991">
        <v>2112</v>
      </c>
      <c r="B2991" s="10">
        <v>45793</v>
      </c>
      <c r="C2991">
        <v>16</v>
      </c>
      <c r="D2991" t="s">
        <v>120</v>
      </c>
      <c r="E2991" t="s">
        <v>25</v>
      </c>
      <c r="F2991" t="s">
        <v>107</v>
      </c>
      <c r="G2991" t="s">
        <v>100</v>
      </c>
      <c r="H2991" t="s">
        <v>29</v>
      </c>
      <c r="I2991" t="s">
        <v>30</v>
      </c>
      <c r="J2991" t="s">
        <v>94</v>
      </c>
      <c r="K2991">
        <v>8</v>
      </c>
      <c r="L2991">
        <v>17900</v>
      </c>
      <c r="M2991">
        <v>143200</v>
      </c>
      <c r="N2991" t="s">
        <v>95</v>
      </c>
      <c r="O2991" t="s">
        <v>115</v>
      </c>
    </row>
    <row r="2992" spans="1:15" x14ac:dyDescent="0.25">
      <c r="A2992">
        <v>3099</v>
      </c>
      <c r="B2992" s="10">
        <v>45865</v>
      </c>
      <c r="C2992">
        <v>27</v>
      </c>
      <c r="D2992" t="s">
        <v>145</v>
      </c>
      <c r="E2992" t="s">
        <v>110</v>
      </c>
      <c r="F2992" t="s">
        <v>44</v>
      </c>
      <c r="G2992" t="s">
        <v>111</v>
      </c>
      <c r="H2992" t="s">
        <v>29</v>
      </c>
      <c r="I2992" t="s">
        <v>30</v>
      </c>
      <c r="J2992" t="s">
        <v>94</v>
      </c>
      <c r="K2992">
        <v>10</v>
      </c>
      <c r="L2992">
        <v>17900</v>
      </c>
      <c r="M2992">
        <v>179000</v>
      </c>
      <c r="N2992" t="s">
        <v>95</v>
      </c>
      <c r="O2992" t="s">
        <v>104</v>
      </c>
    </row>
    <row r="2993" spans="1:15" x14ac:dyDescent="0.25">
      <c r="A2993">
        <v>3957</v>
      </c>
      <c r="B2993" s="10">
        <v>45831</v>
      </c>
      <c r="C2993">
        <v>23</v>
      </c>
      <c r="D2993" t="s">
        <v>153</v>
      </c>
      <c r="E2993" t="s">
        <v>98</v>
      </c>
      <c r="F2993" t="s">
        <v>28</v>
      </c>
      <c r="G2993" t="s">
        <v>126</v>
      </c>
      <c r="H2993" t="s">
        <v>29</v>
      </c>
      <c r="I2993" t="s">
        <v>30</v>
      </c>
      <c r="J2993" t="s">
        <v>94</v>
      </c>
      <c r="K2993">
        <v>3</v>
      </c>
      <c r="L2993">
        <v>17900</v>
      </c>
      <c r="M2993">
        <v>53700</v>
      </c>
      <c r="N2993" t="s">
        <v>95</v>
      </c>
      <c r="O2993" t="s">
        <v>104</v>
      </c>
    </row>
    <row r="2994" spans="1:15" x14ac:dyDescent="0.25">
      <c r="A2994">
        <v>4135</v>
      </c>
      <c r="B2994" s="10">
        <v>45752</v>
      </c>
      <c r="C2994">
        <v>5</v>
      </c>
      <c r="D2994" t="s">
        <v>105</v>
      </c>
      <c r="E2994" t="s">
        <v>25</v>
      </c>
      <c r="F2994" t="s">
        <v>151</v>
      </c>
      <c r="G2994" t="s">
        <v>111</v>
      </c>
      <c r="H2994" t="s">
        <v>29</v>
      </c>
      <c r="I2994" t="s">
        <v>30</v>
      </c>
      <c r="J2994" t="s">
        <v>94</v>
      </c>
      <c r="K2994">
        <v>10</v>
      </c>
      <c r="L2994">
        <v>17900</v>
      </c>
      <c r="M2994">
        <v>179000</v>
      </c>
      <c r="N2994" t="s">
        <v>108</v>
      </c>
      <c r="O2994" t="s">
        <v>104</v>
      </c>
    </row>
    <row r="2995" spans="1:15" x14ac:dyDescent="0.25">
      <c r="A2995">
        <v>4825</v>
      </c>
      <c r="B2995" s="10">
        <v>45968</v>
      </c>
      <c r="C2995">
        <v>7</v>
      </c>
      <c r="D2995" t="s">
        <v>90</v>
      </c>
      <c r="E2995" t="s">
        <v>121</v>
      </c>
      <c r="F2995" t="s">
        <v>49</v>
      </c>
      <c r="G2995" t="s">
        <v>118</v>
      </c>
      <c r="H2995" t="s">
        <v>29</v>
      </c>
      <c r="I2995" t="s">
        <v>30</v>
      </c>
      <c r="J2995" t="s">
        <v>94</v>
      </c>
      <c r="K2995">
        <v>9</v>
      </c>
      <c r="L2995">
        <v>17900</v>
      </c>
      <c r="M2995">
        <v>161100</v>
      </c>
      <c r="N2995" t="s">
        <v>108</v>
      </c>
      <c r="O2995" t="s">
        <v>104</v>
      </c>
    </row>
    <row r="2996" spans="1:15" x14ac:dyDescent="0.25">
      <c r="A2996">
        <v>370</v>
      </c>
      <c r="B2996" s="10">
        <v>46004</v>
      </c>
      <c r="C2996">
        <v>13</v>
      </c>
      <c r="D2996" t="s">
        <v>125</v>
      </c>
      <c r="E2996" t="s">
        <v>142</v>
      </c>
      <c r="F2996" t="s">
        <v>151</v>
      </c>
      <c r="G2996" t="s">
        <v>111</v>
      </c>
      <c r="H2996" t="s">
        <v>29</v>
      </c>
      <c r="I2996" t="s">
        <v>159</v>
      </c>
      <c r="J2996" t="s">
        <v>103</v>
      </c>
      <c r="K2996">
        <v>45</v>
      </c>
      <c r="L2996">
        <v>18000</v>
      </c>
      <c r="M2996">
        <v>810000</v>
      </c>
      <c r="N2996" t="s">
        <v>108</v>
      </c>
      <c r="O2996" t="s">
        <v>115</v>
      </c>
    </row>
    <row r="2997" spans="1:15" x14ac:dyDescent="0.25">
      <c r="A2997">
        <v>1600</v>
      </c>
      <c r="B2997" s="10">
        <v>45806</v>
      </c>
      <c r="C2997">
        <v>29</v>
      </c>
      <c r="D2997" t="s">
        <v>120</v>
      </c>
      <c r="E2997" t="s">
        <v>137</v>
      </c>
      <c r="F2997" t="s">
        <v>122</v>
      </c>
      <c r="G2997" t="s">
        <v>114</v>
      </c>
      <c r="H2997" t="s">
        <v>29</v>
      </c>
      <c r="I2997" t="s">
        <v>159</v>
      </c>
      <c r="J2997" t="s">
        <v>103</v>
      </c>
      <c r="K2997">
        <v>38</v>
      </c>
      <c r="L2997">
        <v>18000</v>
      </c>
      <c r="M2997">
        <v>684000</v>
      </c>
      <c r="N2997" t="s">
        <v>108</v>
      </c>
      <c r="O2997" t="s">
        <v>115</v>
      </c>
    </row>
    <row r="2998" spans="1:15" x14ac:dyDescent="0.25">
      <c r="A2998">
        <v>2488</v>
      </c>
      <c r="B2998" s="10">
        <v>45665</v>
      </c>
      <c r="C2998">
        <v>8</v>
      </c>
      <c r="D2998" t="s">
        <v>130</v>
      </c>
      <c r="E2998" t="s">
        <v>138</v>
      </c>
      <c r="F2998" t="s">
        <v>49</v>
      </c>
      <c r="G2998" t="s">
        <v>118</v>
      </c>
      <c r="H2998" t="s">
        <v>29</v>
      </c>
      <c r="I2998" t="s">
        <v>30</v>
      </c>
      <c r="J2998" t="s">
        <v>94</v>
      </c>
      <c r="K2998">
        <v>2</v>
      </c>
      <c r="L2998">
        <v>18000</v>
      </c>
      <c r="M2998">
        <v>36000</v>
      </c>
      <c r="N2998" t="s">
        <v>108</v>
      </c>
      <c r="O2998" t="s">
        <v>115</v>
      </c>
    </row>
    <row r="2999" spans="1:15" x14ac:dyDescent="0.25">
      <c r="A2999">
        <v>3473</v>
      </c>
      <c r="B2999" s="10">
        <v>45934</v>
      </c>
      <c r="C2999">
        <v>4</v>
      </c>
      <c r="D2999" t="s">
        <v>136</v>
      </c>
      <c r="E2999" t="s">
        <v>150</v>
      </c>
      <c r="F2999" t="s">
        <v>148</v>
      </c>
      <c r="G2999" t="s">
        <v>118</v>
      </c>
      <c r="H2999" t="s">
        <v>29</v>
      </c>
      <c r="I2999" t="s">
        <v>30</v>
      </c>
      <c r="J2999" t="s">
        <v>94</v>
      </c>
      <c r="K2999">
        <v>7</v>
      </c>
      <c r="L2999">
        <v>18000</v>
      </c>
      <c r="M2999">
        <v>126000</v>
      </c>
      <c r="N2999" t="s">
        <v>108</v>
      </c>
      <c r="O2999" t="s">
        <v>96</v>
      </c>
    </row>
    <row r="3000" spans="1:15" x14ac:dyDescent="0.25">
      <c r="A3000">
        <v>3498</v>
      </c>
      <c r="B3000" s="10">
        <v>45728</v>
      </c>
      <c r="C3000">
        <v>12</v>
      </c>
      <c r="D3000" t="s">
        <v>140</v>
      </c>
      <c r="E3000" t="s">
        <v>128</v>
      </c>
      <c r="F3000" t="s">
        <v>117</v>
      </c>
      <c r="G3000" t="s">
        <v>118</v>
      </c>
      <c r="H3000" t="s">
        <v>29</v>
      </c>
      <c r="I3000" t="s">
        <v>30</v>
      </c>
      <c r="J3000" t="s">
        <v>94</v>
      </c>
      <c r="K3000">
        <v>9</v>
      </c>
      <c r="L3000">
        <v>18000</v>
      </c>
      <c r="M3000">
        <v>162000</v>
      </c>
      <c r="N3000" t="s">
        <v>108</v>
      </c>
      <c r="O3000" t="s">
        <v>96</v>
      </c>
    </row>
    <row r="3001" spans="1:15" x14ac:dyDescent="0.25">
      <c r="A3001">
        <v>53</v>
      </c>
      <c r="B3001" s="10">
        <v>45717</v>
      </c>
      <c r="C3001">
        <v>1</v>
      </c>
      <c r="D3001" t="s">
        <v>140</v>
      </c>
      <c r="E3001" t="s">
        <v>128</v>
      </c>
      <c r="F3001" t="s">
        <v>44</v>
      </c>
      <c r="G3001" t="s">
        <v>111</v>
      </c>
      <c r="H3001" t="s">
        <v>29</v>
      </c>
      <c r="I3001" t="s">
        <v>159</v>
      </c>
      <c r="J3001" t="s">
        <v>103</v>
      </c>
      <c r="K3001">
        <v>7</v>
      </c>
      <c r="L3001">
        <v>18100</v>
      </c>
      <c r="M3001">
        <v>126700</v>
      </c>
      <c r="N3001" t="s">
        <v>95</v>
      </c>
      <c r="O3001" t="s">
        <v>96</v>
      </c>
    </row>
    <row r="3002" spans="1:15" x14ac:dyDescent="0.25">
      <c r="A3002">
        <v>270</v>
      </c>
      <c r="B3002" s="10">
        <v>45899</v>
      </c>
      <c r="C3002">
        <v>30</v>
      </c>
      <c r="D3002" t="s">
        <v>109</v>
      </c>
      <c r="E3002" t="s">
        <v>31</v>
      </c>
      <c r="F3002" t="s">
        <v>122</v>
      </c>
      <c r="G3002" t="s">
        <v>114</v>
      </c>
      <c r="H3002" t="s">
        <v>29</v>
      </c>
      <c r="I3002" t="s">
        <v>30</v>
      </c>
      <c r="J3002" t="s">
        <v>94</v>
      </c>
      <c r="K3002">
        <v>7</v>
      </c>
      <c r="L3002">
        <v>18100</v>
      </c>
      <c r="M3002">
        <v>126700</v>
      </c>
      <c r="N3002" t="s">
        <v>108</v>
      </c>
      <c r="O3002" t="s">
        <v>115</v>
      </c>
    </row>
    <row r="3003" spans="1:15" x14ac:dyDescent="0.25">
      <c r="A3003">
        <v>898</v>
      </c>
      <c r="B3003" s="10">
        <v>45906</v>
      </c>
      <c r="C3003">
        <v>6</v>
      </c>
      <c r="D3003" t="s">
        <v>147</v>
      </c>
      <c r="E3003" t="s">
        <v>142</v>
      </c>
      <c r="F3003" t="s">
        <v>113</v>
      </c>
      <c r="G3003" t="s">
        <v>114</v>
      </c>
      <c r="H3003" t="s">
        <v>29</v>
      </c>
      <c r="I3003" t="s">
        <v>30</v>
      </c>
      <c r="J3003" t="s">
        <v>94</v>
      </c>
      <c r="K3003">
        <v>3</v>
      </c>
      <c r="L3003">
        <v>18100</v>
      </c>
      <c r="M3003">
        <v>54300</v>
      </c>
      <c r="N3003" t="s">
        <v>95</v>
      </c>
      <c r="O3003" t="s">
        <v>104</v>
      </c>
    </row>
    <row r="3004" spans="1:15" x14ac:dyDescent="0.25">
      <c r="A3004">
        <v>1955</v>
      </c>
      <c r="B3004" s="10">
        <v>45856</v>
      </c>
      <c r="C3004">
        <v>18</v>
      </c>
      <c r="D3004" t="s">
        <v>145</v>
      </c>
      <c r="E3004" t="s">
        <v>138</v>
      </c>
      <c r="F3004" t="s">
        <v>141</v>
      </c>
      <c r="G3004" t="s">
        <v>100</v>
      </c>
      <c r="H3004" t="s">
        <v>29</v>
      </c>
      <c r="I3004" t="s">
        <v>159</v>
      </c>
      <c r="J3004" t="s">
        <v>103</v>
      </c>
      <c r="K3004">
        <v>26</v>
      </c>
      <c r="L3004">
        <v>18100</v>
      </c>
      <c r="M3004">
        <v>470600</v>
      </c>
      <c r="N3004" t="s">
        <v>95</v>
      </c>
      <c r="O3004" t="s">
        <v>115</v>
      </c>
    </row>
    <row r="3005" spans="1:15" x14ac:dyDescent="0.25">
      <c r="A3005">
        <v>1966</v>
      </c>
      <c r="B3005" s="10">
        <v>45891</v>
      </c>
      <c r="C3005">
        <v>22</v>
      </c>
      <c r="D3005" t="s">
        <v>109</v>
      </c>
      <c r="E3005" t="s">
        <v>128</v>
      </c>
      <c r="F3005" t="s">
        <v>144</v>
      </c>
      <c r="G3005" t="s">
        <v>91</v>
      </c>
      <c r="H3005" t="s">
        <v>29</v>
      </c>
      <c r="I3005" t="s">
        <v>30</v>
      </c>
      <c r="J3005" t="s">
        <v>94</v>
      </c>
      <c r="K3005">
        <v>8</v>
      </c>
      <c r="L3005">
        <v>18100</v>
      </c>
      <c r="M3005">
        <v>144800</v>
      </c>
      <c r="N3005" t="s">
        <v>95</v>
      </c>
      <c r="O3005" t="s">
        <v>104</v>
      </c>
    </row>
    <row r="3006" spans="1:15" x14ac:dyDescent="0.25">
      <c r="A3006">
        <v>219</v>
      </c>
      <c r="B3006" s="10">
        <v>45878</v>
      </c>
      <c r="C3006">
        <v>9</v>
      </c>
      <c r="D3006" t="s">
        <v>109</v>
      </c>
      <c r="E3006" t="s">
        <v>110</v>
      </c>
      <c r="F3006" t="s">
        <v>141</v>
      </c>
      <c r="G3006" t="s">
        <v>100</v>
      </c>
      <c r="H3006" t="s">
        <v>29</v>
      </c>
      <c r="I3006" t="s">
        <v>159</v>
      </c>
      <c r="J3006" t="s">
        <v>103</v>
      </c>
      <c r="K3006">
        <v>25</v>
      </c>
      <c r="L3006">
        <v>18200</v>
      </c>
      <c r="M3006">
        <v>455000</v>
      </c>
      <c r="N3006" t="s">
        <v>95</v>
      </c>
      <c r="O3006" t="s">
        <v>104</v>
      </c>
    </row>
    <row r="3007" spans="1:15" x14ac:dyDescent="0.25">
      <c r="A3007">
        <v>2074</v>
      </c>
      <c r="B3007" s="10">
        <v>45948</v>
      </c>
      <c r="C3007">
        <v>18</v>
      </c>
      <c r="D3007" t="s">
        <v>136</v>
      </c>
      <c r="E3007" t="s">
        <v>116</v>
      </c>
      <c r="F3007" t="s">
        <v>144</v>
      </c>
      <c r="G3007" t="s">
        <v>91</v>
      </c>
      <c r="H3007" t="s">
        <v>29</v>
      </c>
      <c r="I3007" t="s">
        <v>30</v>
      </c>
      <c r="J3007" t="s">
        <v>94</v>
      </c>
      <c r="K3007">
        <v>3</v>
      </c>
      <c r="L3007">
        <v>18200</v>
      </c>
      <c r="M3007">
        <v>54600</v>
      </c>
      <c r="N3007" t="s">
        <v>95</v>
      </c>
      <c r="O3007" t="s">
        <v>115</v>
      </c>
    </row>
    <row r="3008" spans="1:15" x14ac:dyDescent="0.25">
      <c r="A3008">
        <v>2272</v>
      </c>
      <c r="B3008" s="10">
        <v>45770</v>
      </c>
      <c r="C3008">
        <v>23</v>
      </c>
      <c r="D3008" t="s">
        <v>105</v>
      </c>
      <c r="E3008" t="s">
        <v>112</v>
      </c>
      <c r="F3008" t="s">
        <v>134</v>
      </c>
      <c r="G3008" t="s">
        <v>100</v>
      </c>
      <c r="H3008" t="s">
        <v>29</v>
      </c>
      <c r="I3008" t="s">
        <v>159</v>
      </c>
      <c r="J3008" t="s">
        <v>103</v>
      </c>
      <c r="K3008">
        <v>13</v>
      </c>
      <c r="L3008">
        <v>18200</v>
      </c>
      <c r="M3008">
        <v>236600</v>
      </c>
      <c r="N3008" t="s">
        <v>108</v>
      </c>
      <c r="O3008" t="s">
        <v>115</v>
      </c>
    </row>
    <row r="3009" spans="1:15" x14ac:dyDescent="0.25">
      <c r="A3009">
        <v>2564</v>
      </c>
      <c r="B3009" s="10">
        <v>45787</v>
      </c>
      <c r="C3009">
        <v>10</v>
      </c>
      <c r="D3009" t="s">
        <v>120</v>
      </c>
      <c r="E3009" t="s">
        <v>106</v>
      </c>
      <c r="F3009" t="s">
        <v>22</v>
      </c>
      <c r="G3009" t="s">
        <v>91</v>
      </c>
      <c r="H3009" t="s">
        <v>29</v>
      </c>
      <c r="I3009" t="s">
        <v>30</v>
      </c>
      <c r="J3009" t="s">
        <v>94</v>
      </c>
      <c r="K3009">
        <v>7</v>
      </c>
      <c r="L3009">
        <v>18200</v>
      </c>
      <c r="M3009">
        <v>127400</v>
      </c>
      <c r="N3009" t="s">
        <v>108</v>
      </c>
      <c r="O3009" t="s">
        <v>115</v>
      </c>
    </row>
    <row r="3010" spans="1:15" x14ac:dyDescent="0.25">
      <c r="A3010">
        <v>3486</v>
      </c>
      <c r="B3010" s="10">
        <v>45660</v>
      </c>
      <c r="C3010">
        <v>3</v>
      </c>
      <c r="D3010" t="s">
        <v>130</v>
      </c>
      <c r="E3010" t="s">
        <v>142</v>
      </c>
      <c r="F3010" t="s">
        <v>148</v>
      </c>
      <c r="G3010" t="s">
        <v>118</v>
      </c>
      <c r="H3010" t="s">
        <v>29</v>
      </c>
      <c r="I3010" t="s">
        <v>159</v>
      </c>
      <c r="J3010" t="s">
        <v>103</v>
      </c>
      <c r="K3010">
        <v>25</v>
      </c>
      <c r="L3010">
        <v>18200</v>
      </c>
      <c r="M3010">
        <v>455000</v>
      </c>
      <c r="N3010" t="s">
        <v>108</v>
      </c>
      <c r="O3010" t="s">
        <v>96</v>
      </c>
    </row>
    <row r="3011" spans="1:15" x14ac:dyDescent="0.25">
      <c r="A3011">
        <v>3670</v>
      </c>
      <c r="B3011" s="10">
        <v>45903</v>
      </c>
      <c r="C3011">
        <v>3</v>
      </c>
      <c r="D3011" t="s">
        <v>147</v>
      </c>
      <c r="E3011" t="s">
        <v>31</v>
      </c>
      <c r="F3011" t="s">
        <v>107</v>
      </c>
      <c r="G3011" t="s">
        <v>100</v>
      </c>
      <c r="H3011" t="s">
        <v>29</v>
      </c>
      <c r="I3011" t="s">
        <v>30</v>
      </c>
      <c r="J3011" t="s">
        <v>94</v>
      </c>
      <c r="K3011">
        <v>9</v>
      </c>
      <c r="L3011">
        <v>18300</v>
      </c>
      <c r="M3011">
        <v>164700</v>
      </c>
      <c r="N3011" t="s">
        <v>95</v>
      </c>
      <c r="O3011" t="s">
        <v>115</v>
      </c>
    </row>
    <row r="3012" spans="1:15" x14ac:dyDescent="0.25">
      <c r="A3012">
        <v>3881</v>
      </c>
      <c r="B3012" s="10">
        <v>45795</v>
      </c>
      <c r="C3012">
        <v>18</v>
      </c>
      <c r="D3012" t="s">
        <v>120</v>
      </c>
      <c r="E3012" t="s">
        <v>137</v>
      </c>
      <c r="F3012" t="s">
        <v>22</v>
      </c>
      <c r="G3012" t="s">
        <v>91</v>
      </c>
      <c r="H3012" t="s">
        <v>29</v>
      </c>
      <c r="I3012" t="s">
        <v>30</v>
      </c>
      <c r="J3012" t="s">
        <v>94</v>
      </c>
      <c r="K3012">
        <v>8</v>
      </c>
      <c r="L3012">
        <v>18300</v>
      </c>
      <c r="M3012">
        <v>146400</v>
      </c>
      <c r="N3012" t="s">
        <v>95</v>
      </c>
      <c r="O3012" t="s">
        <v>115</v>
      </c>
    </row>
    <row r="3013" spans="1:15" x14ac:dyDescent="0.25">
      <c r="A3013">
        <v>4064</v>
      </c>
      <c r="B3013" s="10">
        <v>45698</v>
      </c>
      <c r="C3013">
        <v>10</v>
      </c>
      <c r="D3013" t="s">
        <v>97</v>
      </c>
      <c r="E3013" t="s">
        <v>116</v>
      </c>
      <c r="F3013" t="s">
        <v>28</v>
      </c>
      <c r="G3013" t="s">
        <v>126</v>
      </c>
      <c r="H3013" t="s">
        <v>29</v>
      </c>
      <c r="I3013" t="s">
        <v>30</v>
      </c>
      <c r="J3013" t="s">
        <v>94</v>
      </c>
      <c r="K3013">
        <v>2</v>
      </c>
      <c r="L3013">
        <v>18300</v>
      </c>
      <c r="M3013">
        <v>36600</v>
      </c>
      <c r="N3013" t="s">
        <v>95</v>
      </c>
      <c r="O3013" t="s">
        <v>115</v>
      </c>
    </row>
    <row r="3014" spans="1:15" x14ac:dyDescent="0.25">
      <c r="A3014">
        <v>4189</v>
      </c>
      <c r="B3014" s="10">
        <v>45958</v>
      </c>
      <c r="C3014">
        <v>28</v>
      </c>
      <c r="D3014" t="s">
        <v>136</v>
      </c>
      <c r="E3014" t="s">
        <v>110</v>
      </c>
      <c r="F3014" t="s">
        <v>113</v>
      </c>
      <c r="G3014" t="s">
        <v>114</v>
      </c>
      <c r="H3014" t="s">
        <v>29</v>
      </c>
      <c r="I3014" t="s">
        <v>159</v>
      </c>
      <c r="J3014" t="s">
        <v>103</v>
      </c>
      <c r="K3014">
        <v>48</v>
      </c>
      <c r="L3014">
        <v>18300</v>
      </c>
      <c r="M3014">
        <v>878400</v>
      </c>
      <c r="N3014" t="s">
        <v>95</v>
      </c>
      <c r="O3014" t="s">
        <v>96</v>
      </c>
    </row>
    <row r="3015" spans="1:15" x14ac:dyDescent="0.25">
      <c r="A3015">
        <v>58</v>
      </c>
      <c r="B3015" s="10">
        <v>45852</v>
      </c>
      <c r="C3015">
        <v>14</v>
      </c>
      <c r="D3015" t="s">
        <v>145</v>
      </c>
      <c r="E3015" t="s">
        <v>98</v>
      </c>
      <c r="F3015" t="s">
        <v>99</v>
      </c>
      <c r="G3015" t="s">
        <v>100</v>
      </c>
      <c r="H3015" t="s">
        <v>29</v>
      </c>
      <c r="I3015" t="s">
        <v>159</v>
      </c>
      <c r="J3015" t="s">
        <v>103</v>
      </c>
      <c r="K3015">
        <v>30</v>
      </c>
      <c r="L3015">
        <v>18400</v>
      </c>
      <c r="M3015">
        <v>552000</v>
      </c>
      <c r="N3015" t="s">
        <v>95</v>
      </c>
      <c r="O3015" t="s">
        <v>115</v>
      </c>
    </row>
    <row r="3016" spans="1:15" x14ac:dyDescent="0.25">
      <c r="A3016">
        <v>138</v>
      </c>
      <c r="B3016" s="10">
        <v>45870</v>
      </c>
      <c r="C3016">
        <v>1</v>
      </c>
      <c r="D3016" t="s">
        <v>109</v>
      </c>
      <c r="E3016" t="s">
        <v>138</v>
      </c>
      <c r="F3016" t="s">
        <v>49</v>
      </c>
      <c r="G3016" t="s">
        <v>118</v>
      </c>
      <c r="H3016" t="s">
        <v>29</v>
      </c>
      <c r="I3016" t="s">
        <v>159</v>
      </c>
      <c r="J3016" t="s">
        <v>103</v>
      </c>
      <c r="K3016">
        <v>38</v>
      </c>
      <c r="L3016">
        <v>18400</v>
      </c>
      <c r="M3016">
        <v>699200</v>
      </c>
      <c r="N3016" t="s">
        <v>108</v>
      </c>
      <c r="O3016" t="s">
        <v>104</v>
      </c>
    </row>
    <row r="3017" spans="1:15" x14ac:dyDescent="0.25">
      <c r="A3017">
        <v>559</v>
      </c>
      <c r="B3017" s="10">
        <v>45941</v>
      </c>
      <c r="C3017">
        <v>11</v>
      </c>
      <c r="D3017" t="s">
        <v>136</v>
      </c>
      <c r="E3017" t="s">
        <v>121</v>
      </c>
      <c r="F3017" t="s">
        <v>107</v>
      </c>
      <c r="G3017" t="s">
        <v>100</v>
      </c>
      <c r="H3017" t="s">
        <v>29</v>
      </c>
      <c r="I3017" t="s">
        <v>30</v>
      </c>
      <c r="J3017" t="s">
        <v>94</v>
      </c>
      <c r="K3017">
        <v>1</v>
      </c>
      <c r="L3017">
        <v>18400</v>
      </c>
      <c r="M3017">
        <v>18400</v>
      </c>
      <c r="N3017" t="s">
        <v>108</v>
      </c>
      <c r="O3017" t="s">
        <v>96</v>
      </c>
    </row>
    <row r="3018" spans="1:15" x14ac:dyDescent="0.25">
      <c r="A3018">
        <v>674</v>
      </c>
      <c r="B3018" s="10">
        <v>45707</v>
      </c>
      <c r="C3018">
        <v>19</v>
      </c>
      <c r="D3018" t="s">
        <v>97</v>
      </c>
      <c r="E3018" t="s">
        <v>31</v>
      </c>
      <c r="F3018" t="s">
        <v>99</v>
      </c>
      <c r="G3018" t="s">
        <v>100</v>
      </c>
      <c r="H3018" t="s">
        <v>29</v>
      </c>
      <c r="I3018" t="s">
        <v>159</v>
      </c>
      <c r="J3018" t="s">
        <v>103</v>
      </c>
      <c r="K3018">
        <v>17</v>
      </c>
      <c r="L3018">
        <v>18400</v>
      </c>
      <c r="M3018">
        <v>312800</v>
      </c>
      <c r="N3018" t="s">
        <v>95</v>
      </c>
      <c r="O3018" t="s">
        <v>96</v>
      </c>
    </row>
    <row r="3019" spans="1:15" x14ac:dyDescent="0.25">
      <c r="A3019">
        <v>2582</v>
      </c>
      <c r="B3019" s="10">
        <v>45953</v>
      </c>
      <c r="C3019">
        <v>23</v>
      </c>
      <c r="D3019" t="s">
        <v>136</v>
      </c>
      <c r="E3019" t="s">
        <v>110</v>
      </c>
      <c r="F3019" t="s">
        <v>99</v>
      </c>
      <c r="G3019" t="s">
        <v>100</v>
      </c>
      <c r="H3019" t="s">
        <v>29</v>
      </c>
      <c r="I3019" t="s">
        <v>30</v>
      </c>
      <c r="J3019" t="s">
        <v>94</v>
      </c>
      <c r="K3019">
        <v>1</v>
      </c>
      <c r="L3019">
        <v>18400</v>
      </c>
      <c r="M3019">
        <v>18400</v>
      </c>
      <c r="N3019" t="s">
        <v>95</v>
      </c>
      <c r="O3019" t="s">
        <v>104</v>
      </c>
    </row>
    <row r="3020" spans="1:15" x14ac:dyDescent="0.25">
      <c r="A3020">
        <v>3146</v>
      </c>
      <c r="B3020" s="10">
        <v>45847</v>
      </c>
      <c r="C3020">
        <v>9</v>
      </c>
      <c r="D3020" t="s">
        <v>145</v>
      </c>
      <c r="E3020" t="s">
        <v>142</v>
      </c>
      <c r="F3020" t="s">
        <v>107</v>
      </c>
      <c r="G3020" t="s">
        <v>100</v>
      </c>
      <c r="H3020" t="s">
        <v>29</v>
      </c>
      <c r="I3020" t="s">
        <v>30</v>
      </c>
      <c r="J3020" t="s">
        <v>94</v>
      </c>
      <c r="K3020">
        <v>8</v>
      </c>
      <c r="L3020">
        <v>18400</v>
      </c>
      <c r="M3020">
        <v>147200</v>
      </c>
      <c r="N3020" t="s">
        <v>108</v>
      </c>
      <c r="O3020" t="s">
        <v>104</v>
      </c>
    </row>
    <row r="3021" spans="1:15" x14ac:dyDescent="0.25">
      <c r="A3021">
        <v>3776</v>
      </c>
      <c r="B3021" s="10">
        <v>45903</v>
      </c>
      <c r="C3021">
        <v>3</v>
      </c>
      <c r="D3021" t="s">
        <v>147</v>
      </c>
      <c r="E3021" t="s">
        <v>116</v>
      </c>
      <c r="F3021" t="s">
        <v>28</v>
      </c>
      <c r="G3021" t="s">
        <v>126</v>
      </c>
      <c r="H3021" t="s">
        <v>29</v>
      </c>
      <c r="I3021" t="s">
        <v>30</v>
      </c>
      <c r="J3021" t="s">
        <v>94</v>
      </c>
      <c r="K3021">
        <v>6</v>
      </c>
      <c r="L3021">
        <v>18400</v>
      </c>
      <c r="M3021">
        <v>110400</v>
      </c>
      <c r="N3021" t="s">
        <v>95</v>
      </c>
      <c r="O3021" t="s">
        <v>96</v>
      </c>
    </row>
    <row r="3022" spans="1:15" x14ac:dyDescent="0.25">
      <c r="A3022">
        <v>4491</v>
      </c>
      <c r="B3022" s="10">
        <v>45741</v>
      </c>
      <c r="C3022">
        <v>25</v>
      </c>
      <c r="D3022" t="s">
        <v>140</v>
      </c>
      <c r="E3022" t="s">
        <v>31</v>
      </c>
      <c r="F3022" t="s">
        <v>28</v>
      </c>
      <c r="G3022" t="s">
        <v>126</v>
      </c>
      <c r="H3022" t="s">
        <v>29</v>
      </c>
      <c r="I3022" t="s">
        <v>30</v>
      </c>
      <c r="J3022" t="s">
        <v>94</v>
      </c>
      <c r="K3022">
        <v>7</v>
      </c>
      <c r="L3022">
        <v>18400</v>
      </c>
      <c r="M3022">
        <v>128800</v>
      </c>
      <c r="N3022" t="s">
        <v>95</v>
      </c>
      <c r="O3022" t="s">
        <v>96</v>
      </c>
    </row>
    <row r="3023" spans="1:15" x14ac:dyDescent="0.25">
      <c r="A3023">
        <v>667</v>
      </c>
      <c r="B3023" s="10">
        <v>45933</v>
      </c>
      <c r="C3023">
        <v>3</v>
      </c>
      <c r="D3023" t="s">
        <v>136</v>
      </c>
      <c r="E3023" t="s">
        <v>121</v>
      </c>
      <c r="F3023" t="s">
        <v>134</v>
      </c>
      <c r="G3023" t="s">
        <v>100</v>
      </c>
      <c r="H3023" t="s">
        <v>29</v>
      </c>
      <c r="I3023" t="s">
        <v>159</v>
      </c>
      <c r="J3023" t="s">
        <v>103</v>
      </c>
      <c r="K3023">
        <v>40</v>
      </c>
      <c r="L3023">
        <v>18500</v>
      </c>
      <c r="M3023">
        <v>740000</v>
      </c>
      <c r="N3023" t="s">
        <v>95</v>
      </c>
      <c r="O3023" t="s">
        <v>96</v>
      </c>
    </row>
    <row r="3024" spans="1:15" x14ac:dyDescent="0.25">
      <c r="A3024">
        <v>700</v>
      </c>
      <c r="B3024" s="10">
        <v>45745</v>
      </c>
      <c r="C3024">
        <v>29</v>
      </c>
      <c r="D3024" t="s">
        <v>140</v>
      </c>
      <c r="E3024" t="s">
        <v>25</v>
      </c>
      <c r="F3024" t="s">
        <v>44</v>
      </c>
      <c r="G3024" t="s">
        <v>111</v>
      </c>
      <c r="H3024" t="s">
        <v>29</v>
      </c>
      <c r="I3024" t="s">
        <v>159</v>
      </c>
      <c r="J3024" t="s">
        <v>103</v>
      </c>
      <c r="K3024">
        <v>8</v>
      </c>
      <c r="L3024">
        <v>18500</v>
      </c>
      <c r="M3024">
        <v>148000</v>
      </c>
      <c r="N3024" t="s">
        <v>108</v>
      </c>
      <c r="O3024" t="s">
        <v>96</v>
      </c>
    </row>
    <row r="3025" spans="1:15" x14ac:dyDescent="0.25">
      <c r="A3025">
        <v>1463</v>
      </c>
      <c r="B3025" s="10">
        <v>45972</v>
      </c>
      <c r="C3025">
        <v>11</v>
      </c>
      <c r="D3025" t="s">
        <v>90</v>
      </c>
      <c r="E3025" t="s">
        <v>128</v>
      </c>
      <c r="F3025" t="s">
        <v>44</v>
      </c>
      <c r="G3025" t="s">
        <v>111</v>
      </c>
      <c r="H3025" t="s">
        <v>29</v>
      </c>
      <c r="I3025" t="s">
        <v>159</v>
      </c>
      <c r="J3025" t="s">
        <v>103</v>
      </c>
      <c r="K3025">
        <v>13</v>
      </c>
      <c r="L3025">
        <v>18500</v>
      </c>
      <c r="M3025">
        <v>240500</v>
      </c>
      <c r="N3025" t="s">
        <v>108</v>
      </c>
      <c r="O3025" t="s">
        <v>104</v>
      </c>
    </row>
    <row r="3026" spans="1:15" x14ac:dyDescent="0.25">
      <c r="A3026">
        <v>2126</v>
      </c>
      <c r="B3026" s="10">
        <v>45822</v>
      </c>
      <c r="C3026">
        <v>14</v>
      </c>
      <c r="D3026" t="s">
        <v>153</v>
      </c>
      <c r="E3026" t="s">
        <v>98</v>
      </c>
      <c r="F3026" t="s">
        <v>113</v>
      </c>
      <c r="G3026" t="s">
        <v>114</v>
      </c>
      <c r="H3026" t="s">
        <v>29</v>
      </c>
      <c r="I3026" t="s">
        <v>30</v>
      </c>
      <c r="J3026" t="s">
        <v>94</v>
      </c>
      <c r="K3026">
        <v>8</v>
      </c>
      <c r="L3026">
        <v>18500</v>
      </c>
      <c r="M3026">
        <v>148000</v>
      </c>
      <c r="N3026" t="s">
        <v>95</v>
      </c>
      <c r="O3026" t="s">
        <v>104</v>
      </c>
    </row>
    <row r="3027" spans="1:15" x14ac:dyDescent="0.25">
      <c r="A3027">
        <v>2750</v>
      </c>
      <c r="B3027" s="10">
        <v>45740</v>
      </c>
      <c r="C3027">
        <v>24</v>
      </c>
      <c r="D3027" t="s">
        <v>140</v>
      </c>
      <c r="E3027" t="s">
        <v>137</v>
      </c>
      <c r="F3027" t="s">
        <v>113</v>
      </c>
      <c r="G3027" t="s">
        <v>114</v>
      </c>
      <c r="H3027" t="s">
        <v>29</v>
      </c>
      <c r="I3027" t="s">
        <v>159</v>
      </c>
      <c r="J3027" t="s">
        <v>103</v>
      </c>
      <c r="K3027">
        <v>17</v>
      </c>
      <c r="L3027">
        <v>18500</v>
      </c>
      <c r="M3027">
        <v>314500</v>
      </c>
      <c r="N3027" t="s">
        <v>95</v>
      </c>
      <c r="O3027" t="s">
        <v>104</v>
      </c>
    </row>
    <row r="3028" spans="1:15" x14ac:dyDescent="0.25">
      <c r="A3028">
        <v>4338</v>
      </c>
      <c r="B3028" s="10">
        <v>45780</v>
      </c>
      <c r="C3028">
        <v>3</v>
      </c>
      <c r="D3028" t="s">
        <v>120</v>
      </c>
      <c r="E3028" t="s">
        <v>161</v>
      </c>
      <c r="F3028" t="s">
        <v>49</v>
      </c>
      <c r="G3028" t="s">
        <v>118</v>
      </c>
      <c r="H3028" t="s">
        <v>29</v>
      </c>
      <c r="I3028" t="s">
        <v>30</v>
      </c>
      <c r="J3028" t="s">
        <v>94</v>
      </c>
      <c r="K3028">
        <v>5</v>
      </c>
      <c r="L3028">
        <v>18500</v>
      </c>
      <c r="M3028">
        <v>92500</v>
      </c>
      <c r="N3028" t="s">
        <v>108</v>
      </c>
      <c r="O3028" t="s">
        <v>96</v>
      </c>
    </row>
    <row r="3029" spans="1:15" x14ac:dyDescent="0.25">
      <c r="A3029">
        <v>4697</v>
      </c>
      <c r="B3029" s="10">
        <v>45737</v>
      </c>
      <c r="C3029">
        <v>21</v>
      </c>
      <c r="D3029" t="s">
        <v>140</v>
      </c>
      <c r="E3029" t="s">
        <v>25</v>
      </c>
      <c r="F3029" t="s">
        <v>44</v>
      </c>
      <c r="G3029" t="s">
        <v>111</v>
      </c>
      <c r="H3029" t="s">
        <v>29</v>
      </c>
      <c r="I3029" t="s">
        <v>30</v>
      </c>
      <c r="J3029" t="s">
        <v>94</v>
      </c>
      <c r="K3029">
        <v>8</v>
      </c>
      <c r="L3029">
        <v>18500</v>
      </c>
      <c r="M3029">
        <v>148000</v>
      </c>
      <c r="N3029" t="s">
        <v>108</v>
      </c>
      <c r="O3029" t="s">
        <v>104</v>
      </c>
    </row>
    <row r="3030" spans="1:15" x14ac:dyDescent="0.25">
      <c r="A3030">
        <v>181</v>
      </c>
      <c r="B3030" s="10">
        <v>45759</v>
      </c>
      <c r="C3030">
        <v>12</v>
      </c>
      <c r="D3030" t="s">
        <v>105</v>
      </c>
      <c r="E3030" t="s">
        <v>138</v>
      </c>
      <c r="F3030" t="s">
        <v>148</v>
      </c>
      <c r="G3030" t="s">
        <v>118</v>
      </c>
      <c r="H3030" t="s">
        <v>29</v>
      </c>
      <c r="I3030" t="s">
        <v>30</v>
      </c>
      <c r="J3030" t="s">
        <v>94</v>
      </c>
      <c r="K3030">
        <v>8</v>
      </c>
      <c r="L3030">
        <v>18600</v>
      </c>
      <c r="M3030">
        <v>148800</v>
      </c>
      <c r="N3030" t="s">
        <v>108</v>
      </c>
      <c r="O3030" t="s">
        <v>96</v>
      </c>
    </row>
    <row r="3031" spans="1:15" x14ac:dyDescent="0.25">
      <c r="A3031">
        <v>650</v>
      </c>
      <c r="B3031" s="10">
        <v>45882</v>
      </c>
      <c r="C3031">
        <v>13</v>
      </c>
      <c r="D3031" t="s">
        <v>109</v>
      </c>
      <c r="E3031" t="s">
        <v>161</v>
      </c>
      <c r="F3031" t="s">
        <v>22</v>
      </c>
      <c r="G3031" t="s">
        <v>91</v>
      </c>
      <c r="H3031" t="s">
        <v>29</v>
      </c>
      <c r="I3031" t="s">
        <v>30</v>
      </c>
      <c r="J3031" t="s">
        <v>94</v>
      </c>
      <c r="K3031">
        <v>1</v>
      </c>
      <c r="L3031">
        <v>18600</v>
      </c>
      <c r="M3031">
        <v>18600</v>
      </c>
      <c r="N3031" t="s">
        <v>108</v>
      </c>
      <c r="O3031" t="s">
        <v>104</v>
      </c>
    </row>
    <row r="3032" spans="1:15" x14ac:dyDescent="0.25">
      <c r="A3032">
        <v>1895</v>
      </c>
      <c r="B3032" s="10">
        <v>45844</v>
      </c>
      <c r="C3032">
        <v>6</v>
      </c>
      <c r="D3032" t="s">
        <v>145</v>
      </c>
      <c r="E3032" t="s">
        <v>121</v>
      </c>
      <c r="F3032" t="s">
        <v>44</v>
      </c>
      <c r="G3032" t="s">
        <v>111</v>
      </c>
      <c r="H3032" t="s">
        <v>29</v>
      </c>
      <c r="I3032" t="s">
        <v>159</v>
      </c>
      <c r="J3032" t="s">
        <v>103</v>
      </c>
      <c r="K3032">
        <v>38</v>
      </c>
      <c r="L3032">
        <v>18600</v>
      </c>
      <c r="M3032">
        <v>706800</v>
      </c>
      <c r="N3032" t="s">
        <v>95</v>
      </c>
      <c r="O3032" t="s">
        <v>115</v>
      </c>
    </row>
    <row r="3033" spans="1:15" x14ac:dyDescent="0.25">
      <c r="A3033">
        <v>2352</v>
      </c>
      <c r="B3033" s="10">
        <v>45685</v>
      </c>
      <c r="C3033">
        <v>28</v>
      </c>
      <c r="D3033" t="s">
        <v>130</v>
      </c>
      <c r="E3033" t="s">
        <v>137</v>
      </c>
      <c r="F3033" t="s">
        <v>49</v>
      </c>
      <c r="G3033" t="s">
        <v>118</v>
      </c>
      <c r="H3033" t="s">
        <v>29</v>
      </c>
      <c r="I3033" t="s">
        <v>30</v>
      </c>
      <c r="J3033" t="s">
        <v>94</v>
      </c>
      <c r="K3033">
        <v>5</v>
      </c>
      <c r="L3033">
        <v>18600</v>
      </c>
      <c r="M3033">
        <v>93000</v>
      </c>
      <c r="N3033" t="s">
        <v>108</v>
      </c>
      <c r="O3033" t="s">
        <v>96</v>
      </c>
    </row>
    <row r="3034" spans="1:15" x14ac:dyDescent="0.25">
      <c r="A3034">
        <v>2987</v>
      </c>
      <c r="B3034" s="10">
        <v>46019</v>
      </c>
      <c r="C3034">
        <v>28</v>
      </c>
      <c r="D3034" t="s">
        <v>125</v>
      </c>
      <c r="E3034" t="s">
        <v>106</v>
      </c>
      <c r="F3034" t="s">
        <v>113</v>
      </c>
      <c r="G3034" t="s">
        <v>114</v>
      </c>
      <c r="H3034" t="s">
        <v>29</v>
      </c>
      <c r="I3034" t="s">
        <v>159</v>
      </c>
      <c r="J3034" t="s">
        <v>103</v>
      </c>
      <c r="K3034">
        <v>35</v>
      </c>
      <c r="L3034">
        <v>18600</v>
      </c>
      <c r="M3034">
        <v>651000</v>
      </c>
      <c r="N3034" t="s">
        <v>108</v>
      </c>
      <c r="O3034" t="s">
        <v>96</v>
      </c>
    </row>
    <row r="3035" spans="1:15" x14ac:dyDescent="0.25">
      <c r="A3035">
        <v>3738</v>
      </c>
      <c r="B3035" s="10">
        <v>45868</v>
      </c>
      <c r="C3035">
        <v>30</v>
      </c>
      <c r="D3035" t="s">
        <v>145</v>
      </c>
      <c r="E3035" t="s">
        <v>112</v>
      </c>
      <c r="F3035" t="s">
        <v>117</v>
      </c>
      <c r="G3035" t="s">
        <v>118</v>
      </c>
      <c r="H3035" t="s">
        <v>29</v>
      </c>
      <c r="I3035" t="s">
        <v>159</v>
      </c>
      <c r="J3035" t="s">
        <v>103</v>
      </c>
      <c r="K3035">
        <v>41</v>
      </c>
      <c r="L3035">
        <v>18600</v>
      </c>
      <c r="M3035">
        <v>762600</v>
      </c>
      <c r="N3035" t="s">
        <v>95</v>
      </c>
      <c r="O3035" t="s">
        <v>96</v>
      </c>
    </row>
    <row r="3036" spans="1:15" x14ac:dyDescent="0.25">
      <c r="A3036">
        <v>4763</v>
      </c>
      <c r="B3036" s="10">
        <v>45800</v>
      </c>
      <c r="C3036">
        <v>23</v>
      </c>
      <c r="D3036" t="s">
        <v>120</v>
      </c>
      <c r="E3036" t="s">
        <v>121</v>
      </c>
      <c r="F3036" t="s">
        <v>148</v>
      </c>
      <c r="G3036" t="s">
        <v>118</v>
      </c>
      <c r="H3036" t="s">
        <v>29</v>
      </c>
      <c r="I3036" t="s">
        <v>30</v>
      </c>
      <c r="J3036" t="s">
        <v>94</v>
      </c>
      <c r="K3036">
        <v>2</v>
      </c>
      <c r="L3036">
        <v>18600</v>
      </c>
      <c r="M3036">
        <v>37200</v>
      </c>
      <c r="N3036" t="s">
        <v>95</v>
      </c>
      <c r="O3036" t="s">
        <v>96</v>
      </c>
    </row>
    <row r="3037" spans="1:15" x14ac:dyDescent="0.25">
      <c r="A3037">
        <v>536</v>
      </c>
      <c r="B3037" s="10">
        <v>46003</v>
      </c>
      <c r="C3037">
        <v>12</v>
      </c>
      <c r="D3037" t="s">
        <v>125</v>
      </c>
      <c r="E3037" t="s">
        <v>161</v>
      </c>
      <c r="F3037" t="s">
        <v>107</v>
      </c>
      <c r="G3037" t="s">
        <v>100</v>
      </c>
      <c r="H3037" t="s">
        <v>29</v>
      </c>
      <c r="I3037" t="s">
        <v>159</v>
      </c>
      <c r="J3037" t="s">
        <v>103</v>
      </c>
      <c r="K3037">
        <v>20</v>
      </c>
      <c r="L3037">
        <v>18700</v>
      </c>
      <c r="M3037">
        <v>374000</v>
      </c>
      <c r="N3037" t="s">
        <v>108</v>
      </c>
      <c r="O3037" t="s">
        <v>96</v>
      </c>
    </row>
    <row r="3038" spans="1:15" x14ac:dyDescent="0.25">
      <c r="A3038">
        <v>2491</v>
      </c>
      <c r="B3038" s="10">
        <v>45689</v>
      </c>
      <c r="C3038">
        <v>1</v>
      </c>
      <c r="D3038" t="s">
        <v>97</v>
      </c>
      <c r="E3038" t="s">
        <v>128</v>
      </c>
      <c r="F3038" t="s">
        <v>99</v>
      </c>
      <c r="G3038" t="s">
        <v>100</v>
      </c>
      <c r="H3038" t="s">
        <v>29</v>
      </c>
      <c r="I3038" t="s">
        <v>159</v>
      </c>
      <c r="J3038" t="s">
        <v>103</v>
      </c>
      <c r="K3038">
        <v>25</v>
      </c>
      <c r="L3038">
        <v>18700</v>
      </c>
      <c r="M3038">
        <v>467500</v>
      </c>
      <c r="N3038" t="s">
        <v>95</v>
      </c>
      <c r="O3038" t="s">
        <v>96</v>
      </c>
    </row>
    <row r="3039" spans="1:15" x14ac:dyDescent="0.25">
      <c r="A3039">
        <v>3459</v>
      </c>
      <c r="B3039" s="10">
        <v>45687</v>
      </c>
      <c r="C3039">
        <v>30</v>
      </c>
      <c r="D3039" t="s">
        <v>130</v>
      </c>
      <c r="E3039" t="s">
        <v>98</v>
      </c>
      <c r="F3039" t="s">
        <v>22</v>
      </c>
      <c r="G3039" t="s">
        <v>91</v>
      </c>
      <c r="H3039" t="s">
        <v>29</v>
      </c>
      <c r="I3039" t="s">
        <v>159</v>
      </c>
      <c r="J3039" t="s">
        <v>103</v>
      </c>
      <c r="K3039">
        <v>32</v>
      </c>
      <c r="L3039">
        <v>18700</v>
      </c>
      <c r="M3039">
        <v>598400</v>
      </c>
      <c r="N3039" t="s">
        <v>95</v>
      </c>
      <c r="O3039" t="s">
        <v>115</v>
      </c>
    </row>
    <row r="3040" spans="1:15" x14ac:dyDescent="0.25">
      <c r="A3040">
        <v>4595</v>
      </c>
      <c r="B3040" s="10">
        <v>45727</v>
      </c>
      <c r="C3040">
        <v>11</v>
      </c>
      <c r="D3040" t="s">
        <v>140</v>
      </c>
      <c r="E3040" t="s">
        <v>128</v>
      </c>
      <c r="F3040" t="s">
        <v>151</v>
      </c>
      <c r="G3040" t="s">
        <v>111</v>
      </c>
      <c r="H3040" t="s">
        <v>29</v>
      </c>
      <c r="I3040" t="s">
        <v>159</v>
      </c>
      <c r="J3040" t="s">
        <v>103</v>
      </c>
      <c r="K3040">
        <v>21</v>
      </c>
      <c r="L3040">
        <v>18700</v>
      </c>
      <c r="M3040">
        <v>392700</v>
      </c>
      <c r="N3040" t="s">
        <v>95</v>
      </c>
      <c r="O3040" t="s">
        <v>115</v>
      </c>
    </row>
    <row r="3041" spans="1:15" x14ac:dyDescent="0.25">
      <c r="A3041">
        <v>227</v>
      </c>
      <c r="B3041" s="10">
        <v>45791</v>
      </c>
      <c r="C3041">
        <v>14</v>
      </c>
      <c r="D3041" t="s">
        <v>120</v>
      </c>
      <c r="E3041" t="s">
        <v>161</v>
      </c>
      <c r="F3041" t="s">
        <v>151</v>
      </c>
      <c r="G3041" t="s">
        <v>111</v>
      </c>
      <c r="H3041" t="s">
        <v>29</v>
      </c>
      <c r="I3041" t="s">
        <v>159</v>
      </c>
      <c r="J3041" t="s">
        <v>103</v>
      </c>
      <c r="K3041">
        <v>49</v>
      </c>
      <c r="L3041">
        <v>18800</v>
      </c>
      <c r="M3041">
        <v>921200</v>
      </c>
      <c r="N3041" t="s">
        <v>108</v>
      </c>
      <c r="O3041" t="s">
        <v>104</v>
      </c>
    </row>
    <row r="3042" spans="1:15" x14ac:dyDescent="0.25">
      <c r="A3042">
        <v>551</v>
      </c>
      <c r="B3042" s="10">
        <v>45875</v>
      </c>
      <c r="C3042">
        <v>6</v>
      </c>
      <c r="D3042" t="s">
        <v>109</v>
      </c>
      <c r="E3042" t="s">
        <v>121</v>
      </c>
      <c r="F3042" t="s">
        <v>28</v>
      </c>
      <c r="G3042" t="s">
        <v>126</v>
      </c>
      <c r="H3042" t="s">
        <v>29</v>
      </c>
      <c r="I3042" t="s">
        <v>159</v>
      </c>
      <c r="J3042" t="s">
        <v>103</v>
      </c>
      <c r="K3042">
        <v>46</v>
      </c>
      <c r="L3042">
        <v>18800</v>
      </c>
      <c r="M3042">
        <v>864800</v>
      </c>
      <c r="N3042" t="s">
        <v>95</v>
      </c>
      <c r="O3042" t="s">
        <v>96</v>
      </c>
    </row>
    <row r="3043" spans="1:15" x14ac:dyDescent="0.25">
      <c r="A3043">
        <v>803</v>
      </c>
      <c r="B3043" s="10">
        <v>46002</v>
      </c>
      <c r="C3043">
        <v>11</v>
      </c>
      <c r="D3043" t="s">
        <v>125</v>
      </c>
      <c r="E3043" t="s">
        <v>110</v>
      </c>
      <c r="F3043" t="s">
        <v>117</v>
      </c>
      <c r="G3043" t="s">
        <v>118</v>
      </c>
      <c r="H3043" t="s">
        <v>29</v>
      </c>
      <c r="I3043" t="s">
        <v>159</v>
      </c>
      <c r="J3043" t="s">
        <v>103</v>
      </c>
      <c r="K3043">
        <v>48</v>
      </c>
      <c r="L3043">
        <v>18800</v>
      </c>
      <c r="M3043">
        <v>902400</v>
      </c>
      <c r="N3043" t="s">
        <v>95</v>
      </c>
      <c r="O3043" t="s">
        <v>115</v>
      </c>
    </row>
    <row r="3044" spans="1:15" x14ac:dyDescent="0.25">
      <c r="A3044">
        <v>1028</v>
      </c>
      <c r="B3044" s="10">
        <v>45980</v>
      </c>
      <c r="C3044">
        <v>19</v>
      </c>
      <c r="D3044" t="s">
        <v>90</v>
      </c>
      <c r="E3044" t="s">
        <v>98</v>
      </c>
      <c r="F3044" t="s">
        <v>49</v>
      </c>
      <c r="G3044" t="s">
        <v>118</v>
      </c>
      <c r="H3044" t="s">
        <v>29</v>
      </c>
      <c r="I3044" t="s">
        <v>159</v>
      </c>
      <c r="J3044" t="s">
        <v>103</v>
      </c>
      <c r="K3044">
        <v>19</v>
      </c>
      <c r="L3044">
        <v>18800</v>
      </c>
      <c r="M3044">
        <v>357200</v>
      </c>
      <c r="N3044" t="s">
        <v>95</v>
      </c>
      <c r="O3044" t="s">
        <v>115</v>
      </c>
    </row>
    <row r="3045" spans="1:15" x14ac:dyDescent="0.25">
      <c r="A3045">
        <v>3188</v>
      </c>
      <c r="B3045" s="10">
        <v>45680</v>
      </c>
      <c r="C3045">
        <v>23</v>
      </c>
      <c r="D3045" t="s">
        <v>130</v>
      </c>
      <c r="E3045" t="s">
        <v>110</v>
      </c>
      <c r="F3045" t="s">
        <v>28</v>
      </c>
      <c r="G3045" t="s">
        <v>126</v>
      </c>
      <c r="H3045" t="s">
        <v>29</v>
      </c>
      <c r="I3045" t="s">
        <v>30</v>
      </c>
      <c r="J3045" t="s">
        <v>94</v>
      </c>
      <c r="K3045">
        <v>1</v>
      </c>
      <c r="L3045">
        <v>18800</v>
      </c>
      <c r="M3045">
        <v>18800</v>
      </c>
      <c r="N3045" t="s">
        <v>95</v>
      </c>
      <c r="O3045" t="s">
        <v>115</v>
      </c>
    </row>
    <row r="3046" spans="1:15" x14ac:dyDescent="0.25">
      <c r="A3046">
        <v>3677</v>
      </c>
      <c r="B3046" s="10">
        <v>45760</v>
      </c>
      <c r="C3046">
        <v>13</v>
      </c>
      <c r="D3046" t="s">
        <v>105</v>
      </c>
      <c r="E3046" t="s">
        <v>121</v>
      </c>
      <c r="F3046" t="s">
        <v>28</v>
      </c>
      <c r="G3046" t="s">
        <v>126</v>
      </c>
      <c r="H3046" t="s">
        <v>29</v>
      </c>
      <c r="I3046" t="s">
        <v>159</v>
      </c>
      <c r="J3046" t="s">
        <v>103</v>
      </c>
      <c r="K3046">
        <v>28</v>
      </c>
      <c r="L3046">
        <v>18800</v>
      </c>
      <c r="M3046">
        <v>526400</v>
      </c>
      <c r="N3046" t="s">
        <v>108</v>
      </c>
      <c r="O3046" t="s">
        <v>115</v>
      </c>
    </row>
    <row r="3047" spans="1:15" x14ac:dyDescent="0.25">
      <c r="A3047">
        <v>4410</v>
      </c>
      <c r="B3047" s="10">
        <v>45828</v>
      </c>
      <c r="C3047">
        <v>20</v>
      </c>
      <c r="D3047" t="s">
        <v>153</v>
      </c>
      <c r="E3047" t="s">
        <v>112</v>
      </c>
      <c r="F3047" t="s">
        <v>36</v>
      </c>
      <c r="G3047" t="s">
        <v>100</v>
      </c>
      <c r="H3047" t="s">
        <v>29</v>
      </c>
      <c r="I3047" t="s">
        <v>30</v>
      </c>
      <c r="J3047" t="s">
        <v>94</v>
      </c>
      <c r="K3047">
        <v>7</v>
      </c>
      <c r="L3047">
        <v>18800</v>
      </c>
      <c r="M3047">
        <v>131600</v>
      </c>
      <c r="N3047" t="s">
        <v>95</v>
      </c>
      <c r="O3047" t="s">
        <v>115</v>
      </c>
    </row>
    <row r="3048" spans="1:15" x14ac:dyDescent="0.25">
      <c r="A3048">
        <v>4978</v>
      </c>
      <c r="B3048" s="10">
        <v>46014</v>
      </c>
      <c r="C3048">
        <v>23</v>
      </c>
      <c r="D3048" t="s">
        <v>125</v>
      </c>
      <c r="E3048" t="s">
        <v>116</v>
      </c>
      <c r="F3048" t="s">
        <v>113</v>
      </c>
      <c r="G3048" t="s">
        <v>114</v>
      </c>
      <c r="H3048" t="s">
        <v>29</v>
      </c>
      <c r="I3048" t="s">
        <v>159</v>
      </c>
      <c r="J3048" t="s">
        <v>103</v>
      </c>
      <c r="K3048">
        <v>11</v>
      </c>
      <c r="L3048">
        <v>18800</v>
      </c>
      <c r="M3048">
        <v>206800</v>
      </c>
      <c r="N3048" t="s">
        <v>108</v>
      </c>
      <c r="O3048" t="s">
        <v>104</v>
      </c>
    </row>
    <row r="3049" spans="1:15" x14ac:dyDescent="0.25">
      <c r="A3049">
        <v>1718</v>
      </c>
      <c r="B3049" s="10">
        <v>45709</v>
      </c>
      <c r="C3049">
        <v>21</v>
      </c>
      <c r="D3049" t="s">
        <v>97</v>
      </c>
      <c r="E3049" t="s">
        <v>137</v>
      </c>
      <c r="F3049" t="s">
        <v>148</v>
      </c>
      <c r="G3049" t="s">
        <v>118</v>
      </c>
      <c r="H3049" t="s">
        <v>29</v>
      </c>
      <c r="I3049" t="s">
        <v>159</v>
      </c>
      <c r="J3049" t="s">
        <v>103</v>
      </c>
      <c r="K3049">
        <v>24</v>
      </c>
      <c r="L3049">
        <v>18900</v>
      </c>
      <c r="M3049">
        <v>453600</v>
      </c>
      <c r="N3049" t="s">
        <v>95</v>
      </c>
      <c r="O3049" t="s">
        <v>96</v>
      </c>
    </row>
    <row r="3050" spans="1:15" x14ac:dyDescent="0.25">
      <c r="A3050">
        <v>1985</v>
      </c>
      <c r="B3050" s="10">
        <v>45935</v>
      </c>
      <c r="C3050">
        <v>5</v>
      </c>
      <c r="D3050" t="s">
        <v>136</v>
      </c>
      <c r="E3050" t="s">
        <v>98</v>
      </c>
      <c r="F3050" t="s">
        <v>28</v>
      </c>
      <c r="G3050" t="s">
        <v>126</v>
      </c>
      <c r="H3050" t="s">
        <v>29</v>
      </c>
      <c r="I3050" t="s">
        <v>30</v>
      </c>
      <c r="J3050" t="s">
        <v>94</v>
      </c>
      <c r="K3050">
        <v>1</v>
      </c>
      <c r="L3050">
        <v>18900</v>
      </c>
      <c r="M3050">
        <v>18900</v>
      </c>
      <c r="N3050" t="s">
        <v>108</v>
      </c>
      <c r="O3050" t="s">
        <v>104</v>
      </c>
    </row>
    <row r="3051" spans="1:15" x14ac:dyDescent="0.25">
      <c r="A3051">
        <v>2654</v>
      </c>
      <c r="B3051" s="10">
        <v>45991</v>
      </c>
      <c r="C3051">
        <v>30</v>
      </c>
      <c r="D3051" t="s">
        <v>90</v>
      </c>
      <c r="E3051" t="s">
        <v>133</v>
      </c>
      <c r="F3051" t="s">
        <v>28</v>
      </c>
      <c r="G3051" t="s">
        <v>126</v>
      </c>
      <c r="H3051" t="s">
        <v>29</v>
      </c>
      <c r="I3051" t="s">
        <v>30</v>
      </c>
      <c r="J3051" t="s">
        <v>94</v>
      </c>
      <c r="K3051">
        <v>5</v>
      </c>
      <c r="L3051">
        <v>18900</v>
      </c>
      <c r="M3051">
        <v>94500</v>
      </c>
      <c r="N3051" t="s">
        <v>95</v>
      </c>
      <c r="O3051" t="s">
        <v>104</v>
      </c>
    </row>
    <row r="3052" spans="1:15" x14ac:dyDescent="0.25">
      <c r="A3052">
        <v>2659</v>
      </c>
      <c r="B3052" s="10">
        <v>45779</v>
      </c>
      <c r="C3052">
        <v>2</v>
      </c>
      <c r="D3052" t="s">
        <v>120</v>
      </c>
      <c r="E3052" t="s">
        <v>121</v>
      </c>
      <c r="F3052" t="s">
        <v>122</v>
      </c>
      <c r="G3052" t="s">
        <v>114</v>
      </c>
      <c r="H3052" t="s">
        <v>29</v>
      </c>
      <c r="I3052" t="s">
        <v>159</v>
      </c>
      <c r="J3052" t="s">
        <v>103</v>
      </c>
      <c r="K3052">
        <v>17</v>
      </c>
      <c r="L3052">
        <v>18900</v>
      </c>
      <c r="M3052">
        <v>321300</v>
      </c>
      <c r="N3052" t="s">
        <v>95</v>
      </c>
      <c r="O3052" t="s">
        <v>96</v>
      </c>
    </row>
    <row r="3053" spans="1:15" x14ac:dyDescent="0.25">
      <c r="A3053">
        <v>3073</v>
      </c>
      <c r="B3053" s="10">
        <v>46010</v>
      </c>
      <c r="C3053">
        <v>19</v>
      </c>
      <c r="D3053" t="s">
        <v>125</v>
      </c>
      <c r="E3053" t="s">
        <v>133</v>
      </c>
      <c r="F3053" t="s">
        <v>36</v>
      </c>
      <c r="G3053" t="s">
        <v>100</v>
      </c>
      <c r="H3053" t="s">
        <v>29</v>
      </c>
      <c r="I3053" t="s">
        <v>159</v>
      </c>
      <c r="J3053" t="s">
        <v>103</v>
      </c>
      <c r="K3053">
        <v>50</v>
      </c>
      <c r="L3053">
        <v>18900</v>
      </c>
      <c r="M3053">
        <v>945000</v>
      </c>
      <c r="N3053" t="s">
        <v>108</v>
      </c>
      <c r="O3053" t="s">
        <v>104</v>
      </c>
    </row>
    <row r="3054" spans="1:15" x14ac:dyDescent="0.25">
      <c r="A3054">
        <v>3574</v>
      </c>
      <c r="B3054" s="10">
        <v>45809</v>
      </c>
      <c r="C3054">
        <v>1</v>
      </c>
      <c r="D3054" t="s">
        <v>153</v>
      </c>
      <c r="E3054" t="s">
        <v>25</v>
      </c>
      <c r="F3054" t="s">
        <v>107</v>
      </c>
      <c r="G3054" t="s">
        <v>100</v>
      </c>
      <c r="H3054" t="s">
        <v>29</v>
      </c>
      <c r="I3054" t="s">
        <v>159</v>
      </c>
      <c r="J3054" t="s">
        <v>103</v>
      </c>
      <c r="K3054">
        <v>39</v>
      </c>
      <c r="L3054">
        <v>18900</v>
      </c>
      <c r="M3054">
        <v>737100</v>
      </c>
      <c r="N3054" t="s">
        <v>95</v>
      </c>
      <c r="O3054" t="s">
        <v>115</v>
      </c>
    </row>
    <row r="3055" spans="1:15" x14ac:dyDescent="0.25">
      <c r="A3055">
        <v>4370</v>
      </c>
      <c r="B3055" s="10">
        <v>45912</v>
      </c>
      <c r="C3055">
        <v>12</v>
      </c>
      <c r="D3055" t="s">
        <v>147</v>
      </c>
      <c r="E3055" t="s">
        <v>112</v>
      </c>
      <c r="F3055" t="s">
        <v>36</v>
      </c>
      <c r="G3055" t="s">
        <v>100</v>
      </c>
      <c r="H3055" t="s">
        <v>29</v>
      </c>
      <c r="I3055" t="s">
        <v>159</v>
      </c>
      <c r="J3055" t="s">
        <v>103</v>
      </c>
      <c r="K3055">
        <v>42</v>
      </c>
      <c r="L3055">
        <v>18900</v>
      </c>
      <c r="M3055">
        <v>793800</v>
      </c>
      <c r="N3055" t="s">
        <v>108</v>
      </c>
      <c r="O3055" t="s">
        <v>115</v>
      </c>
    </row>
    <row r="3056" spans="1:15" x14ac:dyDescent="0.25">
      <c r="A3056">
        <v>152</v>
      </c>
      <c r="B3056" s="10">
        <v>45841</v>
      </c>
      <c r="C3056">
        <v>3</v>
      </c>
      <c r="D3056" t="s">
        <v>145</v>
      </c>
      <c r="E3056" t="s">
        <v>112</v>
      </c>
      <c r="F3056" t="s">
        <v>117</v>
      </c>
      <c r="G3056" t="s">
        <v>118</v>
      </c>
      <c r="H3056" t="s">
        <v>29</v>
      </c>
      <c r="I3056" t="s">
        <v>159</v>
      </c>
      <c r="J3056" t="s">
        <v>103</v>
      </c>
      <c r="K3056">
        <v>6</v>
      </c>
      <c r="L3056">
        <v>19000</v>
      </c>
      <c r="M3056">
        <v>114000</v>
      </c>
      <c r="N3056" t="s">
        <v>95</v>
      </c>
      <c r="O3056" t="s">
        <v>115</v>
      </c>
    </row>
    <row r="3057" spans="1:15" x14ac:dyDescent="0.25">
      <c r="A3057">
        <v>174</v>
      </c>
      <c r="B3057" s="10">
        <v>45852</v>
      </c>
      <c r="C3057">
        <v>14</v>
      </c>
      <c r="D3057" t="s">
        <v>145</v>
      </c>
      <c r="E3057" t="s">
        <v>137</v>
      </c>
      <c r="F3057" t="s">
        <v>99</v>
      </c>
      <c r="G3057" t="s">
        <v>100</v>
      </c>
      <c r="H3057" t="s">
        <v>29</v>
      </c>
      <c r="I3057" t="s">
        <v>159</v>
      </c>
      <c r="J3057" t="s">
        <v>103</v>
      </c>
      <c r="K3057">
        <v>9</v>
      </c>
      <c r="L3057">
        <v>19000</v>
      </c>
      <c r="M3057">
        <v>171000</v>
      </c>
      <c r="N3057" t="s">
        <v>108</v>
      </c>
      <c r="O3057" t="s">
        <v>96</v>
      </c>
    </row>
    <row r="3058" spans="1:15" x14ac:dyDescent="0.25">
      <c r="A3058">
        <v>672</v>
      </c>
      <c r="B3058" s="10">
        <v>45689</v>
      </c>
      <c r="C3058">
        <v>1</v>
      </c>
      <c r="D3058" t="s">
        <v>97</v>
      </c>
      <c r="E3058" t="s">
        <v>150</v>
      </c>
      <c r="F3058" t="s">
        <v>107</v>
      </c>
      <c r="G3058" t="s">
        <v>100</v>
      </c>
      <c r="H3058" t="s">
        <v>92</v>
      </c>
      <c r="I3058" t="s">
        <v>135</v>
      </c>
      <c r="J3058" t="s">
        <v>103</v>
      </c>
      <c r="K3058">
        <v>50</v>
      </c>
      <c r="L3058">
        <v>19000</v>
      </c>
      <c r="M3058">
        <v>950000</v>
      </c>
      <c r="N3058" t="s">
        <v>95</v>
      </c>
      <c r="O3058" t="s">
        <v>96</v>
      </c>
    </row>
    <row r="3059" spans="1:15" x14ac:dyDescent="0.25">
      <c r="A3059">
        <v>2364</v>
      </c>
      <c r="B3059" s="10">
        <v>45711</v>
      </c>
      <c r="C3059">
        <v>23</v>
      </c>
      <c r="D3059" t="s">
        <v>97</v>
      </c>
      <c r="E3059" t="s">
        <v>138</v>
      </c>
      <c r="F3059" t="s">
        <v>144</v>
      </c>
      <c r="G3059" t="s">
        <v>91</v>
      </c>
      <c r="H3059" t="s">
        <v>29</v>
      </c>
      <c r="I3059" t="s">
        <v>30</v>
      </c>
      <c r="J3059" t="s">
        <v>94</v>
      </c>
      <c r="K3059">
        <v>10</v>
      </c>
      <c r="L3059">
        <v>19000</v>
      </c>
      <c r="M3059">
        <v>190000</v>
      </c>
      <c r="N3059" t="s">
        <v>95</v>
      </c>
      <c r="O3059" t="s">
        <v>115</v>
      </c>
    </row>
    <row r="3060" spans="1:15" x14ac:dyDescent="0.25">
      <c r="A3060">
        <v>3024</v>
      </c>
      <c r="B3060" s="10">
        <v>45741</v>
      </c>
      <c r="C3060">
        <v>25</v>
      </c>
      <c r="D3060" t="s">
        <v>140</v>
      </c>
      <c r="E3060" t="s">
        <v>110</v>
      </c>
      <c r="F3060" t="s">
        <v>134</v>
      </c>
      <c r="G3060" t="s">
        <v>100</v>
      </c>
      <c r="H3060" t="s">
        <v>29</v>
      </c>
      <c r="I3060" t="s">
        <v>30</v>
      </c>
      <c r="J3060" t="s">
        <v>94</v>
      </c>
      <c r="K3060">
        <v>6</v>
      </c>
      <c r="L3060">
        <v>19000</v>
      </c>
      <c r="M3060">
        <v>114000</v>
      </c>
      <c r="N3060" t="s">
        <v>95</v>
      </c>
      <c r="O3060" t="s">
        <v>104</v>
      </c>
    </row>
    <row r="3061" spans="1:15" x14ac:dyDescent="0.25">
      <c r="A3061">
        <v>259</v>
      </c>
      <c r="B3061" s="10">
        <v>45684</v>
      </c>
      <c r="C3061">
        <v>27</v>
      </c>
      <c r="D3061" t="s">
        <v>130</v>
      </c>
      <c r="E3061" t="s">
        <v>110</v>
      </c>
      <c r="F3061" t="s">
        <v>151</v>
      </c>
      <c r="G3061" t="s">
        <v>111</v>
      </c>
      <c r="H3061" t="s">
        <v>29</v>
      </c>
      <c r="I3061" t="s">
        <v>159</v>
      </c>
      <c r="J3061" t="s">
        <v>103</v>
      </c>
      <c r="K3061">
        <v>14</v>
      </c>
      <c r="L3061">
        <v>19100</v>
      </c>
      <c r="M3061">
        <v>267400</v>
      </c>
      <c r="N3061" t="s">
        <v>95</v>
      </c>
      <c r="O3061" t="s">
        <v>104</v>
      </c>
    </row>
    <row r="3062" spans="1:15" x14ac:dyDescent="0.25">
      <c r="A3062">
        <v>1356</v>
      </c>
      <c r="B3062" s="10">
        <v>45987</v>
      </c>
      <c r="C3062">
        <v>26</v>
      </c>
      <c r="D3062" t="s">
        <v>90</v>
      </c>
      <c r="E3062" t="s">
        <v>25</v>
      </c>
      <c r="F3062" t="s">
        <v>99</v>
      </c>
      <c r="G3062" t="s">
        <v>100</v>
      </c>
      <c r="H3062" t="s">
        <v>29</v>
      </c>
      <c r="I3062" t="s">
        <v>159</v>
      </c>
      <c r="J3062" t="s">
        <v>94</v>
      </c>
      <c r="K3062">
        <v>3</v>
      </c>
      <c r="L3062">
        <v>19100</v>
      </c>
      <c r="M3062">
        <v>57300</v>
      </c>
      <c r="N3062" t="s">
        <v>95</v>
      </c>
      <c r="O3062" t="s">
        <v>115</v>
      </c>
    </row>
    <row r="3063" spans="1:15" x14ac:dyDescent="0.25">
      <c r="A3063">
        <v>1458</v>
      </c>
      <c r="B3063" s="10">
        <v>45812</v>
      </c>
      <c r="C3063">
        <v>4</v>
      </c>
      <c r="D3063" t="s">
        <v>153</v>
      </c>
      <c r="E3063" t="s">
        <v>110</v>
      </c>
      <c r="F3063" t="s">
        <v>44</v>
      </c>
      <c r="G3063" t="s">
        <v>111</v>
      </c>
      <c r="H3063" t="s">
        <v>29</v>
      </c>
      <c r="I3063" t="s">
        <v>159</v>
      </c>
      <c r="J3063" t="s">
        <v>103</v>
      </c>
      <c r="K3063">
        <v>48</v>
      </c>
      <c r="L3063">
        <v>19100</v>
      </c>
      <c r="M3063">
        <v>916800</v>
      </c>
      <c r="N3063" t="s">
        <v>108</v>
      </c>
      <c r="O3063" t="s">
        <v>96</v>
      </c>
    </row>
    <row r="3064" spans="1:15" x14ac:dyDescent="0.25">
      <c r="A3064">
        <v>1585</v>
      </c>
      <c r="B3064" s="10">
        <v>45959</v>
      </c>
      <c r="C3064">
        <v>29</v>
      </c>
      <c r="D3064" t="s">
        <v>136</v>
      </c>
      <c r="E3064" t="s">
        <v>112</v>
      </c>
      <c r="F3064" t="s">
        <v>134</v>
      </c>
      <c r="G3064" t="s">
        <v>100</v>
      </c>
      <c r="H3064" t="s">
        <v>29</v>
      </c>
      <c r="I3064" t="s">
        <v>159</v>
      </c>
      <c r="J3064" t="s">
        <v>103</v>
      </c>
      <c r="K3064">
        <v>25</v>
      </c>
      <c r="L3064">
        <v>19100</v>
      </c>
      <c r="M3064">
        <v>477500</v>
      </c>
      <c r="N3064" t="s">
        <v>108</v>
      </c>
      <c r="O3064" t="s">
        <v>96</v>
      </c>
    </row>
    <row r="3065" spans="1:15" x14ac:dyDescent="0.25">
      <c r="A3065">
        <v>1903</v>
      </c>
      <c r="B3065" s="10">
        <v>45736</v>
      </c>
      <c r="C3065">
        <v>20</v>
      </c>
      <c r="D3065" t="s">
        <v>140</v>
      </c>
      <c r="E3065" t="s">
        <v>110</v>
      </c>
      <c r="F3065" t="s">
        <v>117</v>
      </c>
      <c r="G3065" t="s">
        <v>118</v>
      </c>
      <c r="H3065" t="s">
        <v>29</v>
      </c>
      <c r="I3065" t="s">
        <v>30</v>
      </c>
      <c r="J3065" t="s">
        <v>94</v>
      </c>
      <c r="K3065">
        <v>1</v>
      </c>
      <c r="L3065">
        <v>19100</v>
      </c>
      <c r="M3065">
        <v>19100</v>
      </c>
      <c r="N3065" t="s">
        <v>95</v>
      </c>
      <c r="O3065" t="s">
        <v>96</v>
      </c>
    </row>
    <row r="3066" spans="1:15" x14ac:dyDescent="0.25">
      <c r="A3066">
        <v>2584</v>
      </c>
      <c r="B3066" s="10">
        <v>45882</v>
      </c>
      <c r="C3066">
        <v>13</v>
      </c>
      <c r="D3066" t="s">
        <v>109</v>
      </c>
      <c r="E3066" t="s">
        <v>133</v>
      </c>
      <c r="F3066" t="s">
        <v>113</v>
      </c>
      <c r="G3066" t="s">
        <v>114</v>
      </c>
      <c r="H3066" t="s">
        <v>29</v>
      </c>
      <c r="I3066" t="s">
        <v>30</v>
      </c>
      <c r="J3066" t="s">
        <v>94</v>
      </c>
      <c r="K3066">
        <v>6</v>
      </c>
      <c r="L3066">
        <v>19100</v>
      </c>
      <c r="M3066">
        <v>114600</v>
      </c>
      <c r="N3066" t="s">
        <v>95</v>
      </c>
      <c r="O3066" t="s">
        <v>104</v>
      </c>
    </row>
    <row r="3067" spans="1:15" x14ac:dyDescent="0.25">
      <c r="A3067">
        <v>3232</v>
      </c>
      <c r="B3067" s="10">
        <v>46015</v>
      </c>
      <c r="C3067">
        <v>24</v>
      </c>
      <c r="D3067" t="s">
        <v>125</v>
      </c>
      <c r="E3067" t="s">
        <v>112</v>
      </c>
      <c r="F3067" t="s">
        <v>148</v>
      </c>
      <c r="G3067" t="s">
        <v>118</v>
      </c>
      <c r="H3067" t="s">
        <v>92</v>
      </c>
      <c r="I3067" t="s">
        <v>135</v>
      </c>
      <c r="J3067" t="s">
        <v>103</v>
      </c>
      <c r="K3067">
        <v>43</v>
      </c>
      <c r="L3067">
        <v>19100</v>
      </c>
      <c r="M3067">
        <v>821300</v>
      </c>
      <c r="N3067" t="s">
        <v>95</v>
      </c>
      <c r="O3067" t="s">
        <v>115</v>
      </c>
    </row>
    <row r="3068" spans="1:15" x14ac:dyDescent="0.25">
      <c r="A3068">
        <v>209</v>
      </c>
      <c r="B3068" s="10">
        <v>45658</v>
      </c>
      <c r="C3068">
        <v>1</v>
      </c>
      <c r="D3068" t="s">
        <v>130</v>
      </c>
      <c r="E3068" t="s">
        <v>110</v>
      </c>
      <c r="F3068" t="s">
        <v>113</v>
      </c>
      <c r="G3068" t="s">
        <v>114</v>
      </c>
      <c r="H3068" t="s">
        <v>29</v>
      </c>
      <c r="I3068" t="s">
        <v>159</v>
      </c>
      <c r="J3068" t="s">
        <v>103</v>
      </c>
      <c r="K3068">
        <v>16</v>
      </c>
      <c r="L3068">
        <v>19200</v>
      </c>
      <c r="M3068">
        <v>307200</v>
      </c>
      <c r="N3068" t="s">
        <v>95</v>
      </c>
      <c r="O3068" t="s">
        <v>96</v>
      </c>
    </row>
    <row r="3069" spans="1:15" x14ac:dyDescent="0.25">
      <c r="A3069">
        <v>1420</v>
      </c>
      <c r="B3069" s="10">
        <v>46015</v>
      </c>
      <c r="C3069">
        <v>24</v>
      </c>
      <c r="D3069" t="s">
        <v>125</v>
      </c>
      <c r="E3069" t="s">
        <v>138</v>
      </c>
      <c r="F3069" t="s">
        <v>144</v>
      </c>
      <c r="G3069" t="s">
        <v>91</v>
      </c>
      <c r="H3069" t="s">
        <v>29</v>
      </c>
      <c r="I3069" t="s">
        <v>159</v>
      </c>
      <c r="J3069" t="s">
        <v>103</v>
      </c>
      <c r="K3069">
        <v>12</v>
      </c>
      <c r="L3069">
        <v>19200</v>
      </c>
      <c r="M3069">
        <v>230400</v>
      </c>
      <c r="N3069" t="s">
        <v>95</v>
      </c>
      <c r="O3069" t="s">
        <v>115</v>
      </c>
    </row>
    <row r="3070" spans="1:15" x14ac:dyDescent="0.25">
      <c r="A3070">
        <v>2200</v>
      </c>
      <c r="B3070" s="10">
        <v>45683</v>
      </c>
      <c r="C3070">
        <v>26</v>
      </c>
      <c r="D3070" t="s">
        <v>130</v>
      </c>
      <c r="E3070" t="s">
        <v>150</v>
      </c>
      <c r="F3070" t="s">
        <v>44</v>
      </c>
      <c r="G3070" t="s">
        <v>111</v>
      </c>
      <c r="H3070" t="s">
        <v>29</v>
      </c>
      <c r="I3070" t="s">
        <v>159</v>
      </c>
      <c r="J3070" t="s">
        <v>103</v>
      </c>
      <c r="K3070">
        <v>7</v>
      </c>
      <c r="L3070">
        <v>19200</v>
      </c>
      <c r="M3070">
        <v>134400</v>
      </c>
      <c r="N3070" t="s">
        <v>95</v>
      </c>
      <c r="O3070" t="s">
        <v>96</v>
      </c>
    </row>
    <row r="3071" spans="1:15" x14ac:dyDescent="0.25">
      <c r="A3071">
        <v>2417</v>
      </c>
      <c r="B3071" s="10">
        <v>45960</v>
      </c>
      <c r="C3071">
        <v>30</v>
      </c>
      <c r="D3071" t="s">
        <v>136</v>
      </c>
      <c r="E3071" t="s">
        <v>116</v>
      </c>
      <c r="F3071" t="s">
        <v>117</v>
      </c>
      <c r="G3071" t="s">
        <v>118</v>
      </c>
      <c r="H3071" t="s">
        <v>29</v>
      </c>
      <c r="I3071" t="s">
        <v>159</v>
      </c>
      <c r="J3071" t="s">
        <v>103</v>
      </c>
      <c r="K3071">
        <v>40</v>
      </c>
      <c r="L3071">
        <v>19200</v>
      </c>
      <c r="M3071">
        <v>768000</v>
      </c>
      <c r="N3071" t="s">
        <v>95</v>
      </c>
      <c r="O3071" t="s">
        <v>115</v>
      </c>
    </row>
    <row r="3072" spans="1:15" x14ac:dyDescent="0.25">
      <c r="A3072">
        <v>3691</v>
      </c>
      <c r="B3072" s="10">
        <v>45790</v>
      </c>
      <c r="C3072">
        <v>13</v>
      </c>
      <c r="D3072" t="s">
        <v>120</v>
      </c>
      <c r="E3072" t="s">
        <v>31</v>
      </c>
      <c r="F3072" t="s">
        <v>141</v>
      </c>
      <c r="G3072" t="s">
        <v>100</v>
      </c>
      <c r="H3072" t="s">
        <v>29</v>
      </c>
      <c r="I3072" t="s">
        <v>159</v>
      </c>
      <c r="J3072" t="s">
        <v>103</v>
      </c>
      <c r="K3072">
        <v>25</v>
      </c>
      <c r="L3072">
        <v>19200</v>
      </c>
      <c r="M3072">
        <v>480000</v>
      </c>
      <c r="N3072" t="s">
        <v>95</v>
      </c>
      <c r="O3072" t="s">
        <v>104</v>
      </c>
    </row>
    <row r="3073" spans="1:15" x14ac:dyDescent="0.25">
      <c r="A3073">
        <v>446</v>
      </c>
      <c r="B3073" s="10">
        <v>45673</v>
      </c>
      <c r="C3073">
        <v>16</v>
      </c>
      <c r="D3073" t="s">
        <v>130</v>
      </c>
      <c r="E3073" t="s">
        <v>142</v>
      </c>
      <c r="F3073" t="s">
        <v>122</v>
      </c>
      <c r="G3073" t="s">
        <v>114</v>
      </c>
      <c r="H3073" t="s">
        <v>29</v>
      </c>
      <c r="I3073" t="s">
        <v>159</v>
      </c>
      <c r="J3073" t="s">
        <v>103</v>
      </c>
      <c r="K3073">
        <v>15</v>
      </c>
      <c r="L3073">
        <v>19300</v>
      </c>
      <c r="M3073">
        <v>289500</v>
      </c>
      <c r="N3073" t="s">
        <v>95</v>
      </c>
      <c r="O3073" t="s">
        <v>104</v>
      </c>
    </row>
    <row r="3074" spans="1:15" x14ac:dyDescent="0.25">
      <c r="A3074">
        <v>909</v>
      </c>
      <c r="B3074" s="10">
        <v>45660</v>
      </c>
      <c r="C3074">
        <v>3</v>
      </c>
      <c r="D3074" t="s">
        <v>130</v>
      </c>
      <c r="E3074" t="s">
        <v>161</v>
      </c>
      <c r="F3074" t="s">
        <v>28</v>
      </c>
      <c r="G3074" t="s">
        <v>126</v>
      </c>
      <c r="H3074" t="s">
        <v>29</v>
      </c>
      <c r="I3074" t="s">
        <v>159</v>
      </c>
      <c r="J3074" t="s">
        <v>103</v>
      </c>
      <c r="K3074">
        <v>28</v>
      </c>
      <c r="L3074">
        <v>19300</v>
      </c>
      <c r="M3074">
        <v>540400</v>
      </c>
      <c r="N3074" t="s">
        <v>95</v>
      </c>
      <c r="O3074" t="s">
        <v>115</v>
      </c>
    </row>
    <row r="3075" spans="1:15" x14ac:dyDescent="0.25">
      <c r="A3075">
        <v>1514</v>
      </c>
      <c r="B3075" s="10">
        <v>45730</v>
      </c>
      <c r="C3075">
        <v>14</v>
      </c>
      <c r="D3075" t="s">
        <v>140</v>
      </c>
      <c r="E3075" t="s">
        <v>25</v>
      </c>
      <c r="F3075" t="s">
        <v>49</v>
      </c>
      <c r="G3075" t="s">
        <v>118</v>
      </c>
      <c r="H3075" t="s">
        <v>92</v>
      </c>
      <c r="I3075" t="s">
        <v>135</v>
      </c>
      <c r="J3075" t="s">
        <v>103</v>
      </c>
      <c r="K3075">
        <v>12</v>
      </c>
      <c r="L3075">
        <v>19300</v>
      </c>
      <c r="M3075">
        <v>231600</v>
      </c>
      <c r="N3075" t="s">
        <v>95</v>
      </c>
      <c r="O3075" t="s">
        <v>115</v>
      </c>
    </row>
    <row r="3076" spans="1:15" x14ac:dyDescent="0.25">
      <c r="A3076">
        <v>1703</v>
      </c>
      <c r="B3076" s="10">
        <v>45807</v>
      </c>
      <c r="C3076">
        <v>30</v>
      </c>
      <c r="D3076" t="s">
        <v>120</v>
      </c>
      <c r="E3076" t="s">
        <v>116</v>
      </c>
      <c r="F3076" t="s">
        <v>99</v>
      </c>
      <c r="G3076" t="s">
        <v>100</v>
      </c>
      <c r="H3076" t="s">
        <v>29</v>
      </c>
      <c r="I3076" t="s">
        <v>159</v>
      </c>
      <c r="J3076" t="s">
        <v>103</v>
      </c>
      <c r="K3076">
        <v>35</v>
      </c>
      <c r="L3076">
        <v>19300</v>
      </c>
      <c r="M3076">
        <v>675500</v>
      </c>
      <c r="N3076" t="s">
        <v>108</v>
      </c>
      <c r="O3076" t="s">
        <v>96</v>
      </c>
    </row>
    <row r="3077" spans="1:15" x14ac:dyDescent="0.25">
      <c r="A3077">
        <v>2670</v>
      </c>
      <c r="B3077" s="10">
        <v>45947</v>
      </c>
      <c r="C3077">
        <v>17</v>
      </c>
      <c r="D3077" t="s">
        <v>136</v>
      </c>
      <c r="E3077" t="s">
        <v>98</v>
      </c>
      <c r="F3077" t="s">
        <v>113</v>
      </c>
      <c r="G3077" t="s">
        <v>114</v>
      </c>
      <c r="H3077" t="s">
        <v>29</v>
      </c>
      <c r="I3077" t="s">
        <v>159</v>
      </c>
      <c r="J3077" t="s">
        <v>103</v>
      </c>
      <c r="K3077">
        <v>19</v>
      </c>
      <c r="L3077">
        <v>19300</v>
      </c>
      <c r="M3077">
        <v>366700</v>
      </c>
      <c r="N3077" t="s">
        <v>108</v>
      </c>
      <c r="O3077" t="s">
        <v>104</v>
      </c>
    </row>
    <row r="3078" spans="1:15" x14ac:dyDescent="0.25">
      <c r="A3078">
        <v>2621</v>
      </c>
      <c r="B3078" s="10">
        <v>45885</v>
      </c>
      <c r="C3078">
        <v>16</v>
      </c>
      <c r="D3078" t="s">
        <v>109</v>
      </c>
      <c r="E3078" t="s">
        <v>133</v>
      </c>
      <c r="F3078" t="s">
        <v>151</v>
      </c>
      <c r="G3078" t="s">
        <v>111</v>
      </c>
      <c r="H3078" t="s">
        <v>29</v>
      </c>
      <c r="I3078" t="s">
        <v>159</v>
      </c>
      <c r="J3078" t="s">
        <v>103</v>
      </c>
      <c r="K3078">
        <v>30</v>
      </c>
      <c r="L3078">
        <v>19400</v>
      </c>
      <c r="M3078">
        <v>582000</v>
      </c>
      <c r="N3078" t="s">
        <v>108</v>
      </c>
      <c r="O3078" t="s">
        <v>115</v>
      </c>
    </row>
    <row r="3079" spans="1:15" x14ac:dyDescent="0.25">
      <c r="A3079">
        <v>143</v>
      </c>
      <c r="B3079" s="10">
        <v>45771</v>
      </c>
      <c r="C3079">
        <v>24</v>
      </c>
      <c r="D3079" t="s">
        <v>105</v>
      </c>
      <c r="E3079" t="s">
        <v>98</v>
      </c>
      <c r="F3079" t="s">
        <v>28</v>
      </c>
      <c r="G3079" t="s">
        <v>126</v>
      </c>
      <c r="H3079" t="s">
        <v>92</v>
      </c>
      <c r="I3079" t="s">
        <v>135</v>
      </c>
      <c r="J3079" t="s">
        <v>103</v>
      </c>
      <c r="K3079">
        <v>46</v>
      </c>
      <c r="L3079">
        <v>19500</v>
      </c>
      <c r="M3079">
        <v>897000</v>
      </c>
      <c r="N3079" t="s">
        <v>108</v>
      </c>
      <c r="O3079" t="s">
        <v>104</v>
      </c>
    </row>
    <row r="3080" spans="1:15" x14ac:dyDescent="0.25">
      <c r="A3080">
        <v>1155</v>
      </c>
      <c r="B3080" s="10">
        <v>45931</v>
      </c>
      <c r="C3080">
        <v>1</v>
      </c>
      <c r="D3080" t="s">
        <v>136</v>
      </c>
      <c r="E3080" t="s">
        <v>161</v>
      </c>
      <c r="F3080" t="s">
        <v>134</v>
      </c>
      <c r="G3080" t="s">
        <v>100</v>
      </c>
      <c r="H3080" t="s">
        <v>29</v>
      </c>
      <c r="I3080" t="s">
        <v>30</v>
      </c>
      <c r="J3080" t="s">
        <v>94</v>
      </c>
      <c r="K3080">
        <v>5</v>
      </c>
      <c r="L3080">
        <v>19500</v>
      </c>
      <c r="M3080">
        <v>97500</v>
      </c>
      <c r="N3080" t="s">
        <v>95</v>
      </c>
      <c r="O3080" t="s">
        <v>115</v>
      </c>
    </row>
    <row r="3081" spans="1:15" x14ac:dyDescent="0.25">
      <c r="A3081">
        <v>1257</v>
      </c>
      <c r="B3081" s="10">
        <v>45698</v>
      </c>
      <c r="C3081">
        <v>10</v>
      </c>
      <c r="D3081" t="s">
        <v>97</v>
      </c>
      <c r="E3081" t="s">
        <v>31</v>
      </c>
      <c r="F3081" t="s">
        <v>99</v>
      </c>
      <c r="G3081" t="s">
        <v>100</v>
      </c>
      <c r="H3081" t="s">
        <v>29</v>
      </c>
      <c r="I3081" t="s">
        <v>30</v>
      </c>
      <c r="J3081" t="s">
        <v>94</v>
      </c>
      <c r="K3081">
        <v>10</v>
      </c>
      <c r="L3081">
        <v>19500</v>
      </c>
      <c r="M3081">
        <v>195000</v>
      </c>
      <c r="N3081" t="s">
        <v>95</v>
      </c>
      <c r="O3081" t="s">
        <v>104</v>
      </c>
    </row>
    <row r="3082" spans="1:15" x14ac:dyDescent="0.25">
      <c r="A3082">
        <v>1772</v>
      </c>
      <c r="B3082" s="10">
        <v>45724</v>
      </c>
      <c r="C3082">
        <v>8</v>
      </c>
      <c r="D3082" t="s">
        <v>140</v>
      </c>
      <c r="E3082" t="s">
        <v>112</v>
      </c>
      <c r="F3082" t="s">
        <v>36</v>
      </c>
      <c r="G3082" t="s">
        <v>100</v>
      </c>
      <c r="H3082" t="s">
        <v>29</v>
      </c>
      <c r="I3082" t="s">
        <v>30</v>
      </c>
      <c r="J3082" t="s">
        <v>94</v>
      </c>
      <c r="K3082">
        <v>7</v>
      </c>
      <c r="L3082">
        <v>19500</v>
      </c>
      <c r="M3082">
        <v>136500</v>
      </c>
      <c r="N3082" t="s">
        <v>108</v>
      </c>
      <c r="O3082" t="s">
        <v>96</v>
      </c>
    </row>
    <row r="3083" spans="1:15" x14ac:dyDescent="0.25">
      <c r="A3083">
        <v>2058</v>
      </c>
      <c r="B3083" s="10">
        <v>45926</v>
      </c>
      <c r="C3083">
        <v>26</v>
      </c>
      <c r="D3083" t="s">
        <v>147</v>
      </c>
      <c r="E3083" t="s">
        <v>128</v>
      </c>
      <c r="F3083" t="s">
        <v>134</v>
      </c>
      <c r="G3083" t="s">
        <v>100</v>
      </c>
      <c r="H3083" t="s">
        <v>29</v>
      </c>
      <c r="I3083" t="s">
        <v>159</v>
      </c>
      <c r="J3083" t="s">
        <v>103</v>
      </c>
      <c r="K3083">
        <v>13</v>
      </c>
      <c r="L3083">
        <v>19500</v>
      </c>
      <c r="M3083">
        <v>253500</v>
      </c>
      <c r="N3083" t="s">
        <v>95</v>
      </c>
      <c r="O3083" t="s">
        <v>104</v>
      </c>
    </row>
    <row r="3084" spans="1:15" x14ac:dyDescent="0.25">
      <c r="A3084">
        <v>3924</v>
      </c>
      <c r="B3084" s="10">
        <v>45955</v>
      </c>
      <c r="C3084">
        <v>25</v>
      </c>
      <c r="D3084" t="s">
        <v>136</v>
      </c>
      <c r="E3084" t="s">
        <v>112</v>
      </c>
      <c r="F3084" t="s">
        <v>134</v>
      </c>
      <c r="G3084" t="s">
        <v>100</v>
      </c>
      <c r="H3084" t="s">
        <v>92</v>
      </c>
      <c r="I3084" t="s">
        <v>135</v>
      </c>
      <c r="J3084" t="s">
        <v>103</v>
      </c>
      <c r="K3084">
        <v>36</v>
      </c>
      <c r="L3084">
        <v>19500</v>
      </c>
      <c r="M3084">
        <v>702000</v>
      </c>
      <c r="N3084" t="s">
        <v>108</v>
      </c>
      <c r="O3084" t="s">
        <v>115</v>
      </c>
    </row>
    <row r="3085" spans="1:15" x14ac:dyDescent="0.25">
      <c r="A3085">
        <v>374</v>
      </c>
      <c r="B3085" s="10">
        <v>45830</v>
      </c>
      <c r="C3085">
        <v>22</v>
      </c>
      <c r="D3085" t="s">
        <v>153</v>
      </c>
      <c r="E3085" t="s">
        <v>137</v>
      </c>
      <c r="F3085" t="s">
        <v>148</v>
      </c>
      <c r="G3085" t="s">
        <v>118</v>
      </c>
      <c r="H3085" t="s">
        <v>29</v>
      </c>
      <c r="I3085" t="s">
        <v>159</v>
      </c>
      <c r="J3085" t="s">
        <v>103</v>
      </c>
      <c r="K3085">
        <v>26</v>
      </c>
      <c r="L3085">
        <v>19600</v>
      </c>
      <c r="M3085">
        <v>509600</v>
      </c>
      <c r="N3085" t="s">
        <v>95</v>
      </c>
      <c r="O3085" t="s">
        <v>104</v>
      </c>
    </row>
    <row r="3086" spans="1:15" x14ac:dyDescent="0.25">
      <c r="A3086">
        <v>394</v>
      </c>
      <c r="B3086" s="10">
        <v>46015</v>
      </c>
      <c r="C3086">
        <v>24</v>
      </c>
      <c r="D3086" t="s">
        <v>125</v>
      </c>
      <c r="E3086" t="s">
        <v>142</v>
      </c>
      <c r="F3086" t="s">
        <v>99</v>
      </c>
      <c r="G3086" t="s">
        <v>100</v>
      </c>
      <c r="H3086" t="s">
        <v>29</v>
      </c>
      <c r="I3086" t="s">
        <v>30</v>
      </c>
      <c r="J3086" t="s">
        <v>94</v>
      </c>
      <c r="K3086">
        <v>2</v>
      </c>
      <c r="L3086">
        <v>19600</v>
      </c>
      <c r="M3086">
        <v>39200</v>
      </c>
      <c r="N3086" t="s">
        <v>108</v>
      </c>
      <c r="O3086" t="s">
        <v>104</v>
      </c>
    </row>
    <row r="3087" spans="1:15" x14ac:dyDescent="0.25">
      <c r="A3087">
        <v>1099</v>
      </c>
      <c r="B3087" s="10">
        <v>45757</v>
      </c>
      <c r="C3087">
        <v>10</v>
      </c>
      <c r="D3087" t="s">
        <v>105</v>
      </c>
      <c r="E3087" t="s">
        <v>128</v>
      </c>
      <c r="F3087" t="s">
        <v>148</v>
      </c>
      <c r="G3087" t="s">
        <v>118</v>
      </c>
      <c r="H3087" t="s">
        <v>29</v>
      </c>
      <c r="I3087" t="s">
        <v>159</v>
      </c>
      <c r="J3087" t="s">
        <v>103</v>
      </c>
      <c r="K3087">
        <v>27</v>
      </c>
      <c r="L3087">
        <v>19600</v>
      </c>
      <c r="M3087">
        <v>529200</v>
      </c>
      <c r="N3087" t="s">
        <v>108</v>
      </c>
      <c r="O3087" t="s">
        <v>115</v>
      </c>
    </row>
    <row r="3088" spans="1:15" x14ac:dyDescent="0.25">
      <c r="A3088">
        <v>1569</v>
      </c>
      <c r="B3088" s="10">
        <v>45776</v>
      </c>
      <c r="C3088">
        <v>29</v>
      </c>
      <c r="D3088" t="s">
        <v>105</v>
      </c>
      <c r="E3088" t="s">
        <v>128</v>
      </c>
      <c r="F3088" t="s">
        <v>44</v>
      </c>
      <c r="G3088" t="s">
        <v>111</v>
      </c>
      <c r="H3088" t="s">
        <v>92</v>
      </c>
      <c r="I3088" t="s">
        <v>135</v>
      </c>
      <c r="J3088" t="s">
        <v>103</v>
      </c>
      <c r="K3088">
        <v>45</v>
      </c>
      <c r="L3088">
        <v>19600</v>
      </c>
      <c r="M3088">
        <v>882000</v>
      </c>
      <c r="N3088" t="s">
        <v>108</v>
      </c>
      <c r="O3088" t="s">
        <v>96</v>
      </c>
    </row>
    <row r="3089" spans="1:15" x14ac:dyDescent="0.25">
      <c r="A3089">
        <v>2312</v>
      </c>
      <c r="B3089" s="10">
        <v>45904</v>
      </c>
      <c r="C3089">
        <v>4</v>
      </c>
      <c r="D3089" t="s">
        <v>147</v>
      </c>
      <c r="E3089" t="s">
        <v>110</v>
      </c>
      <c r="F3089" t="s">
        <v>151</v>
      </c>
      <c r="G3089" t="s">
        <v>111</v>
      </c>
      <c r="H3089" t="s">
        <v>29</v>
      </c>
      <c r="I3089" t="s">
        <v>30</v>
      </c>
      <c r="J3089" t="s">
        <v>94</v>
      </c>
      <c r="K3089">
        <v>9</v>
      </c>
      <c r="L3089">
        <v>19600</v>
      </c>
      <c r="M3089">
        <v>176400</v>
      </c>
      <c r="N3089" t="s">
        <v>108</v>
      </c>
      <c r="O3089" t="s">
        <v>96</v>
      </c>
    </row>
    <row r="3090" spans="1:15" x14ac:dyDescent="0.25">
      <c r="A3090">
        <v>3843</v>
      </c>
      <c r="B3090" s="10">
        <v>45978</v>
      </c>
      <c r="C3090">
        <v>17</v>
      </c>
      <c r="D3090" t="s">
        <v>90</v>
      </c>
      <c r="E3090" t="s">
        <v>128</v>
      </c>
      <c r="F3090" t="s">
        <v>122</v>
      </c>
      <c r="G3090" t="s">
        <v>114</v>
      </c>
      <c r="H3090" t="s">
        <v>29</v>
      </c>
      <c r="I3090" t="s">
        <v>159</v>
      </c>
      <c r="J3090" t="s">
        <v>103</v>
      </c>
      <c r="K3090">
        <v>7</v>
      </c>
      <c r="L3090">
        <v>19600</v>
      </c>
      <c r="M3090">
        <v>137200</v>
      </c>
      <c r="N3090" t="s">
        <v>95</v>
      </c>
      <c r="O3090" t="s">
        <v>104</v>
      </c>
    </row>
    <row r="3091" spans="1:15" x14ac:dyDescent="0.25">
      <c r="A3091">
        <v>3919</v>
      </c>
      <c r="B3091" s="10">
        <v>45858</v>
      </c>
      <c r="C3091">
        <v>20</v>
      </c>
      <c r="D3091" t="s">
        <v>145</v>
      </c>
      <c r="E3091" t="s">
        <v>116</v>
      </c>
      <c r="F3091" t="s">
        <v>107</v>
      </c>
      <c r="G3091" t="s">
        <v>100</v>
      </c>
      <c r="H3091" t="s">
        <v>29</v>
      </c>
      <c r="I3091" t="s">
        <v>159</v>
      </c>
      <c r="J3091" t="s">
        <v>103</v>
      </c>
      <c r="K3091">
        <v>18</v>
      </c>
      <c r="L3091">
        <v>19600</v>
      </c>
      <c r="M3091">
        <v>352800</v>
      </c>
      <c r="N3091" t="s">
        <v>95</v>
      </c>
      <c r="O3091" t="s">
        <v>115</v>
      </c>
    </row>
    <row r="3092" spans="1:15" x14ac:dyDescent="0.25">
      <c r="A3092">
        <v>4114</v>
      </c>
      <c r="B3092" s="10">
        <v>45931</v>
      </c>
      <c r="C3092">
        <v>1</v>
      </c>
      <c r="D3092" t="s">
        <v>136</v>
      </c>
      <c r="E3092" t="s">
        <v>138</v>
      </c>
      <c r="F3092" t="s">
        <v>144</v>
      </c>
      <c r="G3092" t="s">
        <v>91</v>
      </c>
      <c r="H3092" t="s">
        <v>92</v>
      </c>
      <c r="I3092" t="s">
        <v>135</v>
      </c>
      <c r="J3092" t="s">
        <v>103</v>
      </c>
      <c r="K3092">
        <v>11</v>
      </c>
      <c r="L3092">
        <v>19600</v>
      </c>
      <c r="M3092">
        <v>215600</v>
      </c>
      <c r="N3092" t="s">
        <v>95</v>
      </c>
      <c r="O3092" t="s">
        <v>115</v>
      </c>
    </row>
    <row r="3093" spans="1:15" x14ac:dyDescent="0.25">
      <c r="A3093">
        <v>4622</v>
      </c>
      <c r="B3093" s="10">
        <v>46007</v>
      </c>
      <c r="C3093">
        <v>16</v>
      </c>
      <c r="D3093" t="s">
        <v>125</v>
      </c>
      <c r="E3093" t="s">
        <v>133</v>
      </c>
      <c r="F3093" t="s">
        <v>49</v>
      </c>
      <c r="G3093" t="s">
        <v>118</v>
      </c>
      <c r="H3093" t="s">
        <v>29</v>
      </c>
      <c r="I3093" t="s">
        <v>30</v>
      </c>
      <c r="J3093" t="s">
        <v>94</v>
      </c>
      <c r="K3093">
        <v>3</v>
      </c>
      <c r="L3093">
        <v>19600</v>
      </c>
      <c r="M3093">
        <v>58800</v>
      </c>
      <c r="N3093" t="s">
        <v>108</v>
      </c>
      <c r="O3093" t="s">
        <v>104</v>
      </c>
    </row>
    <row r="3094" spans="1:15" x14ac:dyDescent="0.25">
      <c r="A3094">
        <v>45</v>
      </c>
      <c r="B3094" s="10">
        <v>45984</v>
      </c>
      <c r="C3094">
        <v>23</v>
      </c>
      <c r="D3094" t="s">
        <v>90</v>
      </c>
      <c r="E3094" t="s">
        <v>116</v>
      </c>
      <c r="F3094" t="s">
        <v>36</v>
      </c>
      <c r="G3094" t="s">
        <v>100</v>
      </c>
      <c r="H3094" t="s">
        <v>92</v>
      </c>
      <c r="I3094" t="s">
        <v>135</v>
      </c>
      <c r="J3094" t="s">
        <v>103</v>
      </c>
      <c r="K3094">
        <v>40</v>
      </c>
      <c r="L3094">
        <v>19700</v>
      </c>
      <c r="M3094">
        <v>788000</v>
      </c>
      <c r="N3094" t="s">
        <v>95</v>
      </c>
      <c r="O3094" t="s">
        <v>104</v>
      </c>
    </row>
    <row r="3095" spans="1:15" x14ac:dyDescent="0.25">
      <c r="A3095">
        <v>486</v>
      </c>
      <c r="B3095" s="10">
        <v>45757</v>
      </c>
      <c r="C3095">
        <v>10</v>
      </c>
      <c r="D3095" t="s">
        <v>105</v>
      </c>
      <c r="E3095" t="s">
        <v>137</v>
      </c>
      <c r="F3095" t="s">
        <v>28</v>
      </c>
      <c r="G3095" t="s">
        <v>126</v>
      </c>
      <c r="H3095" t="s">
        <v>92</v>
      </c>
      <c r="I3095" t="s">
        <v>135</v>
      </c>
      <c r="J3095" t="s">
        <v>103</v>
      </c>
      <c r="K3095">
        <v>31</v>
      </c>
      <c r="L3095">
        <v>19700</v>
      </c>
      <c r="M3095">
        <v>610700</v>
      </c>
      <c r="N3095" t="s">
        <v>95</v>
      </c>
      <c r="O3095" t="s">
        <v>104</v>
      </c>
    </row>
    <row r="3096" spans="1:15" x14ac:dyDescent="0.25">
      <c r="A3096">
        <v>2716</v>
      </c>
      <c r="B3096" s="10">
        <v>45676</v>
      </c>
      <c r="C3096">
        <v>19</v>
      </c>
      <c r="D3096" t="s">
        <v>130</v>
      </c>
      <c r="E3096" t="s">
        <v>112</v>
      </c>
      <c r="F3096" t="s">
        <v>122</v>
      </c>
      <c r="G3096" t="s">
        <v>114</v>
      </c>
      <c r="H3096" t="s">
        <v>29</v>
      </c>
      <c r="I3096" t="s">
        <v>159</v>
      </c>
      <c r="J3096" t="s">
        <v>94</v>
      </c>
      <c r="K3096">
        <v>6</v>
      </c>
      <c r="L3096">
        <v>19700</v>
      </c>
      <c r="M3096">
        <v>118200</v>
      </c>
      <c r="N3096" t="s">
        <v>95</v>
      </c>
      <c r="O3096" t="s">
        <v>96</v>
      </c>
    </row>
    <row r="3097" spans="1:15" x14ac:dyDescent="0.25">
      <c r="A3097">
        <v>3625</v>
      </c>
      <c r="B3097" s="10">
        <v>45804</v>
      </c>
      <c r="C3097">
        <v>27</v>
      </c>
      <c r="D3097" t="s">
        <v>120</v>
      </c>
      <c r="E3097" t="s">
        <v>98</v>
      </c>
      <c r="F3097" t="s">
        <v>44</v>
      </c>
      <c r="G3097" t="s">
        <v>111</v>
      </c>
      <c r="H3097" t="s">
        <v>29</v>
      </c>
      <c r="I3097" t="s">
        <v>30</v>
      </c>
      <c r="J3097" t="s">
        <v>94</v>
      </c>
      <c r="K3097">
        <v>5</v>
      </c>
      <c r="L3097">
        <v>19700</v>
      </c>
      <c r="M3097">
        <v>98500</v>
      </c>
      <c r="N3097" t="s">
        <v>95</v>
      </c>
      <c r="O3097" t="s">
        <v>115</v>
      </c>
    </row>
    <row r="3098" spans="1:15" x14ac:dyDescent="0.25">
      <c r="A3098">
        <v>4462</v>
      </c>
      <c r="B3098" s="10">
        <v>45865</v>
      </c>
      <c r="C3098">
        <v>27</v>
      </c>
      <c r="D3098" t="s">
        <v>145</v>
      </c>
      <c r="E3098" t="s">
        <v>110</v>
      </c>
      <c r="F3098" t="s">
        <v>113</v>
      </c>
      <c r="G3098" t="s">
        <v>114</v>
      </c>
      <c r="H3098" t="s">
        <v>29</v>
      </c>
      <c r="I3098" t="s">
        <v>30</v>
      </c>
      <c r="J3098" t="s">
        <v>94</v>
      </c>
      <c r="K3098">
        <v>2</v>
      </c>
      <c r="L3098">
        <v>19700</v>
      </c>
      <c r="M3098">
        <v>39400</v>
      </c>
      <c r="N3098" t="s">
        <v>108</v>
      </c>
      <c r="O3098" t="s">
        <v>115</v>
      </c>
    </row>
    <row r="3099" spans="1:15" x14ac:dyDescent="0.25">
      <c r="A3099">
        <v>503</v>
      </c>
      <c r="B3099" s="10">
        <v>45912</v>
      </c>
      <c r="C3099">
        <v>12</v>
      </c>
      <c r="D3099" t="s">
        <v>147</v>
      </c>
      <c r="E3099" t="s">
        <v>128</v>
      </c>
      <c r="F3099" t="s">
        <v>49</v>
      </c>
      <c r="G3099" t="s">
        <v>118</v>
      </c>
      <c r="H3099" t="s">
        <v>92</v>
      </c>
      <c r="I3099" t="s">
        <v>135</v>
      </c>
      <c r="J3099" t="s">
        <v>103</v>
      </c>
      <c r="K3099">
        <v>20</v>
      </c>
      <c r="L3099">
        <v>19800</v>
      </c>
      <c r="M3099">
        <v>396000</v>
      </c>
      <c r="N3099" t="s">
        <v>95</v>
      </c>
      <c r="O3099" t="s">
        <v>104</v>
      </c>
    </row>
    <row r="3100" spans="1:15" x14ac:dyDescent="0.25">
      <c r="A3100">
        <v>1192</v>
      </c>
      <c r="B3100" s="10">
        <v>45795</v>
      </c>
      <c r="C3100">
        <v>18</v>
      </c>
      <c r="D3100" t="s">
        <v>120</v>
      </c>
      <c r="E3100" t="s">
        <v>161</v>
      </c>
      <c r="F3100" t="s">
        <v>49</v>
      </c>
      <c r="G3100" t="s">
        <v>118</v>
      </c>
      <c r="H3100" t="s">
        <v>92</v>
      </c>
      <c r="I3100" t="s">
        <v>135</v>
      </c>
      <c r="J3100" t="s">
        <v>103</v>
      </c>
      <c r="K3100">
        <v>5</v>
      </c>
      <c r="L3100">
        <v>19800</v>
      </c>
      <c r="M3100">
        <v>99000</v>
      </c>
      <c r="N3100" t="s">
        <v>95</v>
      </c>
      <c r="O3100" t="s">
        <v>115</v>
      </c>
    </row>
    <row r="3101" spans="1:15" x14ac:dyDescent="0.25">
      <c r="A3101">
        <v>1471</v>
      </c>
      <c r="B3101" s="10">
        <v>45865</v>
      </c>
      <c r="C3101">
        <v>27</v>
      </c>
      <c r="D3101" t="s">
        <v>145</v>
      </c>
      <c r="E3101" t="s">
        <v>133</v>
      </c>
      <c r="F3101" t="s">
        <v>36</v>
      </c>
      <c r="G3101" t="s">
        <v>100</v>
      </c>
      <c r="H3101" t="s">
        <v>29</v>
      </c>
      <c r="I3101" t="s">
        <v>159</v>
      </c>
      <c r="J3101" t="s">
        <v>103</v>
      </c>
      <c r="K3101">
        <v>44</v>
      </c>
      <c r="L3101">
        <v>19800</v>
      </c>
      <c r="M3101">
        <v>871200</v>
      </c>
      <c r="N3101" t="s">
        <v>108</v>
      </c>
      <c r="O3101" t="s">
        <v>96</v>
      </c>
    </row>
    <row r="3102" spans="1:15" x14ac:dyDescent="0.25">
      <c r="A3102">
        <v>3083</v>
      </c>
      <c r="B3102" s="10">
        <v>45901</v>
      </c>
      <c r="C3102">
        <v>1</v>
      </c>
      <c r="D3102" t="s">
        <v>147</v>
      </c>
      <c r="E3102" t="s">
        <v>128</v>
      </c>
      <c r="F3102" t="s">
        <v>99</v>
      </c>
      <c r="G3102" t="s">
        <v>100</v>
      </c>
      <c r="H3102" t="s">
        <v>29</v>
      </c>
      <c r="I3102" t="s">
        <v>159</v>
      </c>
      <c r="J3102" t="s">
        <v>94</v>
      </c>
      <c r="K3102">
        <v>1</v>
      </c>
      <c r="L3102">
        <v>19800</v>
      </c>
      <c r="M3102">
        <v>19800</v>
      </c>
      <c r="N3102" t="s">
        <v>108</v>
      </c>
      <c r="O3102" t="s">
        <v>115</v>
      </c>
    </row>
    <row r="3103" spans="1:15" x14ac:dyDescent="0.25">
      <c r="A3103">
        <v>3337</v>
      </c>
      <c r="B3103" s="10">
        <v>46014</v>
      </c>
      <c r="C3103">
        <v>23</v>
      </c>
      <c r="D3103" t="s">
        <v>125</v>
      </c>
      <c r="E3103" t="s">
        <v>31</v>
      </c>
      <c r="F3103" t="s">
        <v>113</v>
      </c>
      <c r="G3103" t="s">
        <v>114</v>
      </c>
      <c r="H3103" t="s">
        <v>92</v>
      </c>
      <c r="I3103" t="s">
        <v>135</v>
      </c>
      <c r="J3103" t="s">
        <v>103</v>
      </c>
      <c r="K3103">
        <v>42</v>
      </c>
      <c r="L3103">
        <v>19800</v>
      </c>
      <c r="M3103">
        <v>831600</v>
      </c>
      <c r="N3103" t="s">
        <v>95</v>
      </c>
      <c r="O3103" t="s">
        <v>104</v>
      </c>
    </row>
    <row r="3104" spans="1:15" x14ac:dyDescent="0.25">
      <c r="A3104">
        <v>4647</v>
      </c>
      <c r="B3104" s="10">
        <v>45736</v>
      </c>
      <c r="C3104">
        <v>20</v>
      </c>
      <c r="D3104" t="s">
        <v>140</v>
      </c>
      <c r="E3104" t="s">
        <v>133</v>
      </c>
      <c r="F3104" t="s">
        <v>36</v>
      </c>
      <c r="G3104" t="s">
        <v>100</v>
      </c>
      <c r="H3104" t="s">
        <v>92</v>
      </c>
      <c r="I3104" t="s">
        <v>135</v>
      </c>
      <c r="J3104" t="s">
        <v>103</v>
      </c>
      <c r="K3104">
        <v>28</v>
      </c>
      <c r="L3104">
        <v>19800</v>
      </c>
      <c r="M3104">
        <v>554400</v>
      </c>
      <c r="N3104" t="s">
        <v>95</v>
      </c>
      <c r="O3104" t="s">
        <v>104</v>
      </c>
    </row>
    <row r="3105" spans="1:15" x14ac:dyDescent="0.25">
      <c r="A3105">
        <v>140</v>
      </c>
      <c r="B3105" s="10">
        <v>45730</v>
      </c>
      <c r="C3105">
        <v>14</v>
      </c>
      <c r="D3105" t="s">
        <v>140</v>
      </c>
      <c r="E3105" t="s">
        <v>112</v>
      </c>
      <c r="F3105" t="s">
        <v>49</v>
      </c>
      <c r="G3105" t="s">
        <v>118</v>
      </c>
      <c r="H3105" t="s">
        <v>92</v>
      </c>
      <c r="I3105" t="s">
        <v>135</v>
      </c>
      <c r="J3105" t="s">
        <v>103</v>
      </c>
      <c r="K3105">
        <v>10</v>
      </c>
      <c r="L3105">
        <v>19900</v>
      </c>
      <c r="M3105">
        <v>199000</v>
      </c>
      <c r="N3105" t="s">
        <v>108</v>
      </c>
      <c r="O3105" t="s">
        <v>104</v>
      </c>
    </row>
    <row r="3106" spans="1:15" x14ac:dyDescent="0.25">
      <c r="A3106">
        <v>1024</v>
      </c>
      <c r="B3106" s="10">
        <v>45679</v>
      </c>
      <c r="C3106">
        <v>22</v>
      </c>
      <c r="D3106" t="s">
        <v>130</v>
      </c>
      <c r="E3106" t="s">
        <v>137</v>
      </c>
      <c r="F3106" t="s">
        <v>28</v>
      </c>
      <c r="G3106" t="s">
        <v>126</v>
      </c>
      <c r="H3106" t="s">
        <v>29</v>
      </c>
      <c r="I3106" t="s">
        <v>30</v>
      </c>
      <c r="J3106" t="s">
        <v>94</v>
      </c>
      <c r="K3106">
        <v>6</v>
      </c>
      <c r="L3106">
        <v>19900</v>
      </c>
      <c r="M3106">
        <v>119400</v>
      </c>
      <c r="N3106" t="s">
        <v>95</v>
      </c>
      <c r="O3106" t="s">
        <v>96</v>
      </c>
    </row>
    <row r="3107" spans="1:15" x14ac:dyDescent="0.25">
      <c r="A3107">
        <v>1411</v>
      </c>
      <c r="B3107" s="10">
        <v>45719</v>
      </c>
      <c r="C3107">
        <v>3</v>
      </c>
      <c r="D3107" t="s">
        <v>140</v>
      </c>
      <c r="E3107" t="s">
        <v>31</v>
      </c>
      <c r="F3107" t="s">
        <v>151</v>
      </c>
      <c r="G3107" t="s">
        <v>111</v>
      </c>
      <c r="H3107" t="s">
        <v>29</v>
      </c>
      <c r="I3107" t="s">
        <v>159</v>
      </c>
      <c r="J3107" t="s">
        <v>103</v>
      </c>
      <c r="K3107">
        <v>42</v>
      </c>
      <c r="L3107">
        <v>19900</v>
      </c>
      <c r="M3107">
        <v>835800</v>
      </c>
      <c r="N3107" t="s">
        <v>108</v>
      </c>
      <c r="O3107" t="s">
        <v>104</v>
      </c>
    </row>
    <row r="3108" spans="1:15" x14ac:dyDescent="0.25">
      <c r="A3108">
        <v>2827</v>
      </c>
      <c r="B3108" s="10">
        <v>45912</v>
      </c>
      <c r="C3108">
        <v>12</v>
      </c>
      <c r="D3108" t="s">
        <v>147</v>
      </c>
      <c r="E3108" t="s">
        <v>112</v>
      </c>
      <c r="F3108" t="s">
        <v>141</v>
      </c>
      <c r="G3108" t="s">
        <v>100</v>
      </c>
      <c r="H3108" t="s">
        <v>29</v>
      </c>
      <c r="I3108" t="s">
        <v>159</v>
      </c>
      <c r="J3108" t="s">
        <v>103</v>
      </c>
      <c r="K3108">
        <v>38</v>
      </c>
      <c r="L3108">
        <v>19900</v>
      </c>
      <c r="M3108">
        <v>756200</v>
      </c>
      <c r="N3108" t="s">
        <v>95</v>
      </c>
      <c r="O3108" t="s">
        <v>104</v>
      </c>
    </row>
    <row r="3109" spans="1:15" x14ac:dyDescent="0.25">
      <c r="A3109">
        <v>2998</v>
      </c>
      <c r="B3109" s="10">
        <v>45895</v>
      </c>
      <c r="C3109">
        <v>26</v>
      </c>
      <c r="D3109" t="s">
        <v>109</v>
      </c>
      <c r="E3109" t="s">
        <v>121</v>
      </c>
      <c r="F3109" t="s">
        <v>113</v>
      </c>
      <c r="G3109" t="s">
        <v>114</v>
      </c>
      <c r="H3109" t="s">
        <v>92</v>
      </c>
      <c r="I3109" t="s">
        <v>135</v>
      </c>
      <c r="J3109" t="s">
        <v>103</v>
      </c>
      <c r="K3109">
        <v>43</v>
      </c>
      <c r="L3109">
        <v>19900</v>
      </c>
      <c r="M3109">
        <v>855700</v>
      </c>
      <c r="N3109" t="s">
        <v>95</v>
      </c>
      <c r="O3109" t="s">
        <v>115</v>
      </c>
    </row>
    <row r="3110" spans="1:15" x14ac:dyDescent="0.25">
      <c r="A3110">
        <v>4085</v>
      </c>
      <c r="B3110" s="10">
        <v>45801</v>
      </c>
      <c r="C3110">
        <v>24</v>
      </c>
      <c r="D3110" t="s">
        <v>120</v>
      </c>
      <c r="E3110" t="s">
        <v>106</v>
      </c>
      <c r="F3110" t="s">
        <v>49</v>
      </c>
      <c r="G3110" t="s">
        <v>118</v>
      </c>
      <c r="H3110" t="s">
        <v>29</v>
      </c>
      <c r="I3110" t="s">
        <v>159</v>
      </c>
      <c r="J3110" t="s">
        <v>103</v>
      </c>
      <c r="K3110">
        <v>47</v>
      </c>
      <c r="L3110">
        <v>19900</v>
      </c>
      <c r="M3110">
        <v>935300</v>
      </c>
      <c r="N3110" t="s">
        <v>108</v>
      </c>
      <c r="O3110" t="s">
        <v>96</v>
      </c>
    </row>
    <row r="3111" spans="1:15" x14ac:dyDescent="0.25">
      <c r="A3111">
        <v>4418</v>
      </c>
      <c r="B3111" s="10">
        <v>45839</v>
      </c>
      <c r="C3111">
        <v>1</v>
      </c>
      <c r="D3111" t="s">
        <v>145</v>
      </c>
      <c r="E3111" t="s">
        <v>161</v>
      </c>
      <c r="F3111" t="s">
        <v>134</v>
      </c>
      <c r="G3111" t="s">
        <v>100</v>
      </c>
      <c r="H3111" t="s">
        <v>29</v>
      </c>
      <c r="I3111" t="s">
        <v>159</v>
      </c>
      <c r="J3111" t="s">
        <v>94</v>
      </c>
      <c r="K3111">
        <v>8</v>
      </c>
      <c r="L3111">
        <v>19900</v>
      </c>
      <c r="M3111">
        <v>159200</v>
      </c>
      <c r="N3111" t="s">
        <v>95</v>
      </c>
      <c r="O3111" t="s">
        <v>104</v>
      </c>
    </row>
    <row r="3112" spans="1:15" x14ac:dyDescent="0.25">
      <c r="A3112">
        <v>362</v>
      </c>
      <c r="B3112" s="10">
        <v>45807</v>
      </c>
      <c r="C3112">
        <v>30</v>
      </c>
      <c r="D3112" t="s">
        <v>120</v>
      </c>
      <c r="E3112" t="s">
        <v>25</v>
      </c>
      <c r="F3112" t="s">
        <v>44</v>
      </c>
      <c r="G3112" t="s">
        <v>111</v>
      </c>
      <c r="H3112" t="s">
        <v>29</v>
      </c>
      <c r="I3112" t="s">
        <v>159</v>
      </c>
      <c r="J3112" t="s">
        <v>103</v>
      </c>
      <c r="K3112">
        <v>15</v>
      </c>
      <c r="L3112">
        <v>20100</v>
      </c>
      <c r="M3112">
        <v>301500</v>
      </c>
      <c r="N3112" t="s">
        <v>108</v>
      </c>
      <c r="O3112" t="s">
        <v>96</v>
      </c>
    </row>
    <row r="3113" spans="1:15" x14ac:dyDescent="0.25">
      <c r="A3113">
        <v>2577</v>
      </c>
      <c r="B3113" s="10">
        <v>45938</v>
      </c>
      <c r="C3113">
        <v>8</v>
      </c>
      <c r="D3113" t="s">
        <v>136</v>
      </c>
      <c r="E3113" t="s">
        <v>142</v>
      </c>
      <c r="F3113" t="s">
        <v>148</v>
      </c>
      <c r="G3113" t="s">
        <v>118</v>
      </c>
      <c r="H3113" t="s">
        <v>29</v>
      </c>
      <c r="I3113" t="s">
        <v>159</v>
      </c>
      <c r="J3113" t="s">
        <v>103</v>
      </c>
      <c r="K3113">
        <v>16</v>
      </c>
      <c r="L3113">
        <v>20100</v>
      </c>
      <c r="M3113">
        <v>321600</v>
      </c>
      <c r="N3113" t="s">
        <v>108</v>
      </c>
      <c r="O3113" t="s">
        <v>115</v>
      </c>
    </row>
    <row r="3114" spans="1:15" x14ac:dyDescent="0.25">
      <c r="A3114">
        <v>527</v>
      </c>
      <c r="B3114" s="10">
        <v>45905</v>
      </c>
      <c r="C3114">
        <v>5</v>
      </c>
      <c r="D3114" t="s">
        <v>147</v>
      </c>
      <c r="E3114" t="s">
        <v>128</v>
      </c>
      <c r="F3114" t="s">
        <v>107</v>
      </c>
      <c r="G3114" t="s">
        <v>100</v>
      </c>
      <c r="H3114" t="s">
        <v>29</v>
      </c>
      <c r="I3114" t="s">
        <v>159</v>
      </c>
      <c r="J3114" t="s">
        <v>94</v>
      </c>
      <c r="K3114">
        <v>3</v>
      </c>
      <c r="L3114">
        <v>20200</v>
      </c>
      <c r="M3114">
        <v>60600</v>
      </c>
      <c r="N3114" t="s">
        <v>95</v>
      </c>
      <c r="O3114" t="s">
        <v>115</v>
      </c>
    </row>
    <row r="3115" spans="1:15" x14ac:dyDescent="0.25">
      <c r="A3115">
        <v>1151</v>
      </c>
      <c r="B3115" s="10">
        <v>45671</v>
      </c>
      <c r="C3115">
        <v>14</v>
      </c>
      <c r="D3115" t="s">
        <v>130</v>
      </c>
      <c r="E3115" t="s">
        <v>31</v>
      </c>
      <c r="F3115" t="s">
        <v>122</v>
      </c>
      <c r="G3115" t="s">
        <v>114</v>
      </c>
      <c r="H3115" t="s">
        <v>92</v>
      </c>
      <c r="I3115" t="s">
        <v>135</v>
      </c>
      <c r="J3115" t="s">
        <v>103</v>
      </c>
      <c r="K3115">
        <v>26</v>
      </c>
      <c r="L3115">
        <v>20200</v>
      </c>
      <c r="M3115">
        <v>525200</v>
      </c>
      <c r="N3115" t="s">
        <v>108</v>
      </c>
      <c r="O3115" t="s">
        <v>104</v>
      </c>
    </row>
    <row r="3116" spans="1:15" x14ac:dyDescent="0.25">
      <c r="A3116">
        <v>2191</v>
      </c>
      <c r="B3116" s="10">
        <v>45673</v>
      </c>
      <c r="C3116">
        <v>16</v>
      </c>
      <c r="D3116" t="s">
        <v>130</v>
      </c>
      <c r="E3116" t="s">
        <v>31</v>
      </c>
      <c r="F3116" t="s">
        <v>113</v>
      </c>
      <c r="G3116" t="s">
        <v>114</v>
      </c>
      <c r="H3116" t="s">
        <v>29</v>
      </c>
      <c r="I3116" t="s">
        <v>159</v>
      </c>
      <c r="J3116" t="s">
        <v>94</v>
      </c>
      <c r="K3116">
        <v>2</v>
      </c>
      <c r="L3116">
        <v>20200</v>
      </c>
      <c r="M3116">
        <v>40400</v>
      </c>
      <c r="N3116" t="s">
        <v>95</v>
      </c>
      <c r="O3116" t="s">
        <v>115</v>
      </c>
    </row>
    <row r="3117" spans="1:15" x14ac:dyDescent="0.25">
      <c r="A3117">
        <v>3348</v>
      </c>
      <c r="B3117" s="10">
        <v>45752</v>
      </c>
      <c r="C3117">
        <v>5</v>
      </c>
      <c r="D3117" t="s">
        <v>105</v>
      </c>
      <c r="E3117" t="s">
        <v>106</v>
      </c>
      <c r="F3117" t="s">
        <v>22</v>
      </c>
      <c r="G3117" t="s">
        <v>91</v>
      </c>
      <c r="H3117" t="s">
        <v>29</v>
      </c>
      <c r="I3117" t="s">
        <v>159</v>
      </c>
      <c r="J3117" t="s">
        <v>103</v>
      </c>
      <c r="K3117">
        <v>26</v>
      </c>
      <c r="L3117">
        <v>20200</v>
      </c>
      <c r="M3117">
        <v>525200</v>
      </c>
      <c r="N3117" t="s">
        <v>108</v>
      </c>
      <c r="O3117" t="s">
        <v>96</v>
      </c>
    </row>
    <row r="3118" spans="1:15" x14ac:dyDescent="0.25">
      <c r="A3118">
        <v>2898</v>
      </c>
      <c r="B3118" s="10">
        <v>45916</v>
      </c>
      <c r="C3118">
        <v>16</v>
      </c>
      <c r="D3118" t="s">
        <v>147</v>
      </c>
      <c r="E3118" t="s">
        <v>138</v>
      </c>
      <c r="F3118" t="s">
        <v>28</v>
      </c>
      <c r="G3118" t="s">
        <v>126</v>
      </c>
      <c r="H3118" t="s">
        <v>29</v>
      </c>
      <c r="I3118" t="s">
        <v>159</v>
      </c>
      <c r="J3118" t="s">
        <v>103</v>
      </c>
      <c r="K3118">
        <v>25</v>
      </c>
      <c r="L3118">
        <v>20300</v>
      </c>
      <c r="M3118">
        <v>507500</v>
      </c>
      <c r="N3118" t="s">
        <v>108</v>
      </c>
      <c r="O3118" t="s">
        <v>115</v>
      </c>
    </row>
    <row r="3119" spans="1:15" x14ac:dyDescent="0.25">
      <c r="A3119">
        <v>3008</v>
      </c>
      <c r="B3119" s="10">
        <v>45942</v>
      </c>
      <c r="C3119">
        <v>12</v>
      </c>
      <c r="D3119" t="s">
        <v>136</v>
      </c>
      <c r="E3119" t="s">
        <v>25</v>
      </c>
      <c r="F3119" t="s">
        <v>107</v>
      </c>
      <c r="G3119" t="s">
        <v>100</v>
      </c>
      <c r="H3119" t="s">
        <v>29</v>
      </c>
      <c r="I3119" t="s">
        <v>159</v>
      </c>
      <c r="J3119" t="s">
        <v>94</v>
      </c>
      <c r="K3119">
        <v>7</v>
      </c>
      <c r="L3119">
        <v>20300</v>
      </c>
      <c r="M3119">
        <v>142100</v>
      </c>
      <c r="N3119" t="s">
        <v>108</v>
      </c>
      <c r="O3119" t="s">
        <v>115</v>
      </c>
    </row>
    <row r="3120" spans="1:15" x14ac:dyDescent="0.25">
      <c r="A3120">
        <v>3017</v>
      </c>
      <c r="B3120" s="10">
        <v>45710</v>
      </c>
      <c r="C3120">
        <v>22</v>
      </c>
      <c r="D3120" t="s">
        <v>97</v>
      </c>
      <c r="E3120" t="s">
        <v>110</v>
      </c>
      <c r="F3120" t="s">
        <v>141</v>
      </c>
      <c r="G3120" t="s">
        <v>100</v>
      </c>
      <c r="H3120" t="s">
        <v>29</v>
      </c>
      <c r="I3120" t="s">
        <v>159</v>
      </c>
      <c r="J3120" t="s">
        <v>94</v>
      </c>
      <c r="K3120">
        <v>3</v>
      </c>
      <c r="L3120">
        <v>20300</v>
      </c>
      <c r="M3120">
        <v>60900</v>
      </c>
      <c r="N3120" t="s">
        <v>95</v>
      </c>
      <c r="O3120" t="s">
        <v>104</v>
      </c>
    </row>
    <row r="3121" spans="1:15" x14ac:dyDescent="0.25">
      <c r="A3121">
        <v>241</v>
      </c>
      <c r="B3121" s="10">
        <v>45783</v>
      </c>
      <c r="C3121">
        <v>6</v>
      </c>
      <c r="D3121" t="s">
        <v>120</v>
      </c>
      <c r="E3121" t="s">
        <v>112</v>
      </c>
      <c r="F3121" t="s">
        <v>117</v>
      </c>
      <c r="G3121" t="s">
        <v>118</v>
      </c>
      <c r="H3121" t="s">
        <v>92</v>
      </c>
      <c r="I3121" t="s">
        <v>135</v>
      </c>
      <c r="J3121" t="s">
        <v>103</v>
      </c>
      <c r="K3121">
        <v>34</v>
      </c>
      <c r="L3121">
        <v>20400</v>
      </c>
      <c r="M3121">
        <v>693600</v>
      </c>
      <c r="N3121" t="s">
        <v>95</v>
      </c>
      <c r="O3121" t="s">
        <v>96</v>
      </c>
    </row>
    <row r="3122" spans="1:15" x14ac:dyDescent="0.25">
      <c r="A3122">
        <v>3732</v>
      </c>
      <c r="B3122" s="10">
        <v>45764</v>
      </c>
      <c r="C3122">
        <v>17</v>
      </c>
      <c r="D3122" t="s">
        <v>105</v>
      </c>
      <c r="E3122" t="s">
        <v>150</v>
      </c>
      <c r="F3122" t="s">
        <v>148</v>
      </c>
      <c r="G3122" t="s">
        <v>118</v>
      </c>
      <c r="H3122" t="s">
        <v>92</v>
      </c>
      <c r="I3122" t="s">
        <v>135</v>
      </c>
      <c r="J3122" t="s">
        <v>103</v>
      </c>
      <c r="K3122">
        <v>6</v>
      </c>
      <c r="L3122">
        <v>20400</v>
      </c>
      <c r="M3122">
        <v>122400</v>
      </c>
      <c r="N3122" t="s">
        <v>108</v>
      </c>
      <c r="O3122" t="s">
        <v>115</v>
      </c>
    </row>
    <row r="3123" spans="1:15" x14ac:dyDescent="0.25">
      <c r="A3123">
        <v>3990</v>
      </c>
      <c r="B3123" s="10">
        <v>45823</v>
      </c>
      <c r="C3123">
        <v>15</v>
      </c>
      <c r="D3123" t="s">
        <v>153</v>
      </c>
      <c r="E3123" t="s">
        <v>110</v>
      </c>
      <c r="F3123" t="s">
        <v>134</v>
      </c>
      <c r="G3123" t="s">
        <v>100</v>
      </c>
      <c r="H3123" t="s">
        <v>92</v>
      </c>
      <c r="I3123" t="s">
        <v>135</v>
      </c>
      <c r="J3123" t="s">
        <v>103</v>
      </c>
      <c r="K3123">
        <v>35</v>
      </c>
      <c r="L3123">
        <v>20400</v>
      </c>
      <c r="M3123">
        <v>714000</v>
      </c>
      <c r="N3123" t="s">
        <v>95</v>
      </c>
      <c r="O3123" t="s">
        <v>115</v>
      </c>
    </row>
    <row r="3124" spans="1:15" x14ac:dyDescent="0.25">
      <c r="A3124">
        <v>3364</v>
      </c>
      <c r="B3124" s="10">
        <v>45738</v>
      </c>
      <c r="C3124">
        <v>22</v>
      </c>
      <c r="D3124" t="s">
        <v>140</v>
      </c>
      <c r="E3124" t="s">
        <v>150</v>
      </c>
      <c r="F3124" t="s">
        <v>117</v>
      </c>
      <c r="G3124" t="s">
        <v>118</v>
      </c>
      <c r="H3124" t="s">
        <v>29</v>
      </c>
      <c r="I3124" t="s">
        <v>159</v>
      </c>
      <c r="J3124" t="s">
        <v>94</v>
      </c>
      <c r="K3124">
        <v>10</v>
      </c>
      <c r="L3124">
        <v>20500</v>
      </c>
      <c r="M3124">
        <v>205000</v>
      </c>
      <c r="N3124" t="s">
        <v>108</v>
      </c>
      <c r="O3124" t="s">
        <v>115</v>
      </c>
    </row>
    <row r="3125" spans="1:15" x14ac:dyDescent="0.25">
      <c r="A3125">
        <v>290</v>
      </c>
      <c r="B3125" s="10">
        <v>45750</v>
      </c>
      <c r="C3125">
        <v>3</v>
      </c>
      <c r="D3125" t="s">
        <v>105</v>
      </c>
      <c r="E3125" t="s">
        <v>112</v>
      </c>
      <c r="F3125" t="s">
        <v>36</v>
      </c>
      <c r="G3125" t="s">
        <v>100</v>
      </c>
      <c r="H3125" t="s">
        <v>92</v>
      </c>
      <c r="I3125" t="s">
        <v>135</v>
      </c>
      <c r="J3125" t="s">
        <v>103</v>
      </c>
      <c r="K3125">
        <v>29</v>
      </c>
      <c r="L3125">
        <v>20600</v>
      </c>
      <c r="M3125">
        <v>597400</v>
      </c>
      <c r="N3125" t="s">
        <v>108</v>
      </c>
      <c r="O3125" t="s">
        <v>115</v>
      </c>
    </row>
    <row r="3126" spans="1:15" x14ac:dyDescent="0.25">
      <c r="A3126">
        <v>1193</v>
      </c>
      <c r="B3126" s="10">
        <v>45658</v>
      </c>
      <c r="C3126">
        <v>1</v>
      </c>
      <c r="D3126" t="s">
        <v>130</v>
      </c>
      <c r="E3126" t="s">
        <v>31</v>
      </c>
      <c r="F3126" t="s">
        <v>28</v>
      </c>
      <c r="G3126" t="s">
        <v>126</v>
      </c>
      <c r="H3126" t="s">
        <v>92</v>
      </c>
      <c r="I3126" t="s">
        <v>135</v>
      </c>
      <c r="J3126" t="s">
        <v>103</v>
      </c>
      <c r="K3126">
        <v>46</v>
      </c>
      <c r="L3126">
        <v>20600</v>
      </c>
      <c r="M3126">
        <v>947600</v>
      </c>
      <c r="N3126" t="s">
        <v>108</v>
      </c>
      <c r="O3126" t="s">
        <v>96</v>
      </c>
    </row>
    <row r="3127" spans="1:15" x14ac:dyDescent="0.25">
      <c r="A3127">
        <v>2644</v>
      </c>
      <c r="B3127" s="10">
        <v>45686</v>
      </c>
      <c r="C3127">
        <v>29</v>
      </c>
      <c r="D3127" t="s">
        <v>130</v>
      </c>
      <c r="E3127" t="s">
        <v>116</v>
      </c>
      <c r="F3127" t="s">
        <v>134</v>
      </c>
      <c r="G3127" t="s">
        <v>100</v>
      </c>
      <c r="H3127" t="s">
        <v>92</v>
      </c>
      <c r="I3127" t="s">
        <v>135</v>
      </c>
      <c r="J3127" t="s">
        <v>103</v>
      </c>
      <c r="K3127">
        <v>11</v>
      </c>
      <c r="L3127">
        <v>20600</v>
      </c>
      <c r="M3127">
        <v>226600</v>
      </c>
      <c r="N3127" t="s">
        <v>95</v>
      </c>
      <c r="O3127" t="s">
        <v>104</v>
      </c>
    </row>
    <row r="3128" spans="1:15" x14ac:dyDescent="0.25">
      <c r="A3128">
        <v>2655</v>
      </c>
      <c r="B3128" s="10">
        <v>45950</v>
      </c>
      <c r="C3128">
        <v>20</v>
      </c>
      <c r="D3128" t="s">
        <v>136</v>
      </c>
      <c r="E3128" t="s">
        <v>106</v>
      </c>
      <c r="F3128" t="s">
        <v>117</v>
      </c>
      <c r="G3128" t="s">
        <v>118</v>
      </c>
      <c r="H3128" t="s">
        <v>92</v>
      </c>
      <c r="I3128" t="s">
        <v>135</v>
      </c>
      <c r="J3128" t="s">
        <v>103</v>
      </c>
      <c r="K3128">
        <v>34</v>
      </c>
      <c r="L3128">
        <v>20600</v>
      </c>
      <c r="M3128">
        <v>700400</v>
      </c>
      <c r="N3128" t="s">
        <v>108</v>
      </c>
      <c r="O3128" t="s">
        <v>115</v>
      </c>
    </row>
    <row r="3129" spans="1:15" x14ac:dyDescent="0.25">
      <c r="A3129">
        <v>3419</v>
      </c>
      <c r="B3129" s="10">
        <v>45740</v>
      </c>
      <c r="C3129">
        <v>24</v>
      </c>
      <c r="D3129" t="s">
        <v>140</v>
      </c>
      <c r="E3129" t="s">
        <v>138</v>
      </c>
      <c r="F3129" t="s">
        <v>49</v>
      </c>
      <c r="G3129" t="s">
        <v>118</v>
      </c>
      <c r="H3129" t="s">
        <v>29</v>
      </c>
      <c r="I3129" t="s">
        <v>159</v>
      </c>
      <c r="J3129" t="s">
        <v>94</v>
      </c>
      <c r="K3129">
        <v>3</v>
      </c>
      <c r="L3129">
        <v>20600</v>
      </c>
      <c r="M3129">
        <v>61800</v>
      </c>
      <c r="N3129" t="s">
        <v>95</v>
      </c>
      <c r="O3129" t="s">
        <v>96</v>
      </c>
    </row>
    <row r="3130" spans="1:15" x14ac:dyDescent="0.25">
      <c r="A3130">
        <v>3725</v>
      </c>
      <c r="B3130" s="10">
        <v>45970</v>
      </c>
      <c r="C3130">
        <v>9</v>
      </c>
      <c r="D3130" t="s">
        <v>90</v>
      </c>
      <c r="E3130" t="s">
        <v>98</v>
      </c>
      <c r="F3130" t="s">
        <v>134</v>
      </c>
      <c r="G3130" t="s">
        <v>100</v>
      </c>
      <c r="H3130" t="s">
        <v>92</v>
      </c>
      <c r="I3130" t="s">
        <v>135</v>
      </c>
      <c r="J3130" t="s">
        <v>103</v>
      </c>
      <c r="K3130">
        <v>32</v>
      </c>
      <c r="L3130">
        <v>20600</v>
      </c>
      <c r="M3130">
        <v>659200</v>
      </c>
      <c r="N3130" t="s">
        <v>108</v>
      </c>
      <c r="O3130" t="s">
        <v>96</v>
      </c>
    </row>
    <row r="3131" spans="1:15" x14ac:dyDescent="0.25">
      <c r="A3131">
        <v>3969</v>
      </c>
      <c r="B3131" s="10">
        <v>45719</v>
      </c>
      <c r="C3131">
        <v>3</v>
      </c>
      <c r="D3131" t="s">
        <v>140</v>
      </c>
      <c r="E3131" t="s">
        <v>121</v>
      </c>
      <c r="F3131" t="s">
        <v>107</v>
      </c>
      <c r="G3131" t="s">
        <v>100</v>
      </c>
      <c r="H3131" t="s">
        <v>29</v>
      </c>
      <c r="I3131" t="s">
        <v>159</v>
      </c>
      <c r="J3131" t="s">
        <v>103</v>
      </c>
      <c r="K3131">
        <v>13</v>
      </c>
      <c r="L3131">
        <v>20600</v>
      </c>
      <c r="M3131">
        <v>267800</v>
      </c>
      <c r="N3131" t="s">
        <v>95</v>
      </c>
      <c r="O3131" t="s">
        <v>104</v>
      </c>
    </row>
    <row r="3132" spans="1:15" x14ac:dyDescent="0.25">
      <c r="A3132">
        <v>4233</v>
      </c>
      <c r="B3132" s="10">
        <v>45658</v>
      </c>
      <c r="C3132">
        <v>1</v>
      </c>
      <c r="D3132" t="s">
        <v>130</v>
      </c>
      <c r="E3132" t="s">
        <v>161</v>
      </c>
      <c r="F3132" t="s">
        <v>107</v>
      </c>
      <c r="G3132" t="s">
        <v>100</v>
      </c>
      <c r="H3132" t="s">
        <v>92</v>
      </c>
      <c r="I3132" t="s">
        <v>135</v>
      </c>
      <c r="J3132" t="s">
        <v>103</v>
      </c>
      <c r="K3132">
        <v>11</v>
      </c>
      <c r="L3132">
        <v>20600</v>
      </c>
      <c r="M3132">
        <v>226600</v>
      </c>
      <c r="N3132" t="s">
        <v>108</v>
      </c>
      <c r="O3132" t="s">
        <v>104</v>
      </c>
    </row>
    <row r="3133" spans="1:15" x14ac:dyDescent="0.25">
      <c r="A3133">
        <v>4965</v>
      </c>
      <c r="B3133" s="10">
        <v>45816</v>
      </c>
      <c r="C3133">
        <v>8</v>
      </c>
      <c r="D3133" t="s">
        <v>153</v>
      </c>
      <c r="E3133" t="s">
        <v>150</v>
      </c>
      <c r="F3133" t="s">
        <v>151</v>
      </c>
      <c r="G3133" t="s">
        <v>111</v>
      </c>
      <c r="H3133" t="s">
        <v>92</v>
      </c>
      <c r="I3133" t="s">
        <v>135</v>
      </c>
      <c r="J3133" t="s">
        <v>103</v>
      </c>
      <c r="K3133">
        <v>47</v>
      </c>
      <c r="L3133">
        <v>20600</v>
      </c>
      <c r="M3133">
        <v>968200</v>
      </c>
      <c r="N3133" t="s">
        <v>108</v>
      </c>
      <c r="O3133" t="s">
        <v>115</v>
      </c>
    </row>
    <row r="3134" spans="1:15" x14ac:dyDescent="0.25">
      <c r="A3134">
        <v>1076</v>
      </c>
      <c r="B3134" s="10">
        <v>45746</v>
      </c>
      <c r="C3134">
        <v>30</v>
      </c>
      <c r="D3134" t="s">
        <v>140</v>
      </c>
      <c r="E3134" t="s">
        <v>142</v>
      </c>
      <c r="F3134" t="s">
        <v>107</v>
      </c>
      <c r="G3134" t="s">
        <v>100</v>
      </c>
      <c r="H3134" t="s">
        <v>92</v>
      </c>
      <c r="I3134" t="s">
        <v>135</v>
      </c>
      <c r="J3134" t="s">
        <v>103</v>
      </c>
      <c r="K3134">
        <v>39</v>
      </c>
      <c r="L3134">
        <v>20700</v>
      </c>
      <c r="M3134">
        <v>807300</v>
      </c>
      <c r="N3134" t="s">
        <v>95</v>
      </c>
      <c r="O3134" t="s">
        <v>96</v>
      </c>
    </row>
    <row r="3135" spans="1:15" x14ac:dyDescent="0.25">
      <c r="A3135">
        <v>1383</v>
      </c>
      <c r="B3135" s="10">
        <v>45745</v>
      </c>
      <c r="C3135">
        <v>29</v>
      </c>
      <c r="D3135" t="s">
        <v>140</v>
      </c>
      <c r="E3135" t="s">
        <v>110</v>
      </c>
      <c r="F3135" t="s">
        <v>134</v>
      </c>
      <c r="G3135" t="s">
        <v>100</v>
      </c>
      <c r="H3135" t="s">
        <v>29</v>
      </c>
      <c r="I3135" t="s">
        <v>159</v>
      </c>
      <c r="J3135" t="s">
        <v>103</v>
      </c>
      <c r="K3135">
        <v>17</v>
      </c>
      <c r="L3135">
        <v>20700</v>
      </c>
      <c r="M3135">
        <v>351900</v>
      </c>
      <c r="N3135" t="s">
        <v>108</v>
      </c>
      <c r="O3135" t="s">
        <v>104</v>
      </c>
    </row>
    <row r="3136" spans="1:15" x14ac:dyDescent="0.25">
      <c r="A3136">
        <v>1837</v>
      </c>
      <c r="B3136" s="10">
        <v>45983</v>
      </c>
      <c r="C3136">
        <v>22</v>
      </c>
      <c r="D3136" t="s">
        <v>90</v>
      </c>
      <c r="E3136" t="s">
        <v>110</v>
      </c>
      <c r="F3136" t="s">
        <v>151</v>
      </c>
      <c r="G3136" t="s">
        <v>111</v>
      </c>
      <c r="H3136" t="s">
        <v>29</v>
      </c>
      <c r="I3136" t="s">
        <v>159</v>
      </c>
      <c r="J3136" t="s">
        <v>94</v>
      </c>
      <c r="K3136">
        <v>6</v>
      </c>
      <c r="L3136">
        <v>20700</v>
      </c>
      <c r="M3136">
        <v>124200</v>
      </c>
      <c r="N3136" t="s">
        <v>95</v>
      </c>
      <c r="O3136" t="s">
        <v>96</v>
      </c>
    </row>
    <row r="3137" spans="1:15" x14ac:dyDescent="0.25">
      <c r="A3137">
        <v>3165</v>
      </c>
      <c r="B3137" s="10">
        <v>45799</v>
      </c>
      <c r="C3137">
        <v>22</v>
      </c>
      <c r="D3137" t="s">
        <v>120</v>
      </c>
      <c r="E3137" t="s">
        <v>25</v>
      </c>
      <c r="F3137" t="s">
        <v>117</v>
      </c>
      <c r="G3137" t="s">
        <v>118</v>
      </c>
      <c r="H3137" t="s">
        <v>29</v>
      </c>
      <c r="I3137" t="s">
        <v>159</v>
      </c>
      <c r="J3137" t="s">
        <v>94</v>
      </c>
      <c r="K3137">
        <v>3</v>
      </c>
      <c r="L3137">
        <v>20700</v>
      </c>
      <c r="M3137">
        <v>62100</v>
      </c>
      <c r="N3137" t="s">
        <v>95</v>
      </c>
      <c r="O3137" t="s">
        <v>96</v>
      </c>
    </row>
    <row r="3138" spans="1:15" x14ac:dyDescent="0.25">
      <c r="A3138">
        <v>4614</v>
      </c>
      <c r="B3138" s="10">
        <v>45917</v>
      </c>
      <c r="C3138">
        <v>17</v>
      </c>
      <c r="D3138" t="s">
        <v>147</v>
      </c>
      <c r="E3138" t="s">
        <v>106</v>
      </c>
      <c r="F3138" t="s">
        <v>117</v>
      </c>
      <c r="G3138" t="s">
        <v>118</v>
      </c>
      <c r="H3138" t="s">
        <v>92</v>
      </c>
      <c r="I3138" t="s">
        <v>135</v>
      </c>
      <c r="J3138" t="s">
        <v>103</v>
      </c>
      <c r="K3138">
        <v>20</v>
      </c>
      <c r="L3138">
        <v>20700</v>
      </c>
      <c r="M3138">
        <v>414000</v>
      </c>
      <c r="N3138" t="s">
        <v>95</v>
      </c>
      <c r="O3138" t="s">
        <v>115</v>
      </c>
    </row>
    <row r="3139" spans="1:15" x14ac:dyDescent="0.25">
      <c r="A3139">
        <v>4926</v>
      </c>
      <c r="B3139" s="10">
        <v>45990</v>
      </c>
      <c r="C3139">
        <v>29</v>
      </c>
      <c r="D3139" t="s">
        <v>90</v>
      </c>
      <c r="E3139" t="s">
        <v>150</v>
      </c>
      <c r="F3139" t="s">
        <v>107</v>
      </c>
      <c r="G3139" t="s">
        <v>100</v>
      </c>
      <c r="H3139" t="s">
        <v>92</v>
      </c>
      <c r="I3139" t="s">
        <v>135</v>
      </c>
      <c r="J3139" t="s">
        <v>103</v>
      </c>
      <c r="K3139">
        <v>26</v>
      </c>
      <c r="L3139">
        <v>20700</v>
      </c>
      <c r="M3139">
        <v>538200</v>
      </c>
      <c r="N3139" t="s">
        <v>108</v>
      </c>
      <c r="O3139" t="s">
        <v>104</v>
      </c>
    </row>
    <row r="3140" spans="1:15" x14ac:dyDescent="0.25">
      <c r="A3140">
        <v>3590</v>
      </c>
      <c r="B3140" s="10">
        <v>45691</v>
      </c>
      <c r="C3140">
        <v>3</v>
      </c>
      <c r="D3140" t="s">
        <v>97</v>
      </c>
      <c r="E3140" t="s">
        <v>116</v>
      </c>
      <c r="F3140" t="s">
        <v>134</v>
      </c>
      <c r="G3140" t="s">
        <v>100</v>
      </c>
      <c r="H3140" t="s">
        <v>92</v>
      </c>
      <c r="I3140" t="s">
        <v>135</v>
      </c>
      <c r="J3140" t="s">
        <v>103</v>
      </c>
      <c r="K3140">
        <v>27</v>
      </c>
      <c r="L3140">
        <v>20800</v>
      </c>
      <c r="M3140">
        <v>561600</v>
      </c>
      <c r="N3140" t="s">
        <v>95</v>
      </c>
      <c r="O3140" t="s">
        <v>96</v>
      </c>
    </row>
    <row r="3141" spans="1:15" x14ac:dyDescent="0.25">
      <c r="A3141">
        <v>3817</v>
      </c>
      <c r="B3141" s="10">
        <v>45841</v>
      </c>
      <c r="C3141">
        <v>3</v>
      </c>
      <c r="D3141" t="s">
        <v>145</v>
      </c>
      <c r="E3141" t="s">
        <v>128</v>
      </c>
      <c r="F3141" t="s">
        <v>28</v>
      </c>
      <c r="G3141" t="s">
        <v>126</v>
      </c>
      <c r="H3141" t="s">
        <v>92</v>
      </c>
      <c r="I3141" t="s">
        <v>135</v>
      </c>
      <c r="J3141" t="s">
        <v>103</v>
      </c>
      <c r="K3141">
        <v>18</v>
      </c>
      <c r="L3141">
        <v>20800</v>
      </c>
      <c r="M3141">
        <v>374400</v>
      </c>
      <c r="N3141" t="s">
        <v>95</v>
      </c>
      <c r="O3141" t="s">
        <v>96</v>
      </c>
    </row>
    <row r="3142" spans="1:15" x14ac:dyDescent="0.25">
      <c r="A3142">
        <v>4046</v>
      </c>
      <c r="B3142" s="10">
        <v>45882</v>
      </c>
      <c r="C3142">
        <v>13</v>
      </c>
      <c r="D3142" t="s">
        <v>109</v>
      </c>
      <c r="E3142" t="s">
        <v>110</v>
      </c>
      <c r="F3142" t="s">
        <v>148</v>
      </c>
      <c r="G3142" t="s">
        <v>118</v>
      </c>
      <c r="H3142" t="s">
        <v>92</v>
      </c>
      <c r="I3142" t="s">
        <v>135</v>
      </c>
      <c r="J3142" t="s">
        <v>103</v>
      </c>
      <c r="K3142">
        <v>22</v>
      </c>
      <c r="L3142">
        <v>20800</v>
      </c>
      <c r="M3142">
        <v>457600</v>
      </c>
      <c r="N3142" t="s">
        <v>108</v>
      </c>
      <c r="O3142" t="s">
        <v>115</v>
      </c>
    </row>
    <row r="3143" spans="1:15" x14ac:dyDescent="0.25">
      <c r="A3143">
        <v>4605</v>
      </c>
      <c r="B3143" s="10">
        <v>45862</v>
      </c>
      <c r="C3143">
        <v>24</v>
      </c>
      <c r="D3143" t="s">
        <v>145</v>
      </c>
      <c r="E3143" t="s">
        <v>128</v>
      </c>
      <c r="F3143" t="s">
        <v>28</v>
      </c>
      <c r="G3143" t="s">
        <v>126</v>
      </c>
      <c r="H3143" t="s">
        <v>29</v>
      </c>
      <c r="I3143" t="s">
        <v>159</v>
      </c>
      <c r="J3143" t="s">
        <v>94</v>
      </c>
      <c r="K3143">
        <v>3</v>
      </c>
      <c r="L3143">
        <v>20800</v>
      </c>
      <c r="M3143">
        <v>62400</v>
      </c>
      <c r="N3143" t="s">
        <v>95</v>
      </c>
      <c r="O3143" t="s">
        <v>115</v>
      </c>
    </row>
    <row r="3144" spans="1:15" x14ac:dyDescent="0.25">
      <c r="A3144">
        <v>545</v>
      </c>
      <c r="B3144" s="10">
        <v>45836</v>
      </c>
      <c r="C3144">
        <v>28</v>
      </c>
      <c r="D3144" t="s">
        <v>153</v>
      </c>
      <c r="E3144" t="s">
        <v>106</v>
      </c>
      <c r="F3144" t="s">
        <v>144</v>
      </c>
      <c r="G3144" t="s">
        <v>91</v>
      </c>
      <c r="H3144" t="s">
        <v>29</v>
      </c>
      <c r="I3144" t="s">
        <v>124</v>
      </c>
      <c r="J3144" t="s">
        <v>103</v>
      </c>
      <c r="K3144">
        <v>28</v>
      </c>
      <c r="L3144">
        <v>20900</v>
      </c>
      <c r="M3144">
        <v>585200</v>
      </c>
      <c r="N3144" t="s">
        <v>108</v>
      </c>
      <c r="O3144" t="s">
        <v>104</v>
      </c>
    </row>
    <row r="3145" spans="1:15" x14ac:dyDescent="0.25">
      <c r="A3145">
        <v>937</v>
      </c>
      <c r="B3145" s="10">
        <v>45810</v>
      </c>
      <c r="C3145">
        <v>2</v>
      </c>
      <c r="D3145" t="s">
        <v>153</v>
      </c>
      <c r="E3145" t="s">
        <v>110</v>
      </c>
      <c r="F3145" t="s">
        <v>134</v>
      </c>
      <c r="G3145" t="s">
        <v>100</v>
      </c>
      <c r="H3145" t="s">
        <v>29</v>
      </c>
      <c r="I3145" t="s">
        <v>159</v>
      </c>
      <c r="J3145" t="s">
        <v>94</v>
      </c>
      <c r="K3145">
        <v>10</v>
      </c>
      <c r="L3145">
        <v>20900</v>
      </c>
      <c r="M3145">
        <v>209000</v>
      </c>
      <c r="N3145" t="s">
        <v>95</v>
      </c>
      <c r="O3145" t="s">
        <v>96</v>
      </c>
    </row>
    <row r="3146" spans="1:15" x14ac:dyDescent="0.25">
      <c r="A3146">
        <v>1338</v>
      </c>
      <c r="B3146" s="10">
        <v>45897</v>
      </c>
      <c r="C3146">
        <v>28</v>
      </c>
      <c r="D3146" t="s">
        <v>109</v>
      </c>
      <c r="E3146" t="s">
        <v>133</v>
      </c>
      <c r="F3146" t="s">
        <v>113</v>
      </c>
      <c r="G3146" t="s">
        <v>114</v>
      </c>
      <c r="H3146" t="s">
        <v>92</v>
      </c>
      <c r="I3146" t="s">
        <v>135</v>
      </c>
      <c r="J3146" t="s">
        <v>103</v>
      </c>
      <c r="K3146">
        <v>15</v>
      </c>
      <c r="L3146">
        <v>20900</v>
      </c>
      <c r="M3146">
        <v>313500</v>
      </c>
      <c r="N3146" t="s">
        <v>95</v>
      </c>
      <c r="O3146" t="s">
        <v>115</v>
      </c>
    </row>
    <row r="3147" spans="1:15" x14ac:dyDescent="0.25">
      <c r="A3147">
        <v>1635</v>
      </c>
      <c r="B3147" s="10">
        <v>45933</v>
      </c>
      <c r="C3147">
        <v>3</v>
      </c>
      <c r="D3147" t="s">
        <v>136</v>
      </c>
      <c r="E3147" t="s">
        <v>110</v>
      </c>
      <c r="F3147" t="s">
        <v>49</v>
      </c>
      <c r="G3147" t="s">
        <v>118</v>
      </c>
      <c r="H3147" t="s">
        <v>92</v>
      </c>
      <c r="I3147" t="s">
        <v>135</v>
      </c>
      <c r="J3147" t="s">
        <v>103</v>
      </c>
      <c r="K3147">
        <v>46</v>
      </c>
      <c r="L3147">
        <v>20900</v>
      </c>
      <c r="M3147">
        <v>961400</v>
      </c>
      <c r="N3147" t="s">
        <v>108</v>
      </c>
      <c r="O3147" t="s">
        <v>104</v>
      </c>
    </row>
    <row r="3148" spans="1:15" x14ac:dyDescent="0.25">
      <c r="A3148">
        <v>1734</v>
      </c>
      <c r="B3148" s="10">
        <v>45782</v>
      </c>
      <c r="C3148">
        <v>5</v>
      </c>
      <c r="D3148" t="s">
        <v>120</v>
      </c>
      <c r="E3148" t="s">
        <v>138</v>
      </c>
      <c r="F3148" t="s">
        <v>113</v>
      </c>
      <c r="G3148" t="s">
        <v>114</v>
      </c>
      <c r="H3148" t="s">
        <v>92</v>
      </c>
      <c r="I3148" t="s">
        <v>135</v>
      </c>
      <c r="J3148" t="s">
        <v>103</v>
      </c>
      <c r="K3148">
        <v>7</v>
      </c>
      <c r="L3148">
        <v>20900</v>
      </c>
      <c r="M3148">
        <v>146300</v>
      </c>
      <c r="N3148" t="s">
        <v>108</v>
      </c>
      <c r="O3148" t="s">
        <v>96</v>
      </c>
    </row>
    <row r="3149" spans="1:15" x14ac:dyDescent="0.25">
      <c r="A3149">
        <v>2682</v>
      </c>
      <c r="B3149" s="10">
        <v>45836</v>
      </c>
      <c r="C3149">
        <v>28</v>
      </c>
      <c r="D3149" t="s">
        <v>153</v>
      </c>
      <c r="E3149" t="s">
        <v>106</v>
      </c>
      <c r="F3149" t="s">
        <v>44</v>
      </c>
      <c r="G3149" t="s">
        <v>111</v>
      </c>
      <c r="H3149" t="s">
        <v>92</v>
      </c>
      <c r="I3149" t="s">
        <v>135</v>
      </c>
      <c r="J3149" t="s">
        <v>103</v>
      </c>
      <c r="K3149">
        <v>26</v>
      </c>
      <c r="L3149">
        <v>20900</v>
      </c>
      <c r="M3149">
        <v>543400</v>
      </c>
      <c r="N3149" t="s">
        <v>108</v>
      </c>
      <c r="O3149" t="s">
        <v>96</v>
      </c>
    </row>
    <row r="3150" spans="1:15" x14ac:dyDescent="0.25">
      <c r="A3150">
        <v>3783</v>
      </c>
      <c r="B3150" s="10">
        <v>45679</v>
      </c>
      <c r="C3150">
        <v>22</v>
      </c>
      <c r="D3150" t="s">
        <v>130</v>
      </c>
      <c r="E3150" t="s">
        <v>161</v>
      </c>
      <c r="F3150" t="s">
        <v>22</v>
      </c>
      <c r="G3150" t="s">
        <v>91</v>
      </c>
      <c r="H3150" t="s">
        <v>29</v>
      </c>
      <c r="I3150" t="s">
        <v>159</v>
      </c>
      <c r="J3150" t="s">
        <v>94</v>
      </c>
      <c r="K3150">
        <v>5</v>
      </c>
      <c r="L3150">
        <v>20900</v>
      </c>
      <c r="M3150">
        <v>104500</v>
      </c>
      <c r="N3150" t="s">
        <v>108</v>
      </c>
      <c r="O3150" t="s">
        <v>104</v>
      </c>
    </row>
    <row r="3151" spans="1:15" x14ac:dyDescent="0.25">
      <c r="A3151">
        <v>4340</v>
      </c>
      <c r="B3151" s="10">
        <v>45834</v>
      </c>
      <c r="C3151">
        <v>26</v>
      </c>
      <c r="D3151" t="s">
        <v>153</v>
      </c>
      <c r="E3151" t="s">
        <v>25</v>
      </c>
      <c r="F3151" t="s">
        <v>141</v>
      </c>
      <c r="G3151" t="s">
        <v>100</v>
      </c>
      <c r="H3151" t="s">
        <v>92</v>
      </c>
      <c r="I3151" t="s">
        <v>135</v>
      </c>
      <c r="J3151" t="s">
        <v>103</v>
      </c>
      <c r="K3151">
        <v>27</v>
      </c>
      <c r="L3151">
        <v>20900</v>
      </c>
      <c r="M3151">
        <v>564300</v>
      </c>
      <c r="N3151" t="s">
        <v>95</v>
      </c>
      <c r="O3151" t="s">
        <v>115</v>
      </c>
    </row>
    <row r="3152" spans="1:15" x14ac:dyDescent="0.25">
      <c r="A3152">
        <v>1264</v>
      </c>
      <c r="B3152" s="10">
        <v>45831</v>
      </c>
      <c r="C3152">
        <v>23</v>
      </c>
      <c r="D3152" t="s">
        <v>153</v>
      </c>
      <c r="E3152" t="s">
        <v>128</v>
      </c>
      <c r="F3152" t="s">
        <v>122</v>
      </c>
      <c r="G3152" t="s">
        <v>114</v>
      </c>
      <c r="H3152" t="s">
        <v>29</v>
      </c>
      <c r="I3152" t="s">
        <v>159</v>
      </c>
      <c r="J3152" t="s">
        <v>94</v>
      </c>
      <c r="K3152">
        <v>5</v>
      </c>
      <c r="L3152">
        <v>21000</v>
      </c>
      <c r="M3152">
        <v>105000</v>
      </c>
      <c r="N3152" t="s">
        <v>108</v>
      </c>
      <c r="O3152" t="s">
        <v>115</v>
      </c>
    </row>
    <row r="3153" spans="1:15" x14ac:dyDescent="0.25">
      <c r="A3153">
        <v>2388</v>
      </c>
      <c r="B3153" s="10">
        <v>45689</v>
      </c>
      <c r="C3153">
        <v>1</v>
      </c>
      <c r="D3153" t="s">
        <v>97</v>
      </c>
      <c r="E3153" t="s">
        <v>133</v>
      </c>
      <c r="F3153" t="s">
        <v>28</v>
      </c>
      <c r="G3153" t="s">
        <v>126</v>
      </c>
      <c r="H3153" t="s">
        <v>29</v>
      </c>
      <c r="I3153" t="s">
        <v>159</v>
      </c>
      <c r="J3153" t="s">
        <v>94</v>
      </c>
      <c r="K3153">
        <v>7</v>
      </c>
      <c r="L3153">
        <v>21000</v>
      </c>
      <c r="M3153">
        <v>147000</v>
      </c>
      <c r="N3153" t="s">
        <v>108</v>
      </c>
      <c r="O3153" t="s">
        <v>104</v>
      </c>
    </row>
    <row r="3154" spans="1:15" x14ac:dyDescent="0.25">
      <c r="A3154">
        <v>2534</v>
      </c>
      <c r="B3154" s="10">
        <v>45810</v>
      </c>
      <c r="C3154">
        <v>2</v>
      </c>
      <c r="D3154" t="s">
        <v>153</v>
      </c>
      <c r="E3154" t="s">
        <v>142</v>
      </c>
      <c r="F3154" t="s">
        <v>144</v>
      </c>
      <c r="G3154" t="s">
        <v>91</v>
      </c>
      <c r="H3154" t="s">
        <v>29</v>
      </c>
      <c r="I3154" t="s">
        <v>159</v>
      </c>
      <c r="J3154" t="s">
        <v>94</v>
      </c>
      <c r="K3154">
        <v>6</v>
      </c>
      <c r="L3154">
        <v>21000</v>
      </c>
      <c r="M3154">
        <v>126000</v>
      </c>
      <c r="N3154" t="s">
        <v>108</v>
      </c>
      <c r="O3154" t="s">
        <v>104</v>
      </c>
    </row>
    <row r="3155" spans="1:15" x14ac:dyDescent="0.25">
      <c r="A3155">
        <v>3949</v>
      </c>
      <c r="B3155" s="10">
        <v>45875</v>
      </c>
      <c r="C3155">
        <v>6</v>
      </c>
      <c r="D3155" t="s">
        <v>109</v>
      </c>
      <c r="E3155" t="s">
        <v>137</v>
      </c>
      <c r="F3155" t="s">
        <v>107</v>
      </c>
      <c r="G3155" t="s">
        <v>100</v>
      </c>
      <c r="H3155" t="s">
        <v>92</v>
      </c>
      <c r="I3155" t="s">
        <v>135</v>
      </c>
      <c r="J3155" t="s">
        <v>103</v>
      </c>
      <c r="K3155">
        <v>6</v>
      </c>
      <c r="L3155">
        <v>21000</v>
      </c>
      <c r="M3155">
        <v>126000</v>
      </c>
      <c r="N3155" t="s">
        <v>95</v>
      </c>
      <c r="O3155" t="s">
        <v>104</v>
      </c>
    </row>
    <row r="3156" spans="1:15" x14ac:dyDescent="0.25">
      <c r="A3156">
        <v>4643</v>
      </c>
      <c r="B3156" s="10">
        <v>45816</v>
      </c>
      <c r="C3156">
        <v>8</v>
      </c>
      <c r="D3156" t="s">
        <v>153</v>
      </c>
      <c r="E3156" t="s">
        <v>110</v>
      </c>
      <c r="F3156" t="s">
        <v>99</v>
      </c>
      <c r="G3156" t="s">
        <v>100</v>
      </c>
      <c r="H3156" t="s">
        <v>92</v>
      </c>
      <c r="I3156" t="s">
        <v>135</v>
      </c>
      <c r="J3156" t="s">
        <v>103</v>
      </c>
      <c r="K3156">
        <v>21</v>
      </c>
      <c r="L3156">
        <v>21000</v>
      </c>
      <c r="M3156">
        <v>441000</v>
      </c>
      <c r="N3156" t="s">
        <v>95</v>
      </c>
      <c r="O3156" t="s">
        <v>115</v>
      </c>
    </row>
    <row r="3157" spans="1:15" x14ac:dyDescent="0.25">
      <c r="A3157">
        <v>4966</v>
      </c>
      <c r="B3157" s="10">
        <v>45848</v>
      </c>
      <c r="C3157">
        <v>10</v>
      </c>
      <c r="D3157" t="s">
        <v>145</v>
      </c>
      <c r="E3157" t="s">
        <v>121</v>
      </c>
      <c r="F3157" t="s">
        <v>151</v>
      </c>
      <c r="G3157" t="s">
        <v>111</v>
      </c>
      <c r="H3157" t="s">
        <v>92</v>
      </c>
      <c r="I3157" t="s">
        <v>135</v>
      </c>
      <c r="J3157" t="s">
        <v>103</v>
      </c>
      <c r="K3157">
        <v>30</v>
      </c>
      <c r="L3157">
        <v>21000</v>
      </c>
      <c r="M3157">
        <v>630000</v>
      </c>
      <c r="N3157" t="s">
        <v>108</v>
      </c>
      <c r="O3157" t="s">
        <v>115</v>
      </c>
    </row>
    <row r="3158" spans="1:15" x14ac:dyDescent="0.25">
      <c r="A3158">
        <v>764</v>
      </c>
      <c r="B3158" s="10">
        <v>45891</v>
      </c>
      <c r="C3158">
        <v>22</v>
      </c>
      <c r="D3158" t="s">
        <v>109</v>
      </c>
      <c r="E3158" t="s">
        <v>116</v>
      </c>
      <c r="F3158" t="s">
        <v>122</v>
      </c>
      <c r="G3158" t="s">
        <v>114</v>
      </c>
      <c r="H3158" t="s">
        <v>92</v>
      </c>
      <c r="I3158" t="s">
        <v>135</v>
      </c>
      <c r="J3158" t="s">
        <v>103</v>
      </c>
      <c r="K3158">
        <v>19</v>
      </c>
      <c r="L3158">
        <v>21100</v>
      </c>
      <c r="M3158">
        <v>400900</v>
      </c>
      <c r="N3158" t="s">
        <v>95</v>
      </c>
      <c r="O3158" t="s">
        <v>104</v>
      </c>
    </row>
    <row r="3159" spans="1:15" x14ac:dyDescent="0.25">
      <c r="A3159">
        <v>1143</v>
      </c>
      <c r="B3159" s="10">
        <v>45761</v>
      </c>
      <c r="C3159">
        <v>14</v>
      </c>
      <c r="D3159" t="s">
        <v>105</v>
      </c>
      <c r="E3159" t="s">
        <v>137</v>
      </c>
      <c r="F3159" t="s">
        <v>99</v>
      </c>
      <c r="G3159" t="s">
        <v>100</v>
      </c>
      <c r="H3159" t="s">
        <v>92</v>
      </c>
      <c r="I3159" t="s">
        <v>135</v>
      </c>
      <c r="J3159" t="s">
        <v>103</v>
      </c>
      <c r="K3159">
        <v>17</v>
      </c>
      <c r="L3159">
        <v>21100</v>
      </c>
      <c r="M3159">
        <v>358700</v>
      </c>
      <c r="N3159" t="s">
        <v>95</v>
      </c>
      <c r="O3159" t="s">
        <v>104</v>
      </c>
    </row>
    <row r="3160" spans="1:15" x14ac:dyDescent="0.25">
      <c r="A3160">
        <v>1477</v>
      </c>
      <c r="B3160" s="10">
        <v>45839</v>
      </c>
      <c r="C3160">
        <v>1</v>
      </c>
      <c r="D3160" t="s">
        <v>145</v>
      </c>
      <c r="E3160" t="s">
        <v>138</v>
      </c>
      <c r="F3160" t="s">
        <v>151</v>
      </c>
      <c r="G3160" t="s">
        <v>111</v>
      </c>
      <c r="H3160" t="s">
        <v>92</v>
      </c>
      <c r="I3160" t="s">
        <v>135</v>
      </c>
      <c r="J3160" t="s">
        <v>103</v>
      </c>
      <c r="K3160">
        <v>5</v>
      </c>
      <c r="L3160">
        <v>21100</v>
      </c>
      <c r="M3160">
        <v>105500</v>
      </c>
      <c r="N3160" t="s">
        <v>95</v>
      </c>
      <c r="O3160" t="s">
        <v>115</v>
      </c>
    </row>
    <row r="3161" spans="1:15" x14ac:dyDescent="0.25">
      <c r="A3161">
        <v>1551</v>
      </c>
      <c r="B3161" s="10">
        <v>45961</v>
      </c>
      <c r="C3161">
        <v>31</v>
      </c>
      <c r="D3161" t="s">
        <v>136</v>
      </c>
      <c r="E3161" t="s">
        <v>150</v>
      </c>
      <c r="F3161" t="s">
        <v>122</v>
      </c>
      <c r="G3161" t="s">
        <v>114</v>
      </c>
      <c r="H3161" t="s">
        <v>92</v>
      </c>
      <c r="I3161" t="s">
        <v>135</v>
      </c>
      <c r="J3161" t="s">
        <v>103</v>
      </c>
      <c r="K3161">
        <v>25</v>
      </c>
      <c r="L3161">
        <v>21100</v>
      </c>
      <c r="M3161">
        <v>527500</v>
      </c>
      <c r="N3161" t="s">
        <v>108</v>
      </c>
      <c r="O3161" t="s">
        <v>104</v>
      </c>
    </row>
    <row r="3162" spans="1:15" x14ac:dyDescent="0.25">
      <c r="A3162">
        <v>1662</v>
      </c>
      <c r="B3162" s="10">
        <v>45921</v>
      </c>
      <c r="C3162">
        <v>21</v>
      </c>
      <c r="D3162" t="s">
        <v>147</v>
      </c>
      <c r="E3162" t="s">
        <v>121</v>
      </c>
      <c r="F3162" t="s">
        <v>148</v>
      </c>
      <c r="G3162" t="s">
        <v>118</v>
      </c>
      <c r="H3162" t="s">
        <v>92</v>
      </c>
      <c r="I3162" t="s">
        <v>135</v>
      </c>
      <c r="J3162" t="s">
        <v>103</v>
      </c>
      <c r="K3162">
        <v>8</v>
      </c>
      <c r="L3162">
        <v>21100</v>
      </c>
      <c r="M3162">
        <v>168800</v>
      </c>
      <c r="N3162" t="s">
        <v>108</v>
      </c>
      <c r="O3162" t="s">
        <v>115</v>
      </c>
    </row>
    <row r="3163" spans="1:15" x14ac:dyDescent="0.25">
      <c r="A3163">
        <v>4405</v>
      </c>
      <c r="B3163" s="10">
        <v>45737</v>
      </c>
      <c r="C3163">
        <v>21</v>
      </c>
      <c r="D3163" t="s">
        <v>140</v>
      </c>
      <c r="E3163" t="s">
        <v>98</v>
      </c>
      <c r="F3163" t="s">
        <v>99</v>
      </c>
      <c r="G3163" t="s">
        <v>100</v>
      </c>
      <c r="H3163" t="s">
        <v>92</v>
      </c>
      <c r="I3163" t="s">
        <v>135</v>
      </c>
      <c r="J3163" t="s">
        <v>103</v>
      </c>
      <c r="K3163">
        <v>24</v>
      </c>
      <c r="L3163">
        <v>21100</v>
      </c>
      <c r="M3163">
        <v>506400</v>
      </c>
      <c r="N3163" t="s">
        <v>108</v>
      </c>
      <c r="O3163" t="s">
        <v>115</v>
      </c>
    </row>
    <row r="3164" spans="1:15" x14ac:dyDescent="0.25">
      <c r="A3164">
        <v>4841</v>
      </c>
      <c r="B3164" s="10">
        <v>45994</v>
      </c>
      <c r="C3164">
        <v>3</v>
      </c>
      <c r="D3164" t="s">
        <v>125</v>
      </c>
      <c r="E3164" t="s">
        <v>31</v>
      </c>
      <c r="F3164" t="s">
        <v>36</v>
      </c>
      <c r="G3164" t="s">
        <v>100</v>
      </c>
      <c r="H3164" t="s">
        <v>29</v>
      </c>
      <c r="I3164" t="s">
        <v>159</v>
      </c>
      <c r="J3164" t="s">
        <v>94</v>
      </c>
      <c r="K3164">
        <v>9</v>
      </c>
      <c r="L3164">
        <v>21100</v>
      </c>
      <c r="M3164">
        <v>189900</v>
      </c>
      <c r="N3164" t="s">
        <v>95</v>
      </c>
      <c r="O3164" t="s">
        <v>96</v>
      </c>
    </row>
    <row r="3165" spans="1:15" x14ac:dyDescent="0.25">
      <c r="A3165">
        <v>4963</v>
      </c>
      <c r="B3165" s="10">
        <v>45999</v>
      </c>
      <c r="C3165">
        <v>8</v>
      </c>
      <c r="D3165" t="s">
        <v>125</v>
      </c>
      <c r="E3165" t="s">
        <v>116</v>
      </c>
      <c r="F3165" t="s">
        <v>28</v>
      </c>
      <c r="G3165" t="s">
        <v>126</v>
      </c>
      <c r="H3165" t="s">
        <v>92</v>
      </c>
      <c r="I3165" t="s">
        <v>135</v>
      </c>
      <c r="J3165" t="s">
        <v>103</v>
      </c>
      <c r="K3165">
        <v>29</v>
      </c>
      <c r="L3165">
        <v>21100</v>
      </c>
      <c r="M3165">
        <v>611900</v>
      </c>
      <c r="N3165" t="s">
        <v>95</v>
      </c>
      <c r="O3165" t="s">
        <v>115</v>
      </c>
    </row>
    <row r="3166" spans="1:15" x14ac:dyDescent="0.25">
      <c r="A3166">
        <v>46</v>
      </c>
      <c r="B3166" s="10">
        <v>45696</v>
      </c>
      <c r="C3166">
        <v>8</v>
      </c>
      <c r="D3166" t="s">
        <v>97</v>
      </c>
      <c r="E3166" t="s">
        <v>128</v>
      </c>
      <c r="F3166" t="s">
        <v>99</v>
      </c>
      <c r="G3166" t="s">
        <v>100</v>
      </c>
      <c r="H3166" t="s">
        <v>29</v>
      </c>
      <c r="I3166" t="s">
        <v>159</v>
      </c>
      <c r="J3166" t="s">
        <v>94</v>
      </c>
      <c r="K3166">
        <v>6</v>
      </c>
      <c r="L3166">
        <v>21200</v>
      </c>
      <c r="M3166">
        <v>127200</v>
      </c>
      <c r="N3166" t="s">
        <v>95</v>
      </c>
      <c r="O3166" t="s">
        <v>115</v>
      </c>
    </row>
    <row r="3167" spans="1:15" x14ac:dyDescent="0.25">
      <c r="A3167">
        <v>296</v>
      </c>
      <c r="B3167" s="10">
        <v>45680</v>
      </c>
      <c r="C3167">
        <v>23</v>
      </c>
      <c r="D3167" t="s">
        <v>130</v>
      </c>
      <c r="E3167" t="s">
        <v>142</v>
      </c>
      <c r="F3167" t="s">
        <v>151</v>
      </c>
      <c r="G3167" t="s">
        <v>111</v>
      </c>
      <c r="H3167" t="s">
        <v>29</v>
      </c>
      <c r="I3167" t="s">
        <v>159</v>
      </c>
      <c r="J3167" t="s">
        <v>94</v>
      </c>
      <c r="K3167">
        <v>1</v>
      </c>
      <c r="L3167">
        <v>21200</v>
      </c>
      <c r="M3167">
        <v>21200</v>
      </c>
      <c r="N3167" t="s">
        <v>95</v>
      </c>
      <c r="O3167" t="s">
        <v>96</v>
      </c>
    </row>
    <row r="3168" spans="1:15" x14ac:dyDescent="0.25">
      <c r="A3168">
        <v>1128</v>
      </c>
      <c r="B3168" s="10">
        <v>46007</v>
      </c>
      <c r="C3168">
        <v>16</v>
      </c>
      <c r="D3168" t="s">
        <v>125</v>
      </c>
      <c r="E3168" t="s">
        <v>121</v>
      </c>
      <c r="F3168" t="s">
        <v>44</v>
      </c>
      <c r="G3168" t="s">
        <v>111</v>
      </c>
      <c r="H3168" t="s">
        <v>29</v>
      </c>
      <c r="I3168" t="s">
        <v>159</v>
      </c>
      <c r="J3168" t="s">
        <v>94</v>
      </c>
      <c r="K3168">
        <v>9</v>
      </c>
      <c r="L3168">
        <v>21200</v>
      </c>
      <c r="M3168">
        <v>190800</v>
      </c>
      <c r="N3168" t="s">
        <v>108</v>
      </c>
      <c r="O3168" t="s">
        <v>104</v>
      </c>
    </row>
    <row r="3169" spans="1:15" x14ac:dyDescent="0.25">
      <c r="A3169">
        <v>2484</v>
      </c>
      <c r="B3169" s="10">
        <v>45795</v>
      </c>
      <c r="C3169">
        <v>18</v>
      </c>
      <c r="D3169" t="s">
        <v>120</v>
      </c>
      <c r="E3169" t="s">
        <v>138</v>
      </c>
      <c r="F3169" t="s">
        <v>144</v>
      </c>
      <c r="G3169" t="s">
        <v>91</v>
      </c>
      <c r="H3169" t="s">
        <v>29</v>
      </c>
      <c r="I3169" t="s">
        <v>159</v>
      </c>
      <c r="J3169" t="s">
        <v>94</v>
      </c>
      <c r="K3169">
        <v>10</v>
      </c>
      <c r="L3169">
        <v>21200</v>
      </c>
      <c r="M3169">
        <v>212000</v>
      </c>
      <c r="N3169" t="s">
        <v>108</v>
      </c>
      <c r="O3169" t="s">
        <v>104</v>
      </c>
    </row>
    <row r="3170" spans="1:15" x14ac:dyDescent="0.25">
      <c r="A3170">
        <v>3602</v>
      </c>
      <c r="B3170" s="10">
        <v>45833</v>
      </c>
      <c r="C3170">
        <v>25</v>
      </c>
      <c r="D3170" t="s">
        <v>153</v>
      </c>
      <c r="E3170" t="s">
        <v>25</v>
      </c>
      <c r="F3170" t="s">
        <v>122</v>
      </c>
      <c r="G3170" t="s">
        <v>114</v>
      </c>
      <c r="H3170" t="s">
        <v>29</v>
      </c>
      <c r="I3170" t="s">
        <v>159</v>
      </c>
      <c r="J3170" t="s">
        <v>94</v>
      </c>
      <c r="K3170">
        <v>5</v>
      </c>
      <c r="L3170">
        <v>21200</v>
      </c>
      <c r="M3170">
        <v>106000</v>
      </c>
      <c r="N3170" t="s">
        <v>95</v>
      </c>
      <c r="O3170" t="s">
        <v>115</v>
      </c>
    </row>
    <row r="3171" spans="1:15" x14ac:dyDescent="0.25">
      <c r="A3171">
        <v>436</v>
      </c>
      <c r="B3171" s="10">
        <v>45738</v>
      </c>
      <c r="C3171">
        <v>22</v>
      </c>
      <c r="D3171" t="s">
        <v>140</v>
      </c>
      <c r="E3171" t="s">
        <v>161</v>
      </c>
      <c r="F3171" t="s">
        <v>134</v>
      </c>
      <c r="G3171" t="s">
        <v>100</v>
      </c>
      <c r="H3171" t="s">
        <v>92</v>
      </c>
      <c r="I3171" t="s">
        <v>135</v>
      </c>
      <c r="J3171" t="s">
        <v>103</v>
      </c>
      <c r="K3171">
        <v>16</v>
      </c>
      <c r="L3171">
        <v>21300</v>
      </c>
      <c r="M3171">
        <v>340800</v>
      </c>
      <c r="N3171" t="s">
        <v>108</v>
      </c>
      <c r="O3171" t="s">
        <v>104</v>
      </c>
    </row>
    <row r="3172" spans="1:15" x14ac:dyDescent="0.25">
      <c r="A3172">
        <v>2468</v>
      </c>
      <c r="B3172" s="10">
        <v>45757</v>
      </c>
      <c r="C3172">
        <v>10</v>
      </c>
      <c r="D3172" t="s">
        <v>105</v>
      </c>
      <c r="E3172" t="s">
        <v>138</v>
      </c>
      <c r="F3172" t="s">
        <v>144</v>
      </c>
      <c r="G3172" t="s">
        <v>91</v>
      </c>
      <c r="H3172" t="s">
        <v>92</v>
      </c>
      <c r="I3172" t="s">
        <v>135</v>
      </c>
      <c r="J3172" t="s">
        <v>103</v>
      </c>
      <c r="K3172">
        <v>39</v>
      </c>
      <c r="L3172">
        <v>21300</v>
      </c>
      <c r="M3172">
        <v>830700</v>
      </c>
      <c r="N3172" t="s">
        <v>108</v>
      </c>
      <c r="O3172" t="s">
        <v>96</v>
      </c>
    </row>
    <row r="3173" spans="1:15" x14ac:dyDescent="0.25">
      <c r="A3173">
        <v>2481</v>
      </c>
      <c r="B3173" s="10">
        <v>45928</v>
      </c>
      <c r="C3173">
        <v>28</v>
      </c>
      <c r="D3173" t="s">
        <v>147</v>
      </c>
      <c r="E3173" t="s">
        <v>137</v>
      </c>
      <c r="F3173" t="s">
        <v>117</v>
      </c>
      <c r="G3173" t="s">
        <v>118</v>
      </c>
      <c r="H3173" t="s">
        <v>29</v>
      </c>
      <c r="I3173" t="s">
        <v>159</v>
      </c>
      <c r="J3173" t="s">
        <v>94</v>
      </c>
      <c r="K3173">
        <v>5</v>
      </c>
      <c r="L3173">
        <v>21300</v>
      </c>
      <c r="M3173">
        <v>106500</v>
      </c>
      <c r="N3173" t="s">
        <v>108</v>
      </c>
      <c r="O3173" t="s">
        <v>115</v>
      </c>
    </row>
    <row r="3174" spans="1:15" x14ac:dyDescent="0.25">
      <c r="A3174">
        <v>2540</v>
      </c>
      <c r="B3174" s="10">
        <v>45826</v>
      </c>
      <c r="C3174">
        <v>18</v>
      </c>
      <c r="D3174" t="s">
        <v>153</v>
      </c>
      <c r="E3174" t="s">
        <v>112</v>
      </c>
      <c r="F3174" t="s">
        <v>44</v>
      </c>
      <c r="G3174" t="s">
        <v>111</v>
      </c>
      <c r="H3174" t="s">
        <v>92</v>
      </c>
      <c r="I3174" t="s">
        <v>135</v>
      </c>
      <c r="J3174" t="s">
        <v>103</v>
      </c>
      <c r="K3174">
        <v>8</v>
      </c>
      <c r="L3174">
        <v>21300</v>
      </c>
      <c r="M3174">
        <v>170400</v>
      </c>
      <c r="N3174" t="s">
        <v>95</v>
      </c>
      <c r="O3174" t="s">
        <v>104</v>
      </c>
    </row>
    <row r="3175" spans="1:15" x14ac:dyDescent="0.25">
      <c r="A3175">
        <v>4836</v>
      </c>
      <c r="B3175" s="10">
        <v>45830</v>
      </c>
      <c r="C3175">
        <v>22</v>
      </c>
      <c r="D3175" t="s">
        <v>153</v>
      </c>
      <c r="E3175" t="s">
        <v>150</v>
      </c>
      <c r="F3175" t="s">
        <v>113</v>
      </c>
      <c r="G3175" t="s">
        <v>114</v>
      </c>
      <c r="H3175" t="s">
        <v>92</v>
      </c>
      <c r="I3175" t="s">
        <v>135</v>
      </c>
      <c r="J3175" t="s">
        <v>103</v>
      </c>
      <c r="K3175">
        <v>13</v>
      </c>
      <c r="L3175">
        <v>21300</v>
      </c>
      <c r="M3175">
        <v>276900</v>
      </c>
      <c r="N3175" t="s">
        <v>95</v>
      </c>
      <c r="O3175" t="s">
        <v>96</v>
      </c>
    </row>
    <row r="3176" spans="1:15" x14ac:dyDescent="0.25">
      <c r="A3176">
        <v>91</v>
      </c>
      <c r="B3176" s="10">
        <v>45939</v>
      </c>
      <c r="C3176">
        <v>9</v>
      </c>
      <c r="D3176" t="s">
        <v>136</v>
      </c>
      <c r="E3176" t="s">
        <v>150</v>
      </c>
      <c r="F3176" t="s">
        <v>113</v>
      </c>
      <c r="G3176" t="s">
        <v>114</v>
      </c>
      <c r="H3176" t="s">
        <v>92</v>
      </c>
      <c r="I3176" t="s">
        <v>135</v>
      </c>
      <c r="J3176" t="s">
        <v>103</v>
      </c>
      <c r="K3176">
        <v>24</v>
      </c>
      <c r="L3176">
        <v>21400</v>
      </c>
      <c r="M3176">
        <v>513600</v>
      </c>
      <c r="N3176" t="s">
        <v>108</v>
      </c>
      <c r="O3176" t="s">
        <v>104</v>
      </c>
    </row>
    <row r="3177" spans="1:15" x14ac:dyDescent="0.25">
      <c r="A3177">
        <v>877</v>
      </c>
      <c r="B3177" s="10">
        <v>45903</v>
      </c>
      <c r="C3177">
        <v>3</v>
      </c>
      <c r="D3177" t="s">
        <v>147</v>
      </c>
      <c r="E3177" t="s">
        <v>128</v>
      </c>
      <c r="F3177" t="s">
        <v>22</v>
      </c>
      <c r="G3177" t="s">
        <v>91</v>
      </c>
      <c r="H3177" t="s">
        <v>29</v>
      </c>
      <c r="I3177" t="s">
        <v>159</v>
      </c>
      <c r="J3177" t="s">
        <v>94</v>
      </c>
      <c r="K3177">
        <v>5</v>
      </c>
      <c r="L3177">
        <v>21400</v>
      </c>
      <c r="M3177">
        <v>107000</v>
      </c>
      <c r="N3177" t="s">
        <v>95</v>
      </c>
      <c r="O3177" t="s">
        <v>115</v>
      </c>
    </row>
    <row r="3178" spans="1:15" x14ac:dyDescent="0.25">
      <c r="A3178">
        <v>918</v>
      </c>
      <c r="B3178" s="10">
        <v>45955</v>
      </c>
      <c r="C3178">
        <v>25</v>
      </c>
      <c r="D3178" t="s">
        <v>136</v>
      </c>
      <c r="E3178" t="s">
        <v>110</v>
      </c>
      <c r="F3178" t="s">
        <v>44</v>
      </c>
      <c r="G3178" t="s">
        <v>111</v>
      </c>
      <c r="H3178" t="s">
        <v>92</v>
      </c>
      <c r="I3178" t="s">
        <v>135</v>
      </c>
      <c r="J3178" t="s">
        <v>103</v>
      </c>
      <c r="K3178">
        <v>35</v>
      </c>
      <c r="L3178">
        <v>21400</v>
      </c>
      <c r="M3178">
        <v>749000</v>
      </c>
      <c r="N3178" t="s">
        <v>108</v>
      </c>
      <c r="O3178" t="s">
        <v>115</v>
      </c>
    </row>
    <row r="3179" spans="1:15" x14ac:dyDescent="0.25">
      <c r="A3179">
        <v>1335</v>
      </c>
      <c r="B3179" s="10">
        <v>45860</v>
      </c>
      <c r="C3179">
        <v>22</v>
      </c>
      <c r="D3179" t="s">
        <v>145</v>
      </c>
      <c r="E3179" t="s">
        <v>121</v>
      </c>
      <c r="F3179" t="s">
        <v>134</v>
      </c>
      <c r="G3179" t="s">
        <v>100</v>
      </c>
      <c r="H3179" t="s">
        <v>92</v>
      </c>
      <c r="I3179" t="s">
        <v>135</v>
      </c>
      <c r="J3179" t="s">
        <v>103</v>
      </c>
      <c r="K3179">
        <v>41</v>
      </c>
      <c r="L3179">
        <v>21400</v>
      </c>
      <c r="M3179">
        <v>877400</v>
      </c>
      <c r="N3179" t="s">
        <v>108</v>
      </c>
      <c r="O3179" t="s">
        <v>96</v>
      </c>
    </row>
    <row r="3180" spans="1:15" x14ac:dyDescent="0.25">
      <c r="A3180">
        <v>1727</v>
      </c>
      <c r="B3180" s="10">
        <v>45860</v>
      </c>
      <c r="C3180">
        <v>22</v>
      </c>
      <c r="D3180" t="s">
        <v>145</v>
      </c>
      <c r="E3180" t="s">
        <v>112</v>
      </c>
      <c r="F3180" t="s">
        <v>36</v>
      </c>
      <c r="G3180" t="s">
        <v>100</v>
      </c>
      <c r="H3180" t="s">
        <v>29</v>
      </c>
      <c r="I3180" t="s">
        <v>159</v>
      </c>
      <c r="J3180" t="s">
        <v>94</v>
      </c>
      <c r="K3180">
        <v>6</v>
      </c>
      <c r="L3180">
        <v>21400</v>
      </c>
      <c r="M3180">
        <v>128400</v>
      </c>
      <c r="N3180" t="s">
        <v>108</v>
      </c>
      <c r="O3180" t="s">
        <v>96</v>
      </c>
    </row>
    <row r="3181" spans="1:15" x14ac:dyDescent="0.25">
      <c r="A3181">
        <v>4208</v>
      </c>
      <c r="B3181" s="10">
        <v>45968</v>
      </c>
      <c r="C3181">
        <v>7</v>
      </c>
      <c r="D3181" t="s">
        <v>90</v>
      </c>
      <c r="E3181" t="s">
        <v>25</v>
      </c>
      <c r="F3181" t="s">
        <v>134</v>
      </c>
      <c r="G3181" t="s">
        <v>100</v>
      </c>
      <c r="H3181" t="s">
        <v>92</v>
      </c>
      <c r="I3181" t="s">
        <v>135</v>
      </c>
      <c r="J3181" t="s">
        <v>94</v>
      </c>
      <c r="K3181">
        <v>2</v>
      </c>
      <c r="L3181">
        <v>21400</v>
      </c>
      <c r="M3181">
        <v>42800</v>
      </c>
      <c r="N3181" t="s">
        <v>108</v>
      </c>
      <c r="O3181" t="s">
        <v>96</v>
      </c>
    </row>
    <row r="3182" spans="1:15" x14ac:dyDescent="0.25">
      <c r="A3182">
        <v>812</v>
      </c>
      <c r="B3182" s="10">
        <v>45934</v>
      </c>
      <c r="C3182">
        <v>4</v>
      </c>
      <c r="D3182" t="s">
        <v>136</v>
      </c>
      <c r="E3182" t="s">
        <v>112</v>
      </c>
      <c r="F3182" t="s">
        <v>134</v>
      </c>
      <c r="G3182" t="s">
        <v>100</v>
      </c>
      <c r="H3182" t="s">
        <v>29</v>
      </c>
      <c r="I3182" t="s">
        <v>159</v>
      </c>
      <c r="J3182" t="s">
        <v>94</v>
      </c>
      <c r="K3182">
        <v>8</v>
      </c>
      <c r="L3182">
        <v>21500</v>
      </c>
      <c r="M3182">
        <v>172000</v>
      </c>
      <c r="N3182" t="s">
        <v>108</v>
      </c>
      <c r="O3182" t="s">
        <v>104</v>
      </c>
    </row>
    <row r="3183" spans="1:15" x14ac:dyDescent="0.25">
      <c r="A3183">
        <v>1807</v>
      </c>
      <c r="B3183" s="10">
        <v>45938</v>
      </c>
      <c r="C3183">
        <v>8</v>
      </c>
      <c r="D3183" t="s">
        <v>136</v>
      </c>
      <c r="E3183" t="s">
        <v>98</v>
      </c>
      <c r="F3183" t="s">
        <v>113</v>
      </c>
      <c r="G3183" t="s">
        <v>114</v>
      </c>
      <c r="H3183" t="s">
        <v>92</v>
      </c>
      <c r="I3183" t="s">
        <v>135</v>
      </c>
      <c r="J3183" t="s">
        <v>103</v>
      </c>
      <c r="K3183">
        <v>16</v>
      </c>
      <c r="L3183">
        <v>21500</v>
      </c>
      <c r="M3183">
        <v>344000</v>
      </c>
      <c r="N3183" t="s">
        <v>108</v>
      </c>
      <c r="O3183" t="s">
        <v>104</v>
      </c>
    </row>
    <row r="3184" spans="1:15" x14ac:dyDescent="0.25">
      <c r="A3184">
        <v>1924</v>
      </c>
      <c r="B3184" s="10">
        <v>45712</v>
      </c>
      <c r="C3184">
        <v>24</v>
      </c>
      <c r="D3184" t="s">
        <v>97</v>
      </c>
      <c r="E3184" t="s">
        <v>31</v>
      </c>
      <c r="F3184" t="s">
        <v>113</v>
      </c>
      <c r="G3184" t="s">
        <v>114</v>
      </c>
      <c r="H3184" t="s">
        <v>92</v>
      </c>
      <c r="I3184" t="s">
        <v>135</v>
      </c>
      <c r="J3184" t="s">
        <v>103</v>
      </c>
      <c r="K3184">
        <v>14</v>
      </c>
      <c r="L3184">
        <v>21500</v>
      </c>
      <c r="M3184">
        <v>301000</v>
      </c>
      <c r="N3184" t="s">
        <v>95</v>
      </c>
      <c r="O3184" t="s">
        <v>96</v>
      </c>
    </row>
    <row r="3185" spans="1:15" x14ac:dyDescent="0.25">
      <c r="A3185">
        <v>4286</v>
      </c>
      <c r="B3185" s="10">
        <v>45722</v>
      </c>
      <c r="C3185">
        <v>6</v>
      </c>
      <c r="D3185" t="s">
        <v>140</v>
      </c>
      <c r="E3185" t="s">
        <v>112</v>
      </c>
      <c r="F3185" t="s">
        <v>151</v>
      </c>
      <c r="G3185" t="s">
        <v>111</v>
      </c>
      <c r="H3185" t="s">
        <v>92</v>
      </c>
      <c r="I3185" t="s">
        <v>135</v>
      </c>
      <c r="J3185" t="s">
        <v>103</v>
      </c>
      <c r="K3185">
        <v>13</v>
      </c>
      <c r="L3185">
        <v>21500</v>
      </c>
      <c r="M3185">
        <v>279500</v>
      </c>
      <c r="N3185" t="s">
        <v>108</v>
      </c>
      <c r="O3185" t="s">
        <v>96</v>
      </c>
    </row>
    <row r="3186" spans="1:15" x14ac:dyDescent="0.25">
      <c r="A3186">
        <v>28</v>
      </c>
      <c r="B3186" s="10">
        <v>45755</v>
      </c>
      <c r="C3186">
        <v>8</v>
      </c>
      <c r="D3186" t="s">
        <v>105</v>
      </c>
      <c r="E3186" t="s">
        <v>31</v>
      </c>
      <c r="F3186" t="s">
        <v>28</v>
      </c>
      <c r="G3186" t="s">
        <v>126</v>
      </c>
      <c r="H3186" t="s">
        <v>92</v>
      </c>
      <c r="I3186" t="s">
        <v>135</v>
      </c>
      <c r="J3186" t="s">
        <v>103</v>
      </c>
      <c r="K3186">
        <v>32</v>
      </c>
      <c r="L3186">
        <v>21600</v>
      </c>
      <c r="M3186">
        <v>691200</v>
      </c>
      <c r="N3186" t="s">
        <v>108</v>
      </c>
      <c r="O3186" t="s">
        <v>115</v>
      </c>
    </row>
    <row r="3187" spans="1:15" x14ac:dyDescent="0.25">
      <c r="A3187">
        <v>3198</v>
      </c>
      <c r="B3187" s="10">
        <v>45710</v>
      </c>
      <c r="C3187">
        <v>22</v>
      </c>
      <c r="D3187" t="s">
        <v>97</v>
      </c>
      <c r="E3187" t="s">
        <v>112</v>
      </c>
      <c r="F3187" t="s">
        <v>134</v>
      </c>
      <c r="G3187" t="s">
        <v>100</v>
      </c>
      <c r="H3187" t="s">
        <v>29</v>
      </c>
      <c r="I3187" t="s">
        <v>124</v>
      </c>
      <c r="J3187" t="s">
        <v>103</v>
      </c>
      <c r="K3187">
        <v>6</v>
      </c>
      <c r="L3187">
        <v>21600</v>
      </c>
      <c r="M3187">
        <v>129600</v>
      </c>
      <c r="N3187" t="s">
        <v>108</v>
      </c>
      <c r="O3187" t="s">
        <v>104</v>
      </c>
    </row>
    <row r="3188" spans="1:15" x14ac:dyDescent="0.25">
      <c r="A3188">
        <v>3352</v>
      </c>
      <c r="B3188" s="10">
        <v>45875</v>
      </c>
      <c r="C3188">
        <v>6</v>
      </c>
      <c r="D3188" t="s">
        <v>109</v>
      </c>
      <c r="E3188" t="s">
        <v>128</v>
      </c>
      <c r="F3188" t="s">
        <v>49</v>
      </c>
      <c r="G3188" t="s">
        <v>118</v>
      </c>
      <c r="H3188" t="s">
        <v>29</v>
      </c>
      <c r="I3188" t="s">
        <v>159</v>
      </c>
      <c r="J3188" t="s">
        <v>94</v>
      </c>
      <c r="K3188">
        <v>3</v>
      </c>
      <c r="L3188">
        <v>21600</v>
      </c>
      <c r="M3188">
        <v>64800</v>
      </c>
      <c r="N3188" t="s">
        <v>95</v>
      </c>
      <c r="O3188" t="s">
        <v>104</v>
      </c>
    </row>
    <row r="3189" spans="1:15" x14ac:dyDescent="0.25">
      <c r="A3189">
        <v>3546</v>
      </c>
      <c r="B3189" s="10">
        <v>45916</v>
      </c>
      <c r="C3189">
        <v>16</v>
      </c>
      <c r="D3189" t="s">
        <v>147</v>
      </c>
      <c r="E3189" t="s">
        <v>128</v>
      </c>
      <c r="F3189" t="s">
        <v>134</v>
      </c>
      <c r="G3189" t="s">
        <v>100</v>
      </c>
      <c r="H3189" t="s">
        <v>92</v>
      </c>
      <c r="I3189" t="s">
        <v>135</v>
      </c>
      <c r="J3189" t="s">
        <v>103</v>
      </c>
      <c r="K3189">
        <v>48</v>
      </c>
      <c r="L3189">
        <v>21600</v>
      </c>
      <c r="M3189">
        <v>1036800</v>
      </c>
      <c r="N3189" t="s">
        <v>95</v>
      </c>
      <c r="O3189" t="s">
        <v>104</v>
      </c>
    </row>
    <row r="3190" spans="1:15" x14ac:dyDescent="0.25">
      <c r="A3190">
        <v>3777</v>
      </c>
      <c r="B3190" s="10">
        <v>46003</v>
      </c>
      <c r="C3190">
        <v>12</v>
      </c>
      <c r="D3190" t="s">
        <v>125</v>
      </c>
      <c r="E3190" t="s">
        <v>106</v>
      </c>
      <c r="F3190" t="s">
        <v>22</v>
      </c>
      <c r="G3190" t="s">
        <v>91</v>
      </c>
      <c r="H3190" t="s">
        <v>29</v>
      </c>
      <c r="I3190" t="s">
        <v>124</v>
      </c>
      <c r="J3190" t="s">
        <v>103</v>
      </c>
      <c r="K3190">
        <v>17</v>
      </c>
      <c r="L3190">
        <v>21600</v>
      </c>
      <c r="M3190">
        <v>367200</v>
      </c>
      <c r="N3190" t="s">
        <v>108</v>
      </c>
      <c r="O3190" t="s">
        <v>115</v>
      </c>
    </row>
    <row r="3191" spans="1:15" x14ac:dyDescent="0.25">
      <c r="A3191">
        <v>3971</v>
      </c>
      <c r="B3191" s="10">
        <v>45957</v>
      </c>
      <c r="C3191">
        <v>27</v>
      </c>
      <c r="D3191" t="s">
        <v>136</v>
      </c>
      <c r="E3191" t="s">
        <v>150</v>
      </c>
      <c r="F3191" t="s">
        <v>107</v>
      </c>
      <c r="G3191" t="s">
        <v>100</v>
      </c>
      <c r="H3191" t="s">
        <v>29</v>
      </c>
      <c r="I3191" t="s">
        <v>159</v>
      </c>
      <c r="J3191" t="s">
        <v>94</v>
      </c>
      <c r="K3191">
        <v>6</v>
      </c>
      <c r="L3191">
        <v>21600</v>
      </c>
      <c r="M3191">
        <v>129600</v>
      </c>
      <c r="N3191" t="s">
        <v>108</v>
      </c>
      <c r="O3191" t="s">
        <v>115</v>
      </c>
    </row>
    <row r="3192" spans="1:15" x14ac:dyDescent="0.25">
      <c r="A3192">
        <v>4330</v>
      </c>
      <c r="B3192" s="10">
        <v>45735</v>
      </c>
      <c r="C3192">
        <v>19</v>
      </c>
      <c r="D3192" t="s">
        <v>140</v>
      </c>
      <c r="E3192" t="s">
        <v>25</v>
      </c>
      <c r="F3192" t="s">
        <v>117</v>
      </c>
      <c r="G3192" t="s">
        <v>118</v>
      </c>
      <c r="H3192" t="s">
        <v>29</v>
      </c>
      <c r="I3192" t="s">
        <v>159</v>
      </c>
      <c r="J3192" t="s">
        <v>94</v>
      </c>
      <c r="K3192">
        <v>4</v>
      </c>
      <c r="L3192">
        <v>21600</v>
      </c>
      <c r="M3192">
        <v>86400</v>
      </c>
      <c r="N3192" t="s">
        <v>95</v>
      </c>
      <c r="O3192" t="s">
        <v>104</v>
      </c>
    </row>
    <row r="3193" spans="1:15" x14ac:dyDescent="0.25">
      <c r="A3193">
        <v>2169</v>
      </c>
      <c r="B3193" s="10">
        <v>45705</v>
      </c>
      <c r="C3193">
        <v>17</v>
      </c>
      <c r="D3193" t="s">
        <v>97</v>
      </c>
      <c r="E3193" t="s">
        <v>150</v>
      </c>
      <c r="F3193" t="s">
        <v>144</v>
      </c>
      <c r="G3193" t="s">
        <v>91</v>
      </c>
      <c r="H3193" t="s">
        <v>29</v>
      </c>
      <c r="I3193" t="s">
        <v>159</v>
      </c>
      <c r="J3193" t="s">
        <v>94</v>
      </c>
      <c r="K3193">
        <v>2</v>
      </c>
      <c r="L3193">
        <v>21700</v>
      </c>
      <c r="M3193">
        <v>43400</v>
      </c>
      <c r="N3193" t="s">
        <v>108</v>
      </c>
      <c r="O3193" t="s">
        <v>96</v>
      </c>
    </row>
    <row r="3194" spans="1:15" x14ac:dyDescent="0.25">
      <c r="A3194">
        <v>2834</v>
      </c>
      <c r="B3194" s="10">
        <v>45720</v>
      </c>
      <c r="C3194">
        <v>4</v>
      </c>
      <c r="D3194" t="s">
        <v>140</v>
      </c>
      <c r="E3194" t="s">
        <v>31</v>
      </c>
      <c r="F3194" t="s">
        <v>148</v>
      </c>
      <c r="G3194" t="s">
        <v>118</v>
      </c>
      <c r="H3194" t="s">
        <v>29</v>
      </c>
      <c r="I3194" t="s">
        <v>159</v>
      </c>
      <c r="J3194" t="s">
        <v>94</v>
      </c>
      <c r="K3194">
        <v>1</v>
      </c>
      <c r="L3194">
        <v>21700</v>
      </c>
      <c r="M3194">
        <v>21700</v>
      </c>
      <c r="N3194" t="s">
        <v>95</v>
      </c>
      <c r="O3194" t="s">
        <v>96</v>
      </c>
    </row>
    <row r="3195" spans="1:15" x14ac:dyDescent="0.25">
      <c r="A3195">
        <v>3600</v>
      </c>
      <c r="B3195" s="10">
        <v>45979</v>
      </c>
      <c r="C3195">
        <v>18</v>
      </c>
      <c r="D3195" t="s">
        <v>90</v>
      </c>
      <c r="E3195" t="s">
        <v>98</v>
      </c>
      <c r="F3195" t="s">
        <v>22</v>
      </c>
      <c r="G3195" t="s">
        <v>91</v>
      </c>
      <c r="H3195" t="s">
        <v>29</v>
      </c>
      <c r="I3195" t="s">
        <v>159</v>
      </c>
      <c r="J3195" t="s">
        <v>94</v>
      </c>
      <c r="K3195">
        <v>2</v>
      </c>
      <c r="L3195">
        <v>21700</v>
      </c>
      <c r="M3195">
        <v>43400</v>
      </c>
      <c r="N3195" t="s">
        <v>108</v>
      </c>
      <c r="O3195" t="s">
        <v>104</v>
      </c>
    </row>
    <row r="3196" spans="1:15" x14ac:dyDescent="0.25">
      <c r="A3196">
        <v>631</v>
      </c>
      <c r="B3196" s="10">
        <v>45981</v>
      </c>
      <c r="C3196">
        <v>20</v>
      </c>
      <c r="D3196" t="s">
        <v>90</v>
      </c>
      <c r="E3196" t="s">
        <v>138</v>
      </c>
      <c r="F3196" t="s">
        <v>141</v>
      </c>
      <c r="G3196" t="s">
        <v>100</v>
      </c>
      <c r="H3196" t="s">
        <v>29</v>
      </c>
      <c r="I3196" t="s">
        <v>124</v>
      </c>
      <c r="J3196" t="s">
        <v>103</v>
      </c>
      <c r="K3196">
        <v>45</v>
      </c>
      <c r="L3196">
        <v>21800</v>
      </c>
      <c r="M3196">
        <v>981000</v>
      </c>
      <c r="N3196" t="s">
        <v>108</v>
      </c>
      <c r="O3196" t="s">
        <v>104</v>
      </c>
    </row>
    <row r="3197" spans="1:15" x14ac:dyDescent="0.25">
      <c r="A3197">
        <v>1204</v>
      </c>
      <c r="B3197" s="10">
        <v>45889</v>
      </c>
      <c r="C3197">
        <v>20</v>
      </c>
      <c r="D3197" t="s">
        <v>109</v>
      </c>
      <c r="E3197" t="s">
        <v>110</v>
      </c>
      <c r="F3197" t="s">
        <v>122</v>
      </c>
      <c r="G3197" t="s">
        <v>114</v>
      </c>
      <c r="H3197" t="s">
        <v>92</v>
      </c>
      <c r="I3197" t="s">
        <v>135</v>
      </c>
      <c r="J3197" t="s">
        <v>103</v>
      </c>
      <c r="K3197">
        <v>47</v>
      </c>
      <c r="L3197">
        <v>21800</v>
      </c>
      <c r="M3197">
        <v>1024600</v>
      </c>
      <c r="N3197" t="s">
        <v>95</v>
      </c>
      <c r="O3197" t="s">
        <v>104</v>
      </c>
    </row>
    <row r="3198" spans="1:15" x14ac:dyDescent="0.25">
      <c r="A3198">
        <v>1324</v>
      </c>
      <c r="B3198" s="10">
        <v>45911</v>
      </c>
      <c r="C3198">
        <v>11</v>
      </c>
      <c r="D3198" t="s">
        <v>147</v>
      </c>
      <c r="E3198" t="s">
        <v>142</v>
      </c>
      <c r="F3198" t="s">
        <v>151</v>
      </c>
      <c r="G3198" t="s">
        <v>111</v>
      </c>
      <c r="H3198" t="s">
        <v>92</v>
      </c>
      <c r="I3198" t="s">
        <v>135</v>
      </c>
      <c r="J3198" t="s">
        <v>103</v>
      </c>
      <c r="K3198">
        <v>13</v>
      </c>
      <c r="L3198">
        <v>21800</v>
      </c>
      <c r="M3198">
        <v>283400</v>
      </c>
      <c r="N3198" t="s">
        <v>95</v>
      </c>
      <c r="O3198" t="s">
        <v>115</v>
      </c>
    </row>
    <row r="3199" spans="1:15" x14ac:dyDescent="0.25">
      <c r="A3199">
        <v>2296</v>
      </c>
      <c r="B3199" s="10">
        <v>45972</v>
      </c>
      <c r="C3199">
        <v>11</v>
      </c>
      <c r="D3199" t="s">
        <v>90</v>
      </c>
      <c r="E3199" t="s">
        <v>31</v>
      </c>
      <c r="F3199" t="s">
        <v>99</v>
      </c>
      <c r="G3199" t="s">
        <v>100</v>
      </c>
      <c r="H3199" t="s">
        <v>92</v>
      </c>
      <c r="I3199" t="s">
        <v>135</v>
      </c>
      <c r="J3199" t="s">
        <v>103</v>
      </c>
      <c r="K3199">
        <v>44</v>
      </c>
      <c r="L3199">
        <v>21800</v>
      </c>
      <c r="M3199">
        <v>959200</v>
      </c>
      <c r="N3199" t="s">
        <v>108</v>
      </c>
      <c r="O3199" t="s">
        <v>115</v>
      </c>
    </row>
    <row r="3200" spans="1:15" x14ac:dyDescent="0.25">
      <c r="A3200">
        <v>3362</v>
      </c>
      <c r="B3200" s="10">
        <v>45976</v>
      </c>
      <c r="C3200">
        <v>15</v>
      </c>
      <c r="D3200" t="s">
        <v>90</v>
      </c>
      <c r="E3200" t="s">
        <v>133</v>
      </c>
      <c r="F3200" t="s">
        <v>141</v>
      </c>
      <c r="G3200" t="s">
        <v>100</v>
      </c>
      <c r="H3200" t="s">
        <v>29</v>
      </c>
      <c r="I3200" t="s">
        <v>124</v>
      </c>
      <c r="J3200" t="s">
        <v>103</v>
      </c>
      <c r="K3200">
        <v>10</v>
      </c>
      <c r="L3200">
        <v>21800</v>
      </c>
      <c r="M3200">
        <v>218000</v>
      </c>
      <c r="N3200" t="s">
        <v>108</v>
      </c>
      <c r="O3200" t="s">
        <v>96</v>
      </c>
    </row>
    <row r="3201" spans="1:15" x14ac:dyDescent="0.25">
      <c r="A3201">
        <v>3527</v>
      </c>
      <c r="B3201" s="10">
        <v>45662</v>
      </c>
      <c r="C3201">
        <v>5</v>
      </c>
      <c r="D3201" t="s">
        <v>130</v>
      </c>
      <c r="E3201" t="s">
        <v>98</v>
      </c>
      <c r="F3201" t="s">
        <v>151</v>
      </c>
      <c r="G3201" t="s">
        <v>111</v>
      </c>
      <c r="H3201" t="s">
        <v>29</v>
      </c>
      <c r="I3201" t="s">
        <v>159</v>
      </c>
      <c r="J3201" t="s">
        <v>94</v>
      </c>
      <c r="K3201">
        <v>8</v>
      </c>
      <c r="L3201">
        <v>21800</v>
      </c>
      <c r="M3201">
        <v>174400</v>
      </c>
      <c r="N3201" t="s">
        <v>108</v>
      </c>
      <c r="O3201" t="s">
        <v>115</v>
      </c>
    </row>
    <row r="3202" spans="1:15" x14ac:dyDescent="0.25">
      <c r="A3202">
        <v>4086</v>
      </c>
      <c r="B3202" s="10">
        <v>45833</v>
      </c>
      <c r="C3202">
        <v>25</v>
      </c>
      <c r="D3202" t="s">
        <v>153</v>
      </c>
      <c r="E3202" t="s">
        <v>150</v>
      </c>
      <c r="F3202" t="s">
        <v>36</v>
      </c>
      <c r="G3202" t="s">
        <v>100</v>
      </c>
      <c r="H3202" t="s">
        <v>29</v>
      </c>
      <c r="I3202" t="s">
        <v>159</v>
      </c>
      <c r="J3202" t="s">
        <v>94</v>
      </c>
      <c r="K3202">
        <v>8</v>
      </c>
      <c r="L3202">
        <v>21800</v>
      </c>
      <c r="M3202">
        <v>174400</v>
      </c>
      <c r="N3202" t="s">
        <v>95</v>
      </c>
      <c r="O3202" t="s">
        <v>104</v>
      </c>
    </row>
    <row r="3203" spans="1:15" x14ac:dyDescent="0.25">
      <c r="A3203">
        <v>4226</v>
      </c>
      <c r="B3203" s="10">
        <v>46009</v>
      </c>
      <c r="C3203">
        <v>18</v>
      </c>
      <c r="D3203" t="s">
        <v>125</v>
      </c>
      <c r="E3203" t="s">
        <v>161</v>
      </c>
      <c r="F3203" t="s">
        <v>28</v>
      </c>
      <c r="G3203" t="s">
        <v>126</v>
      </c>
      <c r="H3203" t="s">
        <v>92</v>
      </c>
      <c r="I3203" t="s">
        <v>135</v>
      </c>
      <c r="J3203" t="s">
        <v>103</v>
      </c>
      <c r="K3203">
        <v>12</v>
      </c>
      <c r="L3203">
        <v>21800</v>
      </c>
      <c r="M3203">
        <v>261600</v>
      </c>
      <c r="N3203" t="s">
        <v>108</v>
      </c>
      <c r="O3203" t="s">
        <v>104</v>
      </c>
    </row>
    <row r="3204" spans="1:15" x14ac:dyDescent="0.25">
      <c r="A3204">
        <v>1034</v>
      </c>
      <c r="B3204" s="10">
        <v>45977</v>
      </c>
      <c r="C3204">
        <v>16</v>
      </c>
      <c r="D3204" t="s">
        <v>90</v>
      </c>
      <c r="E3204" t="s">
        <v>112</v>
      </c>
      <c r="F3204" t="s">
        <v>148</v>
      </c>
      <c r="G3204" t="s">
        <v>118</v>
      </c>
      <c r="H3204" t="s">
        <v>92</v>
      </c>
      <c r="I3204" t="s">
        <v>135</v>
      </c>
      <c r="J3204" t="s">
        <v>103</v>
      </c>
      <c r="K3204">
        <v>46</v>
      </c>
      <c r="L3204">
        <v>21900</v>
      </c>
      <c r="M3204">
        <v>1007400</v>
      </c>
      <c r="N3204" t="s">
        <v>108</v>
      </c>
      <c r="O3204" t="s">
        <v>104</v>
      </c>
    </row>
    <row r="3205" spans="1:15" x14ac:dyDescent="0.25">
      <c r="A3205">
        <v>1643</v>
      </c>
      <c r="B3205" s="10">
        <v>45678</v>
      </c>
      <c r="C3205">
        <v>21</v>
      </c>
      <c r="D3205" t="s">
        <v>130</v>
      </c>
      <c r="E3205" t="s">
        <v>128</v>
      </c>
      <c r="F3205" t="s">
        <v>144</v>
      </c>
      <c r="G3205" t="s">
        <v>91</v>
      </c>
      <c r="H3205" t="s">
        <v>29</v>
      </c>
      <c r="I3205" t="s">
        <v>159</v>
      </c>
      <c r="J3205" t="s">
        <v>94</v>
      </c>
      <c r="K3205">
        <v>7</v>
      </c>
      <c r="L3205">
        <v>21900</v>
      </c>
      <c r="M3205">
        <v>153300</v>
      </c>
      <c r="N3205" t="s">
        <v>108</v>
      </c>
      <c r="O3205" t="s">
        <v>115</v>
      </c>
    </row>
    <row r="3206" spans="1:15" x14ac:dyDescent="0.25">
      <c r="A3206">
        <v>1651</v>
      </c>
      <c r="B3206" s="10">
        <v>45825</v>
      </c>
      <c r="C3206">
        <v>17</v>
      </c>
      <c r="D3206" t="s">
        <v>153</v>
      </c>
      <c r="E3206" t="s">
        <v>128</v>
      </c>
      <c r="F3206" t="s">
        <v>44</v>
      </c>
      <c r="G3206" t="s">
        <v>111</v>
      </c>
      <c r="H3206" t="s">
        <v>92</v>
      </c>
      <c r="I3206" t="s">
        <v>135</v>
      </c>
      <c r="J3206" t="s">
        <v>103</v>
      </c>
      <c r="K3206">
        <v>39</v>
      </c>
      <c r="L3206">
        <v>21900</v>
      </c>
      <c r="M3206">
        <v>854100</v>
      </c>
      <c r="N3206" t="s">
        <v>95</v>
      </c>
      <c r="O3206" t="s">
        <v>115</v>
      </c>
    </row>
    <row r="3207" spans="1:15" x14ac:dyDescent="0.25">
      <c r="A3207">
        <v>2251</v>
      </c>
      <c r="B3207" s="10">
        <v>45782</v>
      </c>
      <c r="C3207">
        <v>5</v>
      </c>
      <c r="D3207" t="s">
        <v>120</v>
      </c>
      <c r="E3207" t="s">
        <v>128</v>
      </c>
      <c r="F3207" t="s">
        <v>107</v>
      </c>
      <c r="G3207" t="s">
        <v>100</v>
      </c>
      <c r="H3207" t="s">
        <v>29</v>
      </c>
      <c r="I3207" t="s">
        <v>159</v>
      </c>
      <c r="J3207" t="s">
        <v>94</v>
      </c>
      <c r="K3207">
        <v>5</v>
      </c>
      <c r="L3207">
        <v>21900</v>
      </c>
      <c r="M3207">
        <v>109500</v>
      </c>
      <c r="N3207" t="s">
        <v>95</v>
      </c>
      <c r="O3207" t="s">
        <v>115</v>
      </c>
    </row>
    <row r="3208" spans="1:15" x14ac:dyDescent="0.25">
      <c r="A3208">
        <v>4806</v>
      </c>
      <c r="B3208" s="10">
        <v>45750</v>
      </c>
      <c r="C3208">
        <v>3</v>
      </c>
      <c r="D3208" t="s">
        <v>105</v>
      </c>
      <c r="E3208" t="s">
        <v>98</v>
      </c>
      <c r="F3208" t="s">
        <v>144</v>
      </c>
      <c r="G3208" t="s">
        <v>91</v>
      </c>
      <c r="H3208" t="s">
        <v>29</v>
      </c>
      <c r="I3208" t="s">
        <v>124</v>
      </c>
      <c r="J3208" t="s">
        <v>103</v>
      </c>
      <c r="K3208">
        <v>46</v>
      </c>
      <c r="L3208">
        <v>21900</v>
      </c>
      <c r="M3208">
        <v>1007400</v>
      </c>
      <c r="N3208" t="s">
        <v>95</v>
      </c>
      <c r="O3208" t="s">
        <v>104</v>
      </c>
    </row>
    <row r="3209" spans="1:15" x14ac:dyDescent="0.25">
      <c r="A3209">
        <v>4993</v>
      </c>
      <c r="B3209" s="10">
        <v>45769</v>
      </c>
      <c r="C3209">
        <v>22</v>
      </c>
      <c r="D3209" t="s">
        <v>105</v>
      </c>
      <c r="E3209" t="s">
        <v>98</v>
      </c>
      <c r="F3209" t="s">
        <v>117</v>
      </c>
      <c r="G3209" t="s">
        <v>118</v>
      </c>
      <c r="H3209" t="s">
        <v>29</v>
      </c>
      <c r="I3209" t="s">
        <v>159</v>
      </c>
      <c r="J3209" t="s">
        <v>94</v>
      </c>
      <c r="K3209">
        <v>6</v>
      </c>
      <c r="L3209">
        <v>21900</v>
      </c>
      <c r="M3209">
        <v>131400</v>
      </c>
      <c r="N3209" t="s">
        <v>95</v>
      </c>
      <c r="O3209" t="s">
        <v>96</v>
      </c>
    </row>
    <row r="3210" spans="1:15" x14ac:dyDescent="0.25">
      <c r="A3210">
        <v>73</v>
      </c>
      <c r="B3210" s="10">
        <v>45742</v>
      </c>
      <c r="C3210">
        <v>26</v>
      </c>
      <c r="D3210" t="s">
        <v>140</v>
      </c>
      <c r="E3210" t="s">
        <v>121</v>
      </c>
      <c r="F3210" t="s">
        <v>151</v>
      </c>
      <c r="G3210" t="s">
        <v>111</v>
      </c>
      <c r="H3210" t="s">
        <v>29</v>
      </c>
      <c r="I3210" t="s">
        <v>159</v>
      </c>
      <c r="J3210" t="s">
        <v>94</v>
      </c>
      <c r="K3210">
        <v>7</v>
      </c>
      <c r="L3210">
        <v>22000</v>
      </c>
      <c r="M3210">
        <v>154000</v>
      </c>
      <c r="N3210" t="s">
        <v>95</v>
      </c>
      <c r="O3210" t="s">
        <v>104</v>
      </c>
    </row>
    <row r="3211" spans="1:15" x14ac:dyDescent="0.25">
      <c r="A3211">
        <v>255</v>
      </c>
      <c r="B3211" s="10">
        <v>45968</v>
      </c>
      <c r="C3211">
        <v>7</v>
      </c>
      <c r="D3211" t="s">
        <v>90</v>
      </c>
      <c r="E3211" t="s">
        <v>128</v>
      </c>
      <c r="F3211" t="s">
        <v>107</v>
      </c>
      <c r="G3211" t="s">
        <v>100</v>
      </c>
      <c r="H3211" t="s">
        <v>29</v>
      </c>
      <c r="I3211" t="s">
        <v>124</v>
      </c>
      <c r="J3211" t="s">
        <v>103</v>
      </c>
      <c r="K3211">
        <v>15</v>
      </c>
      <c r="L3211">
        <v>22000</v>
      </c>
      <c r="M3211">
        <v>330000</v>
      </c>
      <c r="N3211" t="s">
        <v>108</v>
      </c>
      <c r="O3211" t="s">
        <v>96</v>
      </c>
    </row>
    <row r="3212" spans="1:15" x14ac:dyDescent="0.25">
      <c r="A3212">
        <v>473</v>
      </c>
      <c r="B3212" s="10">
        <v>45989</v>
      </c>
      <c r="C3212">
        <v>28</v>
      </c>
      <c r="D3212" t="s">
        <v>90</v>
      </c>
      <c r="E3212" t="s">
        <v>106</v>
      </c>
      <c r="F3212" t="s">
        <v>122</v>
      </c>
      <c r="G3212" t="s">
        <v>114</v>
      </c>
      <c r="H3212" t="s">
        <v>29</v>
      </c>
      <c r="I3212" t="s">
        <v>124</v>
      </c>
      <c r="J3212" t="s">
        <v>103</v>
      </c>
      <c r="K3212">
        <v>37</v>
      </c>
      <c r="L3212">
        <v>22000</v>
      </c>
      <c r="M3212">
        <v>814000</v>
      </c>
      <c r="N3212" t="s">
        <v>95</v>
      </c>
      <c r="O3212" t="s">
        <v>96</v>
      </c>
    </row>
    <row r="3213" spans="1:15" x14ac:dyDescent="0.25">
      <c r="A3213">
        <v>2237</v>
      </c>
      <c r="B3213" s="10">
        <v>45945</v>
      </c>
      <c r="C3213">
        <v>15</v>
      </c>
      <c r="D3213" t="s">
        <v>136</v>
      </c>
      <c r="E3213" t="s">
        <v>98</v>
      </c>
      <c r="F3213" t="s">
        <v>144</v>
      </c>
      <c r="G3213" t="s">
        <v>91</v>
      </c>
      <c r="H3213" t="s">
        <v>29</v>
      </c>
      <c r="I3213" t="s">
        <v>159</v>
      </c>
      <c r="J3213" t="s">
        <v>94</v>
      </c>
      <c r="K3213">
        <v>9</v>
      </c>
      <c r="L3213">
        <v>22000</v>
      </c>
      <c r="M3213">
        <v>198000</v>
      </c>
      <c r="N3213" t="s">
        <v>108</v>
      </c>
      <c r="O3213" t="s">
        <v>115</v>
      </c>
    </row>
    <row r="3214" spans="1:15" x14ac:dyDescent="0.25">
      <c r="A3214">
        <v>2265</v>
      </c>
      <c r="B3214" s="10">
        <v>45887</v>
      </c>
      <c r="C3214">
        <v>18</v>
      </c>
      <c r="D3214" t="s">
        <v>109</v>
      </c>
      <c r="E3214" t="s">
        <v>128</v>
      </c>
      <c r="F3214" t="s">
        <v>36</v>
      </c>
      <c r="G3214" t="s">
        <v>100</v>
      </c>
      <c r="H3214" t="s">
        <v>92</v>
      </c>
      <c r="I3214" t="s">
        <v>135</v>
      </c>
      <c r="J3214" t="s">
        <v>103</v>
      </c>
      <c r="K3214">
        <v>47</v>
      </c>
      <c r="L3214">
        <v>22000</v>
      </c>
      <c r="M3214">
        <v>1034000</v>
      </c>
      <c r="N3214" t="s">
        <v>95</v>
      </c>
      <c r="O3214" t="s">
        <v>96</v>
      </c>
    </row>
    <row r="3215" spans="1:15" x14ac:dyDescent="0.25">
      <c r="A3215">
        <v>3710</v>
      </c>
      <c r="B3215" s="10">
        <v>45821</v>
      </c>
      <c r="C3215">
        <v>13</v>
      </c>
      <c r="D3215" t="s">
        <v>153</v>
      </c>
      <c r="E3215" t="s">
        <v>110</v>
      </c>
      <c r="F3215" t="s">
        <v>44</v>
      </c>
      <c r="G3215" t="s">
        <v>111</v>
      </c>
      <c r="H3215" t="s">
        <v>29</v>
      </c>
      <c r="I3215" t="s">
        <v>159</v>
      </c>
      <c r="J3215" t="s">
        <v>94</v>
      </c>
      <c r="K3215">
        <v>1</v>
      </c>
      <c r="L3215">
        <v>22000</v>
      </c>
      <c r="M3215">
        <v>22000</v>
      </c>
      <c r="N3215" t="s">
        <v>95</v>
      </c>
      <c r="O3215" t="s">
        <v>104</v>
      </c>
    </row>
    <row r="3216" spans="1:15" x14ac:dyDescent="0.25">
      <c r="A3216">
        <v>4321</v>
      </c>
      <c r="B3216" s="10">
        <v>45662</v>
      </c>
      <c r="C3216">
        <v>5</v>
      </c>
      <c r="D3216" t="s">
        <v>130</v>
      </c>
      <c r="E3216" t="s">
        <v>161</v>
      </c>
      <c r="F3216" t="s">
        <v>99</v>
      </c>
      <c r="G3216" t="s">
        <v>100</v>
      </c>
      <c r="H3216" t="s">
        <v>29</v>
      </c>
      <c r="I3216" t="s">
        <v>159</v>
      </c>
      <c r="J3216" t="s">
        <v>94</v>
      </c>
      <c r="K3216">
        <v>7</v>
      </c>
      <c r="L3216">
        <v>22000</v>
      </c>
      <c r="M3216">
        <v>154000</v>
      </c>
      <c r="N3216" t="s">
        <v>95</v>
      </c>
      <c r="O3216" t="s">
        <v>115</v>
      </c>
    </row>
    <row r="3217" spans="1:15" x14ac:dyDescent="0.25">
      <c r="A3217">
        <v>1148</v>
      </c>
      <c r="B3217" s="10">
        <v>46015</v>
      </c>
      <c r="C3217">
        <v>24</v>
      </c>
      <c r="D3217" t="s">
        <v>125</v>
      </c>
      <c r="E3217" t="s">
        <v>25</v>
      </c>
      <c r="F3217" t="s">
        <v>49</v>
      </c>
      <c r="G3217" t="s">
        <v>118</v>
      </c>
      <c r="H3217" t="s">
        <v>29</v>
      </c>
      <c r="I3217" t="s">
        <v>124</v>
      </c>
      <c r="J3217" t="s">
        <v>103</v>
      </c>
      <c r="K3217">
        <v>47</v>
      </c>
      <c r="L3217">
        <v>22100</v>
      </c>
      <c r="M3217">
        <v>1038700</v>
      </c>
      <c r="N3217" t="s">
        <v>95</v>
      </c>
      <c r="O3217" t="s">
        <v>96</v>
      </c>
    </row>
    <row r="3218" spans="1:15" x14ac:dyDescent="0.25">
      <c r="A3218">
        <v>1457</v>
      </c>
      <c r="B3218" s="10">
        <v>45785</v>
      </c>
      <c r="C3218">
        <v>8</v>
      </c>
      <c r="D3218" t="s">
        <v>120</v>
      </c>
      <c r="E3218" t="s">
        <v>112</v>
      </c>
      <c r="F3218" t="s">
        <v>122</v>
      </c>
      <c r="G3218" t="s">
        <v>114</v>
      </c>
      <c r="H3218" t="s">
        <v>92</v>
      </c>
      <c r="I3218" t="s">
        <v>135</v>
      </c>
      <c r="J3218" t="s">
        <v>103</v>
      </c>
      <c r="K3218">
        <v>30</v>
      </c>
      <c r="L3218">
        <v>22100</v>
      </c>
      <c r="M3218">
        <v>663000</v>
      </c>
      <c r="N3218" t="s">
        <v>95</v>
      </c>
      <c r="O3218" t="s">
        <v>115</v>
      </c>
    </row>
    <row r="3219" spans="1:15" x14ac:dyDescent="0.25">
      <c r="A3219">
        <v>2021</v>
      </c>
      <c r="B3219" s="10">
        <v>45875</v>
      </c>
      <c r="C3219">
        <v>6</v>
      </c>
      <c r="D3219" t="s">
        <v>109</v>
      </c>
      <c r="E3219" t="s">
        <v>98</v>
      </c>
      <c r="F3219" t="s">
        <v>122</v>
      </c>
      <c r="G3219" t="s">
        <v>114</v>
      </c>
      <c r="H3219" t="s">
        <v>29</v>
      </c>
      <c r="I3219" t="s">
        <v>159</v>
      </c>
      <c r="J3219" t="s">
        <v>94</v>
      </c>
      <c r="K3219">
        <v>5</v>
      </c>
      <c r="L3219">
        <v>22100</v>
      </c>
      <c r="M3219">
        <v>110500</v>
      </c>
      <c r="N3219" t="s">
        <v>95</v>
      </c>
      <c r="O3219" t="s">
        <v>96</v>
      </c>
    </row>
    <row r="3220" spans="1:15" x14ac:dyDescent="0.25">
      <c r="A3220">
        <v>3764</v>
      </c>
      <c r="B3220" s="10">
        <v>45919</v>
      </c>
      <c r="C3220">
        <v>19</v>
      </c>
      <c r="D3220" t="s">
        <v>147</v>
      </c>
      <c r="E3220" t="s">
        <v>98</v>
      </c>
      <c r="F3220" t="s">
        <v>117</v>
      </c>
      <c r="G3220" t="s">
        <v>118</v>
      </c>
      <c r="H3220" t="s">
        <v>92</v>
      </c>
      <c r="I3220" t="s">
        <v>135</v>
      </c>
      <c r="J3220" t="s">
        <v>103</v>
      </c>
      <c r="K3220">
        <v>47</v>
      </c>
      <c r="L3220">
        <v>22100</v>
      </c>
      <c r="M3220">
        <v>1038700</v>
      </c>
      <c r="N3220" t="s">
        <v>95</v>
      </c>
      <c r="O3220" t="s">
        <v>115</v>
      </c>
    </row>
    <row r="3221" spans="1:15" x14ac:dyDescent="0.25">
      <c r="A3221">
        <v>4953</v>
      </c>
      <c r="B3221" s="10">
        <v>45960</v>
      </c>
      <c r="C3221">
        <v>30</v>
      </c>
      <c r="D3221" t="s">
        <v>136</v>
      </c>
      <c r="E3221" t="s">
        <v>31</v>
      </c>
      <c r="F3221" t="s">
        <v>99</v>
      </c>
      <c r="G3221" t="s">
        <v>100</v>
      </c>
      <c r="H3221" t="s">
        <v>92</v>
      </c>
      <c r="I3221" t="s">
        <v>135</v>
      </c>
      <c r="J3221" t="s">
        <v>103</v>
      </c>
      <c r="K3221">
        <v>23</v>
      </c>
      <c r="L3221">
        <v>22100</v>
      </c>
      <c r="M3221">
        <v>508300</v>
      </c>
      <c r="N3221" t="s">
        <v>95</v>
      </c>
      <c r="O3221" t="s">
        <v>115</v>
      </c>
    </row>
    <row r="3222" spans="1:15" x14ac:dyDescent="0.25">
      <c r="A3222">
        <v>1316</v>
      </c>
      <c r="B3222" s="10">
        <v>45774</v>
      </c>
      <c r="C3222">
        <v>27</v>
      </c>
      <c r="D3222" t="s">
        <v>105</v>
      </c>
      <c r="E3222" t="s">
        <v>142</v>
      </c>
      <c r="F3222" t="s">
        <v>134</v>
      </c>
      <c r="G3222" t="s">
        <v>100</v>
      </c>
      <c r="H3222" t="s">
        <v>29</v>
      </c>
      <c r="I3222" t="s">
        <v>124</v>
      </c>
      <c r="J3222" t="s">
        <v>103</v>
      </c>
      <c r="K3222">
        <v>19</v>
      </c>
      <c r="L3222">
        <v>22200</v>
      </c>
      <c r="M3222">
        <v>421800</v>
      </c>
      <c r="N3222" t="s">
        <v>108</v>
      </c>
      <c r="O3222" t="s">
        <v>96</v>
      </c>
    </row>
    <row r="3223" spans="1:15" x14ac:dyDescent="0.25">
      <c r="A3223">
        <v>1810</v>
      </c>
      <c r="B3223" s="10">
        <v>45761</v>
      </c>
      <c r="C3223">
        <v>14</v>
      </c>
      <c r="D3223" t="s">
        <v>105</v>
      </c>
      <c r="E3223" t="s">
        <v>116</v>
      </c>
      <c r="F3223" t="s">
        <v>141</v>
      </c>
      <c r="G3223" t="s">
        <v>100</v>
      </c>
      <c r="H3223" t="s">
        <v>92</v>
      </c>
      <c r="I3223" t="s">
        <v>135</v>
      </c>
      <c r="J3223" t="s">
        <v>103</v>
      </c>
      <c r="K3223">
        <v>26</v>
      </c>
      <c r="L3223">
        <v>22200</v>
      </c>
      <c r="M3223">
        <v>577200</v>
      </c>
      <c r="N3223" t="s">
        <v>108</v>
      </c>
      <c r="O3223" t="s">
        <v>115</v>
      </c>
    </row>
    <row r="3224" spans="1:15" x14ac:dyDescent="0.25">
      <c r="A3224">
        <v>3418</v>
      </c>
      <c r="B3224" s="10">
        <v>45899</v>
      </c>
      <c r="C3224">
        <v>30</v>
      </c>
      <c r="D3224" t="s">
        <v>109</v>
      </c>
      <c r="E3224" t="s">
        <v>142</v>
      </c>
      <c r="F3224" t="s">
        <v>36</v>
      </c>
      <c r="G3224" t="s">
        <v>100</v>
      </c>
      <c r="H3224" t="s">
        <v>29</v>
      </c>
      <c r="I3224" t="s">
        <v>159</v>
      </c>
      <c r="J3224" t="s">
        <v>94</v>
      </c>
      <c r="K3224">
        <v>2</v>
      </c>
      <c r="L3224">
        <v>22200</v>
      </c>
      <c r="M3224">
        <v>44400</v>
      </c>
      <c r="N3224" t="s">
        <v>108</v>
      </c>
      <c r="O3224" t="s">
        <v>96</v>
      </c>
    </row>
    <row r="3225" spans="1:15" x14ac:dyDescent="0.25">
      <c r="A3225">
        <v>194</v>
      </c>
      <c r="B3225" s="10">
        <v>45843</v>
      </c>
      <c r="C3225">
        <v>5</v>
      </c>
      <c r="D3225" t="s">
        <v>145</v>
      </c>
      <c r="E3225" t="s">
        <v>116</v>
      </c>
      <c r="F3225" t="s">
        <v>36</v>
      </c>
      <c r="G3225" t="s">
        <v>100</v>
      </c>
      <c r="H3225" t="s">
        <v>29</v>
      </c>
      <c r="I3225" t="s">
        <v>124</v>
      </c>
      <c r="J3225" t="s">
        <v>103</v>
      </c>
      <c r="K3225">
        <v>17</v>
      </c>
      <c r="L3225">
        <v>22300</v>
      </c>
      <c r="M3225">
        <v>379100</v>
      </c>
      <c r="N3225" t="s">
        <v>95</v>
      </c>
      <c r="O3225" t="s">
        <v>104</v>
      </c>
    </row>
    <row r="3226" spans="1:15" x14ac:dyDescent="0.25">
      <c r="A3226">
        <v>251</v>
      </c>
      <c r="B3226" s="10">
        <v>45684</v>
      </c>
      <c r="C3226">
        <v>27</v>
      </c>
      <c r="D3226" t="s">
        <v>130</v>
      </c>
      <c r="E3226" t="s">
        <v>110</v>
      </c>
      <c r="F3226" t="s">
        <v>107</v>
      </c>
      <c r="G3226" t="s">
        <v>100</v>
      </c>
      <c r="H3226" t="s">
        <v>29</v>
      </c>
      <c r="I3226" t="s">
        <v>124</v>
      </c>
      <c r="J3226" t="s">
        <v>103</v>
      </c>
      <c r="K3226">
        <v>9</v>
      </c>
      <c r="L3226">
        <v>22300</v>
      </c>
      <c r="M3226">
        <v>200700</v>
      </c>
      <c r="N3226" t="s">
        <v>108</v>
      </c>
      <c r="O3226" t="s">
        <v>96</v>
      </c>
    </row>
    <row r="3227" spans="1:15" x14ac:dyDescent="0.25">
      <c r="A3227">
        <v>815</v>
      </c>
      <c r="B3227" s="10">
        <v>45952</v>
      </c>
      <c r="C3227">
        <v>22</v>
      </c>
      <c r="D3227" t="s">
        <v>136</v>
      </c>
      <c r="E3227" t="s">
        <v>25</v>
      </c>
      <c r="F3227" t="s">
        <v>107</v>
      </c>
      <c r="G3227" t="s">
        <v>100</v>
      </c>
      <c r="H3227" t="s">
        <v>92</v>
      </c>
      <c r="I3227" t="s">
        <v>135</v>
      </c>
      <c r="J3227" t="s">
        <v>103</v>
      </c>
      <c r="K3227">
        <v>32</v>
      </c>
      <c r="L3227">
        <v>22300</v>
      </c>
      <c r="M3227">
        <v>713600</v>
      </c>
      <c r="N3227" t="s">
        <v>108</v>
      </c>
      <c r="O3227" t="s">
        <v>96</v>
      </c>
    </row>
    <row r="3228" spans="1:15" x14ac:dyDescent="0.25">
      <c r="A3228">
        <v>2788</v>
      </c>
      <c r="B3228" s="10">
        <v>46010</v>
      </c>
      <c r="C3228">
        <v>19</v>
      </c>
      <c r="D3228" t="s">
        <v>125</v>
      </c>
      <c r="E3228" t="s">
        <v>31</v>
      </c>
      <c r="F3228" t="s">
        <v>22</v>
      </c>
      <c r="G3228" t="s">
        <v>91</v>
      </c>
      <c r="H3228" t="s">
        <v>29</v>
      </c>
      <c r="I3228" t="s">
        <v>124</v>
      </c>
      <c r="J3228" t="s">
        <v>103</v>
      </c>
      <c r="K3228">
        <v>24</v>
      </c>
      <c r="L3228">
        <v>22300</v>
      </c>
      <c r="M3228">
        <v>535200</v>
      </c>
      <c r="N3228" t="s">
        <v>108</v>
      </c>
      <c r="O3228" t="s">
        <v>104</v>
      </c>
    </row>
    <row r="3229" spans="1:15" x14ac:dyDescent="0.25">
      <c r="A3229">
        <v>4123</v>
      </c>
      <c r="B3229" s="10">
        <v>45717</v>
      </c>
      <c r="C3229">
        <v>1</v>
      </c>
      <c r="D3229" t="s">
        <v>140</v>
      </c>
      <c r="E3229" t="s">
        <v>142</v>
      </c>
      <c r="F3229" t="s">
        <v>36</v>
      </c>
      <c r="G3229" t="s">
        <v>100</v>
      </c>
      <c r="H3229" t="s">
        <v>92</v>
      </c>
      <c r="I3229" t="s">
        <v>135</v>
      </c>
      <c r="J3229" t="s">
        <v>103</v>
      </c>
      <c r="K3229">
        <v>6</v>
      </c>
      <c r="L3229">
        <v>22300</v>
      </c>
      <c r="M3229">
        <v>133800</v>
      </c>
      <c r="N3229" t="s">
        <v>95</v>
      </c>
      <c r="O3229" t="s">
        <v>104</v>
      </c>
    </row>
    <row r="3230" spans="1:15" x14ac:dyDescent="0.25">
      <c r="A3230">
        <v>196</v>
      </c>
      <c r="B3230" s="10">
        <v>45850</v>
      </c>
      <c r="C3230">
        <v>12</v>
      </c>
      <c r="D3230" t="s">
        <v>145</v>
      </c>
      <c r="E3230" t="s">
        <v>138</v>
      </c>
      <c r="F3230" t="s">
        <v>36</v>
      </c>
      <c r="G3230" t="s">
        <v>100</v>
      </c>
      <c r="H3230" t="s">
        <v>29</v>
      </c>
      <c r="I3230" t="s">
        <v>159</v>
      </c>
      <c r="J3230" t="s">
        <v>94</v>
      </c>
      <c r="K3230">
        <v>8</v>
      </c>
      <c r="L3230">
        <v>22400</v>
      </c>
      <c r="M3230">
        <v>179200</v>
      </c>
      <c r="N3230" t="s">
        <v>95</v>
      </c>
      <c r="O3230" t="s">
        <v>115</v>
      </c>
    </row>
    <row r="3231" spans="1:15" x14ac:dyDescent="0.25">
      <c r="A3231">
        <v>480</v>
      </c>
      <c r="B3231" s="10">
        <v>45729</v>
      </c>
      <c r="C3231">
        <v>13</v>
      </c>
      <c r="D3231" t="s">
        <v>140</v>
      </c>
      <c r="E3231" t="s">
        <v>161</v>
      </c>
      <c r="F3231" t="s">
        <v>22</v>
      </c>
      <c r="G3231" t="s">
        <v>91</v>
      </c>
      <c r="H3231" t="s">
        <v>92</v>
      </c>
      <c r="I3231" t="s">
        <v>135</v>
      </c>
      <c r="J3231" t="s">
        <v>103</v>
      </c>
      <c r="K3231">
        <v>21</v>
      </c>
      <c r="L3231">
        <v>22400</v>
      </c>
      <c r="M3231">
        <v>470400</v>
      </c>
      <c r="N3231" t="s">
        <v>108</v>
      </c>
      <c r="O3231" t="s">
        <v>115</v>
      </c>
    </row>
    <row r="3232" spans="1:15" x14ac:dyDescent="0.25">
      <c r="A3232">
        <v>534</v>
      </c>
      <c r="B3232" s="10">
        <v>45794</v>
      </c>
      <c r="C3232">
        <v>17</v>
      </c>
      <c r="D3232" t="s">
        <v>120</v>
      </c>
      <c r="E3232" t="s">
        <v>112</v>
      </c>
      <c r="F3232" t="s">
        <v>117</v>
      </c>
      <c r="G3232" t="s">
        <v>118</v>
      </c>
      <c r="H3232" t="s">
        <v>29</v>
      </c>
      <c r="I3232" t="s">
        <v>124</v>
      </c>
      <c r="J3232" t="s">
        <v>103</v>
      </c>
      <c r="K3232">
        <v>14</v>
      </c>
      <c r="L3232">
        <v>22400</v>
      </c>
      <c r="M3232">
        <v>313600</v>
      </c>
      <c r="N3232" t="s">
        <v>95</v>
      </c>
      <c r="O3232" t="s">
        <v>96</v>
      </c>
    </row>
    <row r="3233" spans="1:15" x14ac:dyDescent="0.25">
      <c r="A3233">
        <v>1977</v>
      </c>
      <c r="B3233" s="10">
        <v>45828</v>
      </c>
      <c r="C3233">
        <v>20</v>
      </c>
      <c r="D3233" t="s">
        <v>153</v>
      </c>
      <c r="E3233" t="s">
        <v>128</v>
      </c>
      <c r="F3233" t="s">
        <v>113</v>
      </c>
      <c r="G3233" t="s">
        <v>114</v>
      </c>
      <c r="H3233" t="s">
        <v>92</v>
      </c>
      <c r="I3233" t="s">
        <v>135</v>
      </c>
      <c r="J3233" t="s">
        <v>103</v>
      </c>
      <c r="K3233">
        <v>39</v>
      </c>
      <c r="L3233">
        <v>22400</v>
      </c>
      <c r="M3233">
        <v>873600</v>
      </c>
      <c r="N3233" t="s">
        <v>95</v>
      </c>
      <c r="O3233" t="s">
        <v>104</v>
      </c>
    </row>
    <row r="3234" spans="1:15" x14ac:dyDescent="0.25">
      <c r="A3234">
        <v>2095</v>
      </c>
      <c r="B3234" s="10">
        <v>45814</v>
      </c>
      <c r="C3234">
        <v>6</v>
      </c>
      <c r="D3234" t="s">
        <v>153</v>
      </c>
      <c r="E3234" t="s">
        <v>116</v>
      </c>
      <c r="F3234" t="s">
        <v>122</v>
      </c>
      <c r="G3234" t="s">
        <v>114</v>
      </c>
      <c r="H3234" t="s">
        <v>92</v>
      </c>
      <c r="I3234" t="s">
        <v>135</v>
      </c>
      <c r="J3234" t="s">
        <v>103</v>
      </c>
      <c r="K3234">
        <v>20</v>
      </c>
      <c r="L3234">
        <v>22400</v>
      </c>
      <c r="M3234">
        <v>448000</v>
      </c>
      <c r="N3234" t="s">
        <v>108</v>
      </c>
      <c r="O3234" t="s">
        <v>96</v>
      </c>
    </row>
    <row r="3235" spans="1:15" x14ac:dyDescent="0.25">
      <c r="A3235">
        <v>2235</v>
      </c>
      <c r="B3235" s="10">
        <v>45766</v>
      </c>
      <c r="C3235">
        <v>19</v>
      </c>
      <c r="D3235" t="s">
        <v>105</v>
      </c>
      <c r="E3235" t="s">
        <v>31</v>
      </c>
      <c r="F3235" t="s">
        <v>36</v>
      </c>
      <c r="G3235" t="s">
        <v>100</v>
      </c>
      <c r="H3235" t="s">
        <v>29</v>
      </c>
      <c r="I3235" t="s">
        <v>124</v>
      </c>
      <c r="J3235" t="s">
        <v>103</v>
      </c>
      <c r="K3235">
        <v>27</v>
      </c>
      <c r="L3235">
        <v>22400</v>
      </c>
      <c r="M3235">
        <v>604800</v>
      </c>
      <c r="N3235" t="s">
        <v>95</v>
      </c>
      <c r="O3235" t="s">
        <v>115</v>
      </c>
    </row>
    <row r="3236" spans="1:15" x14ac:dyDescent="0.25">
      <c r="A3236">
        <v>4070</v>
      </c>
      <c r="B3236" s="10">
        <v>45736</v>
      </c>
      <c r="C3236">
        <v>20</v>
      </c>
      <c r="D3236" t="s">
        <v>140</v>
      </c>
      <c r="E3236" t="s">
        <v>133</v>
      </c>
      <c r="F3236" t="s">
        <v>113</v>
      </c>
      <c r="G3236" t="s">
        <v>114</v>
      </c>
      <c r="H3236" t="s">
        <v>92</v>
      </c>
      <c r="I3236" t="s">
        <v>135</v>
      </c>
      <c r="J3236" t="s">
        <v>103</v>
      </c>
      <c r="K3236">
        <v>8</v>
      </c>
      <c r="L3236">
        <v>22400</v>
      </c>
      <c r="M3236">
        <v>179200</v>
      </c>
      <c r="N3236" t="s">
        <v>108</v>
      </c>
      <c r="O3236" t="s">
        <v>96</v>
      </c>
    </row>
    <row r="3237" spans="1:15" x14ac:dyDescent="0.25">
      <c r="A3237">
        <v>4318</v>
      </c>
      <c r="B3237" s="10">
        <v>45998</v>
      </c>
      <c r="C3237">
        <v>7</v>
      </c>
      <c r="D3237" t="s">
        <v>125</v>
      </c>
      <c r="E3237" t="s">
        <v>138</v>
      </c>
      <c r="F3237" t="s">
        <v>151</v>
      </c>
      <c r="G3237" t="s">
        <v>111</v>
      </c>
      <c r="H3237" t="s">
        <v>92</v>
      </c>
      <c r="I3237" t="s">
        <v>135</v>
      </c>
      <c r="J3237" t="s">
        <v>103</v>
      </c>
      <c r="K3237">
        <v>34</v>
      </c>
      <c r="L3237">
        <v>22400</v>
      </c>
      <c r="M3237">
        <v>761600</v>
      </c>
      <c r="N3237" t="s">
        <v>95</v>
      </c>
      <c r="O3237" t="s">
        <v>104</v>
      </c>
    </row>
    <row r="3238" spans="1:15" x14ac:dyDescent="0.25">
      <c r="A3238">
        <v>1640</v>
      </c>
      <c r="B3238" s="10">
        <v>45989</v>
      </c>
      <c r="C3238">
        <v>28</v>
      </c>
      <c r="D3238" t="s">
        <v>90</v>
      </c>
      <c r="E3238" t="s">
        <v>128</v>
      </c>
      <c r="F3238" t="s">
        <v>28</v>
      </c>
      <c r="G3238" t="s">
        <v>126</v>
      </c>
      <c r="H3238" t="s">
        <v>29</v>
      </c>
      <c r="I3238" t="s">
        <v>124</v>
      </c>
      <c r="J3238" t="s">
        <v>103</v>
      </c>
      <c r="K3238">
        <v>15</v>
      </c>
      <c r="L3238">
        <v>22500</v>
      </c>
      <c r="M3238">
        <v>337500</v>
      </c>
      <c r="N3238" t="s">
        <v>108</v>
      </c>
      <c r="O3238" t="s">
        <v>96</v>
      </c>
    </row>
    <row r="3239" spans="1:15" x14ac:dyDescent="0.25">
      <c r="A3239">
        <v>2530</v>
      </c>
      <c r="B3239" s="10">
        <v>45897</v>
      </c>
      <c r="C3239">
        <v>28</v>
      </c>
      <c r="D3239" t="s">
        <v>109</v>
      </c>
      <c r="E3239" t="s">
        <v>128</v>
      </c>
      <c r="F3239" t="s">
        <v>44</v>
      </c>
      <c r="G3239" t="s">
        <v>111</v>
      </c>
      <c r="H3239" t="s">
        <v>29</v>
      </c>
      <c r="I3239" t="s">
        <v>124</v>
      </c>
      <c r="J3239" t="s">
        <v>103</v>
      </c>
      <c r="K3239">
        <v>21</v>
      </c>
      <c r="L3239">
        <v>22500</v>
      </c>
      <c r="M3239">
        <v>472500</v>
      </c>
      <c r="N3239" t="s">
        <v>95</v>
      </c>
      <c r="O3239" t="s">
        <v>115</v>
      </c>
    </row>
    <row r="3240" spans="1:15" x14ac:dyDescent="0.25">
      <c r="A3240">
        <v>3136</v>
      </c>
      <c r="B3240" s="10">
        <v>45966</v>
      </c>
      <c r="C3240">
        <v>5</v>
      </c>
      <c r="D3240" t="s">
        <v>90</v>
      </c>
      <c r="E3240" t="s">
        <v>137</v>
      </c>
      <c r="F3240" t="s">
        <v>99</v>
      </c>
      <c r="G3240" t="s">
        <v>100</v>
      </c>
      <c r="H3240" t="s">
        <v>29</v>
      </c>
      <c r="I3240" t="s">
        <v>159</v>
      </c>
      <c r="J3240" t="s">
        <v>94</v>
      </c>
      <c r="K3240">
        <v>3</v>
      </c>
      <c r="L3240">
        <v>22500</v>
      </c>
      <c r="M3240">
        <v>67500</v>
      </c>
      <c r="N3240" t="s">
        <v>95</v>
      </c>
      <c r="O3240" t="s">
        <v>115</v>
      </c>
    </row>
    <row r="3241" spans="1:15" x14ac:dyDescent="0.25">
      <c r="A3241">
        <v>4269</v>
      </c>
      <c r="B3241" s="10">
        <v>45690</v>
      </c>
      <c r="C3241">
        <v>2</v>
      </c>
      <c r="D3241" t="s">
        <v>97</v>
      </c>
      <c r="E3241" t="s">
        <v>161</v>
      </c>
      <c r="F3241" t="s">
        <v>148</v>
      </c>
      <c r="G3241" t="s">
        <v>118</v>
      </c>
      <c r="H3241" t="s">
        <v>29</v>
      </c>
      <c r="I3241" t="s">
        <v>124</v>
      </c>
      <c r="J3241" t="s">
        <v>103</v>
      </c>
      <c r="K3241">
        <v>20</v>
      </c>
      <c r="L3241">
        <v>22500</v>
      </c>
      <c r="M3241">
        <v>450000</v>
      </c>
      <c r="N3241" t="s">
        <v>95</v>
      </c>
      <c r="O3241" t="s">
        <v>104</v>
      </c>
    </row>
    <row r="3242" spans="1:15" x14ac:dyDescent="0.25">
      <c r="A3242">
        <v>4275</v>
      </c>
      <c r="B3242" s="10">
        <v>45883</v>
      </c>
      <c r="C3242">
        <v>14</v>
      </c>
      <c r="D3242" t="s">
        <v>109</v>
      </c>
      <c r="E3242" t="s">
        <v>98</v>
      </c>
      <c r="F3242" t="s">
        <v>36</v>
      </c>
      <c r="G3242" t="s">
        <v>100</v>
      </c>
      <c r="H3242" t="s">
        <v>92</v>
      </c>
      <c r="I3242" t="s">
        <v>135</v>
      </c>
      <c r="J3242" t="s">
        <v>94</v>
      </c>
      <c r="K3242">
        <v>9</v>
      </c>
      <c r="L3242">
        <v>22500</v>
      </c>
      <c r="M3242">
        <v>202500</v>
      </c>
      <c r="N3242" t="s">
        <v>108</v>
      </c>
      <c r="O3242" t="s">
        <v>96</v>
      </c>
    </row>
    <row r="3243" spans="1:15" x14ac:dyDescent="0.25">
      <c r="A3243">
        <v>4549</v>
      </c>
      <c r="B3243" s="10">
        <v>45791</v>
      </c>
      <c r="C3243">
        <v>14</v>
      </c>
      <c r="D3243" t="s">
        <v>120</v>
      </c>
      <c r="E3243" t="s">
        <v>161</v>
      </c>
      <c r="F3243" t="s">
        <v>117</v>
      </c>
      <c r="G3243" t="s">
        <v>118</v>
      </c>
      <c r="H3243" t="s">
        <v>29</v>
      </c>
      <c r="I3243" t="s">
        <v>159</v>
      </c>
      <c r="J3243" t="s">
        <v>94</v>
      </c>
      <c r="K3243">
        <v>4</v>
      </c>
      <c r="L3243">
        <v>22500</v>
      </c>
      <c r="M3243">
        <v>90000</v>
      </c>
      <c r="N3243" t="s">
        <v>95</v>
      </c>
      <c r="O3243" t="s">
        <v>115</v>
      </c>
    </row>
    <row r="3244" spans="1:15" x14ac:dyDescent="0.25">
      <c r="A3244">
        <v>4599</v>
      </c>
      <c r="B3244" s="10">
        <v>45947</v>
      </c>
      <c r="C3244">
        <v>17</v>
      </c>
      <c r="D3244" t="s">
        <v>136</v>
      </c>
      <c r="E3244" t="s">
        <v>98</v>
      </c>
      <c r="F3244" t="s">
        <v>151</v>
      </c>
      <c r="G3244" t="s">
        <v>111</v>
      </c>
      <c r="H3244" t="s">
        <v>29</v>
      </c>
      <c r="I3244" t="s">
        <v>159</v>
      </c>
      <c r="J3244" t="s">
        <v>94</v>
      </c>
      <c r="K3244">
        <v>4</v>
      </c>
      <c r="L3244">
        <v>22500</v>
      </c>
      <c r="M3244">
        <v>90000</v>
      </c>
      <c r="N3244" t="s">
        <v>95</v>
      </c>
      <c r="O3244" t="s">
        <v>115</v>
      </c>
    </row>
    <row r="3245" spans="1:15" x14ac:dyDescent="0.25">
      <c r="A3245">
        <v>2302</v>
      </c>
      <c r="B3245" s="10">
        <v>45801</v>
      </c>
      <c r="C3245">
        <v>24</v>
      </c>
      <c r="D3245" t="s">
        <v>120</v>
      </c>
      <c r="E3245" t="s">
        <v>128</v>
      </c>
      <c r="F3245" t="s">
        <v>107</v>
      </c>
      <c r="G3245" t="s">
        <v>100</v>
      </c>
      <c r="H3245" t="s">
        <v>29</v>
      </c>
      <c r="I3245" t="s">
        <v>124</v>
      </c>
      <c r="J3245" t="s">
        <v>103</v>
      </c>
      <c r="K3245">
        <v>22</v>
      </c>
      <c r="L3245">
        <v>22600</v>
      </c>
      <c r="M3245">
        <v>497200</v>
      </c>
      <c r="N3245" t="s">
        <v>108</v>
      </c>
      <c r="O3245" t="s">
        <v>104</v>
      </c>
    </row>
    <row r="3246" spans="1:15" x14ac:dyDescent="0.25">
      <c r="A3246">
        <v>2691</v>
      </c>
      <c r="B3246" s="10">
        <v>45816</v>
      </c>
      <c r="C3246">
        <v>8</v>
      </c>
      <c r="D3246" t="s">
        <v>153</v>
      </c>
      <c r="E3246" t="s">
        <v>133</v>
      </c>
      <c r="F3246" t="s">
        <v>44</v>
      </c>
      <c r="G3246" t="s">
        <v>111</v>
      </c>
      <c r="H3246" t="s">
        <v>29</v>
      </c>
      <c r="I3246" t="s">
        <v>124</v>
      </c>
      <c r="J3246" t="s">
        <v>103</v>
      </c>
      <c r="K3246">
        <v>18</v>
      </c>
      <c r="L3246">
        <v>22600</v>
      </c>
      <c r="M3246">
        <v>406800</v>
      </c>
      <c r="N3246" t="s">
        <v>95</v>
      </c>
      <c r="O3246" t="s">
        <v>104</v>
      </c>
    </row>
    <row r="3247" spans="1:15" x14ac:dyDescent="0.25">
      <c r="A3247">
        <v>2797</v>
      </c>
      <c r="B3247" s="10">
        <v>45836</v>
      </c>
      <c r="C3247">
        <v>28</v>
      </c>
      <c r="D3247" t="s">
        <v>153</v>
      </c>
      <c r="E3247" t="s">
        <v>106</v>
      </c>
      <c r="F3247" t="s">
        <v>28</v>
      </c>
      <c r="G3247" t="s">
        <v>126</v>
      </c>
      <c r="H3247" t="s">
        <v>29</v>
      </c>
      <c r="I3247" t="s">
        <v>159</v>
      </c>
      <c r="J3247" t="s">
        <v>94</v>
      </c>
      <c r="K3247">
        <v>1</v>
      </c>
      <c r="L3247">
        <v>22600</v>
      </c>
      <c r="M3247">
        <v>22600</v>
      </c>
      <c r="N3247" t="s">
        <v>95</v>
      </c>
      <c r="O3247" t="s">
        <v>115</v>
      </c>
    </row>
    <row r="3248" spans="1:15" x14ac:dyDescent="0.25">
      <c r="A3248">
        <v>3947</v>
      </c>
      <c r="B3248" s="10">
        <v>45837</v>
      </c>
      <c r="C3248">
        <v>29</v>
      </c>
      <c r="D3248" t="s">
        <v>153</v>
      </c>
      <c r="E3248" t="s">
        <v>116</v>
      </c>
      <c r="F3248" t="s">
        <v>144</v>
      </c>
      <c r="G3248" t="s">
        <v>91</v>
      </c>
      <c r="H3248" t="s">
        <v>29</v>
      </c>
      <c r="I3248" t="s">
        <v>159</v>
      </c>
      <c r="J3248" t="s">
        <v>94</v>
      </c>
      <c r="K3248">
        <v>6</v>
      </c>
      <c r="L3248">
        <v>22600</v>
      </c>
      <c r="M3248">
        <v>135600</v>
      </c>
      <c r="N3248" t="s">
        <v>95</v>
      </c>
      <c r="O3248" t="s">
        <v>115</v>
      </c>
    </row>
    <row r="3249" spans="1:15" x14ac:dyDescent="0.25">
      <c r="A3249">
        <v>3954</v>
      </c>
      <c r="B3249" s="10">
        <v>45843</v>
      </c>
      <c r="C3249">
        <v>5</v>
      </c>
      <c r="D3249" t="s">
        <v>145</v>
      </c>
      <c r="E3249" t="s">
        <v>112</v>
      </c>
      <c r="F3249" t="s">
        <v>134</v>
      </c>
      <c r="G3249" t="s">
        <v>100</v>
      </c>
      <c r="H3249" t="s">
        <v>29</v>
      </c>
      <c r="I3249" t="s">
        <v>159</v>
      </c>
      <c r="J3249" t="s">
        <v>94</v>
      </c>
      <c r="K3249">
        <v>8</v>
      </c>
      <c r="L3249">
        <v>22600</v>
      </c>
      <c r="M3249">
        <v>180800</v>
      </c>
      <c r="N3249" t="s">
        <v>108</v>
      </c>
      <c r="O3249" t="s">
        <v>115</v>
      </c>
    </row>
    <row r="3250" spans="1:15" x14ac:dyDescent="0.25">
      <c r="A3250">
        <v>66</v>
      </c>
      <c r="B3250" s="10">
        <v>45886</v>
      </c>
      <c r="C3250">
        <v>17</v>
      </c>
      <c r="D3250" t="s">
        <v>109</v>
      </c>
      <c r="E3250" t="s">
        <v>128</v>
      </c>
      <c r="F3250" t="s">
        <v>36</v>
      </c>
      <c r="G3250" t="s">
        <v>100</v>
      </c>
      <c r="H3250" t="s">
        <v>92</v>
      </c>
      <c r="I3250" t="s">
        <v>135</v>
      </c>
      <c r="J3250" t="s">
        <v>103</v>
      </c>
      <c r="K3250">
        <v>21</v>
      </c>
      <c r="L3250">
        <v>22700</v>
      </c>
      <c r="M3250">
        <v>476700</v>
      </c>
      <c r="N3250" t="s">
        <v>95</v>
      </c>
      <c r="O3250" t="s">
        <v>96</v>
      </c>
    </row>
    <row r="3251" spans="1:15" x14ac:dyDescent="0.25">
      <c r="A3251">
        <v>406</v>
      </c>
      <c r="B3251" s="10">
        <v>45910</v>
      </c>
      <c r="C3251">
        <v>10</v>
      </c>
      <c r="D3251" t="s">
        <v>147</v>
      </c>
      <c r="E3251" t="s">
        <v>112</v>
      </c>
      <c r="F3251" t="s">
        <v>117</v>
      </c>
      <c r="G3251" t="s">
        <v>118</v>
      </c>
      <c r="H3251" t="s">
        <v>29</v>
      </c>
      <c r="I3251" t="s">
        <v>159</v>
      </c>
      <c r="J3251" t="s">
        <v>94</v>
      </c>
      <c r="K3251">
        <v>3</v>
      </c>
      <c r="L3251">
        <v>22700</v>
      </c>
      <c r="M3251">
        <v>68100</v>
      </c>
      <c r="N3251" t="s">
        <v>95</v>
      </c>
      <c r="O3251" t="s">
        <v>115</v>
      </c>
    </row>
    <row r="3252" spans="1:15" x14ac:dyDescent="0.25">
      <c r="A3252">
        <v>1368</v>
      </c>
      <c r="B3252" s="10">
        <v>45999</v>
      </c>
      <c r="C3252">
        <v>8</v>
      </c>
      <c r="D3252" t="s">
        <v>125</v>
      </c>
      <c r="E3252" t="s">
        <v>110</v>
      </c>
      <c r="F3252" t="s">
        <v>148</v>
      </c>
      <c r="G3252" t="s">
        <v>118</v>
      </c>
      <c r="H3252" t="s">
        <v>29</v>
      </c>
      <c r="I3252" t="s">
        <v>124</v>
      </c>
      <c r="J3252" t="s">
        <v>103</v>
      </c>
      <c r="K3252">
        <v>5</v>
      </c>
      <c r="L3252">
        <v>22700</v>
      </c>
      <c r="M3252">
        <v>113500</v>
      </c>
      <c r="N3252" t="s">
        <v>95</v>
      </c>
      <c r="O3252" t="s">
        <v>115</v>
      </c>
    </row>
    <row r="3253" spans="1:15" x14ac:dyDescent="0.25">
      <c r="A3253">
        <v>1479</v>
      </c>
      <c r="B3253" s="10">
        <v>45690</v>
      </c>
      <c r="C3253">
        <v>2</v>
      </c>
      <c r="D3253" t="s">
        <v>97</v>
      </c>
      <c r="E3253" t="s">
        <v>138</v>
      </c>
      <c r="F3253" t="s">
        <v>122</v>
      </c>
      <c r="G3253" t="s">
        <v>114</v>
      </c>
      <c r="H3253" t="s">
        <v>29</v>
      </c>
      <c r="I3253" t="s">
        <v>124</v>
      </c>
      <c r="J3253" t="s">
        <v>103</v>
      </c>
      <c r="K3253">
        <v>34</v>
      </c>
      <c r="L3253">
        <v>22700</v>
      </c>
      <c r="M3253">
        <v>771800</v>
      </c>
      <c r="N3253" t="s">
        <v>95</v>
      </c>
      <c r="O3253" t="s">
        <v>115</v>
      </c>
    </row>
    <row r="3254" spans="1:15" x14ac:dyDescent="0.25">
      <c r="A3254">
        <v>1725</v>
      </c>
      <c r="B3254" s="10">
        <v>45713</v>
      </c>
      <c r="C3254">
        <v>25</v>
      </c>
      <c r="D3254" t="s">
        <v>97</v>
      </c>
      <c r="E3254" t="s">
        <v>112</v>
      </c>
      <c r="F3254" t="s">
        <v>49</v>
      </c>
      <c r="G3254" t="s">
        <v>118</v>
      </c>
      <c r="H3254" t="s">
        <v>29</v>
      </c>
      <c r="I3254" t="s">
        <v>124</v>
      </c>
      <c r="J3254" t="s">
        <v>103</v>
      </c>
      <c r="K3254">
        <v>25</v>
      </c>
      <c r="L3254">
        <v>22700</v>
      </c>
      <c r="M3254">
        <v>567500</v>
      </c>
      <c r="N3254" t="s">
        <v>108</v>
      </c>
      <c r="O3254" t="s">
        <v>104</v>
      </c>
    </row>
    <row r="3255" spans="1:15" x14ac:dyDescent="0.25">
      <c r="A3255">
        <v>2107</v>
      </c>
      <c r="B3255" s="10">
        <v>45914</v>
      </c>
      <c r="C3255">
        <v>14</v>
      </c>
      <c r="D3255" t="s">
        <v>147</v>
      </c>
      <c r="E3255" t="s">
        <v>106</v>
      </c>
      <c r="F3255" t="s">
        <v>49</v>
      </c>
      <c r="G3255" t="s">
        <v>118</v>
      </c>
      <c r="H3255" t="s">
        <v>29</v>
      </c>
      <c r="I3255" t="s">
        <v>124</v>
      </c>
      <c r="J3255" t="s">
        <v>103</v>
      </c>
      <c r="K3255">
        <v>38</v>
      </c>
      <c r="L3255">
        <v>22700</v>
      </c>
      <c r="M3255">
        <v>862600</v>
      </c>
      <c r="N3255" t="s">
        <v>108</v>
      </c>
      <c r="O3255" t="s">
        <v>96</v>
      </c>
    </row>
    <row r="3256" spans="1:15" x14ac:dyDescent="0.25">
      <c r="A3256">
        <v>2969</v>
      </c>
      <c r="B3256" s="10">
        <v>45812</v>
      </c>
      <c r="C3256">
        <v>4</v>
      </c>
      <c r="D3256" t="s">
        <v>153</v>
      </c>
      <c r="E3256" t="s">
        <v>128</v>
      </c>
      <c r="F3256" t="s">
        <v>28</v>
      </c>
      <c r="G3256" t="s">
        <v>126</v>
      </c>
      <c r="H3256" t="s">
        <v>92</v>
      </c>
      <c r="I3256" t="s">
        <v>135</v>
      </c>
      <c r="J3256" t="s">
        <v>94</v>
      </c>
      <c r="K3256">
        <v>1</v>
      </c>
      <c r="L3256">
        <v>22700</v>
      </c>
      <c r="M3256">
        <v>22700</v>
      </c>
      <c r="N3256" t="s">
        <v>108</v>
      </c>
      <c r="O3256" t="s">
        <v>104</v>
      </c>
    </row>
    <row r="3257" spans="1:15" x14ac:dyDescent="0.25">
      <c r="A3257">
        <v>3489</v>
      </c>
      <c r="B3257" s="10">
        <v>45883</v>
      </c>
      <c r="C3257">
        <v>14</v>
      </c>
      <c r="D3257" t="s">
        <v>109</v>
      </c>
      <c r="E3257" t="s">
        <v>110</v>
      </c>
      <c r="F3257" t="s">
        <v>117</v>
      </c>
      <c r="G3257" t="s">
        <v>118</v>
      </c>
      <c r="H3257" t="s">
        <v>29</v>
      </c>
      <c r="I3257" t="s">
        <v>124</v>
      </c>
      <c r="J3257" t="s">
        <v>103</v>
      </c>
      <c r="K3257">
        <v>13</v>
      </c>
      <c r="L3257">
        <v>22700</v>
      </c>
      <c r="M3257">
        <v>295100</v>
      </c>
      <c r="N3257" t="s">
        <v>95</v>
      </c>
      <c r="O3257" t="s">
        <v>104</v>
      </c>
    </row>
    <row r="3258" spans="1:15" x14ac:dyDescent="0.25">
      <c r="A3258">
        <v>1532</v>
      </c>
      <c r="B3258" s="10">
        <v>45950</v>
      </c>
      <c r="C3258">
        <v>20</v>
      </c>
      <c r="D3258" t="s">
        <v>136</v>
      </c>
      <c r="E3258" t="s">
        <v>150</v>
      </c>
      <c r="F3258" t="s">
        <v>141</v>
      </c>
      <c r="G3258" t="s">
        <v>100</v>
      </c>
      <c r="H3258" t="s">
        <v>92</v>
      </c>
      <c r="I3258" t="s">
        <v>135</v>
      </c>
      <c r="J3258" t="s">
        <v>94</v>
      </c>
      <c r="K3258">
        <v>7</v>
      </c>
      <c r="L3258">
        <v>22800</v>
      </c>
      <c r="M3258">
        <v>159600</v>
      </c>
      <c r="N3258" t="s">
        <v>108</v>
      </c>
      <c r="O3258" t="s">
        <v>104</v>
      </c>
    </row>
    <row r="3259" spans="1:15" x14ac:dyDescent="0.25">
      <c r="A3259">
        <v>2115</v>
      </c>
      <c r="B3259" s="10">
        <v>45945</v>
      </c>
      <c r="C3259">
        <v>15</v>
      </c>
      <c r="D3259" t="s">
        <v>136</v>
      </c>
      <c r="E3259" t="s">
        <v>161</v>
      </c>
      <c r="F3259" t="s">
        <v>113</v>
      </c>
      <c r="G3259" t="s">
        <v>114</v>
      </c>
      <c r="H3259" t="s">
        <v>29</v>
      </c>
      <c r="I3259" t="s">
        <v>159</v>
      </c>
      <c r="J3259" t="s">
        <v>94</v>
      </c>
      <c r="K3259">
        <v>1</v>
      </c>
      <c r="L3259">
        <v>22800</v>
      </c>
      <c r="M3259">
        <v>22800</v>
      </c>
      <c r="N3259" t="s">
        <v>108</v>
      </c>
      <c r="O3259" t="s">
        <v>104</v>
      </c>
    </row>
    <row r="3260" spans="1:15" x14ac:dyDescent="0.25">
      <c r="A3260">
        <v>2914</v>
      </c>
      <c r="B3260" s="10">
        <v>45987</v>
      </c>
      <c r="C3260">
        <v>26</v>
      </c>
      <c r="D3260" t="s">
        <v>90</v>
      </c>
      <c r="E3260" t="s">
        <v>161</v>
      </c>
      <c r="F3260" t="s">
        <v>22</v>
      </c>
      <c r="G3260" t="s">
        <v>91</v>
      </c>
      <c r="H3260" t="s">
        <v>29</v>
      </c>
      <c r="I3260" t="s">
        <v>159</v>
      </c>
      <c r="J3260" t="s">
        <v>94</v>
      </c>
      <c r="K3260">
        <v>9</v>
      </c>
      <c r="L3260">
        <v>22800</v>
      </c>
      <c r="M3260">
        <v>205200</v>
      </c>
      <c r="N3260" t="s">
        <v>95</v>
      </c>
      <c r="O3260" t="s">
        <v>104</v>
      </c>
    </row>
    <row r="3261" spans="1:15" x14ac:dyDescent="0.25">
      <c r="A3261">
        <v>4312</v>
      </c>
      <c r="B3261" s="10">
        <v>45990</v>
      </c>
      <c r="C3261">
        <v>29</v>
      </c>
      <c r="D3261" t="s">
        <v>90</v>
      </c>
      <c r="E3261" t="s">
        <v>106</v>
      </c>
      <c r="F3261" t="s">
        <v>99</v>
      </c>
      <c r="G3261" t="s">
        <v>100</v>
      </c>
      <c r="H3261" t="s">
        <v>92</v>
      </c>
      <c r="I3261" t="s">
        <v>135</v>
      </c>
      <c r="J3261" t="s">
        <v>94</v>
      </c>
      <c r="K3261">
        <v>10</v>
      </c>
      <c r="L3261">
        <v>22800</v>
      </c>
      <c r="M3261">
        <v>228000</v>
      </c>
      <c r="N3261" t="s">
        <v>95</v>
      </c>
      <c r="O3261" t="s">
        <v>115</v>
      </c>
    </row>
    <row r="3262" spans="1:15" x14ac:dyDescent="0.25">
      <c r="A3262">
        <v>2051</v>
      </c>
      <c r="B3262" s="10">
        <v>45709</v>
      </c>
      <c r="C3262">
        <v>21</v>
      </c>
      <c r="D3262" t="s">
        <v>97</v>
      </c>
      <c r="E3262" t="s">
        <v>116</v>
      </c>
      <c r="F3262" t="s">
        <v>141</v>
      </c>
      <c r="G3262" t="s">
        <v>100</v>
      </c>
      <c r="H3262" t="s">
        <v>29</v>
      </c>
      <c r="I3262" t="s">
        <v>159</v>
      </c>
      <c r="J3262" t="s">
        <v>94</v>
      </c>
      <c r="K3262">
        <v>8</v>
      </c>
      <c r="L3262">
        <v>22900</v>
      </c>
      <c r="M3262">
        <v>183200</v>
      </c>
      <c r="N3262" t="s">
        <v>108</v>
      </c>
      <c r="O3262" t="s">
        <v>96</v>
      </c>
    </row>
    <row r="3263" spans="1:15" x14ac:dyDescent="0.25">
      <c r="A3263">
        <v>2486</v>
      </c>
      <c r="B3263" s="10">
        <v>45858</v>
      </c>
      <c r="C3263">
        <v>20</v>
      </c>
      <c r="D3263" t="s">
        <v>145</v>
      </c>
      <c r="E3263" t="s">
        <v>128</v>
      </c>
      <c r="F3263" t="s">
        <v>141</v>
      </c>
      <c r="G3263" t="s">
        <v>100</v>
      </c>
      <c r="H3263" t="s">
        <v>29</v>
      </c>
      <c r="I3263" t="s">
        <v>159</v>
      </c>
      <c r="J3263" t="s">
        <v>94</v>
      </c>
      <c r="K3263">
        <v>3</v>
      </c>
      <c r="L3263">
        <v>22900</v>
      </c>
      <c r="M3263">
        <v>68700</v>
      </c>
      <c r="N3263" t="s">
        <v>95</v>
      </c>
      <c r="O3263" t="s">
        <v>96</v>
      </c>
    </row>
    <row r="3264" spans="1:15" x14ac:dyDescent="0.25">
      <c r="A3264">
        <v>3517</v>
      </c>
      <c r="B3264" s="10">
        <v>45932</v>
      </c>
      <c r="C3264">
        <v>2</v>
      </c>
      <c r="D3264" t="s">
        <v>136</v>
      </c>
      <c r="E3264" t="s">
        <v>106</v>
      </c>
      <c r="F3264" t="s">
        <v>113</v>
      </c>
      <c r="G3264" t="s">
        <v>114</v>
      </c>
      <c r="H3264" t="s">
        <v>29</v>
      </c>
      <c r="I3264" t="s">
        <v>124</v>
      </c>
      <c r="J3264" t="s">
        <v>103</v>
      </c>
      <c r="K3264">
        <v>46</v>
      </c>
      <c r="L3264">
        <v>22900</v>
      </c>
      <c r="M3264">
        <v>1053400</v>
      </c>
      <c r="N3264" t="s">
        <v>95</v>
      </c>
      <c r="O3264" t="s">
        <v>96</v>
      </c>
    </row>
    <row r="3265" spans="1:15" x14ac:dyDescent="0.25">
      <c r="A3265">
        <v>4933</v>
      </c>
      <c r="B3265" s="10">
        <v>45804</v>
      </c>
      <c r="C3265">
        <v>27</v>
      </c>
      <c r="D3265" t="s">
        <v>120</v>
      </c>
      <c r="E3265" t="s">
        <v>31</v>
      </c>
      <c r="F3265" t="s">
        <v>134</v>
      </c>
      <c r="G3265" t="s">
        <v>100</v>
      </c>
      <c r="H3265" t="s">
        <v>92</v>
      </c>
      <c r="I3265" t="s">
        <v>135</v>
      </c>
      <c r="J3265" t="s">
        <v>103</v>
      </c>
      <c r="K3265">
        <v>21</v>
      </c>
      <c r="L3265">
        <v>22900</v>
      </c>
      <c r="M3265">
        <v>480900</v>
      </c>
      <c r="N3265" t="s">
        <v>95</v>
      </c>
      <c r="O3265" t="s">
        <v>115</v>
      </c>
    </row>
    <row r="3266" spans="1:15" x14ac:dyDescent="0.25">
      <c r="A3266">
        <v>603</v>
      </c>
      <c r="B3266" s="10">
        <v>45919</v>
      </c>
      <c r="C3266">
        <v>19</v>
      </c>
      <c r="D3266" t="s">
        <v>147</v>
      </c>
      <c r="E3266" t="s">
        <v>137</v>
      </c>
      <c r="F3266" t="s">
        <v>99</v>
      </c>
      <c r="G3266" t="s">
        <v>100</v>
      </c>
      <c r="H3266" t="s">
        <v>29</v>
      </c>
      <c r="I3266" t="s">
        <v>159</v>
      </c>
      <c r="J3266" t="s">
        <v>94</v>
      </c>
      <c r="K3266">
        <v>1</v>
      </c>
      <c r="L3266">
        <v>23000</v>
      </c>
      <c r="M3266">
        <v>23000</v>
      </c>
      <c r="N3266" t="s">
        <v>108</v>
      </c>
      <c r="O3266" t="s">
        <v>104</v>
      </c>
    </row>
    <row r="3267" spans="1:15" x14ac:dyDescent="0.25">
      <c r="A3267">
        <v>1854</v>
      </c>
      <c r="B3267" s="10">
        <v>45863</v>
      </c>
      <c r="C3267">
        <v>25</v>
      </c>
      <c r="D3267" t="s">
        <v>145</v>
      </c>
      <c r="E3267" t="s">
        <v>25</v>
      </c>
      <c r="F3267" t="s">
        <v>36</v>
      </c>
      <c r="G3267" t="s">
        <v>100</v>
      </c>
      <c r="H3267" t="s">
        <v>29</v>
      </c>
      <c r="I3267" t="s">
        <v>159</v>
      </c>
      <c r="J3267" t="s">
        <v>94</v>
      </c>
      <c r="K3267">
        <v>10</v>
      </c>
      <c r="L3267">
        <v>23000</v>
      </c>
      <c r="M3267">
        <v>230000</v>
      </c>
      <c r="N3267" t="s">
        <v>108</v>
      </c>
      <c r="O3267" t="s">
        <v>115</v>
      </c>
    </row>
    <row r="3268" spans="1:15" x14ac:dyDescent="0.25">
      <c r="A3268">
        <v>249</v>
      </c>
      <c r="B3268" s="10">
        <v>45963</v>
      </c>
      <c r="C3268">
        <v>2</v>
      </c>
      <c r="D3268" t="s">
        <v>90</v>
      </c>
      <c r="E3268" t="s">
        <v>128</v>
      </c>
      <c r="F3268" t="s">
        <v>141</v>
      </c>
      <c r="G3268" t="s">
        <v>100</v>
      </c>
      <c r="H3268" t="s">
        <v>92</v>
      </c>
      <c r="I3268" t="s">
        <v>135</v>
      </c>
      <c r="J3268" t="s">
        <v>103</v>
      </c>
      <c r="K3268">
        <v>39</v>
      </c>
      <c r="L3268">
        <v>23100</v>
      </c>
      <c r="M3268">
        <v>900900</v>
      </c>
      <c r="N3268" t="s">
        <v>95</v>
      </c>
      <c r="O3268" t="s">
        <v>104</v>
      </c>
    </row>
    <row r="3269" spans="1:15" x14ac:dyDescent="0.25">
      <c r="A3269">
        <v>1109</v>
      </c>
      <c r="B3269" s="10">
        <v>45673</v>
      </c>
      <c r="C3269">
        <v>16</v>
      </c>
      <c r="D3269" t="s">
        <v>130</v>
      </c>
      <c r="E3269" t="s">
        <v>137</v>
      </c>
      <c r="F3269" t="s">
        <v>28</v>
      </c>
      <c r="G3269" t="s">
        <v>126</v>
      </c>
      <c r="H3269" t="s">
        <v>29</v>
      </c>
      <c r="I3269" t="s">
        <v>124</v>
      </c>
      <c r="J3269" t="s">
        <v>103</v>
      </c>
      <c r="K3269">
        <v>17</v>
      </c>
      <c r="L3269">
        <v>23100</v>
      </c>
      <c r="M3269">
        <v>392700</v>
      </c>
      <c r="N3269" t="s">
        <v>108</v>
      </c>
      <c r="O3269" t="s">
        <v>104</v>
      </c>
    </row>
    <row r="3270" spans="1:15" x14ac:dyDescent="0.25">
      <c r="A3270">
        <v>4171</v>
      </c>
      <c r="B3270" s="10">
        <v>45950</v>
      </c>
      <c r="C3270">
        <v>20</v>
      </c>
      <c r="D3270" t="s">
        <v>136</v>
      </c>
      <c r="E3270" t="s">
        <v>110</v>
      </c>
      <c r="F3270" t="s">
        <v>117</v>
      </c>
      <c r="G3270" t="s">
        <v>118</v>
      </c>
      <c r="H3270" t="s">
        <v>92</v>
      </c>
      <c r="I3270" t="s">
        <v>135</v>
      </c>
      <c r="J3270" t="s">
        <v>94</v>
      </c>
      <c r="K3270">
        <v>8</v>
      </c>
      <c r="L3270">
        <v>23100</v>
      </c>
      <c r="M3270">
        <v>184800</v>
      </c>
      <c r="N3270" t="s">
        <v>95</v>
      </c>
      <c r="O3270" t="s">
        <v>96</v>
      </c>
    </row>
    <row r="3271" spans="1:15" x14ac:dyDescent="0.25">
      <c r="A3271">
        <v>9</v>
      </c>
      <c r="B3271" s="10">
        <v>45983</v>
      </c>
      <c r="C3271">
        <v>22</v>
      </c>
      <c r="D3271" t="s">
        <v>90</v>
      </c>
      <c r="E3271" t="s">
        <v>121</v>
      </c>
      <c r="F3271" t="s">
        <v>113</v>
      </c>
      <c r="G3271" t="s">
        <v>114</v>
      </c>
      <c r="H3271" t="s">
        <v>29</v>
      </c>
      <c r="I3271" t="s">
        <v>124</v>
      </c>
      <c r="J3271" t="s">
        <v>103</v>
      </c>
      <c r="K3271">
        <v>18</v>
      </c>
      <c r="L3271">
        <v>23200</v>
      </c>
      <c r="M3271">
        <v>417600</v>
      </c>
      <c r="N3271" t="s">
        <v>108</v>
      </c>
      <c r="O3271" t="s">
        <v>96</v>
      </c>
    </row>
    <row r="3272" spans="1:15" x14ac:dyDescent="0.25">
      <c r="A3272">
        <v>796</v>
      </c>
      <c r="B3272" s="10">
        <v>45674</v>
      </c>
      <c r="C3272">
        <v>17</v>
      </c>
      <c r="D3272" t="s">
        <v>130</v>
      </c>
      <c r="E3272" t="s">
        <v>150</v>
      </c>
      <c r="F3272" t="s">
        <v>28</v>
      </c>
      <c r="G3272" t="s">
        <v>126</v>
      </c>
      <c r="H3272" t="s">
        <v>29</v>
      </c>
      <c r="I3272" t="s">
        <v>159</v>
      </c>
      <c r="J3272" t="s">
        <v>94</v>
      </c>
      <c r="K3272">
        <v>8</v>
      </c>
      <c r="L3272">
        <v>23200</v>
      </c>
      <c r="M3272">
        <v>185600</v>
      </c>
      <c r="N3272" t="s">
        <v>108</v>
      </c>
      <c r="O3272" t="s">
        <v>115</v>
      </c>
    </row>
    <row r="3273" spans="1:15" x14ac:dyDescent="0.25">
      <c r="A3273">
        <v>1535</v>
      </c>
      <c r="B3273" s="10">
        <v>45671</v>
      </c>
      <c r="C3273">
        <v>14</v>
      </c>
      <c r="D3273" t="s">
        <v>130</v>
      </c>
      <c r="E3273" t="s">
        <v>31</v>
      </c>
      <c r="F3273" t="s">
        <v>148</v>
      </c>
      <c r="G3273" t="s">
        <v>118</v>
      </c>
      <c r="H3273" t="s">
        <v>29</v>
      </c>
      <c r="I3273" t="s">
        <v>124</v>
      </c>
      <c r="J3273" t="s">
        <v>103</v>
      </c>
      <c r="K3273">
        <v>18</v>
      </c>
      <c r="L3273">
        <v>23200</v>
      </c>
      <c r="M3273">
        <v>417600</v>
      </c>
      <c r="N3273" t="s">
        <v>108</v>
      </c>
      <c r="O3273" t="s">
        <v>96</v>
      </c>
    </row>
    <row r="3274" spans="1:15" x14ac:dyDescent="0.25">
      <c r="A3274">
        <v>1605</v>
      </c>
      <c r="B3274" s="10">
        <v>45979</v>
      </c>
      <c r="C3274">
        <v>18</v>
      </c>
      <c r="D3274" t="s">
        <v>90</v>
      </c>
      <c r="E3274" t="s">
        <v>25</v>
      </c>
      <c r="F3274" t="s">
        <v>144</v>
      </c>
      <c r="G3274" t="s">
        <v>91</v>
      </c>
      <c r="H3274" t="s">
        <v>29</v>
      </c>
      <c r="I3274" t="s">
        <v>124</v>
      </c>
      <c r="J3274" t="s">
        <v>103</v>
      </c>
      <c r="K3274">
        <v>32</v>
      </c>
      <c r="L3274">
        <v>23200</v>
      </c>
      <c r="M3274">
        <v>742400</v>
      </c>
      <c r="N3274" t="s">
        <v>108</v>
      </c>
      <c r="O3274" t="s">
        <v>115</v>
      </c>
    </row>
    <row r="3275" spans="1:15" x14ac:dyDescent="0.25">
      <c r="A3275">
        <v>2269</v>
      </c>
      <c r="B3275" s="10">
        <v>45776</v>
      </c>
      <c r="C3275">
        <v>29</v>
      </c>
      <c r="D3275" t="s">
        <v>105</v>
      </c>
      <c r="E3275" t="s">
        <v>31</v>
      </c>
      <c r="F3275" t="s">
        <v>144</v>
      </c>
      <c r="G3275" t="s">
        <v>91</v>
      </c>
      <c r="H3275" t="s">
        <v>29</v>
      </c>
      <c r="I3275" t="s">
        <v>124</v>
      </c>
      <c r="J3275" t="s">
        <v>103</v>
      </c>
      <c r="K3275">
        <v>50</v>
      </c>
      <c r="L3275">
        <v>23200</v>
      </c>
      <c r="M3275">
        <v>1160000</v>
      </c>
      <c r="N3275" t="s">
        <v>95</v>
      </c>
      <c r="O3275" t="s">
        <v>104</v>
      </c>
    </row>
    <row r="3276" spans="1:15" x14ac:dyDescent="0.25">
      <c r="A3276">
        <v>2344</v>
      </c>
      <c r="B3276" s="10">
        <v>45939</v>
      </c>
      <c r="C3276">
        <v>9</v>
      </c>
      <c r="D3276" t="s">
        <v>136</v>
      </c>
      <c r="E3276" t="s">
        <v>138</v>
      </c>
      <c r="F3276" t="s">
        <v>49</v>
      </c>
      <c r="G3276" t="s">
        <v>118</v>
      </c>
      <c r="H3276" t="s">
        <v>29</v>
      </c>
      <c r="I3276" t="s">
        <v>124</v>
      </c>
      <c r="J3276" t="s">
        <v>103</v>
      </c>
      <c r="K3276">
        <v>49</v>
      </c>
      <c r="L3276">
        <v>23200</v>
      </c>
      <c r="M3276">
        <v>1136800</v>
      </c>
      <c r="N3276" t="s">
        <v>95</v>
      </c>
      <c r="O3276" t="s">
        <v>96</v>
      </c>
    </row>
    <row r="3277" spans="1:15" x14ac:dyDescent="0.25">
      <c r="A3277">
        <v>2722</v>
      </c>
      <c r="B3277" s="10">
        <v>45934</v>
      </c>
      <c r="C3277">
        <v>4</v>
      </c>
      <c r="D3277" t="s">
        <v>136</v>
      </c>
      <c r="E3277" t="s">
        <v>121</v>
      </c>
      <c r="F3277" t="s">
        <v>49</v>
      </c>
      <c r="G3277" t="s">
        <v>118</v>
      </c>
      <c r="H3277" t="s">
        <v>29</v>
      </c>
      <c r="I3277" t="s">
        <v>124</v>
      </c>
      <c r="J3277" t="s">
        <v>103</v>
      </c>
      <c r="K3277">
        <v>24</v>
      </c>
      <c r="L3277">
        <v>23200</v>
      </c>
      <c r="M3277">
        <v>556800</v>
      </c>
      <c r="N3277" t="s">
        <v>108</v>
      </c>
      <c r="O3277" t="s">
        <v>104</v>
      </c>
    </row>
    <row r="3278" spans="1:15" x14ac:dyDescent="0.25">
      <c r="A3278">
        <v>2856</v>
      </c>
      <c r="B3278" s="10">
        <v>45715</v>
      </c>
      <c r="C3278">
        <v>27</v>
      </c>
      <c r="D3278" t="s">
        <v>97</v>
      </c>
      <c r="E3278" t="s">
        <v>121</v>
      </c>
      <c r="F3278" t="s">
        <v>99</v>
      </c>
      <c r="G3278" t="s">
        <v>100</v>
      </c>
      <c r="H3278" t="s">
        <v>29</v>
      </c>
      <c r="I3278" t="s">
        <v>124</v>
      </c>
      <c r="J3278" t="s">
        <v>103</v>
      </c>
      <c r="K3278">
        <v>13</v>
      </c>
      <c r="L3278">
        <v>23200</v>
      </c>
      <c r="M3278">
        <v>301600</v>
      </c>
      <c r="N3278" t="s">
        <v>108</v>
      </c>
      <c r="O3278" t="s">
        <v>104</v>
      </c>
    </row>
    <row r="3279" spans="1:15" x14ac:dyDescent="0.25">
      <c r="A3279">
        <v>3340</v>
      </c>
      <c r="B3279" s="10">
        <v>45782</v>
      </c>
      <c r="C3279">
        <v>5</v>
      </c>
      <c r="D3279" t="s">
        <v>120</v>
      </c>
      <c r="E3279" t="s">
        <v>133</v>
      </c>
      <c r="F3279" t="s">
        <v>151</v>
      </c>
      <c r="G3279" t="s">
        <v>111</v>
      </c>
      <c r="H3279" t="s">
        <v>92</v>
      </c>
      <c r="I3279" t="s">
        <v>135</v>
      </c>
      <c r="J3279" t="s">
        <v>103</v>
      </c>
      <c r="K3279">
        <v>11</v>
      </c>
      <c r="L3279">
        <v>23200</v>
      </c>
      <c r="M3279">
        <v>255200</v>
      </c>
      <c r="N3279" t="s">
        <v>95</v>
      </c>
      <c r="O3279" t="s">
        <v>104</v>
      </c>
    </row>
    <row r="3280" spans="1:15" x14ac:dyDescent="0.25">
      <c r="A3280">
        <v>3532</v>
      </c>
      <c r="B3280" s="10">
        <v>45995</v>
      </c>
      <c r="C3280">
        <v>4</v>
      </c>
      <c r="D3280" t="s">
        <v>125</v>
      </c>
      <c r="E3280" t="s">
        <v>133</v>
      </c>
      <c r="F3280" t="s">
        <v>141</v>
      </c>
      <c r="G3280" t="s">
        <v>100</v>
      </c>
      <c r="H3280" t="s">
        <v>92</v>
      </c>
      <c r="I3280" t="s">
        <v>135</v>
      </c>
      <c r="J3280" t="s">
        <v>103</v>
      </c>
      <c r="K3280">
        <v>11</v>
      </c>
      <c r="L3280">
        <v>23200</v>
      </c>
      <c r="M3280">
        <v>255200</v>
      </c>
      <c r="N3280" t="s">
        <v>108</v>
      </c>
      <c r="O3280" t="s">
        <v>104</v>
      </c>
    </row>
    <row r="3281" spans="1:15" x14ac:dyDescent="0.25">
      <c r="A3281">
        <v>4009</v>
      </c>
      <c r="B3281" s="10">
        <v>45698</v>
      </c>
      <c r="C3281">
        <v>10</v>
      </c>
      <c r="D3281" t="s">
        <v>97</v>
      </c>
      <c r="E3281" t="s">
        <v>110</v>
      </c>
      <c r="F3281" t="s">
        <v>148</v>
      </c>
      <c r="G3281" t="s">
        <v>118</v>
      </c>
      <c r="H3281" t="s">
        <v>29</v>
      </c>
      <c r="I3281" t="s">
        <v>124</v>
      </c>
      <c r="J3281" t="s">
        <v>103</v>
      </c>
      <c r="K3281">
        <v>10</v>
      </c>
      <c r="L3281">
        <v>23200</v>
      </c>
      <c r="M3281">
        <v>232000</v>
      </c>
      <c r="N3281" t="s">
        <v>95</v>
      </c>
      <c r="O3281" t="s">
        <v>115</v>
      </c>
    </row>
    <row r="3282" spans="1:15" x14ac:dyDescent="0.25">
      <c r="A3282">
        <v>4367</v>
      </c>
      <c r="B3282" s="10">
        <v>45794</v>
      </c>
      <c r="C3282">
        <v>17</v>
      </c>
      <c r="D3282" t="s">
        <v>120</v>
      </c>
      <c r="E3282" t="s">
        <v>112</v>
      </c>
      <c r="F3282" t="s">
        <v>22</v>
      </c>
      <c r="G3282" t="s">
        <v>91</v>
      </c>
      <c r="H3282" t="s">
        <v>29</v>
      </c>
      <c r="I3282" t="s">
        <v>124</v>
      </c>
      <c r="J3282" t="s">
        <v>103</v>
      </c>
      <c r="K3282">
        <v>45</v>
      </c>
      <c r="L3282">
        <v>23200</v>
      </c>
      <c r="M3282">
        <v>1044000</v>
      </c>
      <c r="N3282" t="s">
        <v>108</v>
      </c>
      <c r="O3282" t="s">
        <v>115</v>
      </c>
    </row>
    <row r="3283" spans="1:15" x14ac:dyDescent="0.25">
      <c r="A3283">
        <v>4388</v>
      </c>
      <c r="B3283" s="10">
        <v>45841</v>
      </c>
      <c r="C3283">
        <v>3</v>
      </c>
      <c r="D3283" t="s">
        <v>145</v>
      </c>
      <c r="E3283" t="s">
        <v>121</v>
      </c>
      <c r="F3283" t="s">
        <v>134</v>
      </c>
      <c r="G3283" t="s">
        <v>100</v>
      </c>
      <c r="H3283" t="s">
        <v>92</v>
      </c>
      <c r="I3283" t="s">
        <v>135</v>
      </c>
      <c r="J3283" t="s">
        <v>94</v>
      </c>
      <c r="K3283">
        <v>4</v>
      </c>
      <c r="L3283">
        <v>23200</v>
      </c>
      <c r="M3283">
        <v>92800</v>
      </c>
      <c r="N3283" t="s">
        <v>95</v>
      </c>
      <c r="O3283" t="s">
        <v>104</v>
      </c>
    </row>
    <row r="3284" spans="1:15" x14ac:dyDescent="0.25">
      <c r="A3284">
        <v>4629</v>
      </c>
      <c r="B3284" s="10">
        <v>45732</v>
      </c>
      <c r="C3284">
        <v>16</v>
      </c>
      <c r="D3284" t="s">
        <v>140</v>
      </c>
      <c r="E3284" t="s">
        <v>121</v>
      </c>
      <c r="F3284" t="s">
        <v>122</v>
      </c>
      <c r="G3284" t="s">
        <v>114</v>
      </c>
      <c r="H3284" t="s">
        <v>29</v>
      </c>
      <c r="I3284" t="s">
        <v>159</v>
      </c>
      <c r="J3284" t="s">
        <v>94</v>
      </c>
      <c r="K3284">
        <v>7</v>
      </c>
      <c r="L3284">
        <v>23200</v>
      </c>
      <c r="M3284">
        <v>162400</v>
      </c>
      <c r="N3284" t="s">
        <v>108</v>
      </c>
      <c r="O3284" t="s">
        <v>104</v>
      </c>
    </row>
    <row r="3285" spans="1:15" x14ac:dyDescent="0.25">
      <c r="A3285">
        <v>4755</v>
      </c>
      <c r="B3285" s="10">
        <v>45722</v>
      </c>
      <c r="C3285">
        <v>6</v>
      </c>
      <c r="D3285" t="s">
        <v>140</v>
      </c>
      <c r="E3285" t="s">
        <v>98</v>
      </c>
      <c r="F3285" t="s">
        <v>44</v>
      </c>
      <c r="G3285" t="s">
        <v>111</v>
      </c>
      <c r="H3285" t="s">
        <v>29</v>
      </c>
      <c r="I3285" t="s">
        <v>124</v>
      </c>
      <c r="J3285" t="s">
        <v>103</v>
      </c>
      <c r="K3285">
        <v>18</v>
      </c>
      <c r="L3285">
        <v>23200</v>
      </c>
      <c r="M3285">
        <v>417600</v>
      </c>
      <c r="N3285" t="s">
        <v>108</v>
      </c>
      <c r="O3285" t="s">
        <v>104</v>
      </c>
    </row>
    <row r="3286" spans="1:15" x14ac:dyDescent="0.25">
      <c r="A3286">
        <v>4911</v>
      </c>
      <c r="B3286" s="10">
        <v>45742</v>
      </c>
      <c r="C3286">
        <v>26</v>
      </c>
      <c r="D3286" t="s">
        <v>140</v>
      </c>
      <c r="E3286" t="s">
        <v>31</v>
      </c>
      <c r="F3286" t="s">
        <v>44</v>
      </c>
      <c r="G3286" t="s">
        <v>111</v>
      </c>
      <c r="H3286" t="s">
        <v>29</v>
      </c>
      <c r="I3286" t="s">
        <v>124</v>
      </c>
      <c r="J3286" t="s">
        <v>103</v>
      </c>
      <c r="K3286">
        <v>41</v>
      </c>
      <c r="L3286">
        <v>23200</v>
      </c>
      <c r="M3286">
        <v>951200</v>
      </c>
      <c r="N3286" t="s">
        <v>108</v>
      </c>
      <c r="O3286" t="s">
        <v>115</v>
      </c>
    </row>
    <row r="3287" spans="1:15" x14ac:dyDescent="0.25">
      <c r="A3287">
        <v>191</v>
      </c>
      <c r="B3287" s="10">
        <v>45699</v>
      </c>
      <c r="C3287">
        <v>11</v>
      </c>
      <c r="D3287" t="s">
        <v>97</v>
      </c>
      <c r="E3287" t="s">
        <v>110</v>
      </c>
      <c r="F3287" t="s">
        <v>122</v>
      </c>
      <c r="G3287" t="s">
        <v>114</v>
      </c>
      <c r="H3287" t="s">
        <v>29</v>
      </c>
      <c r="I3287" t="s">
        <v>124</v>
      </c>
      <c r="J3287" t="s">
        <v>103</v>
      </c>
      <c r="K3287">
        <v>46</v>
      </c>
      <c r="L3287">
        <v>23300</v>
      </c>
      <c r="M3287">
        <v>1071800</v>
      </c>
      <c r="N3287" t="s">
        <v>108</v>
      </c>
      <c r="O3287" t="s">
        <v>104</v>
      </c>
    </row>
    <row r="3288" spans="1:15" x14ac:dyDescent="0.25">
      <c r="A3288">
        <v>502</v>
      </c>
      <c r="B3288" s="10">
        <v>45925</v>
      </c>
      <c r="C3288">
        <v>25</v>
      </c>
      <c r="D3288" t="s">
        <v>147</v>
      </c>
      <c r="E3288" t="s">
        <v>106</v>
      </c>
      <c r="F3288" t="s">
        <v>113</v>
      </c>
      <c r="G3288" t="s">
        <v>114</v>
      </c>
      <c r="H3288" t="s">
        <v>92</v>
      </c>
      <c r="I3288" t="s">
        <v>135</v>
      </c>
      <c r="J3288" t="s">
        <v>103</v>
      </c>
      <c r="K3288">
        <v>15</v>
      </c>
      <c r="L3288">
        <v>23300</v>
      </c>
      <c r="M3288">
        <v>349500</v>
      </c>
      <c r="N3288" t="s">
        <v>95</v>
      </c>
      <c r="O3288" t="s">
        <v>96</v>
      </c>
    </row>
    <row r="3289" spans="1:15" x14ac:dyDescent="0.25">
      <c r="A3289">
        <v>692</v>
      </c>
      <c r="B3289" s="10">
        <v>45860</v>
      </c>
      <c r="C3289">
        <v>22</v>
      </c>
      <c r="D3289" t="s">
        <v>145</v>
      </c>
      <c r="E3289" t="s">
        <v>98</v>
      </c>
      <c r="F3289" t="s">
        <v>148</v>
      </c>
      <c r="G3289" t="s">
        <v>118</v>
      </c>
      <c r="H3289" t="s">
        <v>29</v>
      </c>
      <c r="I3289" t="s">
        <v>159</v>
      </c>
      <c r="J3289" t="s">
        <v>94</v>
      </c>
      <c r="K3289">
        <v>4</v>
      </c>
      <c r="L3289">
        <v>23300</v>
      </c>
      <c r="M3289">
        <v>93200</v>
      </c>
      <c r="N3289" t="s">
        <v>95</v>
      </c>
      <c r="O3289" t="s">
        <v>115</v>
      </c>
    </row>
    <row r="3290" spans="1:15" x14ac:dyDescent="0.25">
      <c r="A3290">
        <v>1042</v>
      </c>
      <c r="B3290" s="10">
        <v>45825</v>
      </c>
      <c r="C3290">
        <v>17</v>
      </c>
      <c r="D3290" t="s">
        <v>153</v>
      </c>
      <c r="E3290" t="s">
        <v>137</v>
      </c>
      <c r="F3290" t="s">
        <v>148</v>
      </c>
      <c r="G3290" t="s">
        <v>118</v>
      </c>
      <c r="H3290" t="s">
        <v>29</v>
      </c>
      <c r="I3290" t="s">
        <v>124</v>
      </c>
      <c r="J3290" t="s">
        <v>103</v>
      </c>
      <c r="K3290">
        <v>11</v>
      </c>
      <c r="L3290">
        <v>23300</v>
      </c>
      <c r="M3290">
        <v>256300</v>
      </c>
      <c r="N3290" t="s">
        <v>95</v>
      </c>
      <c r="O3290" t="s">
        <v>96</v>
      </c>
    </row>
    <row r="3291" spans="1:15" x14ac:dyDescent="0.25">
      <c r="A3291">
        <v>2793</v>
      </c>
      <c r="B3291" s="10">
        <v>45662</v>
      </c>
      <c r="C3291">
        <v>5</v>
      </c>
      <c r="D3291" t="s">
        <v>130</v>
      </c>
      <c r="E3291" t="s">
        <v>150</v>
      </c>
      <c r="F3291" t="s">
        <v>49</v>
      </c>
      <c r="G3291" t="s">
        <v>118</v>
      </c>
      <c r="H3291" t="s">
        <v>29</v>
      </c>
      <c r="I3291" t="s">
        <v>124</v>
      </c>
      <c r="J3291" t="s">
        <v>103</v>
      </c>
      <c r="K3291">
        <v>6</v>
      </c>
      <c r="L3291">
        <v>23300</v>
      </c>
      <c r="M3291">
        <v>139800</v>
      </c>
      <c r="N3291" t="s">
        <v>108</v>
      </c>
      <c r="O3291" t="s">
        <v>115</v>
      </c>
    </row>
    <row r="3292" spans="1:15" x14ac:dyDescent="0.25">
      <c r="A3292">
        <v>1572</v>
      </c>
      <c r="B3292" s="10">
        <v>45996</v>
      </c>
      <c r="C3292">
        <v>5</v>
      </c>
      <c r="D3292" t="s">
        <v>125</v>
      </c>
      <c r="E3292" t="s">
        <v>31</v>
      </c>
      <c r="F3292" t="s">
        <v>113</v>
      </c>
      <c r="G3292" t="s">
        <v>114</v>
      </c>
      <c r="H3292" t="s">
        <v>92</v>
      </c>
      <c r="I3292" t="s">
        <v>135</v>
      </c>
      <c r="J3292" t="s">
        <v>94</v>
      </c>
      <c r="K3292">
        <v>8</v>
      </c>
      <c r="L3292">
        <v>23400</v>
      </c>
      <c r="M3292">
        <v>187200</v>
      </c>
      <c r="N3292" t="s">
        <v>108</v>
      </c>
      <c r="O3292" t="s">
        <v>96</v>
      </c>
    </row>
    <row r="3293" spans="1:15" x14ac:dyDescent="0.25">
      <c r="A3293">
        <v>1654</v>
      </c>
      <c r="B3293" s="10">
        <v>45913</v>
      </c>
      <c r="C3293">
        <v>13</v>
      </c>
      <c r="D3293" t="s">
        <v>147</v>
      </c>
      <c r="E3293" t="s">
        <v>106</v>
      </c>
      <c r="F3293" t="s">
        <v>22</v>
      </c>
      <c r="G3293" t="s">
        <v>91</v>
      </c>
      <c r="H3293" t="s">
        <v>29</v>
      </c>
      <c r="I3293" t="s">
        <v>124</v>
      </c>
      <c r="J3293" t="s">
        <v>103</v>
      </c>
      <c r="K3293">
        <v>10</v>
      </c>
      <c r="L3293">
        <v>23400</v>
      </c>
      <c r="M3293">
        <v>234000</v>
      </c>
      <c r="N3293" t="s">
        <v>108</v>
      </c>
      <c r="O3293" t="s">
        <v>115</v>
      </c>
    </row>
    <row r="3294" spans="1:15" x14ac:dyDescent="0.25">
      <c r="A3294">
        <v>1437</v>
      </c>
      <c r="B3294" s="10">
        <v>45763</v>
      </c>
      <c r="C3294">
        <v>16</v>
      </c>
      <c r="D3294" t="s">
        <v>105</v>
      </c>
      <c r="E3294" t="s">
        <v>138</v>
      </c>
      <c r="F3294" t="s">
        <v>117</v>
      </c>
      <c r="G3294" t="s">
        <v>118</v>
      </c>
      <c r="H3294" t="s">
        <v>29</v>
      </c>
      <c r="I3294" t="s">
        <v>124</v>
      </c>
      <c r="J3294" t="s">
        <v>103</v>
      </c>
      <c r="K3294">
        <v>50</v>
      </c>
      <c r="L3294">
        <v>23500</v>
      </c>
      <c r="M3294">
        <v>1175000</v>
      </c>
      <c r="N3294" t="s">
        <v>108</v>
      </c>
      <c r="O3294" t="s">
        <v>96</v>
      </c>
    </row>
    <row r="3295" spans="1:15" x14ac:dyDescent="0.25">
      <c r="A3295">
        <v>3261</v>
      </c>
      <c r="B3295" s="10">
        <v>45942</v>
      </c>
      <c r="C3295">
        <v>12</v>
      </c>
      <c r="D3295" t="s">
        <v>136</v>
      </c>
      <c r="E3295" t="s">
        <v>116</v>
      </c>
      <c r="F3295" t="s">
        <v>28</v>
      </c>
      <c r="G3295" t="s">
        <v>126</v>
      </c>
      <c r="H3295" t="s">
        <v>29</v>
      </c>
      <c r="I3295" t="s">
        <v>124</v>
      </c>
      <c r="J3295" t="s">
        <v>103</v>
      </c>
      <c r="K3295">
        <v>44</v>
      </c>
      <c r="L3295">
        <v>23500</v>
      </c>
      <c r="M3295">
        <v>1034000</v>
      </c>
      <c r="N3295" t="s">
        <v>108</v>
      </c>
      <c r="O3295" t="s">
        <v>96</v>
      </c>
    </row>
    <row r="3296" spans="1:15" x14ac:dyDescent="0.25">
      <c r="A3296">
        <v>3335</v>
      </c>
      <c r="B3296" s="10">
        <v>45862</v>
      </c>
      <c r="C3296">
        <v>24</v>
      </c>
      <c r="D3296" t="s">
        <v>145</v>
      </c>
      <c r="E3296" t="s">
        <v>133</v>
      </c>
      <c r="F3296" t="s">
        <v>36</v>
      </c>
      <c r="G3296" t="s">
        <v>100</v>
      </c>
      <c r="H3296" t="s">
        <v>29</v>
      </c>
      <c r="I3296" t="s">
        <v>159</v>
      </c>
      <c r="J3296" t="s">
        <v>94</v>
      </c>
      <c r="K3296">
        <v>10</v>
      </c>
      <c r="L3296">
        <v>23500</v>
      </c>
      <c r="M3296">
        <v>235000</v>
      </c>
      <c r="N3296" t="s">
        <v>95</v>
      </c>
      <c r="O3296" t="s">
        <v>115</v>
      </c>
    </row>
    <row r="3297" spans="1:15" x14ac:dyDescent="0.25">
      <c r="A3297">
        <v>3428</v>
      </c>
      <c r="B3297" s="10">
        <v>45828</v>
      </c>
      <c r="C3297">
        <v>20</v>
      </c>
      <c r="D3297" t="s">
        <v>153</v>
      </c>
      <c r="E3297" t="s">
        <v>121</v>
      </c>
      <c r="F3297" t="s">
        <v>117</v>
      </c>
      <c r="G3297" t="s">
        <v>118</v>
      </c>
      <c r="H3297" t="s">
        <v>29</v>
      </c>
      <c r="I3297" t="s">
        <v>159</v>
      </c>
      <c r="J3297" t="s">
        <v>94</v>
      </c>
      <c r="K3297">
        <v>5</v>
      </c>
      <c r="L3297">
        <v>23500</v>
      </c>
      <c r="M3297">
        <v>117500</v>
      </c>
      <c r="N3297" t="s">
        <v>108</v>
      </c>
      <c r="O3297" t="s">
        <v>115</v>
      </c>
    </row>
    <row r="3298" spans="1:15" x14ac:dyDescent="0.25">
      <c r="A3298">
        <v>3582</v>
      </c>
      <c r="B3298" s="10">
        <v>45676</v>
      </c>
      <c r="C3298">
        <v>19</v>
      </c>
      <c r="D3298" t="s">
        <v>130</v>
      </c>
      <c r="E3298" t="s">
        <v>133</v>
      </c>
      <c r="F3298" t="s">
        <v>44</v>
      </c>
      <c r="G3298" t="s">
        <v>111</v>
      </c>
      <c r="H3298" t="s">
        <v>29</v>
      </c>
      <c r="I3298" t="s">
        <v>159</v>
      </c>
      <c r="J3298" t="s">
        <v>94</v>
      </c>
      <c r="K3298">
        <v>7</v>
      </c>
      <c r="L3298">
        <v>23500</v>
      </c>
      <c r="M3298">
        <v>164500</v>
      </c>
      <c r="N3298" t="s">
        <v>108</v>
      </c>
      <c r="O3298" t="s">
        <v>104</v>
      </c>
    </row>
    <row r="3299" spans="1:15" x14ac:dyDescent="0.25">
      <c r="A3299">
        <v>4651</v>
      </c>
      <c r="B3299" s="10">
        <v>45943</v>
      </c>
      <c r="C3299">
        <v>13</v>
      </c>
      <c r="D3299" t="s">
        <v>136</v>
      </c>
      <c r="E3299" t="s">
        <v>98</v>
      </c>
      <c r="F3299" t="s">
        <v>49</v>
      </c>
      <c r="G3299" t="s">
        <v>118</v>
      </c>
      <c r="H3299" t="s">
        <v>29</v>
      </c>
      <c r="I3299" t="s">
        <v>124</v>
      </c>
      <c r="J3299" t="s">
        <v>103</v>
      </c>
      <c r="K3299">
        <v>49</v>
      </c>
      <c r="L3299">
        <v>23500</v>
      </c>
      <c r="M3299">
        <v>1151500</v>
      </c>
      <c r="N3299" t="s">
        <v>108</v>
      </c>
      <c r="O3299" t="s">
        <v>115</v>
      </c>
    </row>
    <row r="3300" spans="1:15" x14ac:dyDescent="0.25">
      <c r="A3300">
        <v>1328</v>
      </c>
      <c r="B3300" s="10">
        <v>45836</v>
      </c>
      <c r="C3300">
        <v>28</v>
      </c>
      <c r="D3300" t="s">
        <v>153</v>
      </c>
      <c r="E3300" t="s">
        <v>150</v>
      </c>
      <c r="F3300" t="s">
        <v>141</v>
      </c>
      <c r="G3300" t="s">
        <v>100</v>
      </c>
      <c r="H3300" t="s">
        <v>29</v>
      </c>
      <c r="I3300" t="s">
        <v>124</v>
      </c>
      <c r="J3300" t="s">
        <v>103</v>
      </c>
      <c r="K3300">
        <v>14</v>
      </c>
      <c r="L3300">
        <v>23600</v>
      </c>
      <c r="M3300">
        <v>330400</v>
      </c>
      <c r="N3300" t="s">
        <v>108</v>
      </c>
      <c r="O3300" t="s">
        <v>104</v>
      </c>
    </row>
    <row r="3301" spans="1:15" x14ac:dyDescent="0.25">
      <c r="A3301">
        <v>3117</v>
      </c>
      <c r="B3301" s="10">
        <v>45793</v>
      </c>
      <c r="C3301">
        <v>16</v>
      </c>
      <c r="D3301" t="s">
        <v>120</v>
      </c>
      <c r="E3301" t="s">
        <v>116</v>
      </c>
      <c r="F3301" t="s">
        <v>44</v>
      </c>
      <c r="G3301" t="s">
        <v>111</v>
      </c>
      <c r="H3301" t="s">
        <v>29</v>
      </c>
      <c r="I3301" t="s">
        <v>124</v>
      </c>
      <c r="J3301" t="s">
        <v>103</v>
      </c>
      <c r="K3301">
        <v>45</v>
      </c>
      <c r="L3301">
        <v>23600</v>
      </c>
      <c r="M3301">
        <v>1062000</v>
      </c>
      <c r="N3301" t="s">
        <v>95</v>
      </c>
      <c r="O3301" t="s">
        <v>96</v>
      </c>
    </row>
    <row r="3302" spans="1:15" x14ac:dyDescent="0.25">
      <c r="A3302">
        <v>3549</v>
      </c>
      <c r="B3302" s="10">
        <v>45961</v>
      </c>
      <c r="C3302">
        <v>31</v>
      </c>
      <c r="D3302" t="s">
        <v>136</v>
      </c>
      <c r="E3302" t="s">
        <v>128</v>
      </c>
      <c r="F3302" t="s">
        <v>36</v>
      </c>
      <c r="G3302" t="s">
        <v>100</v>
      </c>
      <c r="H3302" t="s">
        <v>92</v>
      </c>
      <c r="I3302" t="s">
        <v>135</v>
      </c>
      <c r="J3302" t="s">
        <v>94</v>
      </c>
      <c r="K3302">
        <v>5</v>
      </c>
      <c r="L3302">
        <v>23600</v>
      </c>
      <c r="M3302">
        <v>118000</v>
      </c>
      <c r="N3302" t="s">
        <v>95</v>
      </c>
      <c r="O3302" t="s">
        <v>104</v>
      </c>
    </row>
    <row r="3303" spans="1:15" x14ac:dyDescent="0.25">
      <c r="A3303">
        <v>3888</v>
      </c>
      <c r="B3303" s="10">
        <v>45848</v>
      </c>
      <c r="C3303">
        <v>10</v>
      </c>
      <c r="D3303" t="s">
        <v>145</v>
      </c>
      <c r="E3303" t="s">
        <v>161</v>
      </c>
      <c r="F3303" t="s">
        <v>49</v>
      </c>
      <c r="G3303" t="s">
        <v>118</v>
      </c>
      <c r="H3303" t="s">
        <v>29</v>
      </c>
      <c r="I3303" t="s">
        <v>124</v>
      </c>
      <c r="J3303" t="s">
        <v>103</v>
      </c>
      <c r="K3303">
        <v>22</v>
      </c>
      <c r="L3303">
        <v>23600</v>
      </c>
      <c r="M3303">
        <v>519200</v>
      </c>
      <c r="N3303" t="s">
        <v>108</v>
      </c>
      <c r="O3303" t="s">
        <v>104</v>
      </c>
    </row>
    <row r="3304" spans="1:15" x14ac:dyDescent="0.25">
      <c r="A3304">
        <v>4780</v>
      </c>
      <c r="B3304" s="10">
        <v>45688</v>
      </c>
      <c r="C3304">
        <v>31</v>
      </c>
      <c r="D3304" t="s">
        <v>130</v>
      </c>
      <c r="E3304" t="s">
        <v>161</v>
      </c>
      <c r="F3304" t="s">
        <v>113</v>
      </c>
      <c r="G3304" t="s">
        <v>114</v>
      </c>
      <c r="H3304" t="s">
        <v>29</v>
      </c>
      <c r="I3304" t="s">
        <v>124</v>
      </c>
      <c r="J3304" t="s">
        <v>94</v>
      </c>
      <c r="K3304">
        <v>3</v>
      </c>
      <c r="L3304">
        <v>23600</v>
      </c>
      <c r="M3304">
        <v>70800</v>
      </c>
      <c r="N3304" t="s">
        <v>95</v>
      </c>
      <c r="O3304" t="s">
        <v>96</v>
      </c>
    </row>
    <row r="3305" spans="1:15" x14ac:dyDescent="0.25">
      <c r="A3305">
        <v>110</v>
      </c>
      <c r="B3305" s="10">
        <v>45822</v>
      </c>
      <c r="C3305">
        <v>14</v>
      </c>
      <c r="D3305" t="s">
        <v>153</v>
      </c>
      <c r="E3305" t="s">
        <v>98</v>
      </c>
      <c r="F3305" t="s">
        <v>28</v>
      </c>
      <c r="G3305" t="s">
        <v>126</v>
      </c>
      <c r="H3305" t="s">
        <v>29</v>
      </c>
      <c r="I3305" t="s">
        <v>124</v>
      </c>
      <c r="J3305" t="s">
        <v>103</v>
      </c>
      <c r="K3305">
        <v>49</v>
      </c>
      <c r="L3305">
        <v>23700</v>
      </c>
      <c r="M3305">
        <v>1161300</v>
      </c>
      <c r="N3305" t="s">
        <v>108</v>
      </c>
      <c r="O3305" t="s">
        <v>115</v>
      </c>
    </row>
    <row r="3306" spans="1:15" x14ac:dyDescent="0.25">
      <c r="A3306">
        <v>1782</v>
      </c>
      <c r="B3306" s="10">
        <v>45939</v>
      </c>
      <c r="C3306">
        <v>9</v>
      </c>
      <c r="D3306" t="s">
        <v>136</v>
      </c>
      <c r="E3306" t="s">
        <v>161</v>
      </c>
      <c r="F3306" t="s">
        <v>44</v>
      </c>
      <c r="G3306" t="s">
        <v>111</v>
      </c>
      <c r="H3306" t="s">
        <v>29</v>
      </c>
      <c r="I3306" t="s">
        <v>124</v>
      </c>
      <c r="J3306" t="s">
        <v>103</v>
      </c>
      <c r="K3306">
        <v>33</v>
      </c>
      <c r="L3306">
        <v>23700</v>
      </c>
      <c r="M3306">
        <v>782100</v>
      </c>
      <c r="N3306" t="s">
        <v>108</v>
      </c>
      <c r="O3306" t="s">
        <v>96</v>
      </c>
    </row>
    <row r="3307" spans="1:15" x14ac:dyDescent="0.25">
      <c r="A3307">
        <v>2428</v>
      </c>
      <c r="B3307" s="10">
        <v>45679</v>
      </c>
      <c r="C3307">
        <v>22</v>
      </c>
      <c r="D3307" t="s">
        <v>130</v>
      </c>
      <c r="E3307" t="s">
        <v>128</v>
      </c>
      <c r="F3307" t="s">
        <v>134</v>
      </c>
      <c r="G3307" t="s">
        <v>100</v>
      </c>
      <c r="H3307" t="s">
        <v>29</v>
      </c>
      <c r="I3307" t="s">
        <v>124</v>
      </c>
      <c r="J3307" t="s">
        <v>103</v>
      </c>
      <c r="K3307">
        <v>35</v>
      </c>
      <c r="L3307">
        <v>23700</v>
      </c>
      <c r="M3307">
        <v>829500</v>
      </c>
      <c r="N3307" t="s">
        <v>95</v>
      </c>
      <c r="O3307" t="s">
        <v>96</v>
      </c>
    </row>
    <row r="3308" spans="1:15" x14ac:dyDescent="0.25">
      <c r="A3308">
        <v>3394</v>
      </c>
      <c r="B3308" s="10">
        <v>45807</v>
      </c>
      <c r="C3308">
        <v>30</v>
      </c>
      <c r="D3308" t="s">
        <v>120</v>
      </c>
      <c r="E3308" t="s">
        <v>138</v>
      </c>
      <c r="F3308" t="s">
        <v>28</v>
      </c>
      <c r="G3308" t="s">
        <v>126</v>
      </c>
      <c r="H3308" t="s">
        <v>29</v>
      </c>
      <c r="I3308" t="s">
        <v>124</v>
      </c>
      <c r="J3308" t="s">
        <v>103</v>
      </c>
      <c r="K3308">
        <v>24</v>
      </c>
      <c r="L3308">
        <v>23700</v>
      </c>
      <c r="M3308">
        <v>568800</v>
      </c>
      <c r="N3308" t="s">
        <v>108</v>
      </c>
      <c r="O3308" t="s">
        <v>104</v>
      </c>
    </row>
    <row r="3309" spans="1:15" x14ac:dyDescent="0.25">
      <c r="A3309">
        <v>969</v>
      </c>
      <c r="B3309" s="10">
        <v>45772</v>
      </c>
      <c r="C3309">
        <v>25</v>
      </c>
      <c r="D3309" t="s">
        <v>105</v>
      </c>
      <c r="E3309" t="s">
        <v>161</v>
      </c>
      <c r="F3309" t="s">
        <v>49</v>
      </c>
      <c r="G3309" t="s">
        <v>118</v>
      </c>
      <c r="H3309" t="s">
        <v>29</v>
      </c>
      <c r="I3309" t="s">
        <v>124</v>
      </c>
      <c r="J3309" t="s">
        <v>103</v>
      </c>
      <c r="K3309">
        <v>36</v>
      </c>
      <c r="L3309">
        <v>23800</v>
      </c>
      <c r="M3309">
        <v>856800</v>
      </c>
      <c r="N3309" t="s">
        <v>108</v>
      </c>
      <c r="O3309" t="s">
        <v>104</v>
      </c>
    </row>
    <row r="3310" spans="1:15" x14ac:dyDescent="0.25">
      <c r="A3310">
        <v>1237</v>
      </c>
      <c r="B3310" s="10">
        <v>45995</v>
      </c>
      <c r="C3310">
        <v>4</v>
      </c>
      <c r="D3310" t="s">
        <v>125</v>
      </c>
      <c r="E3310" t="s">
        <v>128</v>
      </c>
      <c r="F3310" t="s">
        <v>28</v>
      </c>
      <c r="G3310" t="s">
        <v>126</v>
      </c>
      <c r="H3310" t="s">
        <v>29</v>
      </c>
      <c r="I3310" t="s">
        <v>159</v>
      </c>
      <c r="J3310" t="s">
        <v>94</v>
      </c>
      <c r="K3310">
        <v>1</v>
      </c>
      <c r="L3310">
        <v>23800</v>
      </c>
      <c r="M3310">
        <v>23800</v>
      </c>
      <c r="N3310" t="s">
        <v>108</v>
      </c>
      <c r="O3310" t="s">
        <v>115</v>
      </c>
    </row>
    <row r="3311" spans="1:15" x14ac:dyDescent="0.25">
      <c r="A3311">
        <v>2025</v>
      </c>
      <c r="B3311" s="10">
        <v>45893</v>
      </c>
      <c r="C3311">
        <v>24</v>
      </c>
      <c r="D3311" t="s">
        <v>109</v>
      </c>
      <c r="E3311" t="s">
        <v>137</v>
      </c>
      <c r="F3311" t="s">
        <v>113</v>
      </c>
      <c r="G3311" t="s">
        <v>114</v>
      </c>
      <c r="H3311" t="s">
        <v>29</v>
      </c>
      <c r="I3311" t="s">
        <v>124</v>
      </c>
      <c r="J3311" t="s">
        <v>94</v>
      </c>
      <c r="K3311">
        <v>5</v>
      </c>
      <c r="L3311">
        <v>23800</v>
      </c>
      <c r="M3311">
        <v>119000</v>
      </c>
      <c r="N3311" t="s">
        <v>95</v>
      </c>
      <c r="O3311" t="s">
        <v>115</v>
      </c>
    </row>
    <row r="3312" spans="1:15" x14ac:dyDescent="0.25">
      <c r="A3312">
        <v>2558</v>
      </c>
      <c r="B3312" s="10">
        <v>45851</v>
      </c>
      <c r="C3312">
        <v>13</v>
      </c>
      <c r="D3312" t="s">
        <v>145</v>
      </c>
      <c r="E3312" t="s">
        <v>112</v>
      </c>
      <c r="F3312" t="s">
        <v>141</v>
      </c>
      <c r="G3312" t="s">
        <v>100</v>
      </c>
      <c r="H3312" t="s">
        <v>29</v>
      </c>
      <c r="I3312" t="s">
        <v>124</v>
      </c>
      <c r="J3312" t="s">
        <v>103</v>
      </c>
      <c r="K3312">
        <v>5</v>
      </c>
      <c r="L3312">
        <v>23800</v>
      </c>
      <c r="M3312">
        <v>119000</v>
      </c>
      <c r="N3312" t="s">
        <v>95</v>
      </c>
      <c r="O3312" t="s">
        <v>104</v>
      </c>
    </row>
    <row r="3313" spans="1:15" x14ac:dyDescent="0.25">
      <c r="A3313">
        <v>3205</v>
      </c>
      <c r="B3313" s="10">
        <v>46006</v>
      </c>
      <c r="C3313">
        <v>15</v>
      </c>
      <c r="D3313" t="s">
        <v>125</v>
      </c>
      <c r="E3313" t="s">
        <v>112</v>
      </c>
      <c r="F3313" t="s">
        <v>113</v>
      </c>
      <c r="G3313" t="s">
        <v>114</v>
      </c>
      <c r="H3313" t="s">
        <v>92</v>
      </c>
      <c r="I3313" t="s">
        <v>135</v>
      </c>
      <c r="J3313" t="s">
        <v>94</v>
      </c>
      <c r="K3313">
        <v>6</v>
      </c>
      <c r="L3313">
        <v>23800</v>
      </c>
      <c r="M3313">
        <v>142800</v>
      </c>
      <c r="N3313" t="s">
        <v>108</v>
      </c>
      <c r="O3313" t="s">
        <v>104</v>
      </c>
    </row>
    <row r="3314" spans="1:15" x14ac:dyDescent="0.25">
      <c r="A3314">
        <v>3999</v>
      </c>
      <c r="B3314" s="10">
        <v>45667</v>
      </c>
      <c r="C3314">
        <v>10</v>
      </c>
      <c r="D3314" t="s">
        <v>130</v>
      </c>
      <c r="E3314" t="s">
        <v>116</v>
      </c>
      <c r="F3314" t="s">
        <v>113</v>
      </c>
      <c r="G3314" t="s">
        <v>114</v>
      </c>
      <c r="H3314" t="s">
        <v>29</v>
      </c>
      <c r="I3314" t="s">
        <v>159</v>
      </c>
      <c r="J3314" t="s">
        <v>94</v>
      </c>
      <c r="K3314">
        <v>6</v>
      </c>
      <c r="L3314">
        <v>23800</v>
      </c>
      <c r="M3314">
        <v>142800</v>
      </c>
      <c r="N3314" t="s">
        <v>95</v>
      </c>
      <c r="O3314" t="s">
        <v>96</v>
      </c>
    </row>
    <row r="3315" spans="1:15" x14ac:dyDescent="0.25">
      <c r="A3315">
        <v>4142</v>
      </c>
      <c r="B3315" s="10">
        <v>45781</v>
      </c>
      <c r="C3315">
        <v>4</v>
      </c>
      <c r="D3315" t="s">
        <v>120</v>
      </c>
      <c r="E3315" t="s">
        <v>150</v>
      </c>
      <c r="F3315" t="s">
        <v>22</v>
      </c>
      <c r="G3315" t="s">
        <v>91</v>
      </c>
      <c r="H3315" t="s">
        <v>29</v>
      </c>
      <c r="I3315" t="s">
        <v>159</v>
      </c>
      <c r="J3315" t="s">
        <v>94</v>
      </c>
      <c r="K3315">
        <v>1</v>
      </c>
      <c r="L3315">
        <v>23800</v>
      </c>
      <c r="M3315">
        <v>23800</v>
      </c>
      <c r="N3315" t="s">
        <v>95</v>
      </c>
      <c r="O3315" t="s">
        <v>96</v>
      </c>
    </row>
    <row r="3316" spans="1:15" x14ac:dyDescent="0.25">
      <c r="A3316">
        <v>489</v>
      </c>
      <c r="B3316" s="10">
        <v>45765</v>
      </c>
      <c r="C3316">
        <v>18</v>
      </c>
      <c r="D3316" t="s">
        <v>105</v>
      </c>
      <c r="E3316" t="s">
        <v>112</v>
      </c>
      <c r="F3316" t="s">
        <v>117</v>
      </c>
      <c r="G3316" t="s">
        <v>118</v>
      </c>
      <c r="H3316" t="s">
        <v>29</v>
      </c>
      <c r="I3316" t="s">
        <v>159</v>
      </c>
      <c r="J3316" t="s">
        <v>94</v>
      </c>
      <c r="K3316">
        <v>8</v>
      </c>
      <c r="L3316">
        <v>23900</v>
      </c>
      <c r="M3316">
        <v>191200</v>
      </c>
      <c r="N3316" t="s">
        <v>95</v>
      </c>
      <c r="O3316" t="s">
        <v>104</v>
      </c>
    </row>
    <row r="3317" spans="1:15" x14ac:dyDescent="0.25">
      <c r="A3317">
        <v>1542</v>
      </c>
      <c r="B3317" s="10">
        <v>45949</v>
      </c>
      <c r="C3317">
        <v>19</v>
      </c>
      <c r="D3317" t="s">
        <v>136</v>
      </c>
      <c r="E3317" t="s">
        <v>121</v>
      </c>
      <c r="F3317" t="s">
        <v>141</v>
      </c>
      <c r="G3317" t="s">
        <v>100</v>
      </c>
      <c r="H3317" t="s">
        <v>29</v>
      </c>
      <c r="I3317" t="s">
        <v>159</v>
      </c>
      <c r="J3317" t="s">
        <v>94</v>
      </c>
      <c r="K3317">
        <v>7</v>
      </c>
      <c r="L3317">
        <v>23900</v>
      </c>
      <c r="M3317">
        <v>167300</v>
      </c>
      <c r="N3317" t="s">
        <v>95</v>
      </c>
      <c r="O3317" t="s">
        <v>96</v>
      </c>
    </row>
    <row r="3318" spans="1:15" x14ac:dyDescent="0.25">
      <c r="A3318">
        <v>3002</v>
      </c>
      <c r="B3318" s="10">
        <v>45673</v>
      </c>
      <c r="C3318">
        <v>16</v>
      </c>
      <c r="D3318" t="s">
        <v>130</v>
      </c>
      <c r="E3318" t="s">
        <v>128</v>
      </c>
      <c r="F3318" t="s">
        <v>36</v>
      </c>
      <c r="G3318" t="s">
        <v>100</v>
      </c>
      <c r="H3318" t="s">
        <v>92</v>
      </c>
      <c r="I3318" t="s">
        <v>135</v>
      </c>
      <c r="J3318" t="s">
        <v>94</v>
      </c>
      <c r="K3318">
        <v>2</v>
      </c>
      <c r="L3318">
        <v>23900</v>
      </c>
      <c r="M3318">
        <v>47800</v>
      </c>
      <c r="N3318" t="s">
        <v>108</v>
      </c>
      <c r="O3318" t="s">
        <v>104</v>
      </c>
    </row>
    <row r="3319" spans="1:15" x14ac:dyDescent="0.25">
      <c r="A3319">
        <v>4611</v>
      </c>
      <c r="B3319" s="10">
        <v>45758</v>
      </c>
      <c r="C3319">
        <v>11</v>
      </c>
      <c r="D3319" t="s">
        <v>105</v>
      </c>
      <c r="E3319" t="s">
        <v>112</v>
      </c>
      <c r="F3319" t="s">
        <v>22</v>
      </c>
      <c r="G3319" t="s">
        <v>91</v>
      </c>
      <c r="H3319" t="s">
        <v>29</v>
      </c>
      <c r="I3319" t="s">
        <v>124</v>
      </c>
      <c r="J3319" t="s">
        <v>103</v>
      </c>
      <c r="K3319">
        <v>34</v>
      </c>
      <c r="L3319">
        <v>23900</v>
      </c>
      <c r="M3319">
        <v>812600</v>
      </c>
      <c r="N3319" t="s">
        <v>95</v>
      </c>
      <c r="O3319" t="s">
        <v>115</v>
      </c>
    </row>
    <row r="3320" spans="1:15" x14ac:dyDescent="0.25">
      <c r="A3320">
        <v>1845</v>
      </c>
      <c r="B3320" s="10">
        <v>45822</v>
      </c>
      <c r="C3320">
        <v>14</v>
      </c>
      <c r="D3320" t="s">
        <v>153</v>
      </c>
      <c r="E3320" t="s">
        <v>138</v>
      </c>
      <c r="F3320" t="s">
        <v>151</v>
      </c>
      <c r="G3320" t="s">
        <v>111</v>
      </c>
      <c r="H3320" t="s">
        <v>29</v>
      </c>
      <c r="I3320" t="s">
        <v>124</v>
      </c>
      <c r="J3320" t="s">
        <v>103</v>
      </c>
      <c r="K3320">
        <v>30</v>
      </c>
      <c r="L3320">
        <v>24000</v>
      </c>
      <c r="M3320">
        <v>720000</v>
      </c>
      <c r="N3320" t="s">
        <v>108</v>
      </c>
      <c r="O3320" t="s">
        <v>115</v>
      </c>
    </row>
    <row r="3321" spans="1:15" x14ac:dyDescent="0.25">
      <c r="A3321">
        <v>3370</v>
      </c>
      <c r="B3321" s="10">
        <v>45978</v>
      </c>
      <c r="C3321">
        <v>17</v>
      </c>
      <c r="D3321" t="s">
        <v>90</v>
      </c>
      <c r="E3321" t="s">
        <v>137</v>
      </c>
      <c r="F3321" t="s">
        <v>144</v>
      </c>
      <c r="G3321" t="s">
        <v>91</v>
      </c>
      <c r="H3321" t="s">
        <v>29</v>
      </c>
      <c r="I3321" t="s">
        <v>124</v>
      </c>
      <c r="J3321" t="s">
        <v>103</v>
      </c>
      <c r="K3321">
        <v>18</v>
      </c>
      <c r="L3321">
        <v>24000</v>
      </c>
      <c r="M3321">
        <v>432000</v>
      </c>
      <c r="N3321" t="s">
        <v>108</v>
      </c>
      <c r="O3321" t="s">
        <v>115</v>
      </c>
    </row>
    <row r="3322" spans="1:15" x14ac:dyDescent="0.25">
      <c r="A3322">
        <v>4859</v>
      </c>
      <c r="B3322" s="10">
        <v>45797</v>
      </c>
      <c r="C3322">
        <v>20</v>
      </c>
      <c r="D3322" t="s">
        <v>120</v>
      </c>
      <c r="E3322" t="s">
        <v>138</v>
      </c>
      <c r="F3322" t="s">
        <v>134</v>
      </c>
      <c r="G3322" t="s">
        <v>100</v>
      </c>
      <c r="H3322" t="s">
        <v>29</v>
      </c>
      <c r="I3322" t="s">
        <v>124</v>
      </c>
      <c r="J3322" t="s">
        <v>103</v>
      </c>
      <c r="K3322">
        <v>36</v>
      </c>
      <c r="L3322">
        <v>24000</v>
      </c>
      <c r="M3322">
        <v>864000</v>
      </c>
      <c r="N3322" t="s">
        <v>95</v>
      </c>
      <c r="O3322" t="s">
        <v>96</v>
      </c>
    </row>
    <row r="3323" spans="1:15" x14ac:dyDescent="0.25">
      <c r="A3323">
        <v>463</v>
      </c>
      <c r="B3323" s="10">
        <v>45731</v>
      </c>
      <c r="C3323">
        <v>15</v>
      </c>
      <c r="D3323" t="s">
        <v>140</v>
      </c>
      <c r="E3323" t="s">
        <v>110</v>
      </c>
      <c r="F3323" t="s">
        <v>148</v>
      </c>
      <c r="G3323" t="s">
        <v>118</v>
      </c>
      <c r="H3323" t="s">
        <v>92</v>
      </c>
      <c r="I3323" t="s">
        <v>135</v>
      </c>
      <c r="J3323" t="s">
        <v>94</v>
      </c>
      <c r="K3323">
        <v>7</v>
      </c>
      <c r="L3323">
        <v>24100</v>
      </c>
      <c r="M3323">
        <v>168700</v>
      </c>
      <c r="N3323" t="s">
        <v>108</v>
      </c>
      <c r="O3323" t="s">
        <v>96</v>
      </c>
    </row>
    <row r="3324" spans="1:15" x14ac:dyDescent="0.25">
      <c r="A3324">
        <v>1859</v>
      </c>
      <c r="B3324" s="10">
        <v>45751</v>
      </c>
      <c r="C3324">
        <v>4</v>
      </c>
      <c r="D3324" t="s">
        <v>105</v>
      </c>
      <c r="E3324" t="s">
        <v>137</v>
      </c>
      <c r="F3324" t="s">
        <v>113</v>
      </c>
      <c r="G3324" t="s">
        <v>114</v>
      </c>
      <c r="H3324" t="s">
        <v>29</v>
      </c>
      <c r="I3324" t="s">
        <v>124</v>
      </c>
      <c r="J3324" t="s">
        <v>103</v>
      </c>
      <c r="K3324">
        <v>23</v>
      </c>
      <c r="L3324">
        <v>24100</v>
      </c>
      <c r="M3324">
        <v>554300</v>
      </c>
      <c r="N3324" t="s">
        <v>108</v>
      </c>
      <c r="O3324" t="s">
        <v>115</v>
      </c>
    </row>
    <row r="3325" spans="1:15" x14ac:dyDescent="0.25">
      <c r="A3325">
        <v>2984</v>
      </c>
      <c r="B3325" s="10">
        <v>45683</v>
      </c>
      <c r="C3325">
        <v>26</v>
      </c>
      <c r="D3325" t="s">
        <v>130</v>
      </c>
      <c r="E3325" t="s">
        <v>138</v>
      </c>
      <c r="F3325" t="s">
        <v>148</v>
      </c>
      <c r="G3325" t="s">
        <v>118</v>
      </c>
      <c r="H3325" t="s">
        <v>29</v>
      </c>
      <c r="I3325" t="s">
        <v>124</v>
      </c>
      <c r="J3325" t="s">
        <v>103</v>
      </c>
      <c r="K3325">
        <v>30</v>
      </c>
      <c r="L3325">
        <v>24100</v>
      </c>
      <c r="M3325">
        <v>723000</v>
      </c>
      <c r="N3325" t="s">
        <v>108</v>
      </c>
      <c r="O3325" t="s">
        <v>104</v>
      </c>
    </row>
    <row r="3326" spans="1:15" x14ac:dyDescent="0.25">
      <c r="A3326">
        <v>3118</v>
      </c>
      <c r="B3326" s="10">
        <v>45787</v>
      </c>
      <c r="C3326">
        <v>10</v>
      </c>
      <c r="D3326" t="s">
        <v>120</v>
      </c>
      <c r="E3326" t="s">
        <v>150</v>
      </c>
      <c r="F3326" t="s">
        <v>107</v>
      </c>
      <c r="G3326" t="s">
        <v>100</v>
      </c>
      <c r="H3326" t="s">
        <v>92</v>
      </c>
      <c r="I3326" t="s">
        <v>135</v>
      </c>
      <c r="J3326" t="s">
        <v>94</v>
      </c>
      <c r="K3326">
        <v>2</v>
      </c>
      <c r="L3326">
        <v>24100</v>
      </c>
      <c r="M3326">
        <v>48200</v>
      </c>
      <c r="N3326" t="s">
        <v>95</v>
      </c>
      <c r="O3326" t="s">
        <v>104</v>
      </c>
    </row>
    <row r="3327" spans="1:15" x14ac:dyDescent="0.25">
      <c r="A3327">
        <v>3662</v>
      </c>
      <c r="B3327" s="10">
        <v>45965</v>
      </c>
      <c r="C3327">
        <v>4</v>
      </c>
      <c r="D3327" t="s">
        <v>90</v>
      </c>
      <c r="E3327" t="s">
        <v>142</v>
      </c>
      <c r="F3327" t="s">
        <v>107</v>
      </c>
      <c r="G3327" t="s">
        <v>100</v>
      </c>
      <c r="H3327" t="s">
        <v>92</v>
      </c>
      <c r="I3327" t="s">
        <v>135</v>
      </c>
      <c r="J3327" t="s">
        <v>94</v>
      </c>
      <c r="K3327">
        <v>7</v>
      </c>
      <c r="L3327">
        <v>24100</v>
      </c>
      <c r="M3327">
        <v>168700</v>
      </c>
      <c r="N3327" t="s">
        <v>108</v>
      </c>
      <c r="O3327" t="s">
        <v>115</v>
      </c>
    </row>
    <row r="3328" spans="1:15" x14ac:dyDescent="0.25">
      <c r="A3328">
        <v>523</v>
      </c>
      <c r="B3328" s="10">
        <v>45742</v>
      </c>
      <c r="C3328">
        <v>26</v>
      </c>
      <c r="D3328" t="s">
        <v>140</v>
      </c>
      <c r="E3328" t="s">
        <v>133</v>
      </c>
      <c r="F3328" t="s">
        <v>36</v>
      </c>
      <c r="G3328" t="s">
        <v>100</v>
      </c>
      <c r="H3328" t="s">
        <v>92</v>
      </c>
      <c r="I3328" t="s">
        <v>135</v>
      </c>
      <c r="J3328" t="s">
        <v>94</v>
      </c>
      <c r="K3328">
        <v>5</v>
      </c>
      <c r="L3328">
        <v>24200</v>
      </c>
      <c r="M3328">
        <v>121000</v>
      </c>
      <c r="N3328" t="s">
        <v>95</v>
      </c>
      <c r="O3328" t="s">
        <v>104</v>
      </c>
    </row>
    <row r="3329" spans="1:15" x14ac:dyDescent="0.25">
      <c r="A3329">
        <v>870</v>
      </c>
      <c r="B3329" s="10">
        <v>45838</v>
      </c>
      <c r="C3329">
        <v>30</v>
      </c>
      <c r="D3329" t="s">
        <v>153</v>
      </c>
      <c r="E3329" t="s">
        <v>116</v>
      </c>
      <c r="F3329" t="s">
        <v>151</v>
      </c>
      <c r="G3329" t="s">
        <v>111</v>
      </c>
      <c r="H3329" t="s">
        <v>29</v>
      </c>
      <c r="I3329" t="s">
        <v>159</v>
      </c>
      <c r="J3329" t="s">
        <v>94</v>
      </c>
      <c r="K3329">
        <v>9</v>
      </c>
      <c r="L3329">
        <v>24200</v>
      </c>
      <c r="M3329">
        <v>217800</v>
      </c>
      <c r="N3329" t="s">
        <v>108</v>
      </c>
      <c r="O3329" t="s">
        <v>104</v>
      </c>
    </row>
    <row r="3330" spans="1:15" x14ac:dyDescent="0.25">
      <c r="A3330">
        <v>1384</v>
      </c>
      <c r="B3330" s="10">
        <v>45953</v>
      </c>
      <c r="C3330">
        <v>23</v>
      </c>
      <c r="D3330" t="s">
        <v>136</v>
      </c>
      <c r="E3330" t="s">
        <v>142</v>
      </c>
      <c r="F3330" t="s">
        <v>36</v>
      </c>
      <c r="G3330" t="s">
        <v>100</v>
      </c>
      <c r="H3330" t="s">
        <v>92</v>
      </c>
      <c r="I3330" t="s">
        <v>135</v>
      </c>
      <c r="J3330" t="s">
        <v>94</v>
      </c>
      <c r="K3330">
        <v>7</v>
      </c>
      <c r="L3330">
        <v>24200</v>
      </c>
      <c r="M3330">
        <v>169400</v>
      </c>
      <c r="N3330" t="s">
        <v>108</v>
      </c>
      <c r="O3330" t="s">
        <v>96</v>
      </c>
    </row>
    <row r="3331" spans="1:15" x14ac:dyDescent="0.25">
      <c r="A3331">
        <v>1556</v>
      </c>
      <c r="B3331" s="10">
        <v>45907</v>
      </c>
      <c r="C3331">
        <v>7</v>
      </c>
      <c r="D3331" t="s">
        <v>147</v>
      </c>
      <c r="E3331" t="s">
        <v>133</v>
      </c>
      <c r="F3331" t="s">
        <v>49</v>
      </c>
      <c r="G3331" t="s">
        <v>118</v>
      </c>
      <c r="H3331" t="s">
        <v>29</v>
      </c>
      <c r="I3331" t="s">
        <v>124</v>
      </c>
      <c r="J3331" t="s">
        <v>103</v>
      </c>
      <c r="K3331">
        <v>43</v>
      </c>
      <c r="L3331">
        <v>24200</v>
      </c>
      <c r="M3331">
        <v>1040600</v>
      </c>
      <c r="N3331" t="s">
        <v>95</v>
      </c>
      <c r="O3331" t="s">
        <v>104</v>
      </c>
    </row>
    <row r="3332" spans="1:15" x14ac:dyDescent="0.25">
      <c r="A3332">
        <v>1655</v>
      </c>
      <c r="B3332" s="10">
        <v>45992</v>
      </c>
      <c r="C3332">
        <v>1</v>
      </c>
      <c r="D3332" t="s">
        <v>125</v>
      </c>
      <c r="E3332" t="s">
        <v>138</v>
      </c>
      <c r="F3332" t="s">
        <v>134</v>
      </c>
      <c r="G3332" t="s">
        <v>100</v>
      </c>
      <c r="H3332" t="s">
        <v>29</v>
      </c>
      <c r="I3332" t="s">
        <v>124</v>
      </c>
      <c r="J3332" t="s">
        <v>103</v>
      </c>
      <c r="K3332">
        <v>29</v>
      </c>
      <c r="L3332">
        <v>24200</v>
      </c>
      <c r="M3332">
        <v>701800</v>
      </c>
      <c r="N3332" t="s">
        <v>108</v>
      </c>
      <c r="O3332" t="s">
        <v>104</v>
      </c>
    </row>
    <row r="3333" spans="1:15" x14ac:dyDescent="0.25">
      <c r="A3333">
        <v>2383</v>
      </c>
      <c r="B3333" s="10">
        <v>45903</v>
      </c>
      <c r="C3333">
        <v>3</v>
      </c>
      <c r="D3333" t="s">
        <v>147</v>
      </c>
      <c r="E3333" t="s">
        <v>121</v>
      </c>
      <c r="F3333" t="s">
        <v>28</v>
      </c>
      <c r="G3333" t="s">
        <v>126</v>
      </c>
      <c r="H3333" t="s">
        <v>29</v>
      </c>
      <c r="I3333" t="s">
        <v>124</v>
      </c>
      <c r="J3333" t="s">
        <v>103</v>
      </c>
      <c r="K3333">
        <v>32</v>
      </c>
      <c r="L3333">
        <v>24200</v>
      </c>
      <c r="M3333">
        <v>774400</v>
      </c>
      <c r="N3333" t="s">
        <v>95</v>
      </c>
      <c r="O3333" t="s">
        <v>104</v>
      </c>
    </row>
    <row r="3334" spans="1:15" x14ac:dyDescent="0.25">
      <c r="A3334">
        <v>2516</v>
      </c>
      <c r="B3334" s="10">
        <v>45893</v>
      </c>
      <c r="C3334">
        <v>24</v>
      </c>
      <c r="D3334" t="s">
        <v>109</v>
      </c>
      <c r="E3334" t="s">
        <v>138</v>
      </c>
      <c r="F3334" t="s">
        <v>49</v>
      </c>
      <c r="G3334" t="s">
        <v>118</v>
      </c>
      <c r="H3334" t="s">
        <v>29</v>
      </c>
      <c r="I3334" t="s">
        <v>124</v>
      </c>
      <c r="J3334" t="s">
        <v>103</v>
      </c>
      <c r="K3334">
        <v>16</v>
      </c>
      <c r="L3334">
        <v>24200</v>
      </c>
      <c r="M3334">
        <v>387200</v>
      </c>
      <c r="N3334" t="s">
        <v>95</v>
      </c>
      <c r="O3334" t="s">
        <v>96</v>
      </c>
    </row>
    <row r="3335" spans="1:15" x14ac:dyDescent="0.25">
      <c r="A3335">
        <v>4000</v>
      </c>
      <c r="B3335" s="10">
        <v>45898</v>
      </c>
      <c r="C3335">
        <v>29</v>
      </c>
      <c r="D3335" t="s">
        <v>109</v>
      </c>
      <c r="E3335" t="s">
        <v>137</v>
      </c>
      <c r="F3335" t="s">
        <v>99</v>
      </c>
      <c r="G3335" t="s">
        <v>100</v>
      </c>
      <c r="H3335" t="s">
        <v>29</v>
      </c>
      <c r="I3335" t="s">
        <v>124</v>
      </c>
      <c r="J3335" t="s">
        <v>103</v>
      </c>
      <c r="K3335">
        <v>17</v>
      </c>
      <c r="L3335">
        <v>24200</v>
      </c>
      <c r="M3335">
        <v>411400</v>
      </c>
      <c r="N3335" t="s">
        <v>95</v>
      </c>
      <c r="O3335" t="s">
        <v>96</v>
      </c>
    </row>
    <row r="3336" spans="1:15" x14ac:dyDescent="0.25">
      <c r="A3336">
        <v>4219</v>
      </c>
      <c r="B3336" s="10">
        <v>45915</v>
      </c>
      <c r="C3336">
        <v>15</v>
      </c>
      <c r="D3336" t="s">
        <v>147</v>
      </c>
      <c r="E3336" t="s">
        <v>110</v>
      </c>
      <c r="F3336" t="s">
        <v>113</v>
      </c>
      <c r="G3336" t="s">
        <v>114</v>
      </c>
      <c r="H3336" t="s">
        <v>29</v>
      </c>
      <c r="I3336" t="s">
        <v>124</v>
      </c>
      <c r="J3336" t="s">
        <v>103</v>
      </c>
      <c r="K3336">
        <v>31</v>
      </c>
      <c r="L3336">
        <v>24200</v>
      </c>
      <c r="M3336">
        <v>750200</v>
      </c>
      <c r="N3336" t="s">
        <v>95</v>
      </c>
      <c r="O3336" t="s">
        <v>96</v>
      </c>
    </row>
    <row r="3337" spans="1:15" x14ac:dyDescent="0.25">
      <c r="A3337">
        <v>455</v>
      </c>
      <c r="B3337" s="10">
        <v>45925</v>
      </c>
      <c r="C3337">
        <v>25</v>
      </c>
      <c r="D3337" t="s">
        <v>147</v>
      </c>
      <c r="E3337" t="s">
        <v>142</v>
      </c>
      <c r="F3337" t="s">
        <v>107</v>
      </c>
      <c r="G3337" t="s">
        <v>100</v>
      </c>
      <c r="H3337" t="s">
        <v>92</v>
      </c>
      <c r="I3337" t="s">
        <v>135</v>
      </c>
      <c r="J3337" t="s">
        <v>94</v>
      </c>
      <c r="K3337">
        <v>8</v>
      </c>
      <c r="L3337">
        <v>24300</v>
      </c>
      <c r="M3337">
        <v>194400</v>
      </c>
      <c r="N3337" t="s">
        <v>108</v>
      </c>
      <c r="O3337" t="s">
        <v>104</v>
      </c>
    </row>
    <row r="3338" spans="1:15" x14ac:dyDescent="0.25">
      <c r="A3338">
        <v>1196</v>
      </c>
      <c r="B3338" s="10">
        <v>45751</v>
      </c>
      <c r="C3338">
        <v>4</v>
      </c>
      <c r="D3338" t="s">
        <v>105</v>
      </c>
      <c r="E3338" t="s">
        <v>112</v>
      </c>
      <c r="F3338" t="s">
        <v>117</v>
      </c>
      <c r="G3338" t="s">
        <v>118</v>
      </c>
      <c r="H3338" t="s">
        <v>29</v>
      </c>
      <c r="I3338" t="s">
        <v>124</v>
      </c>
      <c r="J3338" t="s">
        <v>103</v>
      </c>
      <c r="K3338">
        <v>33</v>
      </c>
      <c r="L3338">
        <v>24300</v>
      </c>
      <c r="M3338">
        <v>801900</v>
      </c>
      <c r="N3338" t="s">
        <v>95</v>
      </c>
      <c r="O3338" t="s">
        <v>96</v>
      </c>
    </row>
    <row r="3339" spans="1:15" x14ac:dyDescent="0.25">
      <c r="A3339">
        <v>1877</v>
      </c>
      <c r="B3339" s="10">
        <v>45844</v>
      </c>
      <c r="C3339">
        <v>6</v>
      </c>
      <c r="D3339" t="s">
        <v>145</v>
      </c>
      <c r="E3339" t="s">
        <v>150</v>
      </c>
      <c r="F3339" t="s">
        <v>113</v>
      </c>
      <c r="G3339" t="s">
        <v>114</v>
      </c>
      <c r="H3339" t="s">
        <v>92</v>
      </c>
      <c r="I3339" t="s">
        <v>135</v>
      </c>
      <c r="J3339" t="s">
        <v>94</v>
      </c>
      <c r="K3339">
        <v>9</v>
      </c>
      <c r="L3339">
        <v>24300</v>
      </c>
      <c r="M3339">
        <v>218700</v>
      </c>
      <c r="N3339" t="s">
        <v>95</v>
      </c>
      <c r="O3339" t="s">
        <v>104</v>
      </c>
    </row>
    <row r="3340" spans="1:15" x14ac:dyDescent="0.25">
      <c r="A3340">
        <v>2847</v>
      </c>
      <c r="B3340" s="10">
        <v>45788</v>
      </c>
      <c r="C3340">
        <v>11</v>
      </c>
      <c r="D3340" t="s">
        <v>120</v>
      </c>
      <c r="E3340" t="s">
        <v>116</v>
      </c>
      <c r="F3340" t="s">
        <v>28</v>
      </c>
      <c r="G3340" t="s">
        <v>126</v>
      </c>
      <c r="H3340" t="s">
        <v>92</v>
      </c>
      <c r="I3340" t="s">
        <v>135</v>
      </c>
      <c r="J3340" t="s">
        <v>94</v>
      </c>
      <c r="K3340">
        <v>1</v>
      </c>
      <c r="L3340">
        <v>24300</v>
      </c>
      <c r="M3340">
        <v>24300</v>
      </c>
      <c r="N3340" t="s">
        <v>95</v>
      </c>
      <c r="O3340" t="s">
        <v>96</v>
      </c>
    </row>
    <row r="3341" spans="1:15" x14ac:dyDescent="0.25">
      <c r="A3341">
        <v>3551</v>
      </c>
      <c r="B3341" s="10">
        <v>45683</v>
      </c>
      <c r="C3341">
        <v>26</v>
      </c>
      <c r="D3341" t="s">
        <v>130</v>
      </c>
      <c r="E3341" t="s">
        <v>31</v>
      </c>
      <c r="F3341" t="s">
        <v>44</v>
      </c>
      <c r="G3341" t="s">
        <v>111</v>
      </c>
      <c r="H3341" t="s">
        <v>92</v>
      </c>
      <c r="I3341" t="s">
        <v>135</v>
      </c>
      <c r="J3341" t="s">
        <v>94</v>
      </c>
      <c r="K3341">
        <v>6</v>
      </c>
      <c r="L3341">
        <v>24300</v>
      </c>
      <c r="M3341">
        <v>145800</v>
      </c>
      <c r="N3341" t="s">
        <v>95</v>
      </c>
      <c r="O3341" t="s">
        <v>96</v>
      </c>
    </row>
    <row r="3342" spans="1:15" x14ac:dyDescent="0.25">
      <c r="A3342">
        <v>3948</v>
      </c>
      <c r="B3342" s="10">
        <v>45868</v>
      </c>
      <c r="C3342">
        <v>30</v>
      </c>
      <c r="D3342" t="s">
        <v>145</v>
      </c>
      <c r="E3342" t="s">
        <v>112</v>
      </c>
      <c r="F3342" t="s">
        <v>44</v>
      </c>
      <c r="G3342" t="s">
        <v>111</v>
      </c>
      <c r="H3342" t="s">
        <v>29</v>
      </c>
      <c r="I3342" t="s">
        <v>124</v>
      </c>
      <c r="J3342" t="s">
        <v>103</v>
      </c>
      <c r="K3342">
        <v>6</v>
      </c>
      <c r="L3342">
        <v>24300</v>
      </c>
      <c r="M3342">
        <v>145800</v>
      </c>
      <c r="N3342" t="s">
        <v>108</v>
      </c>
      <c r="O3342" t="s">
        <v>96</v>
      </c>
    </row>
    <row r="3343" spans="1:15" x14ac:dyDescent="0.25">
      <c r="A3343">
        <v>1018</v>
      </c>
      <c r="B3343" s="10">
        <v>46011</v>
      </c>
      <c r="C3343">
        <v>20</v>
      </c>
      <c r="D3343" t="s">
        <v>125</v>
      </c>
      <c r="E3343" t="s">
        <v>161</v>
      </c>
      <c r="F3343" t="s">
        <v>28</v>
      </c>
      <c r="G3343" t="s">
        <v>126</v>
      </c>
      <c r="H3343" t="s">
        <v>92</v>
      </c>
      <c r="I3343" t="s">
        <v>135</v>
      </c>
      <c r="J3343" t="s">
        <v>94</v>
      </c>
      <c r="K3343">
        <v>3</v>
      </c>
      <c r="L3343">
        <v>24400</v>
      </c>
      <c r="M3343">
        <v>73200</v>
      </c>
      <c r="N3343" t="s">
        <v>95</v>
      </c>
      <c r="O3343" t="s">
        <v>104</v>
      </c>
    </row>
    <row r="3344" spans="1:15" x14ac:dyDescent="0.25">
      <c r="A3344">
        <v>4157</v>
      </c>
      <c r="B3344" s="10">
        <v>45717</v>
      </c>
      <c r="C3344">
        <v>1</v>
      </c>
      <c r="D3344" t="s">
        <v>140</v>
      </c>
      <c r="E3344" t="s">
        <v>128</v>
      </c>
      <c r="F3344" t="s">
        <v>113</v>
      </c>
      <c r="G3344" t="s">
        <v>114</v>
      </c>
      <c r="H3344" t="s">
        <v>29</v>
      </c>
      <c r="I3344" t="s">
        <v>124</v>
      </c>
      <c r="J3344" t="s">
        <v>103</v>
      </c>
      <c r="K3344">
        <v>37</v>
      </c>
      <c r="L3344">
        <v>24400</v>
      </c>
      <c r="M3344">
        <v>902800</v>
      </c>
      <c r="N3344" t="s">
        <v>108</v>
      </c>
      <c r="O3344" t="s">
        <v>104</v>
      </c>
    </row>
    <row r="3345" spans="1:15" x14ac:dyDescent="0.25">
      <c r="A3345">
        <v>4637</v>
      </c>
      <c r="B3345" s="10">
        <v>45838</v>
      </c>
      <c r="C3345">
        <v>30</v>
      </c>
      <c r="D3345" t="s">
        <v>153</v>
      </c>
      <c r="E3345" t="s">
        <v>110</v>
      </c>
      <c r="F3345" t="s">
        <v>99</v>
      </c>
      <c r="G3345" t="s">
        <v>100</v>
      </c>
      <c r="H3345" t="s">
        <v>29</v>
      </c>
      <c r="I3345" t="s">
        <v>124</v>
      </c>
      <c r="J3345" t="s">
        <v>103</v>
      </c>
      <c r="K3345">
        <v>37</v>
      </c>
      <c r="L3345">
        <v>24400</v>
      </c>
      <c r="M3345">
        <v>902800</v>
      </c>
      <c r="N3345" t="s">
        <v>95</v>
      </c>
      <c r="O3345" t="s">
        <v>104</v>
      </c>
    </row>
    <row r="3346" spans="1:15" x14ac:dyDescent="0.25">
      <c r="A3346">
        <v>4728</v>
      </c>
      <c r="B3346" s="10">
        <v>45671</v>
      </c>
      <c r="C3346">
        <v>14</v>
      </c>
      <c r="D3346" t="s">
        <v>130</v>
      </c>
      <c r="E3346" t="s">
        <v>112</v>
      </c>
      <c r="F3346" t="s">
        <v>36</v>
      </c>
      <c r="G3346" t="s">
        <v>100</v>
      </c>
      <c r="H3346" t="s">
        <v>92</v>
      </c>
      <c r="I3346" t="s">
        <v>135</v>
      </c>
      <c r="J3346" t="s">
        <v>94</v>
      </c>
      <c r="K3346">
        <v>2</v>
      </c>
      <c r="L3346">
        <v>24400</v>
      </c>
      <c r="M3346">
        <v>48800</v>
      </c>
      <c r="N3346" t="s">
        <v>108</v>
      </c>
      <c r="O3346" t="s">
        <v>96</v>
      </c>
    </row>
    <row r="3347" spans="1:15" x14ac:dyDescent="0.25">
      <c r="A3347">
        <v>4741</v>
      </c>
      <c r="B3347" s="10">
        <v>45913</v>
      </c>
      <c r="C3347">
        <v>13</v>
      </c>
      <c r="D3347" t="s">
        <v>147</v>
      </c>
      <c r="E3347" t="s">
        <v>133</v>
      </c>
      <c r="F3347" t="s">
        <v>148</v>
      </c>
      <c r="G3347" t="s">
        <v>118</v>
      </c>
      <c r="H3347" t="s">
        <v>29</v>
      </c>
      <c r="I3347" t="s">
        <v>124</v>
      </c>
      <c r="J3347" t="s">
        <v>103</v>
      </c>
      <c r="K3347">
        <v>46</v>
      </c>
      <c r="L3347">
        <v>24400</v>
      </c>
      <c r="M3347">
        <v>1122400</v>
      </c>
      <c r="N3347" t="s">
        <v>108</v>
      </c>
      <c r="O3347" t="s">
        <v>104</v>
      </c>
    </row>
    <row r="3348" spans="1:15" x14ac:dyDescent="0.25">
      <c r="A3348">
        <v>102</v>
      </c>
      <c r="B3348" s="10">
        <v>45805</v>
      </c>
      <c r="C3348">
        <v>28</v>
      </c>
      <c r="D3348" t="s">
        <v>120</v>
      </c>
      <c r="E3348" t="s">
        <v>161</v>
      </c>
      <c r="F3348" t="s">
        <v>44</v>
      </c>
      <c r="G3348" t="s">
        <v>111</v>
      </c>
      <c r="H3348" t="s">
        <v>92</v>
      </c>
      <c r="I3348" t="s">
        <v>135</v>
      </c>
      <c r="J3348" t="s">
        <v>94</v>
      </c>
      <c r="K3348">
        <v>4</v>
      </c>
      <c r="L3348">
        <v>24500</v>
      </c>
      <c r="M3348">
        <v>98000</v>
      </c>
      <c r="N3348" t="s">
        <v>108</v>
      </c>
      <c r="O3348" t="s">
        <v>96</v>
      </c>
    </row>
    <row r="3349" spans="1:15" x14ac:dyDescent="0.25">
      <c r="A3349">
        <v>706</v>
      </c>
      <c r="B3349" s="10">
        <v>45942</v>
      </c>
      <c r="C3349">
        <v>12</v>
      </c>
      <c r="D3349" t="s">
        <v>136</v>
      </c>
      <c r="E3349" t="s">
        <v>116</v>
      </c>
      <c r="F3349" t="s">
        <v>49</v>
      </c>
      <c r="G3349" t="s">
        <v>118</v>
      </c>
      <c r="H3349" t="s">
        <v>29</v>
      </c>
      <c r="I3349" t="s">
        <v>124</v>
      </c>
      <c r="J3349" t="s">
        <v>103</v>
      </c>
      <c r="K3349">
        <v>47</v>
      </c>
      <c r="L3349">
        <v>24500</v>
      </c>
      <c r="M3349">
        <v>1151500</v>
      </c>
      <c r="N3349" t="s">
        <v>95</v>
      </c>
      <c r="O3349" t="s">
        <v>104</v>
      </c>
    </row>
    <row r="3350" spans="1:15" x14ac:dyDescent="0.25">
      <c r="A3350">
        <v>1942</v>
      </c>
      <c r="B3350" s="10">
        <v>45730</v>
      </c>
      <c r="C3350">
        <v>14</v>
      </c>
      <c r="D3350" t="s">
        <v>140</v>
      </c>
      <c r="E3350" t="s">
        <v>150</v>
      </c>
      <c r="F3350" t="s">
        <v>141</v>
      </c>
      <c r="G3350" t="s">
        <v>100</v>
      </c>
      <c r="H3350" t="s">
        <v>92</v>
      </c>
      <c r="I3350" t="s">
        <v>135</v>
      </c>
      <c r="J3350" t="s">
        <v>94</v>
      </c>
      <c r="K3350">
        <v>7</v>
      </c>
      <c r="L3350">
        <v>24500</v>
      </c>
      <c r="M3350">
        <v>171500</v>
      </c>
      <c r="N3350" t="s">
        <v>108</v>
      </c>
      <c r="O3350" t="s">
        <v>115</v>
      </c>
    </row>
    <row r="3351" spans="1:15" x14ac:dyDescent="0.25">
      <c r="A3351">
        <v>2427</v>
      </c>
      <c r="B3351" s="10">
        <v>45915</v>
      </c>
      <c r="C3351">
        <v>15</v>
      </c>
      <c r="D3351" t="s">
        <v>147</v>
      </c>
      <c r="E3351" t="s">
        <v>110</v>
      </c>
      <c r="F3351" t="s">
        <v>117</v>
      </c>
      <c r="G3351" t="s">
        <v>118</v>
      </c>
      <c r="H3351" t="s">
        <v>29</v>
      </c>
      <c r="I3351" t="s">
        <v>124</v>
      </c>
      <c r="J3351" t="s">
        <v>103</v>
      </c>
      <c r="K3351">
        <v>39</v>
      </c>
      <c r="L3351">
        <v>24500</v>
      </c>
      <c r="M3351">
        <v>955500</v>
      </c>
      <c r="N3351" t="s">
        <v>95</v>
      </c>
      <c r="O3351" t="s">
        <v>96</v>
      </c>
    </row>
    <row r="3352" spans="1:15" x14ac:dyDescent="0.25">
      <c r="A3352">
        <v>3334</v>
      </c>
      <c r="B3352" s="10">
        <v>45690</v>
      </c>
      <c r="C3352">
        <v>2</v>
      </c>
      <c r="D3352" t="s">
        <v>97</v>
      </c>
      <c r="E3352" t="s">
        <v>161</v>
      </c>
      <c r="F3352" t="s">
        <v>99</v>
      </c>
      <c r="G3352" t="s">
        <v>100</v>
      </c>
      <c r="H3352" t="s">
        <v>29</v>
      </c>
      <c r="I3352" t="s">
        <v>124</v>
      </c>
      <c r="J3352" t="s">
        <v>103</v>
      </c>
      <c r="K3352">
        <v>48</v>
      </c>
      <c r="L3352">
        <v>24500</v>
      </c>
      <c r="M3352">
        <v>1176000</v>
      </c>
      <c r="N3352" t="s">
        <v>108</v>
      </c>
      <c r="O3352" t="s">
        <v>96</v>
      </c>
    </row>
    <row r="3353" spans="1:15" x14ac:dyDescent="0.25">
      <c r="A3353">
        <v>3858</v>
      </c>
      <c r="B3353" s="10">
        <v>45787</v>
      </c>
      <c r="C3353">
        <v>10</v>
      </c>
      <c r="D3353" t="s">
        <v>120</v>
      </c>
      <c r="E3353" t="s">
        <v>133</v>
      </c>
      <c r="F3353" t="s">
        <v>151</v>
      </c>
      <c r="G3353" t="s">
        <v>111</v>
      </c>
      <c r="H3353" t="s">
        <v>29</v>
      </c>
      <c r="I3353" t="s">
        <v>124</v>
      </c>
      <c r="J3353" t="s">
        <v>103</v>
      </c>
      <c r="K3353">
        <v>20</v>
      </c>
      <c r="L3353">
        <v>24500</v>
      </c>
      <c r="M3353">
        <v>490000</v>
      </c>
      <c r="N3353" t="s">
        <v>95</v>
      </c>
      <c r="O3353" t="s">
        <v>96</v>
      </c>
    </row>
    <row r="3354" spans="1:15" x14ac:dyDescent="0.25">
      <c r="A3354">
        <v>3918</v>
      </c>
      <c r="B3354" s="10">
        <v>45951</v>
      </c>
      <c r="C3354">
        <v>21</v>
      </c>
      <c r="D3354" t="s">
        <v>136</v>
      </c>
      <c r="E3354" t="s">
        <v>116</v>
      </c>
      <c r="F3354" t="s">
        <v>28</v>
      </c>
      <c r="G3354" t="s">
        <v>126</v>
      </c>
      <c r="H3354" t="s">
        <v>29</v>
      </c>
      <c r="I3354" t="s">
        <v>124</v>
      </c>
      <c r="J3354" t="s">
        <v>103</v>
      </c>
      <c r="K3354">
        <v>5</v>
      </c>
      <c r="L3354">
        <v>24500</v>
      </c>
      <c r="M3354">
        <v>122500</v>
      </c>
      <c r="N3354" t="s">
        <v>108</v>
      </c>
      <c r="O3354" t="s">
        <v>104</v>
      </c>
    </row>
    <row r="3355" spans="1:15" x14ac:dyDescent="0.25">
      <c r="A3355">
        <v>4290</v>
      </c>
      <c r="B3355" s="10">
        <v>45998</v>
      </c>
      <c r="C3355">
        <v>7</v>
      </c>
      <c r="D3355" t="s">
        <v>125</v>
      </c>
      <c r="E3355" t="s">
        <v>137</v>
      </c>
      <c r="F3355" t="s">
        <v>49</v>
      </c>
      <c r="G3355" t="s">
        <v>118</v>
      </c>
      <c r="H3355" t="s">
        <v>29</v>
      </c>
      <c r="I3355" t="s">
        <v>124</v>
      </c>
      <c r="J3355" t="s">
        <v>103</v>
      </c>
      <c r="K3355">
        <v>45</v>
      </c>
      <c r="L3355">
        <v>24500</v>
      </c>
      <c r="M3355">
        <v>1102500</v>
      </c>
      <c r="N3355" t="s">
        <v>108</v>
      </c>
      <c r="O3355" t="s">
        <v>115</v>
      </c>
    </row>
    <row r="3356" spans="1:15" x14ac:dyDescent="0.25">
      <c r="A3356">
        <v>888</v>
      </c>
      <c r="B3356" s="10">
        <v>45813</v>
      </c>
      <c r="C3356">
        <v>5</v>
      </c>
      <c r="D3356" t="s">
        <v>153</v>
      </c>
      <c r="E3356" t="s">
        <v>133</v>
      </c>
      <c r="F3356" t="s">
        <v>107</v>
      </c>
      <c r="G3356" t="s">
        <v>100</v>
      </c>
      <c r="H3356" t="s">
        <v>92</v>
      </c>
      <c r="I3356" t="s">
        <v>135</v>
      </c>
      <c r="J3356" t="s">
        <v>94</v>
      </c>
      <c r="K3356">
        <v>1</v>
      </c>
      <c r="L3356">
        <v>24600</v>
      </c>
      <c r="M3356">
        <v>24600</v>
      </c>
      <c r="N3356" t="s">
        <v>95</v>
      </c>
      <c r="O3356" t="s">
        <v>104</v>
      </c>
    </row>
    <row r="3357" spans="1:15" x14ac:dyDescent="0.25">
      <c r="A3357">
        <v>943</v>
      </c>
      <c r="B3357" s="10">
        <v>45894</v>
      </c>
      <c r="C3357">
        <v>25</v>
      </c>
      <c r="D3357" t="s">
        <v>109</v>
      </c>
      <c r="E3357" t="s">
        <v>138</v>
      </c>
      <c r="F3357" t="s">
        <v>49</v>
      </c>
      <c r="G3357" t="s">
        <v>118</v>
      </c>
      <c r="H3357" t="s">
        <v>29</v>
      </c>
      <c r="I3357" t="s">
        <v>124</v>
      </c>
      <c r="J3357" t="s">
        <v>103</v>
      </c>
      <c r="K3357">
        <v>31</v>
      </c>
      <c r="L3357">
        <v>24600</v>
      </c>
      <c r="M3357">
        <v>762600</v>
      </c>
      <c r="N3357" t="s">
        <v>108</v>
      </c>
      <c r="O3357" t="s">
        <v>104</v>
      </c>
    </row>
    <row r="3358" spans="1:15" x14ac:dyDescent="0.25">
      <c r="A3358">
        <v>2019</v>
      </c>
      <c r="B3358" s="10">
        <v>45805</v>
      </c>
      <c r="C3358">
        <v>28</v>
      </c>
      <c r="D3358" t="s">
        <v>120</v>
      </c>
      <c r="E3358" t="s">
        <v>110</v>
      </c>
      <c r="F3358" t="s">
        <v>107</v>
      </c>
      <c r="G3358" t="s">
        <v>100</v>
      </c>
      <c r="H3358" t="s">
        <v>29</v>
      </c>
      <c r="I3358" t="s">
        <v>124</v>
      </c>
      <c r="J3358" t="s">
        <v>103</v>
      </c>
      <c r="K3358">
        <v>20</v>
      </c>
      <c r="L3358">
        <v>24600</v>
      </c>
      <c r="M3358">
        <v>492000</v>
      </c>
      <c r="N3358" t="s">
        <v>95</v>
      </c>
      <c r="O3358" t="s">
        <v>115</v>
      </c>
    </row>
    <row r="3359" spans="1:15" x14ac:dyDescent="0.25">
      <c r="A3359">
        <v>216</v>
      </c>
      <c r="B3359" s="10">
        <v>45676</v>
      </c>
      <c r="C3359">
        <v>19</v>
      </c>
      <c r="D3359" t="s">
        <v>130</v>
      </c>
      <c r="E3359" t="s">
        <v>112</v>
      </c>
      <c r="F3359" t="s">
        <v>122</v>
      </c>
      <c r="G3359" t="s">
        <v>114</v>
      </c>
      <c r="H3359" t="s">
        <v>29</v>
      </c>
      <c r="I3359" t="s">
        <v>124</v>
      </c>
      <c r="J3359" t="s">
        <v>103</v>
      </c>
      <c r="K3359">
        <v>8</v>
      </c>
      <c r="L3359">
        <v>24700</v>
      </c>
      <c r="M3359">
        <v>197600</v>
      </c>
      <c r="N3359" t="s">
        <v>108</v>
      </c>
      <c r="O3359" t="s">
        <v>115</v>
      </c>
    </row>
    <row r="3360" spans="1:15" x14ac:dyDescent="0.25">
      <c r="A3360">
        <v>597</v>
      </c>
      <c r="B3360" s="10">
        <v>45815</v>
      </c>
      <c r="C3360">
        <v>7</v>
      </c>
      <c r="D3360" t="s">
        <v>153</v>
      </c>
      <c r="E3360" t="s">
        <v>110</v>
      </c>
      <c r="F3360" t="s">
        <v>113</v>
      </c>
      <c r="G3360" t="s">
        <v>114</v>
      </c>
      <c r="H3360" t="s">
        <v>92</v>
      </c>
      <c r="I3360" t="s">
        <v>135</v>
      </c>
      <c r="J3360" t="s">
        <v>94</v>
      </c>
      <c r="K3360">
        <v>2</v>
      </c>
      <c r="L3360">
        <v>24700</v>
      </c>
      <c r="M3360">
        <v>49400</v>
      </c>
      <c r="N3360" t="s">
        <v>95</v>
      </c>
      <c r="O3360" t="s">
        <v>115</v>
      </c>
    </row>
    <row r="3361" spans="1:15" x14ac:dyDescent="0.25">
      <c r="A3361">
        <v>1501</v>
      </c>
      <c r="B3361" s="10">
        <v>45676</v>
      </c>
      <c r="C3361">
        <v>19</v>
      </c>
      <c r="D3361" t="s">
        <v>130</v>
      </c>
      <c r="E3361" t="s">
        <v>133</v>
      </c>
      <c r="F3361" t="s">
        <v>107</v>
      </c>
      <c r="G3361" t="s">
        <v>100</v>
      </c>
      <c r="H3361" t="s">
        <v>29</v>
      </c>
      <c r="I3361" t="s">
        <v>124</v>
      </c>
      <c r="J3361" t="s">
        <v>103</v>
      </c>
      <c r="K3361">
        <v>35</v>
      </c>
      <c r="L3361">
        <v>24700</v>
      </c>
      <c r="M3361">
        <v>864500</v>
      </c>
      <c r="N3361" t="s">
        <v>108</v>
      </c>
      <c r="O3361" t="s">
        <v>104</v>
      </c>
    </row>
    <row r="3362" spans="1:15" x14ac:dyDescent="0.25">
      <c r="A3362">
        <v>1690</v>
      </c>
      <c r="B3362" s="10">
        <v>45785</v>
      </c>
      <c r="C3362">
        <v>8</v>
      </c>
      <c r="D3362" t="s">
        <v>120</v>
      </c>
      <c r="E3362" t="s">
        <v>138</v>
      </c>
      <c r="F3362" t="s">
        <v>148</v>
      </c>
      <c r="G3362" t="s">
        <v>118</v>
      </c>
      <c r="H3362" t="s">
        <v>92</v>
      </c>
      <c r="I3362" t="s">
        <v>135</v>
      </c>
      <c r="J3362" t="s">
        <v>94</v>
      </c>
      <c r="K3362">
        <v>6</v>
      </c>
      <c r="L3362">
        <v>24700</v>
      </c>
      <c r="M3362">
        <v>148200</v>
      </c>
      <c r="N3362" t="s">
        <v>95</v>
      </c>
      <c r="O3362" t="s">
        <v>96</v>
      </c>
    </row>
    <row r="3363" spans="1:15" x14ac:dyDescent="0.25">
      <c r="A3363">
        <v>1897</v>
      </c>
      <c r="B3363" s="10">
        <v>45830</v>
      </c>
      <c r="C3363">
        <v>22</v>
      </c>
      <c r="D3363" t="s">
        <v>153</v>
      </c>
      <c r="E3363" t="s">
        <v>25</v>
      </c>
      <c r="F3363" t="s">
        <v>44</v>
      </c>
      <c r="G3363" t="s">
        <v>111</v>
      </c>
      <c r="H3363" t="s">
        <v>92</v>
      </c>
      <c r="I3363" t="s">
        <v>135</v>
      </c>
      <c r="J3363" t="s">
        <v>94</v>
      </c>
      <c r="K3363">
        <v>6</v>
      </c>
      <c r="L3363">
        <v>24700</v>
      </c>
      <c r="M3363">
        <v>148200</v>
      </c>
      <c r="N3363" t="s">
        <v>95</v>
      </c>
      <c r="O3363" t="s">
        <v>104</v>
      </c>
    </row>
    <row r="3364" spans="1:15" x14ac:dyDescent="0.25">
      <c r="A3364">
        <v>3040</v>
      </c>
      <c r="B3364" s="10">
        <v>45679</v>
      </c>
      <c r="C3364">
        <v>22</v>
      </c>
      <c r="D3364" t="s">
        <v>130</v>
      </c>
      <c r="E3364" t="s">
        <v>142</v>
      </c>
      <c r="F3364" t="s">
        <v>151</v>
      </c>
      <c r="G3364" t="s">
        <v>111</v>
      </c>
      <c r="H3364" t="s">
        <v>92</v>
      </c>
      <c r="I3364" t="s">
        <v>135</v>
      </c>
      <c r="J3364" t="s">
        <v>94</v>
      </c>
      <c r="K3364">
        <v>4</v>
      </c>
      <c r="L3364">
        <v>24700</v>
      </c>
      <c r="M3364">
        <v>98800</v>
      </c>
      <c r="N3364" t="s">
        <v>95</v>
      </c>
      <c r="O3364" t="s">
        <v>104</v>
      </c>
    </row>
    <row r="3365" spans="1:15" x14ac:dyDescent="0.25">
      <c r="A3365">
        <v>4535</v>
      </c>
      <c r="B3365" s="10">
        <v>45843</v>
      </c>
      <c r="C3365">
        <v>5</v>
      </c>
      <c r="D3365" t="s">
        <v>145</v>
      </c>
      <c r="E3365" t="s">
        <v>106</v>
      </c>
      <c r="F3365" t="s">
        <v>49</v>
      </c>
      <c r="G3365" t="s">
        <v>118</v>
      </c>
      <c r="H3365" t="s">
        <v>29</v>
      </c>
      <c r="I3365" t="s">
        <v>124</v>
      </c>
      <c r="J3365" t="s">
        <v>103</v>
      </c>
      <c r="K3365">
        <v>15</v>
      </c>
      <c r="L3365">
        <v>24700</v>
      </c>
      <c r="M3365">
        <v>370500</v>
      </c>
      <c r="N3365" t="s">
        <v>108</v>
      </c>
      <c r="O3365" t="s">
        <v>96</v>
      </c>
    </row>
    <row r="3366" spans="1:15" x14ac:dyDescent="0.25">
      <c r="A3366">
        <v>4576</v>
      </c>
      <c r="B3366" s="10">
        <v>45978</v>
      </c>
      <c r="C3366">
        <v>17</v>
      </c>
      <c r="D3366" t="s">
        <v>90</v>
      </c>
      <c r="E3366" t="s">
        <v>112</v>
      </c>
      <c r="F3366" t="s">
        <v>36</v>
      </c>
      <c r="G3366" t="s">
        <v>100</v>
      </c>
      <c r="H3366" t="s">
        <v>92</v>
      </c>
      <c r="I3366" t="s">
        <v>135</v>
      </c>
      <c r="J3366" t="s">
        <v>94</v>
      </c>
      <c r="K3366">
        <v>10</v>
      </c>
      <c r="L3366">
        <v>24700</v>
      </c>
      <c r="M3366">
        <v>247000</v>
      </c>
      <c r="N3366" t="s">
        <v>108</v>
      </c>
      <c r="O3366" t="s">
        <v>96</v>
      </c>
    </row>
    <row r="3367" spans="1:15" x14ac:dyDescent="0.25">
      <c r="A3367">
        <v>2949</v>
      </c>
      <c r="B3367" s="10">
        <v>45781</v>
      </c>
      <c r="C3367">
        <v>4</v>
      </c>
      <c r="D3367" t="s">
        <v>120</v>
      </c>
      <c r="E3367" t="s">
        <v>31</v>
      </c>
      <c r="F3367" t="s">
        <v>117</v>
      </c>
      <c r="G3367" t="s">
        <v>118</v>
      </c>
      <c r="H3367" t="s">
        <v>92</v>
      </c>
      <c r="I3367" t="s">
        <v>135</v>
      </c>
      <c r="J3367" t="s">
        <v>94</v>
      </c>
      <c r="K3367">
        <v>10</v>
      </c>
      <c r="L3367">
        <v>24800</v>
      </c>
      <c r="M3367">
        <v>248000</v>
      </c>
      <c r="N3367" t="s">
        <v>108</v>
      </c>
      <c r="O3367" t="s">
        <v>96</v>
      </c>
    </row>
    <row r="3368" spans="1:15" x14ac:dyDescent="0.25">
      <c r="A3368">
        <v>3797</v>
      </c>
      <c r="B3368" s="10">
        <v>45913</v>
      </c>
      <c r="C3368">
        <v>13</v>
      </c>
      <c r="D3368" t="s">
        <v>147</v>
      </c>
      <c r="E3368" t="s">
        <v>150</v>
      </c>
      <c r="F3368" t="s">
        <v>144</v>
      </c>
      <c r="G3368" t="s">
        <v>91</v>
      </c>
      <c r="H3368" t="s">
        <v>92</v>
      </c>
      <c r="I3368" t="s">
        <v>135</v>
      </c>
      <c r="J3368" t="s">
        <v>94</v>
      </c>
      <c r="K3368">
        <v>7</v>
      </c>
      <c r="L3368">
        <v>24800</v>
      </c>
      <c r="M3368">
        <v>173600</v>
      </c>
      <c r="N3368" t="s">
        <v>108</v>
      </c>
      <c r="O3368" t="s">
        <v>104</v>
      </c>
    </row>
    <row r="3369" spans="1:15" x14ac:dyDescent="0.25">
      <c r="A3369">
        <v>3371</v>
      </c>
      <c r="B3369" s="10">
        <v>45938</v>
      </c>
      <c r="C3369">
        <v>8</v>
      </c>
      <c r="D3369" t="s">
        <v>136</v>
      </c>
      <c r="E3369" t="s">
        <v>150</v>
      </c>
      <c r="F3369" t="s">
        <v>107</v>
      </c>
      <c r="G3369" t="s">
        <v>100</v>
      </c>
      <c r="H3369" t="s">
        <v>92</v>
      </c>
      <c r="I3369" t="s">
        <v>135</v>
      </c>
      <c r="J3369" t="s">
        <v>94</v>
      </c>
      <c r="K3369">
        <v>10</v>
      </c>
      <c r="L3369">
        <v>24900</v>
      </c>
      <c r="M3369">
        <v>249000</v>
      </c>
      <c r="N3369" t="s">
        <v>95</v>
      </c>
      <c r="O3369" t="s">
        <v>115</v>
      </c>
    </row>
    <row r="3370" spans="1:15" x14ac:dyDescent="0.25">
      <c r="A3370">
        <v>3533</v>
      </c>
      <c r="B3370" s="10">
        <v>46005</v>
      </c>
      <c r="C3370">
        <v>14</v>
      </c>
      <c r="D3370" t="s">
        <v>125</v>
      </c>
      <c r="E3370" t="s">
        <v>110</v>
      </c>
      <c r="F3370" t="s">
        <v>148</v>
      </c>
      <c r="G3370" t="s">
        <v>118</v>
      </c>
      <c r="H3370" t="s">
        <v>92</v>
      </c>
      <c r="I3370" t="s">
        <v>135</v>
      </c>
      <c r="J3370" t="s">
        <v>94</v>
      </c>
      <c r="K3370">
        <v>7</v>
      </c>
      <c r="L3370">
        <v>24900</v>
      </c>
      <c r="M3370">
        <v>174300</v>
      </c>
      <c r="N3370" t="s">
        <v>108</v>
      </c>
      <c r="O3370" t="s">
        <v>96</v>
      </c>
    </row>
    <row r="3371" spans="1:15" x14ac:dyDescent="0.25">
      <c r="A3371">
        <v>254</v>
      </c>
      <c r="B3371" s="10">
        <v>45678</v>
      </c>
      <c r="C3371">
        <v>21</v>
      </c>
      <c r="D3371" t="s">
        <v>130</v>
      </c>
      <c r="E3371" t="s">
        <v>25</v>
      </c>
      <c r="F3371" t="s">
        <v>22</v>
      </c>
      <c r="G3371" t="s">
        <v>91</v>
      </c>
      <c r="H3371" t="s">
        <v>29</v>
      </c>
      <c r="I3371" t="s">
        <v>124</v>
      </c>
      <c r="J3371" t="s">
        <v>103</v>
      </c>
      <c r="K3371">
        <v>38</v>
      </c>
      <c r="L3371">
        <v>25000</v>
      </c>
      <c r="M3371">
        <v>950000</v>
      </c>
      <c r="N3371" t="s">
        <v>108</v>
      </c>
      <c r="O3371" t="s">
        <v>104</v>
      </c>
    </row>
    <row r="3372" spans="1:15" x14ac:dyDescent="0.25">
      <c r="A3372">
        <v>2421</v>
      </c>
      <c r="B3372" s="10">
        <v>46011</v>
      </c>
      <c r="C3372">
        <v>20</v>
      </c>
      <c r="D3372" t="s">
        <v>125</v>
      </c>
      <c r="E3372" t="s">
        <v>137</v>
      </c>
      <c r="F3372" t="s">
        <v>107</v>
      </c>
      <c r="G3372" t="s">
        <v>100</v>
      </c>
      <c r="H3372" t="s">
        <v>29</v>
      </c>
      <c r="I3372" t="s">
        <v>124</v>
      </c>
      <c r="J3372" t="s">
        <v>103</v>
      </c>
      <c r="K3372">
        <v>27</v>
      </c>
      <c r="L3372">
        <v>25000</v>
      </c>
      <c r="M3372">
        <v>675000</v>
      </c>
      <c r="N3372" t="s">
        <v>95</v>
      </c>
      <c r="O3372" t="s">
        <v>115</v>
      </c>
    </row>
    <row r="3373" spans="1:15" x14ac:dyDescent="0.25">
      <c r="A3373">
        <v>3358</v>
      </c>
      <c r="B3373" s="10">
        <v>45803</v>
      </c>
      <c r="C3373">
        <v>26</v>
      </c>
      <c r="D3373" t="s">
        <v>120</v>
      </c>
      <c r="E3373" t="s">
        <v>150</v>
      </c>
      <c r="F3373" t="s">
        <v>36</v>
      </c>
      <c r="G3373" t="s">
        <v>100</v>
      </c>
      <c r="H3373" t="s">
        <v>29</v>
      </c>
      <c r="I3373" t="s">
        <v>124</v>
      </c>
      <c r="J3373" t="s">
        <v>94</v>
      </c>
      <c r="K3373">
        <v>9</v>
      </c>
      <c r="L3373">
        <v>25000</v>
      </c>
      <c r="M3373">
        <v>225000</v>
      </c>
      <c r="N3373" t="s">
        <v>108</v>
      </c>
      <c r="O3373" t="s">
        <v>115</v>
      </c>
    </row>
    <row r="3374" spans="1:15" x14ac:dyDescent="0.25">
      <c r="A3374">
        <v>4769</v>
      </c>
      <c r="B3374" s="10">
        <v>45749</v>
      </c>
      <c r="C3374">
        <v>2</v>
      </c>
      <c r="D3374" t="s">
        <v>105</v>
      </c>
      <c r="E3374" t="s">
        <v>31</v>
      </c>
      <c r="F3374" t="s">
        <v>141</v>
      </c>
      <c r="G3374" t="s">
        <v>100</v>
      </c>
      <c r="H3374" t="s">
        <v>29</v>
      </c>
      <c r="I3374" t="s">
        <v>124</v>
      </c>
      <c r="J3374" t="s">
        <v>103</v>
      </c>
      <c r="K3374">
        <v>29</v>
      </c>
      <c r="L3374">
        <v>25000</v>
      </c>
      <c r="M3374">
        <v>725000</v>
      </c>
      <c r="N3374" t="s">
        <v>95</v>
      </c>
      <c r="O3374" t="s">
        <v>104</v>
      </c>
    </row>
    <row r="3375" spans="1:15" x14ac:dyDescent="0.25">
      <c r="A3375">
        <v>819</v>
      </c>
      <c r="B3375" s="10">
        <v>45996</v>
      </c>
      <c r="C3375">
        <v>5</v>
      </c>
      <c r="D3375" t="s">
        <v>125</v>
      </c>
      <c r="E3375" t="s">
        <v>106</v>
      </c>
      <c r="F3375" t="s">
        <v>44</v>
      </c>
      <c r="G3375" t="s">
        <v>111</v>
      </c>
      <c r="H3375" t="s">
        <v>92</v>
      </c>
      <c r="I3375" t="s">
        <v>135</v>
      </c>
      <c r="J3375" t="s">
        <v>94</v>
      </c>
      <c r="K3375">
        <v>6</v>
      </c>
      <c r="L3375">
        <v>25100</v>
      </c>
      <c r="M3375">
        <v>150600</v>
      </c>
      <c r="N3375" t="s">
        <v>108</v>
      </c>
      <c r="O3375" t="s">
        <v>104</v>
      </c>
    </row>
    <row r="3376" spans="1:15" x14ac:dyDescent="0.25">
      <c r="A3376">
        <v>893</v>
      </c>
      <c r="B3376" s="10">
        <v>45741</v>
      </c>
      <c r="C3376">
        <v>25</v>
      </c>
      <c r="D3376" t="s">
        <v>140</v>
      </c>
      <c r="E3376" t="s">
        <v>110</v>
      </c>
      <c r="F3376" t="s">
        <v>22</v>
      </c>
      <c r="G3376" t="s">
        <v>91</v>
      </c>
      <c r="H3376" t="s">
        <v>29</v>
      </c>
      <c r="I3376" t="s">
        <v>124</v>
      </c>
      <c r="J3376" t="s">
        <v>103</v>
      </c>
      <c r="K3376">
        <v>49</v>
      </c>
      <c r="L3376">
        <v>25100</v>
      </c>
      <c r="M3376">
        <v>1229900</v>
      </c>
      <c r="N3376" t="s">
        <v>95</v>
      </c>
      <c r="O3376" t="s">
        <v>115</v>
      </c>
    </row>
    <row r="3377" spans="1:15" x14ac:dyDescent="0.25">
      <c r="A3377">
        <v>3585</v>
      </c>
      <c r="B3377" s="10">
        <v>45746</v>
      </c>
      <c r="C3377">
        <v>30</v>
      </c>
      <c r="D3377" t="s">
        <v>140</v>
      </c>
      <c r="E3377" t="s">
        <v>128</v>
      </c>
      <c r="F3377" t="s">
        <v>134</v>
      </c>
      <c r="G3377" t="s">
        <v>100</v>
      </c>
      <c r="H3377" t="s">
        <v>92</v>
      </c>
      <c r="I3377" t="s">
        <v>135</v>
      </c>
      <c r="J3377" t="s">
        <v>94</v>
      </c>
      <c r="K3377">
        <v>5</v>
      </c>
      <c r="L3377">
        <v>25100</v>
      </c>
      <c r="M3377">
        <v>125500</v>
      </c>
      <c r="N3377" t="s">
        <v>108</v>
      </c>
      <c r="O3377" t="s">
        <v>115</v>
      </c>
    </row>
    <row r="3378" spans="1:15" x14ac:dyDescent="0.25">
      <c r="A3378">
        <v>1657</v>
      </c>
      <c r="B3378" s="10">
        <v>46009</v>
      </c>
      <c r="C3378">
        <v>18</v>
      </c>
      <c r="D3378" t="s">
        <v>125</v>
      </c>
      <c r="E3378" t="s">
        <v>161</v>
      </c>
      <c r="F3378" t="s">
        <v>28</v>
      </c>
      <c r="G3378" t="s">
        <v>126</v>
      </c>
      <c r="H3378" t="s">
        <v>92</v>
      </c>
      <c r="I3378" t="s">
        <v>135</v>
      </c>
      <c r="J3378" t="s">
        <v>94</v>
      </c>
      <c r="K3378">
        <v>3</v>
      </c>
      <c r="L3378">
        <v>25200</v>
      </c>
      <c r="M3378">
        <v>75600</v>
      </c>
      <c r="N3378" t="s">
        <v>108</v>
      </c>
      <c r="O3378" t="s">
        <v>104</v>
      </c>
    </row>
    <row r="3379" spans="1:15" x14ac:dyDescent="0.25">
      <c r="A3379">
        <v>3168</v>
      </c>
      <c r="B3379" s="10">
        <v>46013</v>
      </c>
      <c r="C3379">
        <v>22</v>
      </c>
      <c r="D3379" t="s">
        <v>125</v>
      </c>
      <c r="E3379" t="s">
        <v>161</v>
      </c>
      <c r="F3379" t="s">
        <v>22</v>
      </c>
      <c r="G3379" t="s">
        <v>91</v>
      </c>
      <c r="H3379" t="s">
        <v>92</v>
      </c>
      <c r="I3379" t="s">
        <v>135</v>
      </c>
      <c r="J3379" t="s">
        <v>94</v>
      </c>
      <c r="K3379">
        <v>3</v>
      </c>
      <c r="L3379">
        <v>25200</v>
      </c>
      <c r="M3379">
        <v>75600</v>
      </c>
      <c r="N3379" t="s">
        <v>108</v>
      </c>
      <c r="O3379" t="s">
        <v>115</v>
      </c>
    </row>
    <row r="3380" spans="1:15" x14ac:dyDescent="0.25">
      <c r="A3380">
        <v>3441</v>
      </c>
      <c r="B3380" s="10">
        <v>45801</v>
      </c>
      <c r="C3380">
        <v>24</v>
      </c>
      <c r="D3380" t="s">
        <v>120</v>
      </c>
      <c r="E3380" t="s">
        <v>106</v>
      </c>
      <c r="F3380" t="s">
        <v>151</v>
      </c>
      <c r="G3380" t="s">
        <v>111</v>
      </c>
      <c r="H3380" t="s">
        <v>92</v>
      </c>
      <c r="I3380" t="s">
        <v>135</v>
      </c>
      <c r="J3380" t="s">
        <v>94</v>
      </c>
      <c r="K3380">
        <v>10</v>
      </c>
      <c r="L3380">
        <v>25200</v>
      </c>
      <c r="M3380">
        <v>252000</v>
      </c>
      <c r="N3380" t="s">
        <v>108</v>
      </c>
      <c r="O3380" t="s">
        <v>115</v>
      </c>
    </row>
    <row r="3381" spans="1:15" x14ac:dyDescent="0.25">
      <c r="A3381">
        <v>4247</v>
      </c>
      <c r="B3381" s="10">
        <v>45931</v>
      </c>
      <c r="C3381">
        <v>1</v>
      </c>
      <c r="D3381" t="s">
        <v>136</v>
      </c>
      <c r="E3381" t="s">
        <v>31</v>
      </c>
      <c r="F3381" t="s">
        <v>99</v>
      </c>
      <c r="G3381" t="s">
        <v>100</v>
      </c>
      <c r="H3381" t="s">
        <v>92</v>
      </c>
      <c r="I3381" t="s">
        <v>135</v>
      </c>
      <c r="J3381" t="s">
        <v>94</v>
      </c>
      <c r="K3381">
        <v>9</v>
      </c>
      <c r="L3381">
        <v>25200</v>
      </c>
      <c r="M3381">
        <v>226800</v>
      </c>
      <c r="N3381" t="s">
        <v>108</v>
      </c>
      <c r="O3381" t="s">
        <v>115</v>
      </c>
    </row>
    <row r="3382" spans="1:15" x14ac:dyDescent="0.25">
      <c r="A3382">
        <v>4298</v>
      </c>
      <c r="B3382" s="10">
        <v>45804</v>
      </c>
      <c r="C3382">
        <v>27</v>
      </c>
      <c r="D3382" t="s">
        <v>120</v>
      </c>
      <c r="E3382" t="s">
        <v>142</v>
      </c>
      <c r="F3382" t="s">
        <v>141</v>
      </c>
      <c r="G3382" t="s">
        <v>100</v>
      </c>
      <c r="H3382" t="s">
        <v>92</v>
      </c>
      <c r="I3382" t="s">
        <v>135</v>
      </c>
      <c r="J3382" t="s">
        <v>94</v>
      </c>
      <c r="K3382">
        <v>9</v>
      </c>
      <c r="L3382">
        <v>25200</v>
      </c>
      <c r="M3382">
        <v>226800</v>
      </c>
      <c r="N3382" t="s">
        <v>108</v>
      </c>
      <c r="O3382" t="s">
        <v>115</v>
      </c>
    </row>
    <row r="3383" spans="1:15" x14ac:dyDescent="0.25">
      <c r="A3383">
        <v>13</v>
      </c>
      <c r="B3383" s="10">
        <v>45993</v>
      </c>
      <c r="C3383">
        <v>2</v>
      </c>
      <c r="D3383" t="s">
        <v>125</v>
      </c>
      <c r="E3383" t="s">
        <v>133</v>
      </c>
      <c r="F3383" t="s">
        <v>134</v>
      </c>
      <c r="G3383" t="s">
        <v>100</v>
      </c>
      <c r="H3383" t="s">
        <v>92</v>
      </c>
      <c r="I3383" t="s">
        <v>135</v>
      </c>
      <c r="J3383" t="s">
        <v>94</v>
      </c>
      <c r="K3383">
        <v>5</v>
      </c>
      <c r="L3383">
        <v>25300</v>
      </c>
      <c r="M3383">
        <v>126500</v>
      </c>
      <c r="N3383" t="s">
        <v>95</v>
      </c>
      <c r="O3383" t="s">
        <v>104</v>
      </c>
    </row>
    <row r="3384" spans="1:15" x14ac:dyDescent="0.25">
      <c r="A3384">
        <v>2159</v>
      </c>
      <c r="B3384" s="10">
        <v>45948</v>
      </c>
      <c r="C3384">
        <v>18</v>
      </c>
      <c r="D3384" t="s">
        <v>136</v>
      </c>
      <c r="E3384" t="s">
        <v>128</v>
      </c>
      <c r="F3384" t="s">
        <v>28</v>
      </c>
      <c r="G3384" t="s">
        <v>126</v>
      </c>
      <c r="H3384" t="s">
        <v>29</v>
      </c>
      <c r="I3384" t="s">
        <v>124</v>
      </c>
      <c r="J3384" t="s">
        <v>103</v>
      </c>
      <c r="K3384">
        <v>20</v>
      </c>
      <c r="L3384">
        <v>25300</v>
      </c>
      <c r="M3384">
        <v>506000</v>
      </c>
      <c r="N3384" t="s">
        <v>95</v>
      </c>
      <c r="O3384" t="s">
        <v>96</v>
      </c>
    </row>
    <row r="3385" spans="1:15" x14ac:dyDescent="0.25">
      <c r="A3385">
        <v>1754</v>
      </c>
      <c r="B3385" s="10">
        <v>45796</v>
      </c>
      <c r="C3385">
        <v>19</v>
      </c>
      <c r="D3385" t="s">
        <v>120</v>
      </c>
      <c r="E3385" t="s">
        <v>106</v>
      </c>
      <c r="F3385" t="s">
        <v>144</v>
      </c>
      <c r="G3385" t="s">
        <v>91</v>
      </c>
      <c r="H3385" t="s">
        <v>29</v>
      </c>
      <c r="I3385" t="s">
        <v>124</v>
      </c>
      <c r="J3385" t="s">
        <v>94</v>
      </c>
      <c r="K3385">
        <v>3</v>
      </c>
      <c r="L3385">
        <v>25400</v>
      </c>
      <c r="M3385">
        <v>76200</v>
      </c>
      <c r="N3385" t="s">
        <v>108</v>
      </c>
      <c r="O3385" t="s">
        <v>104</v>
      </c>
    </row>
    <row r="3386" spans="1:15" x14ac:dyDescent="0.25">
      <c r="A3386">
        <v>1842</v>
      </c>
      <c r="B3386" s="10">
        <v>45941</v>
      </c>
      <c r="C3386">
        <v>11</v>
      </c>
      <c r="D3386" t="s">
        <v>136</v>
      </c>
      <c r="E3386" t="s">
        <v>31</v>
      </c>
      <c r="F3386" t="s">
        <v>113</v>
      </c>
      <c r="G3386" t="s">
        <v>114</v>
      </c>
      <c r="H3386" t="s">
        <v>29</v>
      </c>
      <c r="I3386" t="s">
        <v>124</v>
      </c>
      <c r="J3386" t="s">
        <v>94</v>
      </c>
      <c r="K3386">
        <v>4</v>
      </c>
      <c r="L3386">
        <v>25400</v>
      </c>
      <c r="M3386">
        <v>101600</v>
      </c>
      <c r="N3386" t="s">
        <v>108</v>
      </c>
      <c r="O3386" t="s">
        <v>104</v>
      </c>
    </row>
    <row r="3387" spans="1:15" x14ac:dyDescent="0.25">
      <c r="A3387">
        <v>2631</v>
      </c>
      <c r="B3387" s="10">
        <v>45733</v>
      </c>
      <c r="C3387">
        <v>17</v>
      </c>
      <c r="D3387" t="s">
        <v>140</v>
      </c>
      <c r="E3387" t="s">
        <v>138</v>
      </c>
      <c r="F3387" t="s">
        <v>36</v>
      </c>
      <c r="G3387" t="s">
        <v>100</v>
      </c>
      <c r="H3387" t="s">
        <v>92</v>
      </c>
      <c r="I3387" t="s">
        <v>135</v>
      </c>
      <c r="J3387" t="s">
        <v>94</v>
      </c>
      <c r="K3387">
        <v>10</v>
      </c>
      <c r="L3387">
        <v>25400</v>
      </c>
      <c r="M3387">
        <v>254000</v>
      </c>
      <c r="N3387" t="s">
        <v>95</v>
      </c>
      <c r="O3387" t="s">
        <v>96</v>
      </c>
    </row>
    <row r="3388" spans="1:15" x14ac:dyDescent="0.25">
      <c r="A3388">
        <v>3708</v>
      </c>
      <c r="B3388" s="10">
        <v>45817</v>
      </c>
      <c r="C3388">
        <v>9</v>
      </c>
      <c r="D3388" t="s">
        <v>153</v>
      </c>
      <c r="E3388" t="s">
        <v>121</v>
      </c>
      <c r="F3388" t="s">
        <v>122</v>
      </c>
      <c r="G3388" t="s">
        <v>114</v>
      </c>
      <c r="H3388" t="s">
        <v>29</v>
      </c>
      <c r="I3388" t="s">
        <v>124</v>
      </c>
      <c r="J3388" t="s">
        <v>103</v>
      </c>
      <c r="K3388">
        <v>10</v>
      </c>
      <c r="L3388">
        <v>25400</v>
      </c>
      <c r="M3388">
        <v>254000</v>
      </c>
      <c r="N3388" t="s">
        <v>95</v>
      </c>
      <c r="O3388" t="s">
        <v>96</v>
      </c>
    </row>
    <row r="3389" spans="1:15" x14ac:dyDescent="0.25">
      <c r="A3389">
        <v>3968</v>
      </c>
      <c r="B3389" s="10">
        <v>45725</v>
      </c>
      <c r="C3389">
        <v>9</v>
      </c>
      <c r="D3389" t="s">
        <v>140</v>
      </c>
      <c r="E3389" t="s">
        <v>25</v>
      </c>
      <c r="F3389" t="s">
        <v>148</v>
      </c>
      <c r="G3389" t="s">
        <v>118</v>
      </c>
      <c r="H3389" t="s">
        <v>29</v>
      </c>
      <c r="I3389" t="s">
        <v>124</v>
      </c>
      <c r="J3389" t="s">
        <v>94</v>
      </c>
      <c r="K3389">
        <v>10</v>
      </c>
      <c r="L3389">
        <v>25400</v>
      </c>
      <c r="M3389">
        <v>254000</v>
      </c>
      <c r="N3389" t="s">
        <v>95</v>
      </c>
      <c r="O3389" t="s">
        <v>104</v>
      </c>
    </row>
    <row r="3390" spans="1:15" x14ac:dyDescent="0.25">
      <c r="A3390">
        <v>4600</v>
      </c>
      <c r="B3390" s="10">
        <v>45702</v>
      </c>
      <c r="C3390">
        <v>14</v>
      </c>
      <c r="D3390" t="s">
        <v>97</v>
      </c>
      <c r="E3390" t="s">
        <v>116</v>
      </c>
      <c r="F3390" t="s">
        <v>44</v>
      </c>
      <c r="G3390" t="s">
        <v>111</v>
      </c>
      <c r="H3390" t="s">
        <v>29</v>
      </c>
      <c r="I3390" t="s">
        <v>124</v>
      </c>
      <c r="J3390" t="s">
        <v>103</v>
      </c>
      <c r="K3390">
        <v>46</v>
      </c>
      <c r="L3390">
        <v>25400</v>
      </c>
      <c r="M3390">
        <v>1168400</v>
      </c>
      <c r="N3390" t="s">
        <v>108</v>
      </c>
      <c r="O3390" t="s">
        <v>115</v>
      </c>
    </row>
    <row r="3391" spans="1:15" x14ac:dyDescent="0.25">
      <c r="A3391">
        <v>339</v>
      </c>
      <c r="B3391" s="10">
        <v>45861</v>
      </c>
      <c r="C3391">
        <v>23</v>
      </c>
      <c r="D3391" t="s">
        <v>145</v>
      </c>
      <c r="E3391" t="s">
        <v>150</v>
      </c>
      <c r="F3391" t="s">
        <v>44</v>
      </c>
      <c r="G3391" t="s">
        <v>111</v>
      </c>
      <c r="H3391" t="s">
        <v>92</v>
      </c>
      <c r="I3391" t="s">
        <v>135</v>
      </c>
      <c r="J3391" t="s">
        <v>94</v>
      </c>
      <c r="K3391">
        <v>6</v>
      </c>
      <c r="L3391">
        <v>25500</v>
      </c>
      <c r="M3391">
        <v>153000</v>
      </c>
      <c r="N3391" t="s">
        <v>108</v>
      </c>
      <c r="O3391" t="s">
        <v>115</v>
      </c>
    </row>
    <row r="3392" spans="1:15" x14ac:dyDescent="0.25">
      <c r="A3392">
        <v>791</v>
      </c>
      <c r="B3392" s="10">
        <v>45946</v>
      </c>
      <c r="C3392">
        <v>16</v>
      </c>
      <c r="D3392" t="s">
        <v>136</v>
      </c>
      <c r="E3392" t="s">
        <v>116</v>
      </c>
      <c r="F3392" t="s">
        <v>22</v>
      </c>
      <c r="G3392" t="s">
        <v>91</v>
      </c>
      <c r="H3392" t="s">
        <v>92</v>
      </c>
      <c r="I3392" t="s">
        <v>135</v>
      </c>
      <c r="J3392" t="s">
        <v>94</v>
      </c>
      <c r="K3392">
        <v>10</v>
      </c>
      <c r="L3392">
        <v>25500</v>
      </c>
      <c r="M3392">
        <v>255000</v>
      </c>
      <c r="N3392" t="s">
        <v>95</v>
      </c>
      <c r="O3392" t="s">
        <v>96</v>
      </c>
    </row>
    <row r="3393" spans="1:15" x14ac:dyDescent="0.25">
      <c r="A3393">
        <v>1132</v>
      </c>
      <c r="B3393" s="10">
        <v>45754</v>
      </c>
      <c r="C3393">
        <v>7</v>
      </c>
      <c r="D3393" t="s">
        <v>105</v>
      </c>
      <c r="E3393" t="s">
        <v>142</v>
      </c>
      <c r="F3393" t="s">
        <v>117</v>
      </c>
      <c r="G3393" t="s">
        <v>118</v>
      </c>
      <c r="H3393" t="s">
        <v>92</v>
      </c>
      <c r="I3393" t="s">
        <v>135</v>
      </c>
      <c r="J3393" t="s">
        <v>94</v>
      </c>
      <c r="K3393">
        <v>8</v>
      </c>
      <c r="L3393">
        <v>25500</v>
      </c>
      <c r="M3393">
        <v>204000</v>
      </c>
      <c r="N3393" t="s">
        <v>108</v>
      </c>
      <c r="O3393" t="s">
        <v>96</v>
      </c>
    </row>
    <row r="3394" spans="1:15" x14ac:dyDescent="0.25">
      <c r="A3394">
        <v>3548</v>
      </c>
      <c r="B3394" s="10">
        <v>45732</v>
      </c>
      <c r="C3394">
        <v>16</v>
      </c>
      <c r="D3394" t="s">
        <v>140</v>
      </c>
      <c r="E3394" t="s">
        <v>112</v>
      </c>
      <c r="F3394" t="s">
        <v>107</v>
      </c>
      <c r="G3394" t="s">
        <v>100</v>
      </c>
      <c r="H3394" t="s">
        <v>29</v>
      </c>
      <c r="I3394" t="s">
        <v>124</v>
      </c>
      <c r="J3394" t="s">
        <v>103</v>
      </c>
      <c r="K3394">
        <v>39</v>
      </c>
      <c r="L3394">
        <v>25500</v>
      </c>
      <c r="M3394">
        <v>994500</v>
      </c>
      <c r="N3394" t="s">
        <v>108</v>
      </c>
      <c r="O3394" t="s">
        <v>115</v>
      </c>
    </row>
    <row r="3395" spans="1:15" x14ac:dyDescent="0.25">
      <c r="A3395">
        <v>4470</v>
      </c>
      <c r="B3395" s="10">
        <v>45870</v>
      </c>
      <c r="C3395">
        <v>1</v>
      </c>
      <c r="D3395" t="s">
        <v>109</v>
      </c>
      <c r="E3395" t="s">
        <v>161</v>
      </c>
      <c r="F3395" t="s">
        <v>99</v>
      </c>
      <c r="G3395" t="s">
        <v>100</v>
      </c>
      <c r="H3395" t="s">
        <v>92</v>
      </c>
      <c r="I3395" t="s">
        <v>135</v>
      </c>
      <c r="J3395" t="s">
        <v>94</v>
      </c>
      <c r="K3395">
        <v>2</v>
      </c>
      <c r="L3395">
        <v>25500</v>
      </c>
      <c r="M3395">
        <v>51000</v>
      </c>
      <c r="N3395" t="s">
        <v>95</v>
      </c>
      <c r="O3395" t="s">
        <v>96</v>
      </c>
    </row>
    <row r="3396" spans="1:15" x14ac:dyDescent="0.25">
      <c r="A3396">
        <v>632</v>
      </c>
      <c r="B3396" s="10">
        <v>45698</v>
      </c>
      <c r="C3396">
        <v>10</v>
      </c>
      <c r="D3396" t="s">
        <v>97</v>
      </c>
      <c r="E3396" t="s">
        <v>138</v>
      </c>
      <c r="F3396" t="s">
        <v>113</v>
      </c>
      <c r="G3396" t="s">
        <v>114</v>
      </c>
      <c r="H3396" t="s">
        <v>29</v>
      </c>
      <c r="I3396" t="s">
        <v>124</v>
      </c>
      <c r="J3396" t="s">
        <v>103</v>
      </c>
      <c r="K3396">
        <v>46</v>
      </c>
      <c r="L3396">
        <v>25600</v>
      </c>
      <c r="M3396">
        <v>1177600</v>
      </c>
      <c r="N3396" t="s">
        <v>108</v>
      </c>
      <c r="O3396" t="s">
        <v>96</v>
      </c>
    </row>
    <row r="3397" spans="1:15" x14ac:dyDescent="0.25">
      <c r="A3397">
        <v>734</v>
      </c>
      <c r="B3397" s="10">
        <v>45713</v>
      </c>
      <c r="C3397">
        <v>25</v>
      </c>
      <c r="D3397" t="s">
        <v>97</v>
      </c>
      <c r="E3397" t="s">
        <v>142</v>
      </c>
      <c r="F3397" t="s">
        <v>36</v>
      </c>
      <c r="G3397" t="s">
        <v>100</v>
      </c>
      <c r="H3397" t="s">
        <v>29</v>
      </c>
      <c r="I3397" t="s">
        <v>124</v>
      </c>
      <c r="J3397" t="s">
        <v>94</v>
      </c>
      <c r="K3397">
        <v>8</v>
      </c>
      <c r="L3397">
        <v>25600</v>
      </c>
      <c r="M3397">
        <v>204800</v>
      </c>
      <c r="N3397" t="s">
        <v>108</v>
      </c>
      <c r="O3397" t="s">
        <v>104</v>
      </c>
    </row>
    <row r="3398" spans="1:15" x14ac:dyDescent="0.25">
      <c r="A3398">
        <v>1914</v>
      </c>
      <c r="B3398" s="10">
        <v>46003</v>
      </c>
      <c r="C3398">
        <v>12</v>
      </c>
      <c r="D3398" t="s">
        <v>125</v>
      </c>
      <c r="E3398" t="s">
        <v>112</v>
      </c>
      <c r="F3398" t="s">
        <v>144</v>
      </c>
      <c r="G3398" t="s">
        <v>91</v>
      </c>
      <c r="H3398" t="s">
        <v>92</v>
      </c>
      <c r="I3398" t="s">
        <v>135</v>
      </c>
      <c r="J3398" t="s">
        <v>94</v>
      </c>
      <c r="K3398">
        <v>2</v>
      </c>
      <c r="L3398">
        <v>25600</v>
      </c>
      <c r="M3398">
        <v>51200</v>
      </c>
      <c r="N3398" t="s">
        <v>108</v>
      </c>
      <c r="O3398" t="s">
        <v>96</v>
      </c>
    </row>
    <row r="3399" spans="1:15" x14ac:dyDescent="0.25">
      <c r="A3399">
        <v>1938</v>
      </c>
      <c r="B3399" s="10">
        <v>45670</v>
      </c>
      <c r="C3399">
        <v>13</v>
      </c>
      <c r="D3399" t="s">
        <v>130</v>
      </c>
      <c r="E3399" t="s">
        <v>25</v>
      </c>
      <c r="F3399" t="s">
        <v>122</v>
      </c>
      <c r="G3399" t="s">
        <v>114</v>
      </c>
      <c r="H3399" t="s">
        <v>92</v>
      </c>
      <c r="I3399" t="s">
        <v>135</v>
      </c>
      <c r="J3399" t="s">
        <v>94</v>
      </c>
      <c r="K3399">
        <v>6</v>
      </c>
      <c r="L3399">
        <v>25600</v>
      </c>
      <c r="M3399">
        <v>153600</v>
      </c>
      <c r="N3399" t="s">
        <v>108</v>
      </c>
      <c r="O3399" t="s">
        <v>104</v>
      </c>
    </row>
    <row r="3400" spans="1:15" x14ac:dyDescent="0.25">
      <c r="A3400">
        <v>2619</v>
      </c>
      <c r="B3400" s="10">
        <v>45794</v>
      </c>
      <c r="C3400">
        <v>17</v>
      </c>
      <c r="D3400" t="s">
        <v>120</v>
      </c>
      <c r="E3400" t="s">
        <v>121</v>
      </c>
      <c r="F3400" t="s">
        <v>122</v>
      </c>
      <c r="G3400" t="s">
        <v>114</v>
      </c>
      <c r="H3400" t="s">
        <v>92</v>
      </c>
      <c r="I3400" t="s">
        <v>135</v>
      </c>
      <c r="J3400" t="s">
        <v>94</v>
      </c>
      <c r="K3400">
        <v>2</v>
      </c>
      <c r="L3400">
        <v>25600</v>
      </c>
      <c r="M3400">
        <v>51200</v>
      </c>
      <c r="N3400" t="s">
        <v>108</v>
      </c>
      <c r="O3400" t="s">
        <v>104</v>
      </c>
    </row>
    <row r="3401" spans="1:15" x14ac:dyDescent="0.25">
      <c r="A3401">
        <v>2872</v>
      </c>
      <c r="B3401" s="10">
        <v>45927</v>
      </c>
      <c r="C3401">
        <v>27</v>
      </c>
      <c r="D3401" t="s">
        <v>147</v>
      </c>
      <c r="E3401" t="s">
        <v>142</v>
      </c>
      <c r="F3401" t="s">
        <v>28</v>
      </c>
      <c r="G3401" t="s">
        <v>126</v>
      </c>
      <c r="H3401" t="s">
        <v>92</v>
      </c>
      <c r="I3401" t="s">
        <v>135</v>
      </c>
      <c r="J3401" t="s">
        <v>94</v>
      </c>
      <c r="K3401">
        <v>1</v>
      </c>
      <c r="L3401">
        <v>25600</v>
      </c>
      <c r="M3401">
        <v>25600</v>
      </c>
      <c r="N3401" t="s">
        <v>108</v>
      </c>
      <c r="O3401" t="s">
        <v>104</v>
      </c>
    </row>
    <row r="3402" spans="1:15" x14ac:dyDescent="0.25">
      <c r="A3402">
        <v>889</v>
      </c>
      <c r="B3402" s="10">
        <v>45792</v>
      </c>
      <c r="C3402">
        <v>15</v>
      </c>
      <c r="D3402" t="s">
        <v>120</v>
      </c>
      <c r="E3402" t="s">
        <v>116</v>
      </c>
      <c r="F3402" t="s">
        <v>122</v>
      </c>
      <c r="G3402" t="s">
        <v>114</v>
      </c>
      <c r="H3402" t="s">
        <v>92</v>
      </c>
      <c r="I3402" t="s">
        <v>135</v>
      </c>
      <c r="J3402" t="s">
        <v>94</v>
      </c>
      <c r="K3402">
        <v>5</v>
      </c>
      <c r="L3402">
        <v>25700</v>
      </c>
      <c r="M3402">
        <v>128500</v>
      </c>
      <c r="N3402" t="s">
        <v>108</v>
      </c>
      <c r="O3402" t="s">
        <v>104</v>
      </c>
    </row>
    <row r="3403" spans="1:15" x14ac:dyDescent="0.25">
      <c r="A3403">
        <v>1000</v>
      </c>
      <c r="B3403" s="10">
        <v>45666</v>
      </c>
      <c r="C3403">
        <v>9</v>
      </c>
      <c r="D3403" t="s">
        <v>130</v>
      </c>
      <c r="E3403" t="s">
        <v>31</v>
      </c>
      <c r="F3403" t="s">
        <v>99</v>
      </c>
      <c r="G3403" t="s">
        <v>100</v>
      </c>
      <c r="H3403" t="s">
        <v>92</v>
      </c>
      <c r="I3403" t="s">
        <v>135</v>
      </c>
      <c r="J3403" t="s">
        <v>94</v>
      </c>
      <c r="K3403">
        <v>3</v>
      </c>
      <c r="L3403">
        <v>25700</v>
      </c>
      <c r="M3403">
        <v>77100</v>
      </c>
      <c r="N3403" t="s">
        <v>108</v>
      </c>
      <c r="O3403" t="s">
        <v>104</v>
      </c>
    </row>
    <row r="3404" spans="1:15" x14ac:dyDescent="0.25">
      <c r="A3404">
        <v>1169</v>
      </c>
      <c r="B3404" s="10">
        <v>45721</v>
      </c>
      <c r="C3404">
        <v>5</v>
      </c>
      <c r="D3404" t="s">
        <v>140</v>
      </c>
      <c r="E3404" t="s">
        <v>116</v>
      </c>
      <c r="F3404" t="s">
        <v>49</v>
      </c>
      <c r="G3404" t="s">
        <v>118</v>
      </c>
      <c r="H3404" t="s">
        <v>92</v>
      </c>
      <c r="I3404" t="s">
        <v>135</v>
      </c>
      <c r="J3404" t="s">
        <v>94</v>
      </c>
      <c r="K3404">
        <v>10</v>
      </c>
      <c r="L3404">
        <v>25700</v>
      </c>
      <c r="M3404">
        <v>257000</v>
      </c>
      <c r="N3404" t="s">
        <v>95</v>
      </c>
      <c r="O3404" t="s">
        <v>104</v>
      </c>
    </row>
    <row r="3405" spans="1:15" x14ac:dyDescent="0.25">
      <c r="A3405">
        <v>1691</v>
      </c>
      <c r="B3405" s="10">
        <v>45965</v>
      </c>
      <c r="C3405">
        <v>4</v>
      </c>
      <c r="D3405" t="s">
        <v>90</v>
      </c>
      <c r="E3405" t="s">
        <v>128</v>
      </c>
      <c r="F3405" t="s">
        <v>117</v>
      </c>
      <c r="G3405" t="s">
        <v>118</v>
      </c>
      <c r="H3405" t="s">
        <v>92</v>
      </c>
      <c r="I3405" t="s">
        <v>135</v>
      </c>
      <c r="J3405" t="s">
        <v>94</v>
      </c>
      <c r="K3405">
        <v>3</v>
      </c>
      <c r="L3405">
        <v>25700</v>
      </c>
      <c r="M3405">
        <v>77100</v>
      </c>
      <c r="N3405" t="s">
        <v>108</v>
      </c>
      <c r="O3405" t="s">
        <v>115</v>
      </c>
    </row>
    <row r="3406" spans="1:15" x14ac:dyDescent="0.25">
      <c r="A3406">
        <v>3524</v>
      </c>
      <c r="B3406" s="10">
        <v>45944</v>
      </c>
      <c r="C3406">
        <v>14</v>
      </c>
      <c r="D3406" t="s">
        <v>136</v>
      </c>
      <c r="E3406" t="s">
        <v>112</v>
      </c>
      <c r="F3406" t="s">
        <v>122</v>
      </c>
      <c r="G3406" t="s">
        <v>114</v>
      </c>
      <c r="H3406" t="s">
        <v>29</v>
      </c>
      <c r="I3406" t="s">
        <v>124</v>
      </c>
      <c r="J3406" t="s">
        <v>103</v>
      </c>
      <c r="K3406">
        <v>9</v>
      </c>
      <c r="L3406">
        <v>25700</v>
      </c>
      <c r="M3406">
        <v>231300</v>
      </c>
      <c r="N3406" t="s">
        <v>108</v>
      </c>
      <c r="O3406" t="s">
        <v>96</v>
      </c>
    </row>
    <row r="3407" spans="1:15" x14ac:dyDescent="0.25">
      <c r="A3407">
        <v>317</v>
      </c>
      <c r="B3407" s="10">
        <v>45804</v>
      </c>
      <c r="C3407">
        <v>27</v>
      </c>
      <c r="D3407" t="s">
        <v>120</v>
      </c>
      <c r="E3407" t="s">
        <v>25</v>
      </c>
      <c r="F3407" t="s">
        <v>107</v>
      </c>
      <c r="G3407" t="s">
        <v>100</v>
      </c>
      <c r="H3407" t="s">
        <v>92</v>
      </c>
      <c r="I3407" t="s">
        <v>135</v>
      </c>
      <c r="J3407" t="s">
        <v>94</v>
      </c>
      <c r="K3407">
        <v>2</v>
      </c>
      <c r="L3407">
        <v>25900</v>
      </c>
      <c r="M3407">
        <v>51800</v>
      </c>
      <c r="N3407" t="s">
        <v>95</v>
      </c>
      <c r="O3407" t="s">
        <v>96</v>
      </c>
    </row>
    <row r="3408" spans="1:15" x14ac:dyDescent="0.25">
      <c r="A3408">
        <v>328</v>
      </c>
      <c r="B3408" s="10">
        <v>45753</v>
      </c>
      <c r="C3408">
        <v>6</v>
      </c>
      <c r="D3408" t="s">
        <v>105</v>
      </c>
      <c r="E3408" t="s">
        <v>98</v>
      </c>
      <c r="F3408" t="s">
        <v>148</v>
      </c>
      <c r="G3408" t="s">
        <v>118</v>
      </c>
      <c r="H3408" t="s">
        <v>92</v>
      </c>
      <c r="I3408" t="s">
        <v>135</v>
      </c>
      <c r="J3408" t="s">
        <v>94</v>
      </c>
      <c r="K3408">
        <v>10</v>
      </c>
      <c r="L3408">
        <v>26000</v>
      </c>
      <c r="M3408">
        <v>260000</v>
      </c>
      <c r="N3408" t="s">
        <v>108</v>
      </c>
      <c r="O3408" t="s">
        <v>104</v>
      </c>
    </row>
    <row r="3409" spans="1:15" x14ac:dyDescent="0.25">
      <c r="A3409">
        <v>1571</v>
      </c>
      <c r="B3409" s="10">
        <v>45886</v>
      </c>
      <c r="C3409">
        <v>17</v>
      </c>
      <c r="D3409" t="s">
        <v>109</v>
      </c>
      <c r="E3409" t="s">
        <v>150</v>
      </c>
      <c r="F3409" t="s">
        <v>49</v>
      </c>
      <c r="G3409" t="s">
        <v>118</v>
      </c>
      <c r="H3409" t="s">
        <v>92</v>
      </c>
      <c r="I3409" t="s">
        <v>135</v>
      </c>
      <c r="J3409" t="s">
        <v>94</v>
      </c>
      <c r="K3409">
        <v>3</v>
      </c>
      <c r="L3409">
        <v>26000</v>
      </c>
      <c r="M3409">
        <v>78000</v>
      </c>
      <c r="N3409" t="s">
        <v>108</v>
      </c>
      <c r="O3409" t="s">
        <v>115</v>
      </c>
    </row>
    <row r="3410" spans="1:15" x14ac:dyDescent="0.25">
      <c r="A3410">
        <v>3077</v>
      </c>
      <c r="B3410" s="10">
        <v>45931</v>
      </c>
      <c r="C3410">
        <v>1</v>
      </c>
      <c r="D3410" t="s">
        <v>136</v>
      </c>
      <c r="E3410" t="s">
        <v>31</v>
      </c>
      <c r="F3410" t="s">
        <v>44</v>
      </c>
      <c r="G3410" t="s">
        <v>111</v>
      </c>
      <c r="H3410" t="s">
        <v>92</v>
      </c>
      <c r="I3410" t="s">
        <v>135</v>
      </c>
      <c r="J3410" t="s">
        <v>94</v>
      </c>
      <c r="K3410">
        <v>5</v>
      </c>
      <c r="L3410">
        <v>26000</v>
      </c>
      <c r="M3410">
        <v>130000</v>
      </c>
      <c r="N3410" t="s">
        <v>108</v>
      </c>
      <c r="O3410" t="s">
        <v>96</v>
      </c>
    </row>
    <row r="3411" spans="1:15" x14ac:dyDescent="0.25">
      <c r="A3411">
        <v>168</v>
      </c>
      <c r="B3411" s="10">
        <v>45872</v>
      </c>
      <c r="C3411">
        <v>3</v>
      </c>
      <c r="D3411" t="s">
        <v>109</v>
      </c>
      <c r="E3411" t="s">
        <v>133</v>
      </c>
      <c r="F3411" t="s">
        <v>113</v>
      </c>
      <c r="G3411" t="s">
        <v>114</v>
      </c>
      <c r="H3411" t="s">
        <v>29</v>
      </c>
      <c r="I3411" t="s">
        <v>124</v>
      </c>
      <c r="J3411" t="s">
        <v>103</v>
      </c>
      <c r="K3411">
        <v>25</v>
      </c>
      <c r="L3411">
        <v>26100</v>
      </c>
      <c r="M3411">
        <v>652500</v>
      </c>
      <c r="N3411" t="s">
        <v>95</v>
      </c>
      <c r="O3411" t="s">
        <v>104</v>
      </c>
    </row>
    <row r="3412" spans="1:15" x14ac:dyDescent="0.25">
      <c r="A3412">
        <v>973</v>
      </c>
      <c r="B3412" s="10">
        <v>45726</v>
      </c>
      <c r="C3412">
        <v>10</v>
      </c>
      <c r="D3412" t="s">
        <v>140</v>
      </c>
      <c r="E3412" t="s">
        <v>121</v>
      </c>
      <c r="F3412" t="s">
        <v>113</v>
      </c>
      <c r="G3412" t="s">
        <v>114</v>
      </c>
      <c r="H3412" t="s">
        <v>92</v>
      </c>
      <c r="I3412" t="s">
        <v>135</v>
      </c>
      <c r="J3412" t="s">
        <v>94</v>
      </c>
      <c r="K3412">
        <v>7</v>
      </c>
      <c r="L3412">
        <v>26100</v>
      </c>
      <c r="M3412">
        <v>182700</v>
      </c>
      <c r="N3412" t="s">
        <v>108</v>
      </c>
      <c r="O3412" t="s">
        <v>96</v>
      </c>
    </row>
    <row r="3413" spans="1:15" x14ac:dyDescent="0.25">
      <c r="A3413">
        <v>1046</v>
      </c>
      <c r="B3413" s="10">
        <v>45916</v>
      </c>
      <c r="C3413">
        <v>16</v>
      </c>
      <c r="D3413" t="s">
        <v>147</v>
      </c>
      <c r="E3413" t="s">
        <v>138</v>
      </c>
      <c r="F3413" t="s">
        <v>151</v>
      </c>
      <c r="G3413" t="s">
        <v>111</v>
      </c>
      <c r="H3413" t="s">
        <v>92</v>
      </c>
      <c r="I3413" t="s">
        <v>135</v>
      </c>
      <c r="J3413" t="s">
        <v>94</v>
      </c>
      <c r="K3413">
        <v>9</v>
      </c>
      <c r="L3413">
        <v>26100</v>
      </c>
      <c r="M3413">
        <v>234900</v>
      </c>
      <c r="N3413" t="s">
        <v>95</v>
      </c>
      <c r="O3413" t="s">
        <v>96</v>
      </c>
    </row>
    <row r="3414" spans="1:15" x14ac:dyDescent="0.25">
      <c r="A3414">
        <v>2474</v>
      </c>
      <c r="B3414" s="10">
        <v>45937</v>
      </c>
      <c r="C3414">
        <v>7</v>
      </c>
      <c r="D3414" t="s">
        <v>136</v>
      </c>
      <c r="E3414" t="s">
        <v>137</v>
      </c>
      <c r="F3414" t="s">
        <v>141</v>
      </c>
      <c r="G3414" t="s">
        <v>100</v>
      </c>
      <c r="H3414" t="s">
        <v>29</v>
      </c>
      <c r="I3414" t="s">
        <v>124</v>
      </c>
      <c r="J3414" t="s">
        <v>94</v>
      </c>
      <c r="K3414">
        <v>6</v>
      </c>
      <c r="L3414">
        <v>26100</v>
      </c>
      <c r="M3414">
        <v>156600</v>
      </c>
      <c r="N3414" t="s">
        <v>95</v>
      </c>
      <c r="O3414" t="s">
        <v>115</v>
      </c>
    </row>
    <row r="3415" spans="1:15" x14ac:dyDescent="0.25">
      <c r="A3415">
        <v>2502</v>
      </c>
      <c r="B3415" s="10">
        <v>45928</v>
      </c>
      <c r="C3415">
        <v>28</v>
      </c>
      <c r="D3415" t="s">
        <v>147</v>
      </c>
      <c r="E3415" t="s">
        <v>98</v>
      </c>
      <c r="F3415" t="s">
        <v>122</v>
      </c>
      <c r="G3415" t="s">
        <v>114</v>
      </c>
      <c r="H3415" t="s">
        <v>92</v>
      </c>
      <c r="I3415" t="s">
        <v>135</v>
      </c>
      <c r="J3415" t="s">
        <v>94</v>
      </c>
      <c r="K3415">
        <v>6</v>
      </c>
      <c r="L3415">
        <v>26200</v>
      </c>
      <c r="M3415">
        <v>157200</v>
      </c>
      <c r="N3415" t="s">
        <v>95</v>
      </c>
      <c r="O3415" t="s">
        <v>115</v>
      </c>
    </row>
    <row r="3416" spans="1:15" x14ac:dyDescent="0.25">
      <c r="A3416">
        <v>4954</v>
      </c>
      <c r="B3416" s="10">
        <v>45944</v>
      </c>
      <c r="C3416">
        <v>14</v>
      </c>
      <c r="D3416" t="s">
        <v>136</v>
      </c>
      <c r="E3416" t="s">
        <v>133</v>
      </c>
      <c r="F3416" t="s">
        <v>28</v>
      </c>
      <c r="G3416" t="s">
        <v>126</v>
      </c>
      <c r="H3416" t="s">
        <v>92</v>
      </c>
      <c r="I3416" t="s">
        <v>135</v>
      </c>
      <c r="J3416" t="s">
        <v>94</v>
      </c>
      <c r="K3416">
        <v>9</v>
      </c>
      <c r="L3416">
        <v>26200</v>
      </c>
      <c r="M3416">
        <v>235800</v>
      </c>
      <c r="N3416" t="s">
        <v>108</v>
      </c>
      <c r="O3416" t="s">
        <v>115</v>
      </c>
    </row>
    <row r="3417" spans="1:15" x14ac:dyDescent="0.25">
      <c r="A3417">
        <v>266</v>
      </c>
      <c r="B3417" s="10">
        <v>45834</v>
      </c>
      <c r="C3417">
        <v>26</v>
      </c>
      <c r="D3417" t="s">
        <v>153</v>
      </c>
      <c r="E3417" t="s">
        <v>112</v>
      </c>
      <c r="F3417" t="s">
        <v>117</v>
      </c>
      <c r="G3417" t="s">
        <v>118</v>
      </c>
      <c r="H3417" t="s">
        <v>29</v>
      </c>
      <c r="I3417" t="s">
        <v>124</v>
      </c>
      <c r="J3417" t="s">
        <v>94</v>
      </c>
      <c r="K3417">
        <v>5</v>
      </c>
      <c r="L3417">
        <v>26300</v>
      </c>
      <c r="M3417">
        <v>131500</v>
      </c>
      <c r="N3417" t="s">
        <v>95</v>
      </c>
      <c r="O3417" t="s">
        <v>115</v>
      </c>
    </row>
    <row r="3418" spans="1:15" x14ac:dyDescent="0.25">
      <c r="A3418">
        <v>3820</v>
      </c>
      <c r="B3418" s="10">
        <v>45996</v>
      </c>
      <c r="C3418">
        <v>5</v>
      </c>
      <c r="D3418" t="s">
        <v>125</v>
      </c>
      <c r="E3418" t="s">
        <v>138</v>
      </c>
      <c r="F3418" t="s">
        <v>148</v>
      </c>
      <c r="G3418" t="s">
        <v>118</v>
      </c>
      <c r="H3418" t="s">
        <v>29</v>
      </c>
      <c r="I3418" t="s">
        <v>124</v>
      </c>
      <c r="J3418" t="s">
        <v>94</v>
      </c>
      <c r="K3418">
        <v>3</v>
      </c>
      <c r="L3418">
        <v>26300</v>
      </c>
      <c r="M3418">
        <v>78900</v>
      </c>
      <c r="N3418" t="s">
        <v>95</v>
      </c>
      <c r="O3418" t="s">
        <v>96</v>
      </c>
    </row>
    <row r="3419" spans="1:15" x14ac:dyDescent="0.25">
      <c r="A3419">
        <v>614</v>
      </c>
      <c r="B3419" s="10">
        <v>45760</v>
      </c>
      <c r="C3419">
        <v>13</v>
      </c>
      <c r="D3419" t="s">
        <v>105</v>
      </c>
      <c r="E3419" t="s">
        <v>106</v>
      </c>
      <c r="F3419" t="s">
        <v>99</v>
      </c>
      <c r="G3419" t="s">
        <v>100</v>
      </c>
      <c r="H3419" t="s">
        <v>29</v>
      </c>
      <c r="I3419" t="s">
        <v>124</v>
      </c>
      <c r="J3419" t="s">
        <v>94</v>
      </c>
      <c r="K3419">
        <v>4</v>
      </c>
      <c r="L3419">
        <v>26400</v>
      </c>
      <c r="M3419">
        <v>105600</v>
      </c>
      <c r="N3419" t="s">
        <v>95</v>
      </c>
      <c r="O3419" t="s">
        <v>104</v>
      </c>
    </row>
    <row r="3420" spans="1:15" x14ac:dyDescent="0.25">
      <c r="A3420">
        <v>630</v>
      </c>
      <c r="B3420" s="10">
        <v>46002</v>
      </c>
      <c r="C3420">
        <v>11</v>
      </c>
      <c r="D3420" t="s">
        <v>125</v>
      </c>
      <c r="E3420" t="s">
        <v>137</v>
      </c>
      <c r="F3420" t="s">
        <v>151</v>
      </c>
      <c r="G3420" t="s">
        <v>111</v>
      </c>
      <c r="H3420" t="s">
        <v>92</v>
      </c>
      <c r="I3420" t="s">
        <v>135</v>
      </c>
      <c r="J3420" t="s">
        <v>94</v>
      </c>
      <c r="K3420">
        <v>7</v>
      </c>
      <c r="L3420">
        <v>26400</v>
      </c>
      <c r="M3420">
        <v>184800</v>
      </c>
      <c r="N3420" t="s">
        <v>108</v>
      </c>
      <c r="O3420" t="s">
        <v>115</v>
      </c>
    </row>
    <row r="3421" spans="1:15" x14ac:dyDescent="0.25">
      <c r="A3421">
        <v>1309</v>
      </c>
      <c r="B3421" s="10">
        <v>45876</v>
      </c>
      <c r="C3421">
        <v>7</v>
      </c>
      <c r="D3421" t="s">
        <v>109</v>
      </c>
      <c r="E3421" t="s">
        <v>106</v>
      </c>
      <c r="F3421" t="s">
        <v>151</v>
      </c>
      <c r="G3421" t="s">
        <v>111</v>
      </c>
      <c r="H3421" t="s">
        <v>92</v>
      </c>
      <c r="I3421" t="s">
        <v>135</v>
      </c>
      <c r="J3421" t="s">
        <v>94</v>
      </c>
      <c r="K3421">
        <v>9</v>
      </c>
      <c r="L3421">
        <v>26400</v>
      </c>
      <c r="M3421">
        <v>237600</v>
      </c>
      <c r="N3421" t="s">
        <v>95</v>
      </c>
      <c r="O3421" t="s">
        <v>96</v>
      </c>
    </row>
    <row r="3422" spans="1:15" x14ac:dyDescent="0.25">
      <c r="A3422">
        <v>2346</v>
      </c>
      <c r="B3422" s="10">
        <v>45988</v>
      </c>
      <c r="C3422">
        <v>27</v>
      </c>
      <c r="D3422" t="s">
        <v>90</v>
      </c>
      <c r="E3422" t="s">
        <v>133</v>
      </c>
      <c r="F3422" t="s">
        <v>99</v>
      </c>
      <c r="G3422" t="s">
        <v>100</v>
      </c>
      <c r="H3422" t="s">
        <v>92</v>
      </c>
      <c r="I3422" t="s">
        <v>135</v>
      </c>
      <c r="J3422" t="s">
        <v>94</v>
      </c>
      <c r="K3422">
        <v>3</v>
      </c>
      <c r="L3422">
        <v>26400</v>
      </c>
      <c r="M3422">
        <v>79200</v>
      </c>
      <c r="N3422" t="s">
        <v>108</v>
      </c>
      <c r="O3422" t="s">
        <v>115</v>
      </c>
    </row>
    <row r="3423" spans="1:15" x14ac:dyDescent="0.25">
      <c r="A3423">
        <v>4111</v>
      </c>
      <c r="B3423" s="10">
        <v>45792</v>
      </c>
      <c r="C3423">
        <v>15</v>
      </c>
      <c r="D3423" t="s">
        <v>120</v>
      </c>
      <c r="E3423" t="s">
        <v>112</v>
      </c>
      <c r="F3423" t="s">
        <v>28</v>
      </c>
      <c r="G3423" t="s">
        <v>126</v>
      </c>
      <c r="H3423" t="s">
        <v>92</v>
      </c>
      <c r="I3423" t="s">
        <v>135</v>
      </c>
      <c r="J3423" t="s">
        <v>94</v>
      </c>
      <c r="K3423">
        <v>7</v>
      </c>
      <c r="L3423">
        <v>26400</v>
      </c>
      <c r="M3423">
        <v>184800</v>
      </c>
      <c r="N3423" t="s">
        <v>95</v>
      </c>
      <c r="O3423" t="s">
        <v>115</v>
      </c>
    </row>
    <row r="3424" spans="1:15" x14ac:dyDescent="0.25">
      <c r="A3424">
        <v>488</v>
      </c>
      <c r="B3424" s="10">
        <v>45907</v>
      </c>
      <c r="C3424">
        <v>7</v>
      </c>
      <c r="D3424" t="s">
        <v>147</v>
      </c>
      <c r="E3424" t="s">
        <v>150</v>
      </c>
      <c r="F3424" t="s">
        <v>122</v>
      </c>
      <c r="G3424" t="s">
        <v>114</v>
      </c>
      <c r="H3424" t="s">
        <v>29</v>
      </c>
      <c r="I3424" t="s">
        <v>124</v>
      </c>
      <c r="J3424" t="s">
        <v>94</v>
      </c>
      <c r="K3424">
        <v>1</v>
      </c>
      <c r="L3424">
        <v>26500</v>
      </c>
      <c r="M3424">
        <v>26500</v>
      </c>
      <c r="N3424" t="s">
        <v>108</v>
      </c>
      <c r="O3424" t="s">
        <v>115</v>
      </c>
    </row>
    <row r="3425" spans="1:15" x14ac:dyDescent="0.25">
      <c r="A3425">
        <v>795</v>
      </c>
      <c r="B3425" s="10">
        <v>45886</v>
      </c>
      <c r="C3425">
        <v>17</v>
      </c>
      <c r="D3425" t="s">
        <v>109</v>
      </c>
      <c r="E3425" t="s">
        <v>150</v>
      </c>
      <c r="F3425" t="s">
        <v>117</v>
      </c>
      <c r="G3425" t="s">
        <v>118</v>
      </c>
      <c r="H3425" t="s">
        <v>29</v>
      </c>
      <c r="I3425" t="s">
        <v>124</v>
      </c>
      <c r="J3425" t="s">
        <v>94</v>
      </c>
      <c r="K3425">
        <v>8</v>
      </c>
      <c r="L3425">
        <v>26500</v>
      </c>
      <c r="M3425">
        <v>212000</v>
      </c>
      <c r="N3425" t="s">
        <v>95</v>
      </c>
      <c r="O3425" t="s">
        <v>96</v>
      </c>
    </row>
    <row r="3426" spans="1:15" x14ac:dyDescent="0.25">
      <c r="A3426">
        <v>2422</v>
      </c>
      <c r="B3426" s="10">
        <v>45955</v>
      </c>
      <c r="C3426">
        <v>25</v>
      </c>
      <c r="D3426" t="s">
        <v>136</v>
      </c>
      <c r="E3426" t="s">
        <v>112</v>
      </c>
      <c r="F3426" t="s">
        <v>141</v>
      </c>
      <c r="G3426" t="s">
        <v>100</v>
      </c>
      <c r="H3426" t="s">
        <v>92</v>
      </c>
      <c r="I3426" t="s">
        <v>135</v>
      </c>
      <c r="J3426" t="s">
        <v>94</v>
      </c>
      <c r="K3426">
        <v>5</v>
      </c>
      <c r="L3426">
        <v>26500</v>
      </c>
      <c r="M3426">
        <v>132500</v>
      </c>
      <c r="N3426" t="s">
        <v>95</v>
      </c>
      <c r="O3426" t="s">
        <v>96</v>
      </c>
    </row>
    <row r="3427" spans="1:15" x14ac:dyDescent="0.25">
      <c r="A3427">
        <v>2846</v>
      </c>
      <c r="B3427" s="10">
        <v>45660</v>
      </c>
      <c r="C3427">
        <v>3</v>
      </c>
      <c r="D3427" t="s">
        <v>130</v>
      </c>
      <c r="E3427" t="s">
        <v>150</v>
      </c>
      <c r="F3427" t="s">
        <v>144</v>
      </c>
      <c r="G3427" t="s">
        <v>91</v>
      </c>
      <c r="H3427" t="s">
        <v>29</v>
      </c>
      <c r="I3427" t="s">
        <v>124</v>
      </c>
      <c r="J3427" t="s">
        <v>94</v>
      </c>
      <c r="K3427">
        <v>9</v>
      </c>
      <c r="L3427">
        <v>26500</v>
      </c>
      <c r="M3427">
        <v>238500</v>
      </c>
      <c r="N3427" t="s">
        <v>95</v>
      </c>
      <c r="O3427" t="s">
        <v>115</v>
      </c>
    </row>
    <row r="3428" spans="1:15" x14ac:dyDescent="0.25">
      <c r="A3428">
        <v>1547</v>
      </c>
      <c r="B3428" s="10">
        <v>45863</v>
      </c>
      <c r="C3428">
        <v>25</v>
      </c>
      <c r="D3428" t="s">
        <v>145</v>
      </c>
      <c r="E3428" t="s">
        <v>161</v>
      </c>
      <c r="F3428" t="s">
        <v>107</v>
      </c>
      <c r="G3428" t="s">
        <v>100</v>
      </c>
      <c r="H3428" t="s">
        <v>29</v>
      </c>
      <c r="I3428" t="s">
        <v>124</v>
      </c>
      <c r="J3428" t="s">
        <v>94</v>
      </c>
      <c r="K3428">
        <v>6</v>
      </c>
      <c r="L3428">
        <v>26600</v>
      </c>
      <c r="M3428">
        <v>159600</v>
      </c>
      <c r="N3428" t="s">
        <v>108</v>
      </c>
      <c r="O3428" t="s">
        <v>96</v>
      </c>
    </row>
    <row r="3429" spans="1:15" x14ac:dyDescent="0.25">
      <c r="A3429">
        <v>1658</v>
      </c>
      <c r="B3429" s="10">
        <v>45952</v>
      </c>
      <c r="C3429">
        <v>22</v>
      </c>
      <c r="D3429" t="s">
        <v>136</v>
      </c>
      <c r="E3429" t="s">
        <v>137</v>
      </c>
      <c r="F3429" t="s">
        <v>134</v>
      </c>
      <c r="G3429" t="s">
        <v>100</v>
      </c>
      <c r="H3429" t="s">
        <v>92</v>
      </c>
      <c r="I3429" t="s">
        <v>135</v>
      </c>
      <c r="J3429" t="s">
        <v>94</v>
      </c>
      <c r="K3429">
        <v>8</v>
      </c>
      <c r="L3429">
        <v>26600</v>
      </c>
      <c r="M3429">
        <v>212800</v>
      </c>
      <c r="N3429" t="s">
        <v>108</v>
      </c>
      <c r="O3429" t="s">
        <v>115</v>
      </c>
    </row>
    <row r="3430" spans="1:15" x14ac:dyDescent="0.25">
      <c r="A3430">
        <v>3643</v>
      </c>
      <c r="B3430" s="10">
        <v>45932</v>
      </c>
      <c r="C3430">
        <v>2</v>
      </c>
      <c r="D3430" t="s">
        <v>136</v>
      </c>
      <c r="E3430" t="s">
        <v>98</v>
      </c>
      <c r="F3430" t="s">
        <v>107</v>
      </c>
      <c r="G3430" t="s">
        <v>100</v>
      </c>
      <c r="H3430" t="s">
        <v>29</v>
      </c>
      <c r="I3430" t="s">
        <v>124</v>
      </c>
      <c r="J3430" t="s">
        <v>94</v>
      </c>
      <c r="K3430">
        <v>3</v>
      </c>
      <c r="L3430">
        <v>26600</v>
      </c>
      <c r="M3430">
        <v>79800</v>
      </c>
      <c r="N3430" t="s">
        <v>95</v>
      </c>
      <c r="O3430" t="s">
        <v>96</v>
      </c>
    </row>
    <row r="3431" spans="1:15" x14ac:dyDescent="0.25">
      <c r="A3431">
        <v>4856</v>
      </c>
      <c r="B3431" s="10">
        <v>45692</v>
      </c>
      <c r="C3431">
        <v>4</v>
      </c>
      <c r="D3431" t="s">
        <v>97</v>
      </c>
      <c r="E3431" t="s">
        <v>31</v>
      </c>
      <c r="F3431" t="s">
        <v>117</v>
      </c>
      <c r="G3431" t="s">
        <v>118</v>
      </c>
      <c r="H3431" t="s">
        <v>29</v>
      </c>
      <c r="I3431" t="s">
        <v>124</v>
      </c>
      <c r="J3431" t="s">
        <v>103</v>
      </c>
      <c r="K3431">
        <v>11</v>
      </c>
      <c r="L3431">
        <v>26600</v>
      </c>
      <c r="M3431">
        <v>292600</v>
      </c>
      <c r="N3431" t="s">
        <v>108</v>
      </c>
      <c r="O3431" t="s">
        <v>115</v>
      </c>
    </row>
    <row r="3432" spans="1:15" x14ac:dyDescent="0.25">
      <c r="A3432">
        <v>1142</v>
      </c>
      <c r="B3432" s="10">
        <v>45816</v>
      </c>
      <c r="C3432">
        <v>8</v>
      </c>
      <c r="D3432" t="s">
        <v>153</v>
      </c>
      <c r="E3432" t="s">
        <v>142</v>
      </c>
      <c r="F3432" t="s">
        <v>141</v>
      </c>
      <c r="G3432" t="s">
        <v>100</v>
      </c>
      <c r="H3432" t="s">
        <v>92</v>
      </c>
      <c r="I3432" t="s">
        <v>135</v>
      </c>
      <c r="J3432" t="s">
        <v>94</v>
      </c>
      <c r="K3432">
        <v>10</v>
      </c>
      <c r="L3432">
        <v>26700</v>
      </c>
      <c r="M3432">
        <v>267000</v>
      </c>
      <c r="N3432" t="s">
        <v>108</v>
      </c>
      <c r="O3432" t="s">
        <v>96</v>
      </c>
    </row>
    <row r="3433" spans="1:15" x14ac:dyDescent="0.25">
      <c r="A3433">
        <v>1167</v>
      </c>
      <c r="B3433" s="10">
        <v>46010</v>
      </c>
      <c r="C3433">
        <v>19</v>
      </c>
      <c r="D3433" t="s">
        <v>125</v>
      </c>
      <c r="E3433" t="s">
        <v>150</v>
      </c>
      <c r="F3433" t="s">
        <v>141</v>
      </c>
      <c r="G3433" t="s">
        <v>100</v>
      </c>
      <c r="H3433" t="s">
        <v>92</v>
      </c>
      <c r="I3433" t="s">
        <v>135</v>
      </c>
      <c r="J3433" t="s">
        <v>94</v>
      </c>
      <c r="K3433">
        <v>6</v>
      </c>
      <c r="L3433">
        <v>26700</v>
      </c>
      <c r="M3433">
        <v>160200</v>
      </c>
      <c r="N3433" t="s">
        <v>95</v>
      </c>
      <c r="O3433" t="s">
        <v>96</v>
      </c>
    </row>
    <row r="3434" spans="1:15" x14ac:dyDescent="0.25">
      <c r="A3434">
        <v>1857</v>
      </c>
      <c r="B3434" s="10">
        <v>45965</v>
      </c>
      <c r="C3434">
        <v>4</v>
      </c>
      <c r="D3434" t="s">
        <v>90</v>
      </c>
      <c r="E3434" t="s">
        <v>25</v>
      </c>
      <c r="F3434" t="s">
        <v>122</v>
      </c>
      <c r="G3434" t="s">
        <v>114</v>
      </c>
      <c r="H3434" t="s">
        <v>92</v>
      </c>
      <c r="I3434" t="s">
        <v>135</v>
      </c>
      <c r="J3434" t="s">
        <v>94</v>
      </c>
      <c r="K3434">
        <v>8</v>
      </c>
      <c r="L3434">
        <v>26700</v>
      </c>
      <c r="M3434">
        <v>213600</v>
      </c>
      <c r="N3434" t="s">
        <v>95</v>
      </c>
      <c r="O3434" t="s">
        <v>96</v>
      </c>
    </row>
    <row r="3435" spans="1:15" x14ac:dyDescent="0.25">
      <c r="A3435">
        <v>2247</v>
      </c>
      <c r="B3435" s="10">
        <v>45752</v>
      </c>
      <c r="C3435">
        <v>5</v>
      </c>
      <c r="D3435" t="s">
        <v>105</v>
      </c>
      <c r="E3435" t="s">
        <v>121</v>
      </c>
      <c r="F3435" t="s">
        <v>117</v>
      </c>
      <c r="G3435" t="s">
        <v>118</v>
      </c>
      <c r="H3435" t="s">
        <v>29</v>
      </c>
      <c r="I3435" t="s">
        <v>124</v>
      </c>
      <c r="J3435" t="s">
        <v>94</v>
      </c>
      <c r="K3435">
        <v>7</v>
      </c>
      <c r="L3435">
        <v>26700</v>
      </c>
      <c r="M3435">
        <v>186900</v>
      </c>
      <c r="N3435" t="s">
        <v>108</v>
      </c>
      <c r="O3435" t="s">
        <v>96</v>
      </c>
    </row>
    <row r="3436" spans="1:15" x14ac:dyDescent="0.25">
      <c r="A3436">
        <v>3904</v>
      </c>
      <c r="B3436" s="10">
        <v>45665</v>
      </c>
      <c r="C3436">
        <v>8</v>
      </c>
      <c r="D3436" t="s">
        <v>130</v>
      </c>
      <c r="E3436" t="s">
        <v>106</v>
      </c>
      <c r="F3436" t="s">
        <v>44</v>
      </c>
      <c r="G3436" t="s">
        <v>111</v>
      </c>
      <c r="H3436" t="s">
        <v>29</v>
      </c>
      <c r="I3436" t="s">
        <v>124</v>
      </c>
      <c r="J3436" t="s">
        <v>94</v>
      </c>
      <c r="K3436">
        <v>10</v>
      </c>
      <c r="L3436">
        <v>26700</v>
      </c>
      <c r="M3436">
        <v>267000</v>
      </c>
      <c r="N3436" t="s">
        <v>108</v>
      </c>
      <c r="O3436" t="s">
        <v>96</v>
      </c>
    </row>
    <row r="3437" spans="1:15" x14ac:dyDescent="0.25">
      <c r="A3437">
        <v>4063</v>
      </c>
      <c r="B3437" s="10">
        <v>45944</v>
      </c>
      <c r="C3437">
        <v>14</v>
      </c>
      <c r="D3437" t="s">
        <v>136</v>
      </c>
      <c r="E3437" t="s">
        <v>137</v>
      </c>
      <c r="F3437" t="s">
        <v>122</v>
      </c>
      <c r="G3437" t="s">
        <v>114</v>
      </c>
      <c r="H3437" t="s">
        <v>29</v>
      </c>
      <c r="I3437" t="s">
        <v>124</v>
      </c>
      <c r="J3437" t="s">
        <v>94</v>
      </c>
      <c r="K3437">
        <v>1</v>
      </c>
      <c r="L3437">
        <v>26700</v>
      </c>
      <c r="M3437">
        <v>26700</v>
      </c>
      <c r="N3437" t="s">
        <v>95</v>
      </c>
      <c r="O3437" t="s">
        <v>115</v>
      </c>
    </row>
    <row r="3438" spans="1:15" x14ac:dyDescent="0.25">
      <c r="A3438">
        <v>4919</v>
      </c>
      <c r="B3438" s="10">
        <v>45672</v>
      </c>
      <c r="C3438">
        <v>15</v>
      </c>
      <c r="D3438" t="s">
        <v>130</v>
      </c>
      <c r="E3438" t="s">
        <v>137</v>
      </c>
      <c r="F3438" t="s">
        <v>122</v>
      </c>
      <c r="G3438" t="s">
        <v>114</v>
      </c>
      <c r="H3438" t="s">
        <v>92</v>
      </c>
      <c r="I3438" t="s">
        <v>135</v>
      </c>
      <c r="J3438" t="s">
        <v>94</v>
      </c>
      <c r="K3438">
        <v>3</v>
      </c>
      <c r="L3438">
        <v>26700</v>
      </c>
      <c r="M3438">
        <v>80100</v>
      </c>
      <c r="N3438" t="s">
        <v>95</v>
      </c>
      <c r="O3438" t="s">
        <v>96</v>
      </c>
    </row>
    <row r="3439" spans="1:15" x14ac:dyDescent="0.25">
      <c r="A3439">
        <v>1150</v>
      </c>
      <c r="B3439" s="10">
        <v>45824</v>
      </c>
      <c r="C3439">
        <v>16</v>
      </c>
      <c r="D3439" t="s">
        <v>153</v>
      </c>
      <c r="E3439" t="s">
        <v>142</v>
      </c>
      <c r="F3439" t="s">
        <v>151</v>
      </c>
      <c r="G3439" t="s">
        <v>111</v>
      </c>
      <c r="H3439" t="s">
        <v>29</v>
      </c>
      <c r="I3439" t="s">
        <v>124</v>
      </c>
      <c r="J3439" t="s">
        <v>94</v>
      </c>
      <c r="K3439">
        <v>9</v>
      </c>
      <c r="L3439">
        <v>26800</v>
      </c>
      <c r="M3439">
        <v>241200</v>
      </c>
      <c r="N3439" t="s">
        <v>95</v>
      </c>
      <c r="O3439" t="s">
        <v>115</v>
      </c>
    </row>
    <row r="3440" spans="1:15" x14ac:dyDescent="0.25">
      <c r="A3440">
        <v>1632</v>
      </c>
      <c r="B3440" s="10">
        <v>45819</v>
      </c>
      <c r="C3440">
        <v>11</v>
      </c>
      <c r="D3440" t="s">
        <v>153</v>
      </c>
      <c r="E3440" t="s">
        <v>142</v>
      </c>
      <c r="F3440" t="s">
        <v>49</v>
      </c>
      <c r="G3440" t="s">
        <v>118</v>
      </c>
      <c r="H3440" t="s">
        <v>29</v>
      </c>
      <c r="I3440" t="s">
        <v>124</v>
      </c>
      <c r="J3440" t="s">
        <v>94</v>
      </c>
      <c r="K3440">
        <v>3</v>
      </c>
      <c r="L3440">
        <v>26800</v>
      </c>
      <c r="M3440">
        <v>80400</v>
      </c>
      <c r="N3440" t="s">
        <v>108</v>
      </c>
      <c r="O3440" t="s">
        <v>115</v>
      </c>
    </row>
    <row r="3441" spans="1:15" x14ac:dyDescent="0.25">
      <c r="A3441">
        <v>3805</v>
      </c>
      <c r="B3441" s="10">
        <v>45940</v>
      </c>
      <c r="C3441">
        <v>10</v>
      </c>
      <c r="D3441" t="s">
        <v>136</v>
      </c>
      <c r="E3441" t="s">
        <v>25</v>
      </c>
      <c r="F3441" t="s">
        <v>36</v>
      </c>
      <c r="G3441" t="s">
        <v>100</v>
      </c>
      <c r="H3441" t="s">
        <v>29</v>
      </c>
      <c r="I3441" t="s">
        <v>124</v>
      </c>
      <c r="J3441" t="s">
        <v>94</v>
      </c>
      <c r="K3441">
        <v>7</v>
      </c>
      <c r="L3441">
        <v>26800</v>
      </c>
      <c r="M3441">
        <v>187600</v>
      </c>
      <c r="N3441" t="s">
        <v>108</v>
      </c>
      <c r="O3441" t="s">
        <v>115</v>
      </c>
    </row>
    <row r="3442" spans="1:15" x14ac:dyDescent="0.25">
      <c r="A3442">
        <v>1517</v>
      </c>
      <c r="B3442" s="10">
        <v>45763</v>
      </c>
      <c r="C3442">
        <v>16</v>
      </c>
      <c r="D3442" t="s">
        <v>105</v>
      </c>
      <c r="E3442" t="s">
        <v>142</v>
      </c>
      <c r="F3442" t="s">
        <v>36</v>
      </c>
      <c r="G3442" t="s">
        <v>100</v>
      </c>
      <c r="H3442" t="s">
        <v>92</v>
      </c>
      <c r="I3442" t="s">
        <v>135</v>
      </c>
      <c r="J3442" t="s">
        <v>94</v>
      </c>
      <c r="K3442">
        <v>5</v>
      </c>
      <c r="L3442">
        <v>26900</v>
      </c>
      <c r="M3442">
        <v>134500</v>
      </c>
      <c r="N3442" t="s">
        <v>95</v>
      </c>
      <c r="O3442" t="s">
        <v>96</v>
      </c>
    </row>
    <row r="3443" spans="1:15" x14ac:dyDescent="0.25">
      <c r="A3443">
        <v>2954</v>
      </c>
      <c r="B3443" s="10">
        <v>45743</v>
      </c>
      <c r="C3443">
        <v>27</v>
      </c>
      <c r="D3443" t="s">
        <v>140</v>
      </c>
      <c r="E3443" t="s">
        <v>137</v>
      </c>
      <c r="F3443" t="s">
        <v>107</v>
      </c>
      <c r="G3443" t="s">
        <v>100</v>
      </c>
      <c r="H3443" t="s">
        <v>92</v>
      </c>
      <c r="I3443" t="s">
        <v>135</v>
      </c>
      <c r="J3443" t="s">
        <v>94</v>
      </c>
      <c r="K3443">
        <v>8</v>
      </c>
      <c r="L3443">
        <v>26900</v>
      </c>
      <c r="M3443">
        <v>215200</v>
      </c>
      <c r="N3443" t="s">
        <v>95</v>
      </c>
      <c r="O3443" t="s">
        <v>115</v>
      </c>
    </row>
    <row r="3444" spans="1:15" x14ac:dyDescent="0.25">
      <c r="A3444">
        <v>267</v>
      </c>
      <c r="B3444" s="10">
        <v>45884</v>
      </c>
      <c r="C3444">
        <v>15</v>
      </c>
      <c r="D3444" t="s">
        <v>109</v>
      </c>
      <c r="E3444" t="s">
        <v>98</v>
      </c>
      <c r="F3444" t="s">
        <v>44</v>
      </c>
      <c r="G3444" t="s">
        <v>111</v>
      </c>
      <c r="H3444" t="s">
        <v>92</v>
      </c>
      <c r="I3444" t="s">
        <v>135</v>
      </c>
      <c r="J3444" t="s">
        <v>94</v>
      </c>
      <c r="K3444">
        <v>4</v>
      </c>
      <c r="L3444">
        <v>27000</v>
      </c>
      <c r="M3444">
        <v>108000</v>
      </c>
      <c r="N3444" t="s">
        <v>108</v>
      </c>
      <c r="O3444" t="s">
        <v>96</v>
      </c>
    </row>
    <row r="3445" spans="1:15" x14ac:dyDescent="0.25">
      <c r="A3445">
        <v>1513</v>
      </c>
      <c r="B3445" s="10">
        <v>45728</v>
      </c>
      <c r="C3445">
        <v>12</v>
      </c>
      <c r="D3445" t="s">
        <v>140</v>
      </c>
      <c r="E3445" t="s">
        <v>121</v>
      </c>
      <c r="F3445" t="s">
        <v>107</v>
      </c>
      <c r="G3445" t="s">
        <v>100</v>
      </c>
      <c r="H3445" t="s">
        <v>29</v>
      </c>
      <c r="I3445" t="s">
        <v>124</v>
      </c>
      <c r="J3445" t="s">
        <v>94</v>
      </c>
      <c r="K3445">
        <v>2</v>
      </c>
      <c r="L3445">
        <v>27000</v>
      </c>
      <c r="M3445">
        <v>54000</v>
      </c>
      <c r="N3445" t="s">
        <v>108</v>
      </c>
      <c r="O3445" t="s">
        <v>96</v>
      </c>
    </row>
    <row r="3446" spans="1:15" x14ac:dyDescent="0.25">
      <c r="A3446">
        <v>2838</v>
      </c>
      <c r="B3446" s="10">
        <v>45727</v>
      </c>
      <c r="C3446">
        <v>11</v>
      </c>
      <c r="D3446" t="s">
        <v>140</v>
      </c>
      <c r="E3446" t="s">
        <v>116</v>
      </c>
      <c r="F3446" t="s">
        <v>49</v>
      </c>
      <c r="G3446" t="s">
        <v>118</v>
      </c>
      <c r="H3446" t="s">
        <v>92</v>
      </c>
      <c r="I3446" t="s">
        <v>135</v>
      </c>
      <c r="J3446" t="s">
        <v>94</v>
      </c>
      <c r="K3446">
        <v>7</v>
      </c>
      <c r="L3446">
        <v>27000</v>
      </c>
      <c r="M3446">
        <v>189000</v>
      </c>
      <c r="N3446" t="s">
        <v>95</v>
      </c>
      <c r="O3446" t="s">
        <v>115</v>
      </c>
    </row>
    <row r="3447" spans="1:15" x14ac:dyDescent="0.25">
      <c r="A3447">
        <v>1400</v>
      </c>
      <c r="B3447" s="10">
        <v>45920</v>
      </c>
      <c r="C3447">
        <v>20</v>
      </c>
      <c r="D3447" t="s">
        <v>147</v>
      </c>
      <c r="E3447" t="s">
        <v>142</v>
      </c>
      <c r="F3447" t="s">
        <v>144</v>
      </c>
      <c r="G3447" t="s">
        <v>91</v>
      </c>
      <c r="H3447" t="s">
        <v>29</v>
      </c>
      <c r="I3447" t="s">
        <v>124</v>
      </c>
      <c r="J3447" t="s">
        <v>94</v>
      </c>
      <c r="K3447">
        <v>4</v>
      </c>
      <c r="L3447">
        <v>27100</v>
      </c>
      <c r="M3447">
        <v>108400</v>
      </c>
      <c r="N3447" t="s">
        <v>108</v>
      </c>
      <c r="O3447" t="s">
        <v>115</v>
      </c>
    </row>
    <row r="3448" spans="1:15" x14ac:dyDescent="0.25">
      <c r="A3448">
        <v>1851</v>
      </c>
      <c r="B3448" s="10">
        <v>45708</v>
      </c>
      <c r="C3448">
        <v>20</v>
      </c>
      <c r="D3448" t="s">
        <v>97</v>
      </c>
      <c r="E3448" t="s">
        <v>133</v>
      </c>
      <c r="F3448" t="s">
        <v>36</v>
      </c>
      <c r="G3448" t="s">
        <v>100</v>
      </c>
      <c r="H3448" t="s">
        <v>29</v>
      </c>
      <c r="I3448" t="s">
        <v>124</v>
      </c>
      <c r="J3448" t="s">
        <v>94</v>
      </c>
      <c r="K3448">
        <v>4</v>
      </c>
      <c r="L3448">
        <v>27100</v>
      </c>
      <c r="M3448">
        <v>108400</v>
      </c>
      <c r="N3448" t="s">
        <v>108</v>
      </c>
      <c r="O3448" t="s">
        <v>104</v>
      </c>
    </row>
    <row r="3449" spans="1:15" x14ac:dyDescent="0.25">
      <c r="A3449">
        <v>2199</v>
      </c>
      <c r="B3449" s="10">
        <v>45720</v>
      </c>
      <c r="C3449">
        <v>4</v>
      </c>
      <c r="D3449" t="s">
        <v>140</v>
      </c>
      <c r="E3449" t="s">
        <v>106</v>
      </c>
      <c r="F3449" t="s">
        <v>134</v>
      </c>
      <c r="G3449" t="s">
        <v>100</v>
      </c>
      <c r="H3449" t="s">
        <v>29</v>
      </c>
      <c r="I3449" t="s">
        <v>124</v>
      </c>
      <c r="J3449" t="s">
        <v>94</v>
      </c>
      <c r="K3449">
        <v>6</v>
      </c>
      <c r="L3449">
        <v>27100</v>
      </c>
      <c r="M3449">
        <v>162600</v>
      </c>
      <c r="N3449" t="s">
        <v>108</v>
      </c>
      <c r="O3449" t="s">
        <v>96</v>
      </c>
    </row>
    <row r="3450" spans="1:15" x14ac:dyDescent="0.25">
      <c r="A3450">
        <v>2812</v>
      </c>
      <c r="B3450" s="10">
        <v>45825</v>
      </c>
      <c r="C3450">
        <v>17</v>
      </c>
      <c r="D3450" t="s">
        <v>153</v>
      </c>
      <c r="E3450" t="s">
        <v>121</v>
      </c>
      <c r="F3450" t="s">
        <v>122</v>
      </c>
      <c r="G3450" t="s">
        <v>114</v>
      </c>
      <c r="H3450" t="s">
        <v>29</v>
      </c>
      <c r="I3450" t="s">
        <v>124</v>
      </c>
      <c r="J3450" t="s">
        <v>94</v>
      </c>
      <c r="K3450">
        <v>8</v>
      </c>
      <c r="L3450">
        <v>27100</v>
      </c>
      <c r="M3450">
        <v>216800</v>
      </c>
      <c r="N3450" t="s">
        <v>95</v>
      </c>
      <c r="O3450" t="s">
        <v>104</v>
      </c>
    </row>
    <row r="3451" spans="1:15" x14ac:dyDescent="0.25">
      <c r="A3451">
        <v>662</v>
      </c>
      <c r="B3451" s="10">
        <v>45851</v>
      </c>
      <c r="C3451">
        <v>13</v>
      </c>
      <c r="D3451" t="s">
        <v>145</v>
      </c>
      <c r="E3451" t="s">
        <v>150</v>
      </c>
      <c r="F3451" t="s">
        <v>99</v>
      </c>
      <c r="G3451" t="s">
        <v>100</v>
      </c>
      <c r="H3451" t="s">
        <v>29</v>
      </c>
      <c r="I3451" t="s">
        <v>124</v>
      </c>
      <c r="J3451" t="s">
        <v>94</v>
      </c>
      <c r="K3451">
        <v>8</v>
      </c>
      <c r="L3451">
        <v>27200</v>
      </c>
      <c r="M3451">
        <v>217600</v>
      </c>
      <c r="N3451" t="s">
        <v>108</v>
      </c>
      <c r="O3451" t="s">
        <v>96</v>
      </c>
    </row>
    <row r="3452" spans="1:15" x14ac:dyDescent="0.25">
      <c r="A3452">
        <v>859</v>
      </c>
      <c r="B3452" s="10">
        <v>46021</v>
      </c>
      <c r="C3452">
        <v>30</v>
      </c>
      <c r="D3452" t="s">
        <v>125</v>
      </c>
      <c r="E3452" t="s">
        <v>112</v>
      </c>
      <c r="F3452" t="s">
        <v>49</v>
      </c>
      <c r="G3452" t="s">
        <v>118</v>
      </c>
      <c r="H3452" t="s">
        <v>29</v>
      </c>
      <c r="I3452" t="s">
        <v>124</v>
      </c>
      <c r="J3452" t="s">
        <v>94</v>
      </c>
      <c r="K3452">
        <v>9</v>
      </c>
      <c r="L3452">
        <v>27200</v>
      </c>
      <c r="M3452">
        <v>244800</v>
      </c>
      <c r="N3452" t="s">
        <v>95</v>
      </c>
      <c r="O3452" t="s">
        <v>96</v>
      </c>
    </row>
    <row r="3453" spans="1:15" x14ac:dyDescent="0.25">
      <c r="A3453">
        <v>2457</v>
      </c>
      <c r="B3453" s="10">
        <v>45672</v>
      </c>
      <c r="C3453">
        <v>15</v>
      </c>
      <c r="D3453" t="s">
        <v>130</v>
      </c>
      <c r="E3453" t="s">
        <v>31</v>
      </c>
      <c r="F3453" t="s">
        <v>28</v>
      </c>
      <c r="G3453" t="s">
        <v>126</v>
      </c>
      <c r="H3453" t="s">
        <v>29</v>
      </c>
      <c r="I3453" t="s">
        <v>124</v>
      </c>
      <c r="J3453" t="s">
        <v>94</v>
      </c>
      <c r="K3453">
        <v>2</v>
      </c>
      <c r="L3453">
        <v>27200</v>
      </c>
      <c r="M3453">
        <v>54400</v>
      </c>
      <c r="N3453" t="s">
        <v>108</v>
      </c>
      <c r="O3453" t="s">
        <v>96</v>
      </c>
    </row>
    <row r="3454" spans="1:15" x14ac:dyDescent="0.25">
      <c r="A3454">
        <v>4434</v>
      </c>
      <c r="B3454" s="10">
        <v>46008</v>
      </c>
      <c r="C3454">
        <v>17</v>
      </c>
      <c r="D3454" t="s">
        <v>125</v>
      </c>
      <c r="E3454" t="s">
        <v>161</v>
      </c>
      <c r="F3454" t="s">
        <v>22</v>
      </c>
      <c r="G3454" t="s">
        <v>91</v>
      </c>
      <c r="H3454" t="s">
        <v>29</v>
      </c>
      <c r="I3454" t="s">
        <v>124</v>
      </c>
      <c r="J3454" t="s">
        <v>94</v>
      </c>
      <c r="K3454">
        <v>7</v>
      </c>
      <c r="L3454">
        <v>27200</v>
      </c>
      <c r="M3454">
        <v>190400</v>
      </c>
      <c r="N3454" t="s">
        <v>108</v>
      </c>
      <c r="O3454" t="s">
        <v>115</v>
      </c>
    </row>
    <row r="3455" spans="1:15" x14ac:dyDescent="0.25">
      <c r="A3455">
        <v>1380</v>
      </c>
      <c r="B3455" s="10">
        <v>45988</v>
      </c>
      <c r="C3455">
        <v>27</v>
      </c>
      <c r="D3455" t="s">
        <v>90</v>
      </c>
      <c r="E3455" t="s">
        <v>161</v>
      </c>
      <c r="F3455" t="s">
        <v>117</v>
      </c>
      <c r="G3455" t="s">
        <v>118</v>
      </c>
      <c r="H3455" t="s">
        <v>92</v>
      </c>
      <c r="I3455" t="s">
        <v>135</v>
      </c>
      <c r="J3455" t="s">
        <v>94</v>
      </c>
      <c r="K3455">
        <v>6</v>
      </c>
      <c r="L3455">
        <v>27300</v>
      </c>
      <c r="M3455">
        <v>163800</v>
      </c>
      <c r="N3455" t="s">
        <v>95</v>
      </c>
      <c r="O3455" t="s">
        <v>96</v>
      </c>
    </row>
    <row r="3456" spans="1:15" x14ac:dyDescent="0.25">
      <c r="A3456">
        <v>4430</v>
      </c>
      <c r="B3456" s="10">
        <v>45929</v>
      </c>
      <c r="C3456">
        <v>29</v>
      </c>
      <c r="D3456" t="s">
        <v>147</v>
      </c>
      <c r="E3456" t="s">
        <v>150</v>
      </c>
      <c r="F3456" t="s">
        <v>148</v>
      </c>
      <c r="G3456" t="s">
        <v>118</v>
      </c>
      <c r="H3456" t="s">
        <v>29</v>
      </c>
      <c r="I3456" t="s">
        <v>124</v>
      </c>
      <c r="J3456" t="s">
        <v>94</v>
      </c>
      <c r="K3456">
        <v>9</v>
      </c>
      <c r="L3456">
        <v>27300</v>
      </c>
      <c r="M3456">
        <v>245700</v>
      </c>
      <c r="N3456" t="s">
        <v>95</v>
      </c>
      <c r="O3456" t="s">
        <v>96</v>
      </c>
    </row>
    <row r="3457" spans="1:15" x14ac:dyDescent="0.25">
      <c r="A3457">
        <v>560</v>
      </c>
      <c r="B3457" s="10">
        <v>45938</v>
      </c>
      <c r="C3457">
        <v>8</v>
      </c>
      <c r="D3457" t="s">
        <v>136</v>
      </c>
      <c r="E3457" t="s">
        <v>31</v>
      </c>
      <c r="F3457" t="s">
        <v>44</v>
      </c>
      <c r="G3457" t="s">
        <v>111</v>
      </c>
      <c r="H3457" t="s">
        <v>29</v>
      </c>
      <c r="I3457" t="s">
        <v>124</v>
      </c>
      <c r="J3457" t="s">
        <v>94</v>
      </c>
      <c r="K3457">
        <v>7</v>
      </c>
      <c r="L3457">
        <v>27400</v>
      </c>
      <c r="M3457">
        <v>191800</v>
      </c>
      <c r="N3457" t="s">
        <v>95</v>
      </c>
      <c r="O3457" t="s">
        <v>104</v>
      </c>
    </row>
    <row r="3458" spans="1:15" x14ac:dyDescent="0.25">
      <c r="A3458">
        <v>2721</v>
      </c>
      <c r="B3458" s="10">
        <v>45791</v>
      </c>
      <c r="C3458">
        <v>14</v>
      </c>
      <c r="D3458" t="s">
        <v>120</v>
      </c>
      <c r="E3458" t="s">
        <v>110</v>
      </c>
      <c r="F3458" t="s">
        <v>144</v>
      </c>
      <c r="G3458" t="s">
        <v>91</v>
      </c>
      <c r="H3458" t="s">
        <v>92</v>
      </c>
      <c r="I3458" t="s">
        <v>135</v>
      </c>
      <c r="J3458" t="s">
        <v>94</v>
      </c>
      <c r="K3458">
        <v>4</v>
      </c>
      <c r="L3458">
        <v>27400</v>
      </c>
      <c r="M3458">
        <v>109600</v>
      </c>
      <c r="N3458" t="s">
        <v>95</v>
      </c>
      <c r="O3458" t="s">
        <v>96</v>
      </c>
    </row>
    <row r="3459" spans="1:15" x14ac:dyDescent="0.25">
      <c r="A3459">
        <v>1336</v>
      </c>
      <c r="B3459" s="10">
        <v>45774</v>
      </c>
      <c r="C3459">
        <v>27</v>
      </c>
      <c r="D3459" t="s">
        <v>105</v>
      </c>
      <c r="E3459" t="s">
        <v>142</v>
      </c>
      <c r="F3459" t="s">
        <v>144</v>
      </c>
      <c r="G3459" t="s">
        <v>91</v>
      </c>
      <c r="H3459" t="s">
        <v>29</v>
      </c>
      <c r="I3459" t="s">
        <v>124</v>
      </c>
      <c r="J3459" t="s">
        <v>94</v>
      </c>
      <c r="K3459">
        <v>9</v>
      </c>
      <c r="L3459">
        <v>27500</v>
      </c>
      <c r="M3459">
        <v>247500</v>
      </c>
      <c r="N3459" t="s">
        <v>108</v>
      </c>
      <c r="O3459" t="s">
        <v>104</v>
      </c>
    </row>
    <row r="3460" spans="1:15" x14ac:dyDescent="0.25">
      <c r="A3460">
        <v>2436</v>
      </c>
      <c r="B3460" s="10">
        <v>45691</v>
      </c>
      <c r="C3460">
        <v>3</v>
      </c>
      <c r="D3460" t="s">
        <v>97</v>
      </c>
      <c r="E3460" t="s">
        <v>112</v>
      </c>
      <c r="F3460" t="s">
        <v>107</v>
      </c>
      <c r="G3460" t="s">
        <v>100</v>
      </c>
      <c r="H3460" t="s">
        <v>29</v>
      </c>
      <c r="I3460" t="s">
        <v>124</v>
      </c>
      <c r="J3460" t="s">
        <v>94</v>
      </c>
      <c r="K3460">
        <v>9</v>
      </c>
      <c r="L3460">
        <v>27500</v>
      </c>
      <c r="M3460">
        <v>247500</v>
      </c>
      <c r="N3460" t="s">
        <v>95</v>
      </c>
      <c r="O3460" t="s">
        <v>115</v>
      </c>
    </row>
    <row r="3461" spans="1:15" x14ac:dyDescent="0.25">
      <c r="A3461">
        <v>3154</v>
      </c>
      <c r="B3461" s="10">
        <v>45765</v>
      </c>
      <c r="C3461">
        <v>18</v>
      </c>
      <c r="D3461" t="s">
        <v>105</v>
      </c>
      <c r="E3461" t="s">
        <v>133</v>
      </c>
      <c r="F3461" t="s">
        <v>22</v>
      </c>
      <c r="G3461" t="s">
        <v>91</v>
      </c>
      <c r="H3461" t="s">
        <v>29</v>
      </c>
      <c r="I3461" t="s">
        <v>124</v>
      </c>
      <c r="J3461" t="s">
        <v>94</v>
      </c>
      <c r="K3461">
        <v>5</v>
      </c>
      <c r="L3461">
        <v>27500</v>
      </c>
      <c r="M3461">
        <v>137500</v>
      </c>
      <c r="N3461" t="s">
        <v>108</v>
      </c>
      <c r="O3461" t="s">
        <v>115</v>
      </c>
    </row>
    <row r="3462" spans="1:15" x14ac:dyDescent="0.25">
      <c r="A3462">
        <v>4419</v>
      </c>
      <c r="B3462" s="10">
        <v>45912</v>
      </c>
      <c r="C3462">
        <v>12</v>
      </c>
      <c r="D3462" t="s">
        <v>147</v>
      </c>
      <c r="E3462" t="s">
        <v>98</v>
      </c>
      <c r="F3462" t="s">
        <v>36</v>
      </c>
      <c r="G3462" t="s">
        <v>100</v>
      </c>
      <c r="H3462" t="s">
        <v>29</v>
      </c>
      <c r="I3462" t="s">
        <v>124</v>
      </c>
      <c r="J3462" t="s">
        <v>94</v>
      </c>
      <c r="K3462">
        <v>2</v>
      </c>
      <c r="L3462">
        <v>27500</v>
      </c>
      <c r="M3462">
        <v>55000</v>
      </c>
      <c r="N3462" t="s">
        <v>95</v>
      </c>
      <c r="O3462" t="s">
        <v>104</v>
      </c>
    </row>
    <row r="3463" spans="1:15" x14ac:dyDescent="0.25">
      <c r="A3463">
        <v>324</v>
      </c>
      <c r="B3463" s="10">
        <v>45764</v>
      </c>
      <c r="C3463">
        <v>17</v>
      </c>
      <c r="D3463" t="s">
        <v>105</v>
      </c>
      <c r="E3463" t="s">
        <v>110</v>
      </c>
      <c r="F3463" t="s">
        <v>36</v>
      </c>
      <c r="G3463" t="s">
        <v>100</v>
      </c>
      <c r="H3463" t="s">
        <v>92</v>
      </c>
      <c r="I3463" t="s">
        <v>135</v>
      </c>
      <c r="J3463" t="s">
        <v>94</v>
      </c>
      <c r="K3463">
        <v>5</v>
      </c>
      <c r="L3463">
        <v>27600</v>
      </c>
      <c r="M3463">
        <v>138000</v>
      </c>
      <c r="N3463" t="s">
        <v>95</v>
      </c>
      <c r="O3463" t="s">
        <v>96</v>
      </c>
    </row>
    <row r="3464" spans="1:15" x14ac:dyDescent="0.25">
      <c r="A3464">
        <v>3535</v>
      </c>
      <c r="B3464" s="10">
        <v>45968</v>
      </c>
      <c r="C3464">
        <v>7</v>
      </c>
      <c r="D3464" t="s">
        <v>90</v>
      </c>
      <c r="E3464" t="s">
        <v>110</v>
      </c>
      <c r="F3464" t="s">
        <v>99</v>
      </c>
      <c r="G3464" t="s">
        <v>100</v>
      </c>
      <c r="H3464" t="s">
        <v>92</v>
      </c>
      <c r="I3464" t="s">
        <v>135</v>
      </c>
      <c r="J3464" t="s">
        <v>94</v>
      </c>
      <c r="K3464">
        <v>4</v>
      </c>
      <c r="L3464">
        <v>27600</v>
      </c>
      <c r="M3464">
        <v>110400</v>
      </c>
      <c r="N3464" t="s">
        <v>108</v>
      </c>
      <c r="O3464" t="s">
        <v>115</v>
      </c>
    </row>
    <row r="3465" spans="1:15" x14ac:dyDescent="0.25">
      <c r="A3465">
        <v>3696</v>
      </c>
      <c r="B3465" s="10">
        <v>45983</v>
      </c>
      <c r="C3465">
        <v>22</v>
      </c>
      <c r="D3465" t="s">
        <v>90</v>
      </c>
      <c r="E3465" t="s">
        <v>112</v>
      </c>
      <c r="F3465" t="s">
        <v>144</v>
      </c>
      <c r="G3465" t="s">
        <v>91</v>
      </c>
      <c r="H3465" t="s">
        <v>29</v>
      </c>
      <c r="I3465" t="s">
        <v>124</v>
      </c>
      <c r="J3465" t="s">
        <v>94</v>
      </c>
      <c r="K3465">
        <v>7</v>
      </c>
      <c r="L3465">
        <v>27600</v>
      </c>
      <c r="M3465">
        <v>193200</v>
      </c>
      <c r="N3465" t="s">
        <v>108</v>
      </c>
      <c r="O3465" t="s">
        <v>96</v>
      </c>
    </row>
    <row r="3466" spans="1:15" x14ac:dyDescent="0.25">
      <c r="A3466">
        <v>3998</v>
      </c>
      <c r="B3466" s="10">
        <v>45950</v>
      </c>
      <c r="C3466">
        <v>20</v>
      </c>
      <c r="D3466" t="s">
        <v>136</v>
      </c>
      <c r="E3466" t="s">
        <v>106</v>
      </c>
      <c r="F3466" t="s">
        <v>148</v>
      </c>
      <c r="G3466" t="s">
        <v>118</v>
      </c>
      <c r="H3466" t="s">
        <v>29</v>
      </c>
      <c r="I3466" t="s">
        <v>124</v>
      </c>
      <c r="J3466" t="s">
        <v>94</v>
      </c>
      <c r="K3466">
        <v>10</v>
      </c>
      <c r="L3466">
        <v>27600</v>
      </c>
      <c r="M3466">
        <v>276000</v>
      </c>
      <c r="N3466" t="s">
        <v>108</v>
      </c>
      <c r="O3466" t="s">
        <v>96</v>
      </c>
    </row>
    <row r="3467" spans="1:15" x14ac:dyDescent="0.25">
      <c r="A3467">
        <v>3492</v>
      </c>
      <c r="B3467" s="10">
        <v>45948</v>
      </c>
      <c r="C3467">
        <v>18</v>
      </c>
      <c r="D3467" t="s">
        <v>136</v>
      </c>
      <c r="E3467" t="s">
        <v>133</v>
      </c>
      <c r="F3467" t="s">
        <v>141</v>
      </c>
      <c r="G3467" t="s">
        <v>100</v>
      </c>
      <c r="H3467" t="s">
        <v>29</v>
      </c>
      <c r="I3467" t="s">
        <v>124</v>
      </c>
      <c r="J3467" t="s">
        <v>94</v>
      </c>
      <c r="K3467">
        <v>9</v>
      </c>
      <c r="L3467">
        <v>27700</v>
      </c>
      <c r="M3467">
        <v>249300</v>
      </c>
      <c r="N3467" t="s">
        <v>108</v>
      </c>
      <c r="O3467" t="s">
        <v>96</v>
      </c>
    </row>
    <row r="3468" spans="1:15" x14ac:dyDescent="0.25">
      <c r="A3468">
        <v>1534</v>
      </c>
      <c r="B3468" s="10">
        <v>45808</v>
      </c>
      <c r="C3468">
        <v>31</v>
      </c>
      <c r="D3468" t="s">
        <v>120</v>
      </c>
      <c r="E3468" t="s">
        <v>110</v>
      </c>
      <c r="F3468" t="s">
        <v>22</v>
      </c>
      <c r="G3468" t="s">
        <v>91</v>
      </c>
      <c r="H3468" t="s">
        <v>29</v>
      </c>
      <c r="I3468" t="s">
        <v>124</v>
      </c>
      <c r="J3468" t="s">
        <v>94</v>
      </c>
      <c r="K3468">
        <v>5</v>
      </c>
      <c r="L3468">
        <v>27800</v>
      </c>
      <c r="M3468">
        <v>139000</v>
      </c>
      <c r="N3468" t="s">
        <v>95</v>
      </c>
      <c r="O3468" t="s">
        <v>96</v>
      </c>
    </row>
    <row r="3469" spans="1:15" x14ac:dyDescent="0.25">
      <c r="A3469">
        <v>3736</v>
      </c>
      <c r="B3469" s="10">
        <v>45811</v>
      </c>
      <c r="C3469">
        <v>3</v>
      </c>
      <c r="D3469" t="s">
        <v>153</v>
      </c>
      <c r="E3469" t="s">
        <v>25</v>
      </c>
      <c r="F3469" t="s">
        <v>141</v>
      </c>
      <c r="G3469" t="s">
        <v>100</v>
      </c>
      <c r="H3469" t="s">
        <v>29</v>
      </c>
      <c r="I3469" t="s">
        <v>124</v>
      </c>
      <c r="J3469" t="s">
        <v>94</v>
      </c>
      <c r="K3469">
        <v>4</v>
      </c>
      <c r="L3469">
        <v>27800</v>
      </c>
      <c r="M3469">
        <v>111200</v>
      </c>
      <c r="N3469" t="s">
        <v>108</v>
      </c>
      <c r="O3469" t="s">
        <v>96</v>
      </c>
    </row>
    <row r="3470" spans="1:15" x14ac:dyDescent="0.25">
      <c r="A3470">
        <v>4894</v>
      </c>
      <c r="B3470" s="10">
        <v>45946</v>
      </c>
      <c r="C3470">
        <v>16</v>
      </c>
      <c r="D3470" t="s">
        <v>136</v>
      </c>
      <c r="E3470" t="s">
        <v>138</v>
      </c>
      <c r="F3470" t="s">
        <v>134</v>
      </c>
      <c r="G3470" t="s">
        <v>100</v>
      </c>
      <c r="H3470" t="s">
        <v>29</v>
      </c>
      <c r="I3470" t="s">
        <v>124</v>
      </c>
      <c r="J3470" t="s">
        <v>94</v>
      </c>
      <c r="K3470">
        <v>8</v>
      </c>
      <c r="L3470">
        <v>27800</v>
      </c>
      <c r="M3470">
        <v>222400</v>
      </c>
      <c r="N3470" t="s">
        <v>108</v>
      </c>
      <c r="O3470" t="s">
        <v>104</v>
      </c>
    </row>
    <row r="3471" spans="1:15" x14ac:dyDescent="0.25">
      <c r="A3471">
        <v>357</v>
      </c>
      <c r="B3471" s="10">
        <v>45780</v>
      </c>
      <c r="C3471">
        <v>3</v>
      </c>
      <c r="D3471" t="s">
        <v>120</v>
      </c>
      <c r="E3471" t="s">
        <v>116</v>
      </c>
      <c r="F3471" t="s">
        <v>28</v>
      </c>
      <c r="G3471" t="s">
        <v>126</v>
      </c>
      <c r="H3471" t="s">
        <v>29</v>
      </c>
      <c r="I3471" t="s">
        <v>124</v>
      </c>
      <c r="J3471" t="s">
        <v>94</v>
      </c>
      <c r="K3471">
        <v>9</v>
      </c>
      <c r="L3471">
        <v>28000</v>
      </c>
      <c r="M3471">
        <v>252000</v>
      </c>
      <c r="N3471" t="s">
        <v>108</v>
      </c>
      <c r="O3471" t="s">
        <v>115</v>
      </c>
    </row>
    <row r="3472" spans="1:15" x14ac:dyDescent="0.25">
      <c r="A3472">
        <v>727</v>
      </c>
      <c r="B3472" s="10">
        <v>45939</v>
      </c>
      <c r="C3472">
        <v>9</v>
      </c>
      <c r="D3472" t="s">
        <v>136</v>
      </c>
      <c r="E3472" t="s">
        <v>142</v>
      </c>
      <c r="F3472" t="s">
        <v>22</v>
      </c>
      <c r="G3472" t="s">
        <v>91</v>
      </c>
      <c r="H3472" t="s">
        <v>29</v>
      </c>
      <c r="I3472" t="s">
        <v>124</v>
      </c>
      <c r="J3472" t="s">
        <v>94</v>
      </c>
      <c r="K3472">
        <v>3</v>
      </c>
      <c r="L3472">
        <v>28000</v>
      </c>
      <c r="M3472">
        <v>84000</v>
      </c>
      <c r="N3472" t="s">
        <v>95</v>
      </c>
      <c r="O3472" t="s">
        <v>104</v>
      </c>
    </row>
    <row r="3473" spans="1:15" x14ac:dyDescent="0.25">
      <c r="A3473">
        <v>1166</v>
      </c>
      <c r="B3473" s="10">
        <v>45706</v>
      </c>
      <c r="C3473">
        <v>18</v>
      </c>
      <c r="D3473" t="s">
        <v>97</v>
      </c>
      <c r="E3473" t="s">
        <v>110</v>
      </c>
      <c r="F3473" t="s">
        <v>113</v>
      </c>
      <c r="G3473" t="s">
        <v>114</v>
      </c>
      <c r="H3473" t="s">
        <v>92</v>
      </c>
      <c r="I3473" t="s">
        <v>135</v>
      </c>
      <c r="J3473" t="s">
        <v>94</v>
      </c>
      <c r="K3473">
        <v>6</v>
      </c>
      <c r="L3473">
        <v>28000</v>
      </c>
      <c r="M3473">
        <v>168000</v>
      </c>
      <c r="N3473" t="s">
        <v>95</v>
      </c>
      <c r="O3473" t="s">
        <v>96</v>
      </c>
    </row>
    <row r="3474" spans="1:15" x14ac:dyDescent="0.25">
      <c r="A3474">
        <v>1389</v>
      </c>
      <c r="B3474" s="10">
        <v>45780</v>
      </c>
      <c r="C3474">
        <v>3</v>
      </c>
      <c r="D3474" t="s">
        <v>120</v>
      </c>
      <c r="E3474" t="s">
        <v>98</v>
      </c>
      <c r="F3474" t="s">
        <v>144</v>
      </c>
      <c r="G3474" t="s">
        <v>91</v>
      </c>
      <c r="H3474" t="s">
        <v>29</v>
      </c>
      <c r="I3474" t="s">
        <v>124</v>
      </c>
      <c r="J3474" t="s">
        <v>94</v>
      </c>
      <c r="K3474">
        <v>9</v>
      </c>
      <c r="L3474">
        <v>28000</v>
      </c>
      <c r="M3474">
        <v>252000</v>
      </c>
      <c r="N3474" t="s">
        <v>95</v>
      </c>
      <c r="O3474" t="s">
        <v>96</v>
      </c>
    </row>
    <row r="3475" spans="1:15" x14ac:dyDescent="0.25">
      <c r="A3475">
        <v>656</v>
      </c>
      <c r="B3475" s="10">
        <v>45904</v>
      </c>
      <c r="C3475">
        <v>4</v>
      </c>
      <c r="D3475" t="s">
        <v>147</v>
      </c>
      <c r="E3475" t="s">
        <v>98</v>
      </c>
      <c r="F3475" t="s">
        <v>44</v>
      </c>
      <c r="G3475" t="s">
        <v>111</v>
      </c>
      <c r="H3475" t="s">
        <v>29</v>
      </c>
      <c r="I3475" t="s">
        <v>124</v>
      </c>
      <c r="J3475" t="s">
        <v>94</v>
      </c>
      <c r="K3475">
        <v>4</v>
      </c>
      <c r="L3475">
        <v>28100</v>
      </c>
      <c r="M3475">
        <v>112400</v>
      </c>
      <c r="N3475" t="s">
        <v>95</v>
      </c>
      <c r="O3475" t="s">
        <v>104</v>
      </c>
    </row>
    <row r="3476" spans="1:15" x14ac:dyDescent="0.25">
      <c r="A3476">
        <v>1629</v>
      </c>
      <c r="B3476" s="10">
        <v>45751</v>
      </c>
      <c r="C3476">
        <v>4</v>
      </c>
      <c r="D3476" t="s">
        <v>105</v>
      </c>
      <c r="E3476" t="s">
        <v>161</v>
      </c>
      <c r="F3476" t="s">
        <v>28</v>
      </c>
      <c r="G3476" t="s">
        <v>126</v>
      </c>
      <c r="H3476" t="s">
        <v>29</v>
      </c>
      <c r="I3476" t="s">
        <v>124</v>
      </c>
      <c r="J3476" t="s">
        <v>94</v>
      </c>
      <c r="K3476">
        <v>3</v>
      </c>
      <c r="L3476">
        <v>28100</v>
      </c>
      <c r="M3476">
        <v>84300</v>
      </c>
      <c r="N3476" t="s">
        <v>95</v>
      </c>
      <c r="O3476" t="s">
        <v>104</v>
      </c>
    </row>
    <row r="3477" spans="1:15" x14ac:dyDescent="0.25">
      <c r="A3477">
        <v>3443</v>
      </c>
      <c r="B3477" s="10">
        <v>45752</v>
      </c>
      <c r="C3477">
        <v>5</v>
      </c>
      <c r="D3477" t="s">
        <v>105</v>
      </c>
      <c r="E3477" t="s">
        <v>106</v>
      </c>
      <c r="F3477" t="s">
        <v>99</v>
      </c>
      <c r="G3477" t="s">
        <v>100</v>
      </c>
      <c r="H3477" t="s">
        <v>29</v>
      </c>
      <c r="I3477" t="s">
        <v>124</v>
      </c>
      <c r="J3477" t="s">
        <v>94</v>
      </c>
      <c r="K3477">
        <v>4</v>
      </c>
      <c r="L3477">
        <v>28200</v>
      </c>
      <c r="M3477">
        <v>112800</v>
      </c>
      <c r="N3477" t="s">
        <v>108</v>
      </c>
      <c r="O3477" t="s">
        <v>96</v>
      </c>
    </row>
    <row r="3478" spans="1:15" x14ac:dyDescent="0.25">
      <c r="A3478">
        <v>1960</v>
      </c>
      <c r="B3478" s="10">
        <v>45664</v>
      </c>
      <c r="C3478">
        <v>7</v>
      </c>
      <c r="D3478" t="s">
        <v>130</v>
      </c>
      <c r="E3478" t="s">
        <v>106</v>
      </c>
      <c r="F3478" t="s">
        <v>141</v>
      </c>
      <c r="G3478" t="s">
        <v>100</v>
      </c>
      <c r="H3478" t="s">
        <v>29</v>
      </c>
      <c r="I3478" t="s">
        <v>124</v>
      </c>
      <c r="J3478" t="s">
        <v>94</v>
      </c>
      <c r="K3478">
        <v>8</v>
      </c>
      <c r="L3478">
        <v>28300</v>
      </c>
      <c r="M3478">
        <v>226400</v>
      </c>
      <c r="N3478" t="s">
        <v>108</v>
      </c>
      <c r="O3478" t="s">
        <v>96</v>
      </c>
    </row>
    <row r="3479" spans="1:15" x14ac:dyDescent="0.25">
      <c r="A3479">
        <v>4415</v>
      </c>
      <c r="B3479" s="10">
        <v>45903</v>
      </c>
      <c r="C3479">
        <v>3</v>
      </c>
      <c r="D3479" t="s">
        <v>147</v>
      </c>
      <c r="E3479" t="s">
        <v>150</v>
      </c>
      <c r="F3479" t="s">
        <v>28</v>
      </c>
      <c r="G3479" t="s">
        <v>126</v>
      </c>
      <c r="H3479" t="s">
        <v>29</v>
      </c>
      <c r="I3479" t="s">
        <v>124</v>
      </c>
      <c r="J3479" t="s">
        <v>94</v>
      </c>
      <c r="K3479">
        <v>8</v>
      </c>
      <c r="L3479">
        <v>28300</v>
      </c>
      <c r="M3479">
        <v>226400</v>
      </c>
      <c r="N3479" t="s">
        <v>95</v>
      </c>
      <c r="O3479" t="s">
        <v>104</v>
      </c>
    </row>
    <row r="3480" spans="1:15" x14ac:dyDescent="0.25">
      <c r="A3480">
        <v>150</v>
      </c>
      <c r="B3480" s="10">
        <v>45768</v>
      </c>
      <c r="C3480">
        <v>21</v>
      </c>
      <c r="D3480" t="s">
        <v>105</v>
      </c>
      <c r="E3480" t="s">
        <v>121</v>
      </c>
      <c r="F3480" t="s">
        <v>141</v>
      </c>
      <c r="G3480" t="s">
        <v>100</v>
      </c>
      <c r="H3480" t="s">
        <v>29</v>
      </c>
      <c r="I3480" t="s">
        <v>124</v>
      </c>
      <c r="J3480" t="s">
        <v>94</v>
      </c>
      <c r="K3480">
        <v>10</v>
      </c>
      <c r="L3480">
        <v>28400</v>
      </c>
      <c r="M3480">
        <v>284000</v>
      </c>
      <c r="N3480" t="s">
        <v>95</v>
      </c>
      <c r="O3480" t="s">
        <v>115</v>
      </c>
    </row>
    <row r="3481" spans="1:15" x14ac:dyDescent="0.25">
      <c r="A3481">
        <v>1127</v>
      </c>
      <c r="B3481" s="10">
        <v>45842</v>
      </c>
      <c r="C3481">
        <v>4</v>
      </c>
      <c r="D3481" t="s">
        <v>145</v>
      </c>
      <c r="E3481" t="s">
        <v>25</v>
      </c>
      <c r="F3481" t="s">
        <v>107</v>
      </c>
      <c r="G3481" t="s">
        <v>100</v>
      </c>
      <c r="H3481" t="s">
        <v>29</v>
      </c>
      <c r="I3481" t="s">
        <v>124</v>
      </c>
      <c r="J3481" t="s">
        <v>94</v>
      </c>
      <c r="K3481">
        <v>6</v>
      </c>
      <c r="L3481">
        <v>28400</v>
      </c>
      <c r="M3481">
        <v>170400</v>
      </c>
      <c r="N3481" t="s">
        <v>108</v>
      </c>
      <c r="O3481" t="s">
        <v>115</v>
      </c>
    </row>
    <row r="3482" spans="1:15" x14ac:dyDescent="0.25">
      <c r="A3482">
        <v>1299</v>
      </c>
      <c r="B3482" s="10">
        <v>45733</v>
      </c>
      <c r="C3482">
        <v>17</v>
      </c>
      <c r="D3482" t="s">
        <v>140</v>
      </c>
      <c r="E3482" t="s">
        <v>128</v>
      </c>
      <c r="F3482" t="s">
        <v>44</v>
      </c>
      <c r="G3482" t="s">
        <v>111</v>
      </c>
      <c r="H3482" t="s">
        <v>29</v>
      </c>
      <c r="I3482" t="s">
        <v>124</v>
      </c>
      <c r="J3482" t="s">
        <v>94</v>
      </c>
      <c r="K3482">
        <v>4</v>
      </c>
      <c r="L3482">
        <v>28400</v>
      </c>
      <c r="M3482">
        <v>113600</v>
      </c>
      <c r="N3482" t="s">
        <v>95</v>
      </c>
      <c r="O3482" t="s">
        <v>96</v>
      </c>
    </row>
    <row r="3483" spans="1:15" x14ac:dyDescent="0.25">
      <c r="A3483">
        <v>1386</v>
      </c>
      <c r="B3483" s="10">
        <v>45791</v>
      </c>
      <c r="C3483">
        <v>14</v>
      </c>
      <c r="D3483" t="s">
        <v>120</v>
      </c>
      <c r="E3483" t="s">
        <v>121</v>
      </c>
      <c r="F3483" t="s">
        <v>107</v>
      </c>
      <c r="G3483" t="s">
        <v>100</v>
      </c>
      <c r="H3483" t="s">
        <v>29</v>
      </c>
      <c r="I3483" t="s">
        <v>124</v>
      </c>
      <c r="J3483" t="s">
        <v>94</v>
      </c>
      <c r="K3483">
        <v>2</v>
      </c>
      <c r="L3483">
        <v>28400</v>
      </c>
      <c r="M3483">
        <v>56800</v>
      </c>
      <c r="N3483" t="s">
        <v>95</v>
      </c>
      <c r="O3483" t="s">
        <v>104</v>
      </c>
    </row>
    <row r="3484" spans="1:15" x14ac:dyDescent="0.25">
      <c r="A3484">
        <v>415</v>
      </c>
      <c r="B3484" s="10">
        <v>46014</v>
      </c>
      <c r="C3484">
        <v>23</v>
      </c>
      <c r="D3484" t="s">
        <v>125</v>
      </c>
      <c r="E3484" t="s">
        <v>110</v>
      </c>
      <c r="F3484" t="s">
        <v>22</v>
      </c>
      <c r="G3484" t="s">
        <v>91</v>
      </c>
      <c r="H3484" t="s">
        <v>29</v>
      </c>
      <c r="I3484" t="s">
        <v>124</v>
      </c>
      <c r="J3484" t="s">
        <v>94</v>
      </c>
      <c r="K3484">
        <v>2</v>
      </c>
      <c r="L3484">
        <v>28500</v>
      </c>
      <c r="M3484">
        <v>57000</v>
      </c>
      <c r="N3484" t="s">
        <v>95</v>
      </c>
      <c r="O3484" t="s">
        <v>115</v>
      </c>
    </row>
    <row r="3485" spans="1:15" x14ac:dyDescent="0.25">
      <c r="A3485">
        <v>2685</v>
      </c>
      <c r="B3485" s="10">
        <v>45685</v>
      </c>
      <c r="C3485">
        <v>28</v>
      </c>
      <c r="D3485" t="s">
        <v>130</v>
      </c>
      <c r="E3485" t="s">
        <v>121</v>
      </c>
      <c r="F3485" t="s">
        <v>22</v>
      </c>
      <c r="G3485" t="s">
        <v>91</v>
      </c>
      <c r="H3485" t="s">
        <v>29</v>
      </c>
      <c r="I3485" t="s">
        <v>124</v>
      </c>
      <c r="J3485" t="s">
        <v>94</v>
      </c>
      <c r="K3485">
        <v>3</v>
      </c>
      <c r="L3485">
        <v>28500</v>
      </c>
      <c r="M3485">
        <v>85500</v>
      </c>
      <c r="N3485" t="s">
        <v>95</v>
      </c>
      <c r="O3485" t="s">
        <v>104</v>
      </c>
    </row>
    <row r="3486" spans="1:15" x14ac:dyDescent="0.25">
      <c r="A3486">
        <v>2967</v>
      </c>
      <c r="B3486" s="10">
        <v>45925</v>
      </c>
      <c r="C3486">
        <v>25</v>
      </c>
      <c r="D3486" t="s">
        <v>147</v>
      </c>
      <c r="E3486" t="s">
        <v>112</v>
      </c>
      <c r="F3486" t="s">
        <v>44</v>
      </c>
      <c r="G3486" t="s">
        <v>111</v>
      </c>
      <c r="H3486" t="s">
        <v>29</v>
      </c>
      <c r="I3486" t="s">
        <v>124</v>
      </c>
      <c r="J3486" t="s">
        <v>94</v>
      </c>
      <c r="K3486">
        <v>2</v>
      </c>
      <c r="L3486">
        <v>28500</v>
      </c>
      <c r="M3486">
        <v>57000</v>
      </c>
      <c r="N3486" t="s">
        <v>95</v>
      </c>
      <c r="O3486" t="s">
        <v>96</v>
      </c>
    </row>
    <row r="3487" spans="1:15" x14ac:dyDescent="0.25">
      <c r="A3487">
        <v>4186</v>
      </c>
      <c r="B3487" s="10">
        <v>46009</v>
      </c>
      <c r="C3487">
        <v>18</v>
      </c>
      <c r="D3487" t="s">
        <v>125</v>
      </c>
      <c r="E3487" t="s">
        <v>98</v>
      </c>
      <c r="F3487" t="s">
        <v>141</v>
      </c>
      <c r="G3487" t="s">
        <v>100</v>
      </c>
      <c r="H3487" t="s">
        <v>29</v>
      </c>
      <c r="I3487" t="s">
        <v>124</v>
      </c>
      <c r="J3487" t="s">
        <v>94</v>
      </c>
      <c r="K3487">
        <v>1</v>
      </c>
      <c r="L3487">
        <v>28500</v>
      </c>
      <c r="M3487">
        <v>28500</v>
      </c>
      <c r="N3487" t="s">
        <v>108</v>
      </c>
      <c r="O3487" t="s">
        <v>96</v>
      </c>
    </row>
    <row r="3488" spans="1:15" x14ac:dyDescent="0.25">
      <c r="A3488">
        <v>681</v>
      </c>
      <c r="B3488" s="10">
        <v>45661</v>
      </c>
      <c r="C3488">
        <v>4</v>
      </c>
      <c r="D3488" t="s">
        <v>130</v>
      </c>
      <c r="E3488" t="s">
        <v>116</v>
      </c>
      <c r="F3488" t="s">
        <v>49</v>
      </c>
      <c r="G3488" t="s">
        <v>118</v>
      </c>
      <c r="H3488" t="s">
        <v>29</v>
      </c>
      <c r="I3488" t="s">
        <v>124</v>
      </c>
      <c r="J3488" t="s">
        <v>94</v>
      </c>
      <c r="K3488">
        <v>5</v>
      </c>
      <c r="L3488">
        <v>29000</v>
      </c>
      <c r="M3488">
        <v>145000</v>
      </c>
      <c r="N3488" t="s">
        <v>95</v>
      </c>
      <c r="O3488" t="s">
        <v>104</v>
      </c>
    </row>
    <row r="3489" spans="1:15" x14ac:dyDescent="0.25">
      <c r="A3489">
        <v>2455</v>
      </c>
      <c r="B3489" s="10">
        <v>45753</v>
      </c>
      <c r="C3489">
        <v>6</v>
      </c>
      <c r="D3489" t="s">
        <v>105</v>
      </c>
      <c r="E3489" t="s">
        <v>31</v>
      </c>
      <c r="F3489" t="s">
        <v>36</v>
      </c>
      <c r="G3489" t="s">
        <v>100</v>
      </c>
      <c r="H3489" t="s">
        <v>29</v>
      </c>
      <c r="I3489" t="s">
        <v>124</v>
      </c>
      <c r="J3489" t="s">
        <v>94</v>
      </c>
      <c r="K3489">
        <v>8</v>
      </c>
      <c r="L3489">
        <v>29000</v>
      </c>
      <c r="M3489">
        <v>232000</v>
      </c>
      <c r="N3489" t="s">
        <v>108</v>
      </c>
      <c r="O3489" t="s">
        <v>115</v>
      </c>
    </row>
    <row r="3490" spans="1:15" x14ac:dyDescent="0.25">
      <c r="A3490">
        <v>1508</v>
      </c>
      <c r="B3490" s="10">
        <v>45966</v>
      </c>
      <c r="C3490">
        <v>5</v>
      </c>
      <c r="D3490" t="s">
        <v>90</v>
      </c>
      <c r="E3490" t="s">
        <v>98</v>
      </c>
      <c r="F3490" t="s">
        <v>144</v>
      </c>
      <c r="G3490" t="s">
        <v>91</v>
      </c>
      <c r="H3490" t="s">
        <v>29</v>
      </c>
      <c r="I3490" t="s">
        <v>124</v>
      </c>
      <c r="J3490" t="s">
        <v>94</v>
      </c>
      <c r="K3490">
        <v>10</v>
      </c>
      <c r="L3490">
        <v>29300</v>
      </c>
      <c r="M3490">
        <v>293000</v>
      </c>
      <c r="N3490" t="s">
        <v>108</v>
      </c>
      <c r="O3490" t="s">
        <v>115</v>
      </c>
    </row>
    <row r="3491" spans="1:15" x14ac:dyDescent="0.25">
      <c r="A3491">
        <v>3699</v>
      </c>
      <c r="B3491" s="10">
        <v>45808</v>
      </c>
      <c r="C3491">
        <v>31</v>
      </c>
      <c r="D3491" t="s">
        <v>120</v>
      </c>
      <c r="E3491" t="s">
        <v>25</v>
      </c>
      <c r="F3491" t="s">
        <v>99</v>
      </c>
      <c r="G3491" t="s">
        <v>100</v>
      </c>
      <c r="H3491" t="s">
        <v>29</v>
      </c>
      <c r="I3491" t="s">
        <v>124</v>
      </c>
      <c r="J3491" t="s">
        <v>94</v>
      </c>
      <c r="K3491">
        <v>3</v>
      </c>
      <c r="L3491">
        <v>29300</v>
      </c>
      <c r="M3491">
        <v>87900</v>
      </c>
      <c r="N3491" t="s">
        <v>95</v>
      </c>
      <c r="O3491" t="s">
        <v>96</v>
      </c>
    </row>
    <row r="3492" spans="1:15" x14ac:dyDescent="0.25">
      <c r="A3492">
        <v>4709</v>
      </c>
      <c r="B3492" s="10">
        <v>45928</v>
      </c>
      <c r="C3492">
        <v>28</v>
      </c>
      <c r="D3492" t="s">
        <v>147</v>
      </c>
      <c r="E3492" t="s">
        <v>106</v>
      </c>
      <c r="F3492" t="s">
        <v>22</v>
      </c>
      <c r="G3492" t="s">
        <v>91</v>
      </c>
      <c r="H3492" t="s">
        <v>29</v>
      </c>
      <c r="I3492" t="s">
        <v>124</v>
      </c>
      <c r="J3492" t="s">
        <v>94</v>
      </c>
      <c r="K3492">
        <v>7</v>
      </c>
      <c r="L3492">
        <v>29300</v>
      </c>
      <c r="M3492">
        <v>205100</v>
      </c>
      <c r="N3492" t="s">
        <v>108</v>
      </c>
      <c r="O3492" t="s">
        <v>115</v>
      </c>
    </row>
    <row r="3493" spans="1:15" x14ac:dyDescent="0.25">
      <c r="A3493">
        <v>740</v>
      </c>
      <c r="B3493" s="10">
        <v>45750</v>
      </c>
      <c r="C3493">
        <v>3</v>
      </c>
      <c r="D3493" t="s">
        <v>105</v>
      </c>
      <c r="E3493" t="s">
        <v>128</v>
      </c>
      <c r="F3493" t="s">
        <v>148</v>
      </c>
      <c r="G3493" t="s">
        <v>118</v>
      </c>
      <c r="H3493" t="s">
        <v>29</v>
      </c>
      <c r="I3493" t="s">
        <v>124</v>
      </c>
      <c r="J3493" t="s">
        <v>94</v>
      </c>
      <c r="K3493">
        <v>1</v>
      </c>
      <c r="L3493">
        <v>29400</v>
      </c>
      <c r="M3493">
        <v>29400</v>
      </c>
      <c r="N3493" t="s">
        <v>95</v>
      </c>
      <c r="O3493" t="s">
        <v>104</v>
      </c>
    </row>
    <row r="3494" spans="1:15" x14ac:dyDescent="0.25">
      <c r="A3494">
        <v>1302</v>
      </c>
      <c r="B3494" s="10">
        <v>45663</v>
      </c>
      <c r="C3494">
        <v>6</v>
      </c>
      <c r="D3494" t="s">
        <v>130</v>
      </c>
      <c r="E3494" t="s">
        <v>121</v>
      </c>
      <c r="F3494" t="s">
        <v>113</v>
      </c>
      <c r="G3494" t="s">
        <v>114</v>
      </c>
      <c r="H3494" t="s">
        <v>29</v>
      </c>
      <c r="I3494" t="s">
        <v>124</v>
      </c>
      <c r="J3494" t="s">
        <v>94</v>
      </c>
      <c r="K3494">
        <v>5</v>
      </c>
      <c r="L3494">
        <v>29400</v>
      </c>
      <c r="M3494">
        <v>147000</v>
      </c>
      <c r="N3494" t="s">
        <v>95</v>
      </c>
      <c r="O3494" t="s">
        <v>96</v>
      </c>
    </row>
    <row r="3495" spans="1:15" x14ac:dyDescent="0.25">
      <c r="A3495">
        <v>2704</v>
      </c>
      <c r="B3495" s="10">
        <v>45745</v>
      </c>
      <c r="C3495">
        <v>29</v>
      </c>
      <c r="D3495" t="s">
        <v>140</v>
      </c>
      <c r="E3495" t="s">
        <v>106</v>
      </c>
      <c r="F3495" t="s">
        <v>22</v>
      </c>
      <c r="G3495" t="s">
        <v>91</v>
      </c>
      <c r="H3495" t="s">
        <v>29</v>
      </c>
      <c r="I3495" t="s">
        <v>124</v>
      </c>
      <c r="J3495" t="s">
        <v>94</v>
      </c>
      <c r="K3495">
        <v>1</v>
      </c>
      <c r="L3495">
        <v>29400</v>
      </c>
      <c r="M3495">
        <v>29400</v>
      </c>
      <c r="N3495" t="s">
        <v>95</v>
      </c>
      <c r="O3495" t="s">
        <v>96</v>
      </c>
    </row>
    <row r="3496" spans="1:15" x14ac:dyDescent="0.25">
      <c r="A3496">
        <v>273</v>
      </c>
      <c r="B3496" s="10">
        <v>45861</v>
      </c>
      <c r="C3496">
        <v>23</v>
      </c>
      <c r="D3496" t="s">
        <v>145</v>
      </c>
      <c r="E3496" t="s">
        <v>112</v>
      </c>
      <c r="F3496" t="s">
        <v>151</v>
      </c>
      <c r="G3496" t="s">
        <v>111</v>
      </c>
      <c r="H3496" t="s">
        <v>29</v>
      </c>
      <c r="I3496" t="s">
        <v>124</v>
      </c>
      <c r="J3496" t="s">
        <v>94</v>
      </c>
      <c r="K3496">
        <v>1</v>
      </c>
      <c r="L3496">
        <v>29600</v>
      </c>
      <c r="M3496">
        <v>29600</v>
      </c>
      <c r="N3496" t="s">
        <v>108</v>
      </c>
      <c r="O3496" t="s">
        <v>96</v>
      </c>
    </row>
    <row r="3497" spans="1:15" x14ac:dyDescent="0.25">
      <c r="A3497">
        <v>3047</v>
      </c>
      <c r="B3497" s="10">
        <v>45942</v>
      </c>
      <c r="C3497">
        <v>12</v>
      </c>
      <c r="D3497" t="s">
        <v>136</v>
      </c>
      <c r="E3497" t="s">
        <v>138</v>
      </c>
      <c r="F3497" t="s">
        <v>36</v>
      </c>
      <c r="G3497" t="s">
        <v>100</v>
      </c>
      <c r="H3497" t="s">
        <v>29</v>
      </c>
      <c r="I3497" t="s">
        <v>124</v>
      </c>
      <c r="J3497" t="s">
        <v>94</v>
      </c>
      <c r="K3497">
        <v>2</v>
      </c>
      <c r="L3497">
        <v>29600</v>
      </c>
      <c r="M3497">
        <v>59200</v>
      </c>
      <c r="N3497" t="s">
        <v>95</v>
      </c>
      <c r="O3497" t="s">
        <v>115</v>
      </c>
    </row>
    <row r="3498" spans="1:15" x14ac:dyDescent="0.25">
      <c r="A3498">
        <v>4295</v>
      </c>
      <c r="B3498" s="10">
        <v>45669</v>
      </c>
      <c r="C3498">
        <v>12</v>
      </c>
      <c r="D3498" t="s">
        <v>130</v>
      </c>
      <c r="E3498" t="s">
        <v>116</v>
      </c>
      <c r="F3498" t="s">
        <v>99</v>
      </c>
      <c r="G3498" t="s">
        <v>100</v>
      </c>
      <c r="H3498" t="s">
        <v>29</v>
      </c>
      <c r="I3498" t="s">
        <v>124</v>
      </c>
      <c r="J3498" t="s">
        <v>94</v>
      </c>
      <c r="K3498">
        <v>3</v>
      </c>
      <c r="L3498">
        <v>29700</v>
      </c>
      <c r="M3498">
        <v>89100</v>
      </c>
      <c r="N3498" t="s">
        <v>108</v>
      </c>
      <c r="O3498" t="s">
        <v>115</v>
      </c>
    </row>
    <row r="3499" spans="1:15" x14ac:dyDescent="0.25">
      <c r="A3499">
        <v>4461</v>
      </c>
      <c r="B3499" s="10">
        <v>45985</v>
      </c>
      <c r="C3499">
        <v>24</v>
      </c>
      <c r="D3499" t="s">
        <v>90</v>
      </c>
      <c r="E3499" t="s">
        <v>138</v>
      </c>
      <c r="F3499" t="s">
        <v>44</v>
      </c>
      <c r="G3499" t="s">
        <v>111</v>
      </c>
      <c r="H3499" t="s">
        <v>29</v>
      </c>
      <c r="I3499" t="s">
        <v>124</v>
      </c>
      <c r="J3499" t="s">
        <v>94</v>
      </c>
      <c r="K3499">
        <v>6</v>
      </c>
      <c r="L3499">
        <v>29700</v>
      </c>
      <c r="M3499">
        <v>178200</v>
      </c>
      <c r="N3499" t="s">
        <v>108</v>
      </c>
      <c r="O3499" t="s">
        <v>96</v>
      </c>
    </row>
    <row r="3500" spans="1:15" x14ac:dyDescent="0.25">
      <c r="A3500">
        <v>1459</v>
      </c>
      <c r="B3500" s="10">
        <v>45729</v>
      </c>
      <c r="C3500">
        <v>13</v>
      </c>
      <c r="D3500" t="s">
        <v>140</v>
      </c>
      <c r="E3500" t="s">
        <v>98</v>
      </c>
      <c r="F3500" t="s">
        <v>117</v>
      </c>
      <c r="G3500" t="s">
        <v>118</v>
      </c>
      <c r="H3500" t="s">
        <v>29</v>
      </c>
      <c r="I3500" t="s">
        <v>124</v>
      </c>
      <c r="J3500" t="s">
        <v>94</v>
      </c>
      <c r="K3500">
        <v>7</v>
      </c>
      <c r="L3500">
        <v>29800</v>
      </c>
      <c r="M3500">
        <v>208600</v>
      </c>
      <c r="N3500" t="s">
        <v>95</v>
      </c>
      <c r="O3500" t="s">
        <v>115</v>
      </c>
    </row>
    <row r="3501" spans="1:15" x14ac:dyDescent="0.25">
      <c r="A3501">
        <v>2910</v>
      </c>
      <c r="B3501" s="10">
        <v>45816</v>
      </c>
      <c r="C3501">
        <v>8</v>
      </c>
      <c r="D3501" t="s">
        <v>153</v>
      </c>
      <c r="E3501" t="s">
        <v>138</v>
      </c>
      <c r="F3501" t="s">
        <v>22</v>
      </c>
      <c r="G3501" t="s">
        <v>91</v>
      </c>
      <c r="H3501" t="s">
        <v>29</v>
      </c>
      <c r="I3501" t="s">
        <v>124</v>
      </c>
      <c r="J3501" t="s">
        <v>94</v>
      </c>
      <c r="K3501">
        <v>2</v>
      </c>
      <c r="L3501">
        <v>29800</v>
      </c>
      <c r="M3501">
        <v>59600</v>
      </c>
      <c r="N3501" t="s">
        <v>108</v>
      </c>
      <c r="O3501" t="s">
        <v>104</v>
      </c>
    </row>
    <row r="3502" spans="1:15" x14ac:dyDescent="0.25">
      <c r="A3502">
        <v>2298</v>
      </c>
      <c r="B3502" s="10">
        <v>45736</v>
      </c>
      <c r="C3502">
        <v>20</v>
      </c>
      <c r="D3502" t="s">
        <v>140</v>
      </c>
      <c r="E3502" t="s">
        <v>121</v>
      </c>
      <c r="F3502" t="s">
        <v>141</v>
      </c>
      <c r="G3502" t="s">
        <v>100</v>
      </c>
      <c r="H3502" t="s">
        <v>29</v>
      </c>
      <c r="I3502" t="s">
        <v>124</v>
      </c>
      <c r="J3502" t="s">
        <v>94</v>
      </c>
      <c r="K3502">
        <v>8</v>
      </c>
      <c r="L3502">
        <v>30000</v>
      </c>
      <c r="M3502">
        <v>240000</v>
      </c>
      <c r="N3502" t="s">
        <v>95</v>
      </c>
      <c r="O3502" t="s">
        <v>96</v>
      </c>
    </row>
    <row r="3503" spans="1:15" x14ac:dyDescent="0.25">
      <c r="A3503">
        <v>1495</v>
      </c>
      <c r="B3503" s="10">
        <v>46018</v>
      </c>
      <c r="C3503">
        <v>27</v>
      </c>
      <c r="D3503" t="s">
        <v>125</v>
      </c>
      <c r="E3503" t="s">
        <v>150</v>
      </c>
      <c r="F3503" t="s">
        <v>28</v>
      </c>
      <c r="G3503" t="s">
        <v>126</v>
      </c>
      <c r="H3503" t="s">
        <v>29</v>
      </c>
      <c r="I3503" t="s">
        <v>124</v>
      </c>
      <c r="J3503" t="s">
        <v>94</v>
      </c>
      <c r="K3503">
        <v>9</v>
      </c>
      <c r="L3503">
        <v>30200</v>
      </c>
      <c r="M3503">
        <v>271800</v>
      </c>
      <c r="N3503" t="s">
        <v>95</v>
      </c>
      <c r="O3503" t="s">
        <v>96</v>
      </c>
    </row>
    <row r="3504" spans="1:15" x14ac:dyDescent="0.25">
      <c r="A3504">
        <v>2710</v>
      </c>
      <c r="B3504" s="10">
        <v>46004</v>
      </c>
      <c r="C3504">
        <v>13</v>
      </c>
      <c r="D3504" t="s">
        <v>125</v>
      </c>
      <c r="E3504" t="s">
        <v>133</v>
      </c>
      <c r="F3504" t="s">
        <v>122</v>
      </c>
      <c r="G3504" t="s">
        <v>114</v>
      </c>
      <c r="H3504" t="s">
        <v>29</v>
      </c>
      <c r="I3504" t="s">
        <v>124</v>
      </c>
      <c r="J3504" t="s">
        <v>94</v>
      </c>
      <c r="K3504">
        <v>3</v>
      </c>
      <c r="L3504">
        <v>30200</v>
      </c>
      <c r="M3504">
        <v>90600</v>
      </c>
      <c r="N3504" t="s">
        <v>95</v>
      </c>
      <c r="O3504" t="s">
        <v>115</v>
      </c>
    </row>
    <row r="3505" spans="1:15" x14ac:dyDescent="0.25">
      <c r="A3505">
        <v>3722</v>
      </c>
      <c r="B3505" s="10">
        <v>45874</v>
      </c>
      <c r="C3505">
        <v>5</v>
      </c>
      <c r="D3505" t="s">
        <v>109</v>
      </c>
      <c r="E3505" t="s">
        <v>116</v>
      </c>
      <c r="F3505" t="s">
        <v>113</v>
      </c>
      <c r="G3505" t="s">
        <v>114</v>
      </c>
      <c r="H3505" t="s">
        <v>29</v>
      </c>
      <c r="I3505" t="s">
        <v>124</v>
      </c>
      <c r="J3505" t="s">
        <v>94</v>
      </c>
      <c r="K3505">
        <v>8</v>
      </c>
      <c r="L3505">
        <v>30400</v>
      </c>
      <c r="M3505">
        <v>243200</v>
      </c>
      <c r="N3505" t="s">
        <v>108</v>
      </c>
      <c r="O3505" t="s">
        <v>115</v>
      </c>
    </row>
    <row r="3506" spans="1:15" x14ac:dyDescent="0.25">
      <c r="A3506">
        <v>3581</v>
      </c>
      <c r="B3506" s="10">
        <v>45721</v>
      </c>
      <c r="C3506">
        <v>5</v>
      </c>
      <c r="D3506" t="s">
        <v>140</v>
      </c>
      <c r="E3506" t="s">
        <v>31</v>
      </c>
      <c r="F3506" t="s">
        <v>99</v>
      </c>
      <c r="G3506" t="s">
        <v>100</v>
      </c>
      <c r="H3506" t="s">
        <v>29</v>
      </c>
      <c r="I3506" t="s">
        <v>124</v>
      </c>
      <c r="J3506" t="s">
        <v>94</v>
      </c>
      <c r="K3506">
        <v>2</v>
      </c>
      <c r="L3506">
        <v>31000</v>
      </c>
      <c r="M3506">
        <v>62000</v>
      </c>
      <c r="N3506" t="s">
        <v>108</v>
      </c>
      <c r="O3506" t="s">
        <v>96</v>
      </c>
    </row>
    <row r="3507" spans="1:15" x14ac:dyDescent="0.25">
      <c r="A3507">
        <v>1347</v>
      </c>
      <c r="B3507" s="10">
        <v>45740</v>
      </c>
      <c r="C3507">
        <v>24</v>
      </c>
      <c r="D3507" t="s">
        <v>140</v>
      </c>
      <c r="E3507" t="s">
        <v>137</v>
      </c>
      <c r="F3507" t="s">
        <v>107</v>
      </c>
      <c r="G3507" t="s">
        <v>100</v>
      </c>
      <c r="H3507" t="s">
        <v>92</v>
      </c>
      <c r="I3507" t="s">
        <v>129</v>
      </c>
      <c r="J3507" t="s">
        <v>103</v>
      </c>
      <c r="K3507">
        <v>33</v>
      </c>
      <c r="L3507">
        <v>33400</v>
      </c>
      <c r="M3507">
        <v>1102200</v>
      </c>
      <c r="N3507" t="s">
        <v>95</v>
      </c>
      <c r="O3507" t="s">
        <v>115</v>
      </c>
    </row>
    <row r="3508" spans="1:15" x14ac:dyDescent="0.25">
      <c r="A3508">
        <v>2067</v>
      </c>
      <c r="B3508" s="10">
        <v>45709</v>
      </c>
      <c r="C3508">
        <v>21</v>
      </c>
      <c r="D3508" t="s">
        <v>97</v>
      </c>
      <c r="E3508" t="s">
        <v>138</v>
      </c>
      <c r="F3508" t="s">
        <v>99</v>
      </c>
      <c r="G3508" t="s">
        <v>100</v>
      </c>
      <c r="H3508" t="s">
        <v>92</v>
      </c>
      <c r="I3508" t="s">
        <v>129</v>
      </c>
      <c r="J3508" t="s">
        <v>103</v>
      </c>
      <c r="K3508">
        <v>8</v>
      </c>
      <c r="L3508">
        <v>33600</v>
      </c>
      <c r="M3508">
        <v>268800</v>
      </c>
      <c r="N3508" t="s">
        <v>95</v>
      </c>
      <c r="O3508" t="s">
        <v>96</v>
      </c>
    </row>
    <row r="3509" spans="1:15" x14ac:dyDescent="0.25">
      <c r="A3509">
        <v>14</v>
      </c>
      <c r="B3509" s="10">
        <v>45945</v>
      </c>
      <c r="C3509">
        <v>15</v>
      </c>
      <c r="D3509" t="s">
        <v>136</v>
      </c>
      <c r="E3509" t="s">
        <v>137</v>
      </c>
      <c r="F3509" t="s">
        <v>44</v>
      </c>
      <c r="G3509" t="s">
        <v>111</v>
      </c>
      <c r="H3509" t="s">
        <v>92</v>
      </c>
      <c r="I3509" t="s">
        <v>129</v>
      </c>
      <c r="J3509" t="s">
        <v>103</v>
      </c>
      <c r="K3509">
        <v>42</v>
      </c>
      <c r="L3509">
        <v>34600</v>
      </c>
      <c r="M3509">
        <v>1453200</v>
      </c>
      <c r="N3509" t="s">
        <v>108</v>
      </c>
      <c r="O3509" t="s">
        <v>115</v>
      </c>
    </row>
    <row r="3510" spans="1:15" x14ac:dyDescent="0.25">
      <c r="A3510">
        <v>3529</v>
      </c>
      <c r="B3510" s="10">
        <v>46012</v>
      </c>
      <c r="C3510">
        <v>21</v>
      </c>
      <c r="D3510" t="s">
        <v>125</v>
      </c>
      <c r="E3510" t="s">
        <v>161</v>
      </c>
      <c r="F3510" t="s">
        <v>151</v>
      </c>
      <c r="G3510" t="s">
        <v>111</v>
      </c>
      <c r="H3510" t="s">
        <v>92</v>
      </c>
      <c r="I3510" t="s">
        <v>129</v>
      </c>
      <c r="J3510" t="s">
        <v>103</v>
      </c>
      <c r="K3510">
        <v>17</v>
      </c>
      <c r="L3510">
        <v>34700</v>
      </c>
      <c r="M3510">
        <v>589900</v>
      </c>
      <c r="N3510" t="s">
        <v>95</v>
      </c>
      <c r="O3510" t="s">
        <v>96</v>
      </c>
    </row>
    <row r="3511" spans="1:15" x14ac:dyDescent="0.25">
      <c r="A3511">
        <v>2831</v>
      </c>
      <c r="B3511" s="10">
        <v>45885</v>
      </c>
      <c r="C3511">
        <v>16</v>
      </c>
      <c r="D3511" t="s">
        <v>109</v>
      </c>
      <c r="E3511" t="s">
        <v>133</v>
      </c>
      <c r="F3511" t="s">
        <v>148</v>
      </c>
      <c r="G3511" t="s">
        <v>118</v>
      </c>
      <c r="H3511" t="s">
        <v>23</v>
      </c>
      <c r="I3511" t="s">
        <v>45</v>
      </c>
      <c r="J3511" t="s">
        <v>103</v>
      </c>
      <c r="K3511">
        <v>14</v>
      </c>
      <c r="L3511">
        <v>35000</v>
      </c>
      <c r="M3511">
        <v>490000</v>
      </c>
      <c r="N3511" t="s">
        <v>108</v>
      </c>
      <c r="O3511" t="s">
        <v>115</v>
      </c>
    </row>
    <row r="3512" spans="1:15" x14ac:dyDescent="0.25">
      <c r="A3512">
        <v>1032</v>
      </c>
      <c r="B3512" s="10">
        <v>45863</v>
      </c>
      <c r="C3512">
        <v>25</v>
      </c>
      <c r="D3512" t="s">
        <v>145</v>
      </c>
      <c r="E3512" t="s">
        <v>128</v>
      </c>
      <c r="F3512" t="s">
        <v>122</v>
      </c>
      <c r="G3512" t="s">
        <v>114</v>
      </c>
      <c r="H3512" t="s">
        <v>92</v>
      </c>
      <c r="I3512" t="s">
        <v>129</v>
      </c>
      <c r="J3512" t="s">
        <v>103</v>
      </c>
      <c r="K3512">
        <v>25</v>
      </c>
      <c r="L3512">
        <v>35100</v>
      </c>
      <c r="M3512">
        <v>877500</v>
      </c>
      <c r="N3512" t="s">
        <v>108</v>
      </c>
      <c r="O3512" t="s">
        <v>104</v>
      </c>
    </row>
    <row r="3513" spans="1:15" x14ac:dyDescent="0.25">
      <c r="A3513">
        <v>2099</v>
      </c>
      <c r="B3513" s="10">
        <v>45720</v>
      </c>
      <c r="C3513">
        <v>4</v>
      </c>
      <c r="D3513" t="s">
        <v>140</v>
      </c>
      <c r="E3513" t="s">
        <v>128</v>
      </c>
      <c r="F3513" t="s">
        <v>122</v>
      </c>
      <c r="G3513" t="s">
        <v>114</v>
      </c>
      <c r="H3513" t="s">
        <v>92</v>
      </c>
      <c r="I3513" t="s">
        <v>129</v>
      </c>
      <c r="J3513" t="s">
        <v>103</v>
      </c>
      <c r="K3513">
        <v>50</v>
      </c>
      <c r="L3513">
        <v>35300</v>
      </c>
      <c r="M3513">
        <v>1765000</v>
      </c>
      <c r="N3513" t="s">
        <v>95</v>
      </c>
      <c r="O3513" t="s">
        <v>115</v>
      </c>
    </row>
    <row r="3514" spans="1:15" x14ac:dyDescent="0.25">
      <c r="A3514">
        <v>3915</v>
      </c>
      <c r="B3514" s="10">
        <v>45827</v>
      </c>
      <c r="C3514">
        <v>19</v>
      </c>
      <c r="D3514" t="s">
        <v>153</v>
      </c>
      <c r="E3514" t="s">
        <v>150</v>
      </c>
      <c r="F3514" t="s">
        <v>107</v>
      </c>
      <c r="G3514" t="s">
        <v>100</v>
      </c>
      <c r="H3514" t="s">
        <v>92</v>
      </c>
      <c r="I3514" t="s">
        <v>129</v>
      </c>
      <c r="J3514" t="s">
        <v>103</v>
      </c>
      <c r="K3514">
        <v>41</v>
      </c>
      <c r="L3514">
        <v>35400</v>
      </c>
      <c r="M3514">
        <v>1451400</v>
      </c>
      <c r="N3514" t="s">
        <v>95</v>
      </c>
      <c r="O3514" t="s">
        <v>104</v>
      </c>
    </row>
    <row r="3515" spans="1:15" x14ac:dyDescent="0.25">
      <c r="A3515">
        <v>438</v>
      </c>
      <c r="B3515" s="10">
        <v>45748</v>
      </c>
      <c r="C3515">
        <v>1</v>
      </c>
      <c r="D3515" t="s">
        <v>105</v>
      </c>
      <c r="E3515" t="s">
        <v>161</v>
      </c>
      <c r="F3515" t="s">
        <v>22</v>
      </c>
      <c r="G3515" t="s">
        <v>91</v>
      </c>
      <c r="H3515" t="s">
        <v>92</v>
      </c>
      <c r="I3515" t="s">
        <v>129</v>
      </c>
      <c r="J3515" t="s">
        <v>103</v>
      </c>
      <c r="K3515">
        <v>41</v>
      </c>
      <c r="L3515">
        <v>35600</v>
      </c>
      <c r="M3515">
        <v>1459600</v>
      </c>
      <c r="N3515" t="s">
        <v>95</v>
      </c>
      <c r="O3515" t="s">
        <v>104</v>
      </c>
    </row>
    <row r="3516" spans="1:15" x14ac:dyDescent="0.25">
      <c r="A3516">
        <v>2354</v>
      </c>
      <c r="B3516" s="10">
        <v>46018</v>
      </c>
      <c r="C3516">
        <v>27</v>
      </c>
      <c r="D3516" t="s">
        <v>125</v>
      </c>
      <c r="E3516" t="s">
        <v>128</v>
      </c>
      <c r="F3516" t="s">
        <v>113</v>
      </c>
      <c r="G3516" t="s">
        <v>114</v>
      </c>
      <c r="H3516" t="s">
        <v>92</v>
      </c>
      <c r="I3516" t="s">
        <v>129</v>
      </c>
      <c r="J3516" t="s">
        <v>103</v>
      </c>
      <c r="K3516">
        <v>16</v>
      </c>
      <c r="L3516">
        <v>35600</v>
      </c>
      <c r="M3516">
        <v>569600</v>
      </c>
      <c r="N3516" t="s">
        <v>95</v>
      </c>
      <c r="O3516" t="s">
        <v>96</v>
      </c>
    </row>
    <row r="3517" spans="1:15" x14ac:dyDescent="0.25">
      <c r="A3517">
        <v>2547</v>
      </c>
      <c r="B3517" s="10">
        <v>45895</v>
      </c>
      <c r="C3517">
        <v>26</v>
      </c>
      <c r="D3517" t="s">
        <v>109</v>
      </c>
      <c r="E3517" t="s">
        <v>110</v>
      </c>
      <c r="F3517" t="s">
        <v>107</v>
      </c>
      <c r="G3517" t="s">
        <v>100</v>
      </c>
      <c r="H3517" t="s">
        <v>23</v>
      </c>
      <c r="I3517" t="s">
        <v>45</v>
      </c>
      <c r="J3517" t="s">
        <v>103</v>
      </c>
      <c r="K3517">
        <v>46</v>
      </c>
      <c r="L3517">
        <v>35600</v>
      </c>
      <c r="M3517">
        <v>1637600</v>
      </c>
      <c r="N3517" t="s">
        <v>95</v>
      </c>
      <c r="O3517" t="s">
        <v>104</v>
      </c>
    </row>
    <row r="3518" spans="1:15" x14ac:dyDescent="0.25">
      <c r="A3518">
        <v>640</v>
      </c>
      <c r="B3518" s="10">
        <v>45963</v>
      </c>
      <c r="C3518">
        <v>2</v>
      </c>
      <c r="D3518" t="s">
        <v>90</v>
      </c>
      <c r="E3518" t="s">
        <v>133</v>
      </c>
      <c r="F3518" t="s">
        <v>122</v>
      </c>
      <c r="G3518" t="s">
        <v>114</v>
      </c>
      <c r="H3518" t="s">
        <v>92</v>
      </c>
      <c r="I3518" t="s">
        <v>129</v>
      </c>
      <c r="J3518" t="s">
        <v>103</v>
      </c>
      <c r="K3518">
        <v>38</v>
      </c>
      <c r="L3518">
        <v>35800</v>
      </c>
      <c r="M3518">
        <v>1360400</v>
      </c>
      <c r="N3518" t="s">
        <v>108</v>
      </c>
      <c r="O3518" t="s">
        <v>115</v>
      </c>
    </row>
    <row r="3519" spans="1:15" x14ac:dyDescent="0.25">
      <c r="A3519">
        <v>4796</v>
      </c>
      <c r="B3519" s="10">
        <v>45759</v>
      </c>
      <c r="C3519">
        <v>12</v>
      </c>
      <c r="D3519" t="s">
        <v>105</v>
      </c>
      <c r="E3519" t="s">
        <v>98</v>
      </c>
      <c r="F3519" t="s">
        <v>122</v>
      </c>
      <c r="G3519" t="s">
        <v>114</v>
      </c>
      <c r="H3519" t="s">
        <v>92</v>
      </c>
      <c r="I3519" t="s">
        <v>129</v>
      </c>
      <c r="J3519" t="s">
        <v>103</v>
      </c>
      <c r="K3519">
        <v>45</v>
      </c>
      <c r="L3519">
        <v>35800</v>
      </c>
      <c r="M3519">
        <v>1611000</v>
      </c>
      <c r="N3519" t="s">
        <v>108</v>
      </c>
      <c r="O3519" t="s">
        <v>96</v>
      </c>
    </row>
    <row r="3520" spans="1:15" x14ac:dyDescent="0.25">
      <c r="A3520">
        <v>685</v>
      </c>
      <c r="B3520" s="10">
        <v>45986</v>
      </c>
      <c r="C3520">
        <v>25</v>
      </c>
      <c r="D3520" t="s">
        <v>90</v>
      </c>
      <c r="E3520" t="s">
        <v>116</v>
      </c>
      <c r="F3520" t="s">
        <v>22</v>
      </c>
      <c r="G3520" t="s">
        <v>91</v>
      </c>
      <c r="H3520" t="s">
        <v>92</v>
      </c>
      <c r="I3520" t="s">
        <v>129</v>
      </c>
      <c r="J3520" t="s">
        <v>103</v>
      </c>
      <c r="K3520">
        <v>10</v>
      </c>
      <c r="L3520">
        <v>35900</v>
      </c>
      <c r="M3520">
        <v>359000</v>
      </c>
      <c r="N3520" t="s">
        <v>95</v>
      </c>
      <c r="O3520" t="s">
        <v>115</v>
      </c>
    </row>
    <row r="3521" spans="1:15" x14ac:dyDescent="0.25">
      <c r="A3521">
        <v>1256</v>
      </c>
      <c r="B3521" s="10">
        <v>45775</v>
      </c>
      <c r="C3521">
        <v>28</v>
      </c>
      <c r="D3521" t="s">
        <v>105</v>
      </c>
      <c r="E3521" t="s">
        <v>116</v>
      </c>
      <c r="F3521" t="s">
        <v>122</v>
      </c>
      <c r="G3521" t="s">
        <v>114</v>
      </c>
      <c r="H3521" t="s">
        <v>23</v>
      </c>
      <c r="I3521" t="s">
        <v>45</v>
      </c>
      <c r="J3521" t="s">
        <v>103</v>
      </c>
      <c r="K3521">
        <v>25</v>
      </c>
      <c r="L3521">
        <v>35900</v>
      </c>
      <c r="M3521">
        <v>897500</v>
      </c>
      <c r="N3521" t="s">
        <v>95</v>
      </c>
      <c r="O3521" t="s">
        <v>96</v>
      </c>
    </row>
    <row r="3522" spans="1:15" x14ac:dyDescent="0.25">
      <c r="A3522">
        <v>2783</v>
      </c>
      <c r="B3522" s="10">
        <v>45682</v>
      </c>
      <c r="C3522">
        <v>25</v>
      </c>
      <c r="D3522" t="s">
        <v>130</v>
      </c>
      <c r="E3522" t="s">
        <v>25</v>
      </c>
      <c r="F3522" t="s">
        <v>49</v>
      </c>
      <c r="G3522" t="s">
        <v>118</v>
      </c>
      <c r="H3522" t="s">
        <v>23</v>
      </c>
      <c r="I3522" t="s">
        <v>45</v>
      </c>
      <c r="J3522" t="s">
        <v>103</v>
      </c>
      <c r="K3522">
        <v>48</v>
      </c>
      <c r="L3522">
        <v>35900</v>
      </c>
      <c r="M3522">
        <v>1723200</v>
      </c>
      <c r="N3522" t="s">
        <v>108</v>
      </c>
      <c r="O3522" t="s">
        <v>104</v>
      </c>
    </row>
    <row r="3523" spans="1:15" x14ac:dyDescent="0.25">
      <c r="A3523">
        <v>3114</v>
      </c>
      <c r="B3523" s="10">
        <v>45961</v>
      </c>
      <c r="C3523">
        <v>31</v>
      </c>
      <c r="D3523" t="s">
        <v>136</v>
      </c>
      <c r="E3523" t="s">
        <v>98</v>
      </c>
      <c r="F3523" t="s">
        <v>28</v>
      </c>
      <c r="G3523" t="s">
        <v>126</v>
      </c>
      <c r="H3523" t="s">
        <v>92</v>
      </c>
      <c r="I3523" t="s">
        <v>129</v>
      </c>
      <c r="J3523" t="s">
        <v>103</v>
      </c>
      <c r="K3523">
        <v>12</v>
      </c>
      <c r="L3523">
        <v>35900</v>
      </c>
      <c r="M3523">
        <v>430800</v>
      </c>
      <c r="N3523" t="s">
        <v>95</v>
      </c>
      <c r="O3523" t="s">
        <v>115</v>
      </c>
    </row>
    <row r="3524" spans="1:15" x14ac:dyDescent="0.25">
      <c r="A3524">
        <v>64</v>
      </c>
      <c r="B3524" s="10">
        <v>45770</v>
      </c>
      <c r="C3524">
        <v>23</v>
      </c>
      <c r="D3524" t="s">
        <v>105</v>
      </c>
      <c r="E3524" t="s">
        <v>138</v>
      </c>
      <c r="F3524" t="s">
        <v>117</v>
      </c>
      <c r="G3524" t="s">
        <v>118</v>
      </c>
      <c r="H3524" t="s">
        <v>92</v>
      </c>
      <c r="I3524" t="s">
        <v>129</v>
      </c>
      <c r="J3524" t="s">
        <v>103</v>
      </c>
      <c r="K3524">
        <v>8</v>
      </c>
      <c r="L3524">
        <v>36000</v>
      </c>
      <c r="M3524">
        <v>288000</v>
      </c>
      <c r="N3524" t="s">
        <v>95</v>
      </c>
      <c r="O3524" t="s">
        <v>104</v>
      </c>
    </row>
    <row r="3525" spans="1:15" x14ac:dyDescent="0.25">
      <c r="A3525">
        <v>245</v>
      </c>
      <c r="B3525" s="10">
        <v>45784</v>
      </c>
      <c r="C3525">
        <v>7</v>
      </c>
      <c r="D3525" t="s">
        <v>120</v>
      </c>
      <c r="E3525" t="s">
        <v>138</v>
      </c>
      <c r="F3525" t="s">
        <v>28</v>
      </c>
      <c r="G3525" t="s">
        <v>126</v>
      </c>
      <c r="H3525" t="s">
        <v>23</v>
      </c>
      <c r="I3525" t="s">
        <v>45</v>
      </c>
      <c r="J3525" t="s">
        <v>103</v>
      </c>
      <c r="K3525">
        <v>44</v>
      </c>
      <c r="L3525">
        <v>36000</v>
      </c>
      <c r="M3525">
        <v>1584000</v>
      </c>
      <c r="N3525" t="s">
        <v>108</v>
      </c>
      <c r="O3525" t="s">
        <v>104</v>
      </c>
    </row>
    <row r="3526" spans="1:15" x14ac:dyDescent="0.25">
      <c r="A3526">
        <v>4033</v>
      </c>
      <c r="B3526" s="10">
        <v>45813</v>
      </c>
      <c r="C3526">
        <v>5</v>
      </c>
      <c r="D3526" t="s">
        <v>153</v>
      </c>
      <c r="E3526" t="s">
        <v>150</v>
      </c>
      <c r="F3526" t="s">
        <v>134</v>
      </c>
      <c r="G3526" t="s">
        <v>100</v>
      </c>
      <c r="H3526" t="s">
        <v>23</v>
      </c>
      <c r="I3526" t="s">
        <v>45</v>
      </c>
      <c r="J3526" t="s">
        <v>103</v>
      </c>
      <c r="K3526">
        <v>30</v>
      </c>
      <c r="L3526">
        <v>36000</v>
      </c>
      <c r="M3526">
        <v>1080000</v>
      </c>
      <c r="N3526" t="s">
        <v>95</v>
      </c>
      <c r="O3526" t="s">
        <v>115</v>
      </c>
    </row>
    <row r="3527" spans="1:15" x14ac:dyDescent="0.25">
      <c r="A3527">
        <v>2946</v>
      </c>
      <c r="B3527" s="10">
        <v>45730</v>
      </c>
      <c r="C3527">
        <v>14</v>
      </c>
      <c r="D3527" t="s">
        <v>140</v>
      </c>
      <c r="E3527" t="s">
        <v>31</v>
      </c>
      <c r="F3527" t="s">
        <v>99</v>
      </c>
      <c r="G3527" t="s">
        <v>100</v>
      </c>
      <c r="H3527" t="s">
        <v>92</v>
      </c>
      <c r="I3527" t="s">
        <v>129</v>
      </c>
      <c r="J3527" t="s">
        <v>103</v>
      </c>
      <c r="K3527">
        <v>8</v>
      </c>
      <c r="L3527">
        <v>36100</v>
      </c>
      <c r="M3527">
        <v>288800</v>
      </c>
      <c r="N3527" t="s">
        <v>95</v>
      </c>
      <c r="O3527" t="s">
        <v>104</v>
      </c>
    </row>
    <row r="3528" spans="1:15" x14ac:dyDescent="0.25">
      <c r="A3528">
        <v>3084</v>
      </c>
      <c r="B3528" s="10">
        <v>45678</v>
      </c>
      <c r="C3528">
        <v>21</v>
      </c>
      <c r="D3528" t="s">
        <v>130</v>
      </c>
      <c r="E3528" t="s">
        <v>161</v>
      </c>
      <c r="F3528" t="s">
        <v>151</v>
      </c>
      <c r="G3528" t="s">
        <v>111</v>
      </c>
      <c r="H3528" t="s">
        <v>92</v>
      </c>
      <c r="I3528" t="s">
        <v>129</v>
      </c>
      <c r="J3528" t="s">
        <v>103</v>
      </c>
      <c r="K3528">
        <v>6</v>
      </c>
      <c r="L3528">
        <v>36100</v>
      </c>
      <c r="M3528">
        <v>216600</v>
      </c>
      <c r="N3528" t="s">
        <v>108</v>
      </c>
      <c r="O3528" t="s">
        <v>104</v>
      </c>
    </row>
    <row r="3529" spans="1:15" x14ac:dyDescent="0.25">
      <c r="A3529">
        <v>1737</v>
      </c>
      <c r="B3529" s="10">
        <v>45726</v>
      </c>
      <c r="C3529">
        <v>10</v>
      </c>
      <c r="D3529" t="s">
        <v>140</v>
      </c>
      <c r="E3529" t="s">
        <v>128</v>
      </c>
      <c r="F3529" t="s">
        <v>99</v>
      </c>
      <c r="G3529" t="s">
        <v>100</v>
      </c>
      <c r="H3529" t="s">
        <v>23</v>
      </c>
      <c r="I3529" t="s">
        <v>45</v>
      </c>
      <c r="J3529" t="s">
        <v>103</v>
      </c>
      <c r="K3529">
        <v>14</v>
      </c>
      <c r="L3529">
        <v>36200</v>
      </c>
      <c r="M3529">
        <v>506800</v>
      </c>
      <c r="N3529" t="s">
        <v>95</v>
      </c>
      <c r="O3529" t="s">
        <v>96</v>
      </c>
    </row>
    <row r="3530" spans="1:15" x14ac:dyDescent="0.25">
      <c r="A3530">
        <v>2327</v>
      </c>
      <c r="B3530" s="10">
        <v>45779</v>
      </c>
      <c r="C3530">
        <v>2</v>
      </c>
      <c r="D3530" t="s">
        <v>120</v>
      </c>
      <c r="E3530" t="s">
        <v>138</v>
      </c>
      <c r="F3530" t="s">
        <v>122</v>
      </c>
      <c r="G3530" t="s">
        <v>114</v>
      </c>
      <c r="H3530" t="s">
        <v>23</v>
      </c>
      <c r="I3530" t="s">
        <v>45</v>
      </c>
      <c r="J3530" t="s">
        <v>103</v>
      </c>
      <c r="K3530">
        <v>9</v>
      </c>
      <c r="L3530">
        <v>36200</v>
      </c>
      <c r="M3530">
        <v>325800</v>
      </c>
      <c r="N3530" t="s">
        <v>95</v>
      </c>
      <c r="O3530" t="s">
        <v>104</v>
      </c>
    </row>
    <row r="3531" spans="1:15" x14ac:dyDescent="0.25">
      <c r="A3531">
        <v>4254</v>
      </c>
      <c r="B3531" s="10">
        <v>46012</v>
      </c>
      <c r="C3531">
        <v>21</v>
      </c>
      <c r="D3531" t="s">
        <v>125</v>
      </c>
      <c r="E3531" t="s">
        <v>25</v>
      </c>
      <c r="F3531" t="s">
        <v>144</v>
      </c>
      <c r="G3531" t="s">
        <v>91</v>
      </c>
      <c r="H3531" t="s">
        <v>92</v>
      </c>
      <c r="I3531" t="s">
        <v>129</v>
      </c>
      <c r="J3531" t="s">
        <v>103</v>
      </c>
      <c r="K3531">
        <v>49</v>
      </c>
      <c r="L3531">
        <v>36200</v>
      </c>
      <c r="M3531">
        <v>1773800</v>
      </c>
      <c r="N3531" t="s">
        <v>95</v>
      </c>
      <c r="O3531" t="s">
        <v>96</v>
      </c>
    </row>
    <row r="3532" spans="1:15" x14ac:dyDescent="0.25">
      <c r="A3532">
        <v>4733</v>
      </c>
      <c r="B3532" s="10">
        <v>45683</v>
      </c>
      <c r="C3532">
        <v>26</v>
      </c>
      <c r="D3532" t="s">
        <v>130</v>
      </c>
      <c r="E3532" t="s">
        <v>31</v>
      </c>
      <c r="F3532" t="s">
        <v>44</v>
      </c>
      <c r="G3532" t="s">
        <v>111</v>
      </c>
      <c r="H3532" t="s">
        <v>92</v>
      </c>
      <c r="I3532" t="s">
        <v>129</v>
      </c>
      <c r="J3532" t="s">
        <v>103</v>
      </c>
      <c r="K3532">
        <v>13</v>
      </c>
      <c r="L3532">
        <v>36200</v>
      </c>
      <c r="M3532">
        <v>470600</v>
      </c>
      <c r="N3532" t="s">
        <v>108</v>
      </c>
      <c r="O3532" t="s">
        <v>96</v>
      </c>
    </row>
    <row r="3533" spans="1:15" x14ac:dyDescent="0.25">
      <c r="A3533">
        <v>3314</v>
      </c>
      <c r="B3533" s="10">
        <v>45720</v>
      </c>
      <c r="C3533">
        <v>4</v>
      </c>
      <c r="D3533" t="s">
        <v>140</v>
      </c>
      <c r="E3533" t="s">
        <v>150</v>
      </c>
      <c r="F3533" t="s">
        <v>99</v>
      </c>
      <c r="G3533" t="s">
        <v>100</v>
      </c>
      <c r="H3533" t="s">
        <v>92</v>
      </c>
      <c r="I3533" t="s">
        <v>129</v>
      </c>
      <c r="J3533" t="s">
        <v>103</v>
      </c>
      <c r="K3533">
        <v>39</v>
      </c>
      <c r="L3533">
        <v>36300</v>
      </c>
      <c r="M3533">
        <v>1415700</v>
      </c>
      <c r="N3533" t="s">
        <v>108</v>
      </c>
      <c r="O3533" t="s">
        <v>96</v>
      </c>
    </row>
    <row r="3534" spans="1:15" x14ac:dyDescent="0.25">
      <c r="A3534">
        <v>755</v>
      </c>
      <c r="B3534" s="10">
        <v>46009</v>
      </c>
      <c r="C3534">
        <v>18</v>
      </c>
      <c r="D3534" t="s">
        <v>125</v>
      </c>
      <c r="E3534" t="s">
        <v>121</v>
      </c>
      <c r="F3534" t="s">
        <v>148</v>
      </c>
      <c r="G3534" t="s">
        <v>118</v>
      </c>
      <c r="H3534" t="s">
        <v>23</v>
      </c>
      <c r="I3534" t="s">
        <v>45</v>
      </c>
      <c r="J3534" t="s">
        <v>103</v>
      </c>
      <c r="K3534">
        <v>7</v>
      </c>
      <c r="L3534">
        <v>36400</v>
      </c>
      <c r="M3534">
        <v>254800</v>
      </c>
      <c r="N3534" t="s">
        <v>95</v>
      </c>
      <c r="O3534" t="s">
        <v>96</v>
      </c>
    </row>
    <row r="3535" spans="1:15" x14ac:dyDescent="0.25">
      <c r="A3535">
        <v>983</v>
      </c>
      <c r="B3535" s="10">
        <v>45678</v>
      </c>
      <c r="C3535">
        <v>21</v>
      </c>
      <c r="D3535" t="s">
        <v>130</v>
      </c>
      <c r="E3535" t="s">
        <v>133</v>
      </c>
      <c r="F3535" t="s">
        <v>113</v>
      </c>
      <c r="G3535" t="s">
        <v>114</v>
      </c>
      <c r="H3535" t="s">
        <v>92</v>
      </c>
      <c r="I3535" t="s">
        <v>129</v>
      </c>
      <c r="J3535" t="s">
        <v>103</v>
      </c>
      <c r="K3535">
        <v>34</v>
      </c>
      <c r="L3535">
        <v>36400</v>
      </c>
      <c r="M3535">
        <v>1237600</v>
      </c>
      <c r="N3535" t="s">
        <v>108</v>
      </c>
      <c r="O3535" t="s">
        <v>104</v>
      </c>
    </row>
    <row r="3536" spans="1:15" x14ac:dyDescent="0.25">
      <c r="A3536">
        <v>3378</v>
      </c>
      <c r="B3536" s="10">
        <v>45764</v>
      </c>
      <c r="C3536">
        <v>17</v>
      </c>
      <c r="D3536" t="s">
        <v>105</v>
      </c>
      <c r="E3536" t="s">
        <v>31</v>
      </c>
      <c r="F3536" t="s">
        <v>36</v>
      </c>
      <c r="G3536" t="s">
        <v>100</v>
      </c>
      <c r="H3536" t="s">
        <v>23</v>
      </c>
      <c r="I3536" t="s">
        <v>45</v>
      </c>
      <c r="J3536" t="s">
        <v>103</v>
      </c>
      <c r="K3536">
        <v>17</v>
      </c>
      <c r="L3536">
        <v>36400</v>
      </c>
      <c r="M3536">
        <v>618800</v>
      </c>
      <c r="N3536" t="s">
        <v>108</v>
      </c>
      <c r="O3536" t="s">
        <v>115</v>
      </c>
    </row>
    <row r="3537" spans="1:15" x14ac:dyDescent="0.25">
      <c r="A3537">
        <v>171</v>
      </c>
      <c r="B3537" s="10">
        <v>45878</v>
      </c>
      <c r="C3537">
        <v>9</v>
      </c>
      <c r="D3537" t="s">
        <v>109</v>
      </c>
      <c r="E3537" t="s">
        <v>31</v>
      </c>
      <c r="F3537" t="s">
        <v>44</v>
      </c>
      <c r="G3537" t="s">
        <v>111</v>
      </c>
      <c r="H3537" t="s">
        <v>92</v>
      </c>
      <c r="I3537" t="s">
        <v>129</v>
      </c>
      <c r="J3537" t="s">
        <v>103</v>
      </c>
      <c r="K3537">
        <v>38</v>
      </c>
      <c r="L3537">
        <v>36500</v>
      </c>
      <c r="M3537">
        <v>1387000</v>
      </c>
      <c r="N3537" t="s">
        <v>108</v>
      </c>
      <c r="O3537" t="s">
        <v>104</v>
      </c>
    </row>
    <row r="3538" spans="1:15" x14ac:dyDescent="0.25">
      <c r="A3538">
        <v>391</v>
      </c>
      <c r="B3538" s="10">
        <v>45861</v>
      </c>
      <c r="C3538">
        <v>23</v>
      </c>
      <c r="D3538" t="s">
        <v>145</v>
      </c>
      <c r="E3538" t="s">
        <v>137</v>
      </c>
      <c r="F3538" t="s">
        <v>44</v>
      </c>
      <c r="G3538" t="s">
        <v>111</v>
      </c>
      <c r="H3538" t="s">
        <v>92</v>
      </c>
      <c r="I3538" t="s">
        <v>129</v>
      </c>
      <c r="J3538" t="s">
        <v>103</v>
      </c>
      <c r="K3538">
        <v>32</v>
      </c>
      <c r="L3538">
        <v>36500</v>
      </c>
      <c r="M3538">
        <v>1168000</v>
      </c>
      <c r="N3538" t="s">
        <v>108</v>
      </c>
      <c r="O3538" t="s">
        <v>104</v>
      </c>
    </row>
    <row r="3539" spans="1:15" x14ac:dyDescent="0.25">
      <c r="A3539">
        <v>602</v>
      </c>
      <c r="B3539" s="10">
        <v>45663</v>
      </c>
      <c r="C3539">
        <v>6</v>
      </c>
      <c r="D3539" t="s">
        <v>130</v>
      </c>
      <c r="E3539" t="s">
        <v>106</v>
      </c>
      <c r="F3539" t="s">
        <v>141</v>
      </c>
      <c r="G3539" t="s">
        <v>100</v>
      </c>
      <c r="H3539" t="s">
        <v>92</v>
      </c>
      <c r="I3539" t="s">
        <v>129</v>
      </c>
      <c r="J3539" t="s">
        <v>103</v>
      </c>
      <c r="K3539">
        <v>17</v>
      </c>
      <c r="L3539">
        <v>36500</v>
      </c>
      <c r="M3539">
        <v>620500</v>
      </c>
      <c r="N3539" t="s">
        <v>95</v>
      </c>
      <c r="O3539" t="s">
        <v>96</v>
      </c>
    </row>
    <row r="3540" spans="1:15" x14ac:dyDescent="0.25">
      <c r="A3540">
        <v>810</v>
      </c>
      <c r="B3540" s="10">
        <v>45853</v>
      </c>
      <c r="C3540">
        <v>15</v>
      </c>
      <c r="D3540" t="s">
        <v>145</v>
      </c>
      <c r="E3540" t="s">
        <v>142</v>
      </c>
      <c r="F3540" t="s">
        <v>113</v>
      </c>
      <c r="G3540" t="s">
        <v>114</v>
      </c>
      <c r="H3540" t="s">
        <v>23</v>
      </c>
      <c r="I3540" t="s">
        <v>45</v>
      </c>
      <c r="J3540" t="s">
        <v>103</v>
      </c>
      <c r="K3540">
        <v>16</v>
      </c>
      <c r="L3540">
        <v>36500</v>
      </c>
      <c r="M3540">
        <v>584000</v>
      </c>
      <c r="N3540" t="s">
        <v>108</v>
      </c>
      <c r="O3540" t="s">
        <v>104</v>
      </c>
    </row>
    <row r="3541" spans="1:15" x14ac:dyDescent="0.25">
      <c r="A3541">
        <v>832</v>
      </c>
      <c r="B3541" s="10">
        <v>45749</v>
      </c>
      <c r="C3541">
        <v>2</v>
      </c>
      <c r="D3541" t="s">
        <v>105</v>
      </c>
      <c r="E3541" t="s">
        <v>128</v>
      </c>
      <c r="F3541" t="s">
        <v>28</v>
      </c>
      <c r="G3541" t="s">
        <v>126</v>
      </c>
      <c r="H3541" t="s">
        <v>92</v>
      </c>
      <c r="I3541" t="s">
        <v>129</v>
      </c>
      <c r="J3541" t="s">
        <v>103</v>
      </c>
      <c r="K3541">
        <v>31</v>
      </c>
      <c r="L3541">
        <v>36500</v>
      </c>
      <c r="M3541">
        <v>1131500</v>
      </c>
      <c r="N3541" t="s">
        <v>108</v>
      </c>
      <c r="O3541" t="s">
        <v>96</v>
      </c>
    </row>
    <row r="3542" spans="1:15" x14ac:dyDescent="0.25">
      <c r="A3542">
        <v>3302</v>
      </c>
      <c r="B3542" s="10">
        <v>45863</v>
      </c>
      <c r="C3542">
        <v>25</v>
      </c>
      <c r="D3542" t="s">
        <v>145</v>
      </c>
      <c r="E3542" t="s">
        <v>137</v>
      </c>
      <c r="F3542" t="s">
        <v>151</v>
      </c>
      <c r="G3542" t="s">
        <v>111</v>
      </c>
      <c r="H3542" t="s">
        <v>23</v>
      </c>
      <c r="I3542" t="s">
        <v>45</v>
      </c>
      <c r="J3542" t="s">
        <v>103</v>
      </c>
      <c r="K3542">
        <v>39</v>
      </c>
      <c r="L3542">
        <v>36500</v>
      </c>
      <c r="M3542">
        <v>1423500</v>
      </c>
      <c r="N3542" t="s">
        <v>95</v>
      </c>
      <c r="O3542" t="s">
        <v>96</v>
      </c>
    </row>
    <row r="3543" spans="1:15" x14ac:dyDescent="0.25">
      <c r="A3543">
        <v>2734</v>
      </c>
      <c r="B3543" s="10">
        <v>45921</v>
      </c>
      <c r="C3543">
        <v>21</v>
      </c>
      <c r="D3543" t="s">
        <v>147</v>
      </c>
      <c r="E3543" t="s">
        <v>25</v>
      </c>
      <c r="F3543" t="s">
        <v>122</v>
      </c>
      <c r="G3543" t="s">
        <v>114</v>
      </c>
      <c r="H3543" t="s">
        <v>92</v>
      </c>
      <c r="I3543" t="s">
        <v>129</v>
      </c>
      <c r="J3543" t="s">
        <v>103</v>
      </c>
      <c r="K3543">
        <v>11</v>
      </c>
      <c r="L3543">
        <v>36600</v>
      </c>
      <c r="M3543">
        <v>402600</v>
      </c>
      <c r="N3543" t="s">
        <v>95</v>
      </c>
      <c r="O3543" t="s">
        <v>104</v>
      </c>
    </row>
    <row r="3544" spans="1:15" x14ac:dyDescent="0.25">
      <c r="A3544">
        <v>164</v>
      </c>
      <c r="B3544" s="10">
        <v>45994</v>
      </c>
      <c r="C3544">
        <v>3</v>
      </c>
      <c r="D3544" t="s">
        <v>125</v>
      </c>
      <c r="E3544" t="s">
        <v>133</v>
      </c>
      <c r="F3544" t="s">
        <v>49</v>
      </c>
      <c r="G3544" t="s">
        <v>118</v>
      </c>
      <c r="H3544" t="s">
        <v>23</v>
      </c>
      <c r="I3544" t="s">
        <v>45</v>
      </c>
      <c r="J3544" t="s">
        <v>103</v>
      </c>
      <c r="K3544">
        <v>12</v>
      </c>
      <c r="L3544">
        <v>36700</v>
      </c>
      <c r="M3544">
        <v>440400</v>
      </c>
      <c r="N3544" t="s">
        <v>108</v>
      </c>
      <c r="O3544" t="s">
        <v>96</v>
      </c>
    </row>
    <row r="3545" spans="1:15" x14ac:dyDescent="0.25">
      <c r="A3545">
        <v>3654</v>
      </c>
      <c r="B3545" s="10">
        <v>46008</v>
      </c>
      <c r="C3545">
        <v>17</v>
      </c>
      <c r="D3545" t="s">
        <v>125</v>
      </c>
      <c r="E3545" t="s">
        <v>112</v>
      </c>
      <c r="F3545" t="s">
        <v>28</v>
      </c>
      <c r="G3545" t="s">
        <v>126</v>
      </c>
      <c r="H3545" t="s">
        <v>92</v>
      </c>
      <c r="I3545" t="s">
        <v>129</v>
      </c>
      <c r="J3545" t="s">
        <v>103</v>
      </c>
      <c r="K3545">
        <v>14</v>
      </c>
      <c r="L3545">
        <v>36700</v>
      </c>
      <c r="M3545">
        <v>513800</v>
      </c>
      <c r="N3545" t="s">
        <v>108</v>
      </c>
      <c r="O3545" t="s">
        <v>104</v>
      </c>
    </row>
    <row r="3546" spans="1:15" x14ac:dyDescent="0.25">
      <c r="A3546">
        <v>748</v>
      </c>
      <c r="B3546" s="10">
        <v>45691</v>
      </c>
      <c r="C3546">
        <v>3</v>
      </c>
      <c r="D3546" t="s">
        <v>97</v>
      </c>
      <c r="E3546" t="s">
        <v>138</v>
      </c>
      <c r="F3546" t="s">
        <v>44</v>
      </c>
      <c r="G3546" t="s">
        <v>111</v>
      </c>
      <c r="H3546" t="s">
        <v>23</v>
      </c>
      <c r="I3546" t="s">
        <v>45</v>
      </c>
      <c r="J3546" t="s">
        <v>103</v>
      </c>
      <c r="K3546">
        <v>45</v>
      </c>
      <c r="L3546">
        <v>36800</v>
      </c>
      <c r="M3546">
        <v>1656000</v>
      </c>
      <c r="N3546" t="s">
        <v>95</v>
      </c>
      <c r="O3546" t="s">
        <v>96</v>
      </c>
    </row>
    <row r="3547" spans="1:15" x14ac:dyDescent="0.25">
      <c r="A3547">
        <v>2617</v>
      </c>
      <c r="B3547" s="10">
        <v>45730</v>
      </c>
      <c r="C3547">
        <v>14</v>
      </c>
      <c r="D3547" t="s">
        <v>140</v>
      </c>
      <c r="E3547" t="s">
        <v>128</v>
      </c>
      <c r="F3547" t="s">
        <v>28</v>
      </c>
      <c r="G3547" t="s">
        <v>126</v>
      </c>
      <c r="H3547" t="s">
        <v>23</v>
      </c>
      <c r="I3547" t="s">
        <v>45</v>
      </c>
      <c r="J3547" t="s">
        <v>103</v>
      </c>
      <c r="K3547">
        <v>10</v>
      </c>
      <c r="L3547">
        <v>36800</v>
      </c>
      <c r="M3547">
        <v>368000</v>
      </c>
      <c r="N3547" t="s">
        <v>108</v>
      </c>
      <c r="O3547" t="s">
        <v>115</v>
      </c>
    </row>
    <row r="3548" spans="1:15" x14ac:dyDescent="0.25">
      <c r="A3548">
        <v>4947</v>
      </c>
      <c r="B3548" s="10">
        <v>45934</v>
      </c>
      <c r="C3548">
        <v>4</v>
      </c>
      <c r="D3548" t="s">
        <v>136</v>
      </c>
      <c r="E3548" t="s">
        <v>112</v>
      </c>
      <c r="F3548" t="s">
        <v>99</v>
      </c>
      <c r="G3548" t="s">
        <v>100</v>
      </c>
      <c r="H3548" t="s">
        <v>23</v>
      </c>
      <c r="I3548" t="s">
        <v>45</v>
      </c>
      <c r="J3548" t="s">
        <v>103</v>
      </c>
      <c r="K3548">
        <v>39</v>
      </c>
      <c r="L3548">
        <v>36800</v>
      </c>
      <c r="M3548">
        <v>1435200</v>
      </c>
      <c r="N3548" t="s">
        <v>95</v>
      </c>
      <c r="O3548" t="s">
        <v>115</v>
      </c>
    </row>
    <row r="3549" spans="1:15" x14ac:dyDescent="0.25">
      <c r="A3549">
        <v>2541</v>
      </c>
      <c r="B3549" s="10">
        <v>45982</v>
      </c>
      <c r="C3549">
        <v>21</v>
      </c>
      <c r="D3549" t="s">
        <v>90</v>
      </c>
      <c r="E3549" t="s">
        <v>25</v>
      </c>
      <c r="F3549" t="s">
        <v>134</v>
      </c>
      <c r="G3549" t="s">
        <v>100</v>
      </c>
      <c r="H3549" t="s">
        <v>92</v>
      </c>
      <c r="I3549" t="s">
        <v>129</v>
      </c>
      <c r="J3549" t="s">
        <v>103</v>
      </c>
      <c r="K3549">
        <v>19</v>
      </c>
      <c r="L3549">
        <v>36900</v>
      </c>
      <c r="M3549">
        <v>701100</v>
      </c>
      <c r="N3549" t="s">
        <v>108</v>
      </c>
      <c r="O3549" t="s">
        <v>115</v>
      </c>
    </row>
    <row r="3550" spans="1:15" x14ac:dyDescent="0.25">
      <c r="A3550">
        <v>3164</v>
      </c>
      <c r="B3550" s="10">
        <v>45783</v>
      </c>
      <c r="C3550">
        <v>6</v>
      </c>
      <c r="D3550" t="s">
        <v>120</v>
      </c>
      <c r="E3550" t="s">
        <v>128</v>
      </c>
      <c r="F3550" t="s">
        <v>141</v>
      </c>
      <c r="G3550" t="s">
        <v>100</v>
      </c>
      <c r="H3550" t="s">
        <v>23</v>
      </c>
      <c r="I3550" t="s">
        <v>45</v>
      </c>
      <c r="J3550" t="s">
        <v>103</v>
      </c>
      <c r="K3550">
        <v>24</v>
      </c>
      <c r="L3550">
        <v>36900</v>
      </c>
      <c r="M3550">
        <v>885600</v>
      </c>
      <c r="N3550" t="s">
        <v>95</v>
      </c>
      <c r="O3550" t="s">
        <v>96</v>
      </c>
    </row>
    <row r="3551" spans="1:15" x14ac:dyDescent="0.25">
      <c r="A3551">
        <v>3842</v>
      </c>
      <c r="B3551" s="10">
        <v>45964</v>
      </c>
      <c r="C3551">
        <v>3</v>
      </c>
      <c r="D3551" t="s">
        <v>90</v>
      </c>
      <c r="E3551" t="s">
        <v>161</v>
      </c>
      <c r="F3551" t="s">
        <v>36</v>
      </c>
      <c r="G3551" t="s">
        <v>100</v>
      </c>
      <c r="H3551" t="s">
        <v>92</v>
      </c>
      <c r="I3551" t="s">
        <v>129</v>
      </c>
      <c r="J3551" t="s">
        <v>103</v>
      </c>
      <c r="K3551">
        <v>31</v>
      </c>
      <c r="L3551">
        <v>36900</v>
      </c>
      <c r="M3551">
        <v>1143900</v>
      </c>
      <c r="N3551" t="s">
        <v>108</v>
      </c>
      <c r="O3551" t="s">
        <v>96</v>
      </c>
    </row>
    <row r="3552" spans="1:15" x14ac:dyDescent="0.25">
      <c r="A3552">
        <v>1954</v>
      </c>
      <c r="B3552" s="10">
        <v>45932</v>
      </c>
      <c r="C3552">
        <v>2</v>
      </c>
      <c r="D3552" t="s">
        <v>136</v>
      </c>
      <c r="E3552" t="s">
        <v>25</v>
      </c>
      <c r="F3552" t="s">
        <v>144</v>
      </c>
      <c r="G3552" t="s">
        <v>91</v>
      </c>
      <c r="H3552" t="s">
        <v>92</v>
      </c>
      <c r="I3552" t="s">
        <v>129</v>
      </c>
      <c r="J3552" t="s">
        <v>103</v>
      </c>
      <c r="K3552">
        <v>22</v>
      </c>
      <c r="L3552">
        <v>37000</v>
      </c>
      <c r="M3552">
        <v>814000</v>
      </c>
      <c r="N3552" t="s">
        <v>108</v>
      </c>
      <c r="O3552" t="s">
        <v>96</v>
      </c>
    </row>
    <row r="3553" spans="1:15" x14ac:dyDescent="0.25">
      <c r="A3553">
        <v>2001</v>
      </c>
      <c r="B3553" s="10">
        <v>46015</v>
      </c>
      <c r="C3553">
        <v>24</v>
      </c>
      <c r="D3553" t="s">
        <v>125</v>
      </c>
      <c r="E3553" t="s">
        <v>142</v>
      </c>
      <c r="F3553" t="s">
        <v>22</v>
      </c>
      <c r="G3553" t="s">
        <v>91</v>
      </c>
      <c r="H3553" t="s">
        <v>92</v>
      </c>
      <c r="I3553" t="s">
        <v>129</v>
      </c>
      <c r="J3553" t="s">
        <v>103</v>
      </c>
      <c r="K3553">
        <v>45</v>
      </c>
      <c r="L3553">
        <v>37000</v>
      </c>
      <c r="M3553">
        <v>1665000</v>
      </c>
      <c r="N3553" t="s">
        <v>95</v>
      </c>
      <c r="O3553" t="s">
        <v>115</v>
      </c>
    </row>
    <row r="3554" spans="1:15" x14ac:dyDescent="0.25">
      <c r="A3554">
        <v>2365</v>
      </c>
      <c r="B3554" s="10">
        <v>45727</v>
      </c>
      <c r="C3554">
        <v>11</v>
      </c>
      <c r="D3554" t="s">
        <v>140</v>
      </c>
      <c r="E3554" t="s">
        <v>161</v>
      </c>
      <c r="F3554" t="s">
        <v>113</v>
      </c>
      <c r="G3554" t="s">
        <v>114</v>
      </c>
      <c r="H3554" t="s">
        <v>92</v>
      </c>
      <c r="I3554" t="s">
        <v>129</v>
      </c>
      <c r="J3554" t="s">
        <v>103</v>
      </c>
      <c r="K3554">
        <v>20</v>
      </c>
      <c r="L3554">
        <v>37000</v>
      </c>
      <c r="M3554">
        <v>740000</v>
      </c>
      <c r="N3554" t="s">
        <v>95</v>
      </c>
      <c r="O3554" t="s">
        <v>96</v>
      </c>
    </row>
    <row r="3555" spans="1:15" x14ac:dyDescent="0.25">
      <c r="A3555">
        <v>1243</v>
      </c>
      <c r="B3555" s="10">
        <v>45841</v>
      </c>
      <c r="C3555">
        <v>3</v>
      </c>
      <c r="D3555" t="s">
        <v>145</v>
      </c>
      <c r="E3555" t="s">
        <v>116</v>
      </c>
      <c r="F3555" t="s">
        <v>36</v>
      </c>
      <c r="G3555" t="s">
        <v>100</v>
      </c>
      <c r="H3555" t="s">
        <v>92</v>
      </c>
      <c r="I3555" t="s">
        <v>129</v>
      </c>
      <c r="J3555" t="s">
        <v>103</v>
      </c>
      <c r="K3555">
        <v>9</v>
      </c>
      <c r="L3555">
        <v>37100</v>
      </c>
      <c r="M3555">
        <v>333900</v>
      </c>
      <c r="N3555" t="s">
        <v>108</v>
      </c>
      <c r="O3555" t="s">
        <v>115</v>
      </c>
    </row>
    <row r="3556" spans="1:15" x14ac:dyDescent="0.25">
      <c r="A3556">
        <v>2937</v>
      </c>
      <c r="B3556" s="10">
        <v>45736</v>
      </c>
      <c r="C3556">
        <v>20</v>
      </c>
      <c r="D3556" t="s">
        <v>140</v>
      </c>
      <c r="E3556" t="s">
        <v>31</v>
      </c>
      <c r="F3556" t="s">
        <v>36</v>
      </c>
      <c r="G3556" t="s">
        <v>100</v>
      </c>
      <c r="H3556" t="s">
        <v>23</v>
      </c>
      <c r="I3556" t="s">
        <v>45</v>
      </c>
      <c r="J3556" t="s">
        <v>103</v>
      </c>
      <c r="K3556">
        <v>21</v>
      </c>
      <c r="L3556">
        <v>37100</v>
      </c>
      <c r="M3556">
        <v>779100</v>
      </c>
      <c r="N3556" t="s">
        <v>108</v>
      </c>
      <c r="O3556" t="s">
        <v>104</v>
      </c>
    </row>
    <row r="3557" spans="1:15" x14ac:dyDescent="0.25">
      <c r="A3557">
        <v>4243</v>
      </c>
      <c r="B3557" s="10">
        <v>45835</v>
      </c>
      <c r="C3557">
        <v>27</v>
      </c>
      <c r="D3557" t="s">
        <v>153</v>
      </c>
      <c r="E3557" t="s">
        <v>138</v>
      </c>
      <c r="F3557" t="s">
        <v>134</v>
      </c>
      <c r="G3557" t="s">
        <v>100</v>
      </c>
      <c r="H3557" t="s">
        <v>92</v>
      </c>
      <c r="I3557" t="s">
        <v>129</v>
      </c>
      <c r="J3557" t="s">
        <v>103</v>
      </c>
      <c r="K3557">
        <v>47</v>
      </c>
      <c r="L3557">
        <v>37100</v>
      </c>
      <c r="M3557">
        <v>1743700</v>
      </c>
      <c r="N3557" t="s">
        <v>95</v>
      </c>
      <c r="O3557" t="s">
        <v>104</v>
      </c>
    </row>
    <row r="3558" spans="1:15" x14ac:dyDescent="0.25">
      <c r="A3558">
        <v>128</v>
      </c>
      <c r="B3558" s="10">
        <v>45681</v>
      </c>
      <c r="C3558">
        <v>24</v>
      </c>
      <c r="D3558" t="s">
        <v>130</v>
      </c>
      <c r="E3558" t="s">
        <v>150</v>
      </c>
      <c r="F3558" t="s">
        <v>117</v>
      </c>
      <c r="G3558" t="s">
        <v>118</v>
      </c>
      <c r="H3558" t="s">
        <v>23</v>
      </c>
      <c r="I3558" t="s">
        <v>45</v>
      </c>
      <c r="J3558" t="s">
        <v>103</v>
      </c>
      <c r="K3558">
        <v>28</v>
      </c>
      <c r="L3558">
        <v>37200</v>
      </c>
      <c r="M3558">
        <v>1041600</v>
      </c>
      <c r="N3558" t="s">
        <v>108</v>
      </c>
      <c r="O3558" t="s">
        <v>104</v>
      </c>
    </row>
    <row r="3559" spans="1:15" x14ac:dyDescent="0.25">
      <c r="A3559">
        <v>84</v>
      </c>
      <c r="B3559" s="10">
        <v>45736</v>
      </c>
      <c r="C3559">
        <v>20</v>
      </c>
      <c r="D3559" t="s">
        <v>140</v>
      </c>
      <c r="E3559" t="s">
        <v>142</v>
      </c>
      <c r="F3559" t="s">
        <v>36</v>
      </c>
      <c r="G3559" t="s">
        <v>100</v>
      </c>
      <c r="H3559" t="s">
        <v>92</v>
      </c>
      <c r="I3559" t="s">
        <v>129</v>
      </c>
      <c r="J3559" t="s">
        <v>103</v>
      </c>
      <c r="K3559">
        <v>44</v>
      </c>
      <c r="L3559">
        <v>37300</v>
      </c>
      <c r="M3559">
        <v>1641200</v>
      </c>
      <c r="N3559" t="s">
        <v>108</v>
      </c>
      <c r="O3559" t="s">
        <v>115</v>
      </c>
    </row>
    <row r="3560" spans="1:15" x14ac:dyDescent="0.25">
      <c r="A3560">
        <v>449</v>
      </c>
      <c r="B3560" s="10">
        <v>45876</v>
      </c>
      <c r="C3560">
        <v>7</v>
      </c>
      <c r="D3560" t="s">
        <v>109</v>
      </c>
      <c r="E3560" t="s">
        <v>31</v>
      </c>
      <c r="F3560" t="s">
        <v>44</v>
      </c>
      <c r="G3560" t="s">
        <v>111</v>
      </c>
      <c r="H3560" t="s">
        <v>92</v>
      </c>
      <c r="I3560" t="s">
        <v>129</v>
      </c>
      <c r="J3560" t="s">
        <v>103</v>
      </c>
      <c r="K3560">
        <v>17</v>
      </c>
      <c r="L3560">
        <v>37300</v>
      </c>
      <c r="M3560">
        <v>634100</v>
      </c>
      <c r="N3560" t="s">
        <v>95</v>
      </c>
      <c r="O3560" t="s">
        <v>104</v>
      </c>
    </row>
    <row r="3561" spans="1:15" x14ac:dyDescent="0.25">
      <c r="A3561">
        <v>802</v>
      </c>
      <c r="B3561" s="10">
        <v>45796</v>
      </c>
      <c r="C3561">
        <v>19</v>
      </c>
      <c r="D3561" t="s">
        <v>120</v>
      </c>
      <c r="E3561" t="s">
        <v>116</v>
      </c>
      <c r="F3561" t="s">
        <v>117</v>
      </c>
      <c r="G3561" t="s">
        <v>118</v>
      </c>
      <c r="H3561" t="s">
        <v>23</v>
      </c>
      <c r="I3561" t="s">
        <v>45</v>
      </c>
      <c r="J3561" t="s">
        <v>103</v>
      </c>
      <c r="K3561">
        <v>34</v>
      </c>
      <c r="L3561">
        <v>37300</v>
      </c>
      <c r="M3561">
        <v>1268200</v>
      </c>
      <c r="N3561" t="s">
        <v>95</v>
      </c>
      <c r="O3561" t="s">
        <v>96</v>
      </c>
    </row>
    <row r="3562" spans="1:15" x14ac:dyDescent="0.25">
      <c r="A3562">
        <v>2600</v>
      </c>
      <c r="B3562" s="10">
        <v>46009</v>
      </c>
      <c r="C3562">
        <v>18</v>
      </c>
      <c r="D3562" t="s">
        <v>125</v>
      </c>
      <c r="E3562" t="s">
        <v>110</v>
      </c>
      <c r="F3562" t="s">
        <v>28</v>
      </c>
      <c r="G3562" t="s">
        <v>126</v>
      </c>
      <c r="H3562" t="s">
        <v>92</v>
      </c>
      <c r="I3562" t="s">
        <v>129</v>
      </c>
      <c r="J3562" t="s">
        <v>103</v>
      </c>
      <c r="K3562">
        <v>14</v>
      </c>
      <c r="L3562">
        <v>37300</v>
      </c>
      <c r="M3562">
        <v>522200</v>
      </c>
      <c r="N3562" t="s">
        <v>95</v>
      </c>
      <c r="O3562" t="s">
        <v>96</v>
      </c>
    </row>
    <row r="3563" spans="1:15" x14ac:dyDescent="0.25">
      <c r="A3563">
        <v>2730</v>
      </c>
      <c r="B3563" s="10">
        <v>45961</v>
      </c>
      <c r="C3563">
        <v>31</v>
      </c>
      <c r="D3563" t="s">
        <v>136</v>
      </c>
      <c r="E3563" t="s">
        <v>116</v>
      </c>
      <c r="F3563" t="s">
        <v>28</v>
      </c>
      <c r="G3563" t="s">
        <v>126</v>
      </c>
      <c r="H3563" t="s">
        <v>23</v>
      </c>
      <c r="I3563" t="s">
        <v>45</v>
      </c>
      <c r="J3563" t="s">
        <v>103</v>
      </c>
      <c r="K3563">
        <v>18</v>
      </c>
      <c r="L3563">
        <v>37300</v>
      </c>
      <c r="M3563">
        <v>671400</v>
      </c>
      <c r="N3563" t="s">
        <v>95</v>
      </c>
      <c r="O3563" t="s">
        <v>104</v>
      </c>
    </row>
    <row r="3564" spans="1:15" x14ac:dyDescent="0.25">
      <c r="A3564">
        <v>4119</v>
      </c>
      <c r="B3564" s="10">
        <v>45967</v>
      </c>
      <c r="C3564">
        <v>6</v>
      </c>
      <c r="D3564" t="s">
        <v>90</v>
      </c>
      <c r="E3564" t="s">
        <v>161</v>
      </c>
      <c r="F3564" t="s">
        <v>107</v>
      </c>
      <c r="G3564" t="s">
        <v>100</v>
      </c>
      <c r="H3564" t="s">
        <v>23</v>
      </c>
      <c r="I3564" t="s">
        <v>45</v>
      </c>
      <c r="J3564" t="s">
        <v>103</v>
      </c>
      <c r="K3564">
        <v>35</v>
      </c>
      <c r="L3564">
        <v>37400</v>
      </c>
      <c r="M3564">
        <v>1309000</v>
      </c>
      <c r="N3564" t="s">
        <v>95</v>
      </c>
      <c r="O3564" t="s">
        <v>115</v>
      </c>
    </row>
    <row r="3565" spans="1:15" x14ac:dyDescent="0.25">
      <c r="A3565">
        <v>4310</v>
      </c>
      <c r="B3565" s="10">
        <v>45975</v>
      </c>
      <c r="C3565">
        <v>14</v>
      </c>
      <c r="D3565" t="s">
        <v>90</v>
      </c>
      <c r="E3565" t="s">
        <v>150</v>
      </c>
      <c r="F3565" t="s">
        <v>151</v>
      </c>
      <c r="G3565" t="s">
        <v>111</v>
      </c>
      <c r="H3565" t="s">
        <v>92</v>
      </c>
      <c r="I3565" t="s">
        <v>129</v>
      </c>
      <c r="J3565" t="s">
        <v>103</v>
      </c>
      <c r="K3565">
        <v>27</v>
      </c>
      <c r="L3565">
        <v>37400</v>
      </c>
      <c r="M3565">
        <v>1009800</v>
      </c>
      <c r="N3565" t="s">
        <v>108</v>
      </c>
      <c r="O3565" t="s">
        <v>115</v>
      </c>
    </row>
    <row r="3566" spans="1:15" x14ac:dyDescent="0.25">
      <c r="A3566">
        <v>4927</v>
      </c>
      <c r="B3566" s="10">
        <v>45958</v>
      </c>
      <c r="C3566">
        <v>28</v>
      </c>
      <c r="D3566" t="s">
        <v>136</v>
      </c>
      <c r="E3566" t="s">
        <v>150</v>
      </c>
      <c r="F3566" t="s">
        <v>148</v>
      </c>
      <c r="G3566" t="s">
        <v>118</v>
      </c>
      <c r="H3566" t="s">
        <v>23</v>
      </c>
      <c r="I3566" t="s">
        <v>45</v>
      </c>
      <c r="J3566" t="s">
        <v>103</v>
      </c>
      <c r="K3566">
        <v>7</v>
      </c>
      <c r="L3566">
        <v>37400</v>
      </c>
      <c r="M3566">
        <v>261800</v>
      </c>
      <c r="N3566" t="s">
        <v>108</v>
      </c>
      <c r="O3566" t="s">
        <v>96</v>
      </c>
    </row>
    <row r="3567" spans="1:15" x14ac:dyDescent="0.25">
      <c r="A3567">
        <v>366</v>
      </c>
      <c r="B3567" s="10">
        <v>45959</v>
      </c>
      <c r="C3567">
        <v>29</v>
      </c>
      <c r="D3567" t="s">
        <v>136</v>
      </c>
      <c r="E3567" t="s">
        <v>161</v>
      </c>
      <c r="F3567" t="s">
        <v>113</v>
      </c>
      <c r="G3567" t="s">
        <v>114</v>
      </c>
      <c r="H3567" t="s">
        <v>92</v>
      </c>
      <c r="I3567" t="s">
        <v>129</v>
      </c>
      <c r="J3567" t="s">
        <v>103</v>
      </c>
      <c r="K3567">
        <v>15</v>
      </c>
      <c r="L3567">
        <v>37500</v>
      </c>
      <c r="M3567">
        <v>562500</v>
      </c>
      <c r="N3567" t="s">
        <v>95</v>
      </c>
      <c r="O3567" t="s">
        <v>104</v>
      </c>
    </row>
    <row r="3568" spans="1:15" x14ac:dyDescent="0.25">
      <c r="A3568">
        <v>3191</v>
      </c>
      <c r="B3568" s="10">
        <v>45679</v>
      </c>
      <c r="C3568">
        <v>22</v>
      </c>
      <c r="D3568" t="s">
        <v>130</v>
      </c>
      <c r="E3568" t="s">
        <v>25</v>
      </c>
      <c r="F3568" t="s">
        <v>148</v>
      </c>
      <c r="G3568" t="s">
        <v>118</v>
      </c>
      <c r="H3568" t="s">
        <v>92</v>
      </c>
      <c r="I3568" t="s">
        <v>129</v>
      </c>
      <c r="J3568" t="s">
        <v>103</v>
      </c>
      <c r="K3568">
        <v>7</v>
      </c>
      <c r="L3568">
        <v>37500</v>
      </c>
      <c r="M3568">
        <v>262500</v>
      </c>
      <c r="N3568" t="s">
        <v>95</v>
      </c>
      <c r="O3568" t="s">
        <v>115</v>
      </c>
    </row>
    <row r="3569" spans="1:15" x14ac:dyDescent="0.25">
      <c r="A3569">
        <v>3819</v>
      </c>
      <c r="B3569" s="10">
        <v>45922</v>
      </c>
      <c r="C3569">
        <v>22</v>
      </c>
      <c r="D3569" t="s">
        <v>147</v>
      </c>
      <c r="E3569" t="s">
        <v>142</v>
      </c>
      <c r="F3569" t="s">
        <v>141</v>
      </c>
      <c r="G3569" t="s">
        <v>100</v>
      </c>
      <c r="H3569" t="s">
        <v>92</v>
      </c>
      <c r="I3569" t="s">
        <v>129</v>
      </c>
      <c r="J3569" t="s">
        <v>103</v>
      </c>
      <c r="K3569">
        <v>26</v>
      </c>
      <c r="L3569">
        <v>37500</v>
      </c>
      <c r="M3569">
        <v>975000</v>
      </c>
      <c r="N3569" t="s">
        <v>108</v>
      </c>
      <c r="O3569" t="s">
        <v>96</v>
      </c>
    </row>
    <row r="3570" spans="1:15" x14ac:dyDescent="0.25">
      <c r="A3570">
        <v>1676</v>
      </c>
      <c r="B3570" s="10">
        <v>45971</v>
      </c>
      <c r="C3570">
        <v>10</v>
      </c>
      <c r="D3570" t="s">
        <v>90</v>
      </c>
      <c r="E3570" t="s">
        <v>116</v>
      </c>
      <c r="F3570" t="s">
        <v>99</v>
      </c>
      <c r="G3570" t="s">
        <v>100</v>
      </c>
      <c r="H3570" t="s">
        <v>92</v>
      </c>
      <c r="I3570" t="s">
        <v>129</v>
      </c>
      <c r="J3570" t="s">
        <v>103</v>
      </c>
      <c r="K3570">
        <v>42</v>
      </c>
      <c r="L3570">
        <v>37600</v>
      </c>
      <c r="M3570">
        <v>1579200</v>
      </c>
      <c r="N3570" t="s">
        <v>108</v>
      </c>
      <c r="O3570" t="s">
        <v>96</v>
      </c>
    </row>
    <row r="3571" spans="1:15" x14ac:dyDescent="0.25">
      <c r="A3571">
        <v>2158</v>
      </c>
      <c r="B3571" s="10">
        <v>45708</v>
      </c>
      <c r="C3571">
        <v>20</v>
      </c>
      <c r="D3571" t="s">
        <v>97</v>
      </c>
      <c r="E3571" t="s">
        <v>116</v>
      </c>
      <c r="F3571" t="s">
        <v>141</v>
      </c>
      <c r="G3571" t="s">
        <v>100</v>
      </c>
      <c r="H3571" t="s">
        <v>92</v>
      </c>
      <c r="I3571" t="s">
        <v>129</v>
      </c>
      <c r="J3571" t="s">
        <v>103</v>
      </c>
      <c r="K3571">
        <v>30</v>
      </c>
      <c r="L3571">
        <v>37600</v>
      </c>
      <c r="M3571">
        <v>1128000</v>
      </c>
      <c r="N3571" t="s">
        <v>95</v>
      </c>
      <c r="O3571" t="s">
        <v>104</v>
      </c>
    </row>
    <row r="3572" spans="1:15" x14ac:dyDescent="0.25">
      <c r="A3572">
        <v>4657</v>
      </c>
      <c r="B3572" s="10">
        <v>46005</v>
      </c>
      <c r="C3572">
        <v>14</v>
      </c>
      <c r="D3572" t="s">
        <v>125</v>
      </c>
      <c r="E3572" t="s">
        <v>25</v>
      </c>
      <c r="F3572" t="s">
        <v>28</v>
      </c>
      <c r="G3572" t="s">
        <v>126</v>
      </c>
      <c r="H3572" t="s">
        <v>23</v>
      </c>
      <c r="I3572" t="s">
        <v>45</v>
      </c>
      <c r="J3572" t="s">
        <v>103</v>
      </c>
      <c r="K3572">
        <v>40</v>
      </c>
      <c r="L3572">
        <v>37600</v>
      </c>
      <c r="M3572">
        <v>1504000</v>
      </c>
      <c r="N3572" t="s">
        <v>95</v>
      </c>
      <c r="O3572" t="s">
        <v>96</v>
      </c>
    </row>
    <row r="3573" spans="1:15" x14ac:dyDescent="0.25">
      <c r="A3573">
        <v>2776</v>
      </c>
      <c r="B3573" s="10">
        <v>45967</v>
      </c>
      <c r="C3573">
        <v>6</v>
      </c>
      <c r="D3573" t="s">
        <v>90</v>
      </c>
      <c r="E3573" t="s">
        <v>138</v>
      </c>
      <c r="F3573" t="s">
        <v>122</v>
      </c>
      <c r="G3573" t="s">
        <v>114</v>
      </c>
      <c r="H3573" t="s">
        <v>92</v>
      </c>
      <c r="I3573" t="s">
        <v>129</v>
      </c>
      <c r="J3573" t="s">
        <v>103</v>
      </c>
      <c r="K3573">
        <v>5</v>
      </c>
      <c r="L3573">
        <v>37700</v>
      </c>
      <c r="M3573">
        <v>188500</v>
      </c>
      <c r="N3573" t="s">
        <v>108</v>
      </c>
      <c r="O3573" t="s">
        <v>104</v>
      </c>
    </row>
    <row r="3574" spans="1:15" x14ac:dyDescent="0.25">
      <c r="A3574">
        <v>778</v>
      </c>
      <c r="B3574" s="10">
        <v>45939</v>
      </c>
      <c r="C3574">
        <v>9</v>
      </c>
      <c r="D3574" t="s">
        <v>136</v>
      </c>
      <c r="E3574" t="s">
        <v>25</v>
      </c>
      <c r="F3574" t="s">
        <v>22</v>
      </c>
      <c r="G3574" t="s">
        <v>91</v>
      </c>
      <c r="H3574" t="s">
        <v>92</v>
      </c>
      <c r="I3574" t="s">
        <v>129</v>
      </c>
      <c r="J3574" t="s">
        <v>103</v>
      </c>
      <c r="K3574">
        <v>12</v>
      </c>
      <c r="L3574">
        <v>37800</v>
      </c>
      <c r="M3574">
        <v>453600</v>
      </c>
      <c r="N3574" t="s">
        <v>108</v>
      </c>
      <c r="O3574" t="s">
        <v>104</v>
      </c>
    </row>
    <row r="3575" spans="1:15" x14ac:dyDescent="0.25">
      <c r="A3575">
        <v>951</v>
      </c>
      <c r="B3575" s="10">
        <v>45704</v>
      </c>
      <c r="C3575">
        <v>16</v>
      </c>
      <c r="D3575" t="s">
        <v>97</v>
      </c>
      <c r="E3575" t="s">
        <v>106</v>
      </c>
      <c r="F3575" t="s">
        <v>148</v>
      </c>
      <c r="G3575" t="s">
        <v>118</v>
      </c>
      <c r="H3575" t="s">
        <v>23</v>
      </c>
      <c r="I3575" t="s">
        <v>45</v>
      </c>
      <c r="J3575" t="s">
        <v>103</v>
      </c>
      <c r="K3575">
        <v>42</v>
      </c>
      <c r="L3575">
        <v>37800</v>
      </c>
      <c r="M3575">
        <v>1587600</v>
      </c>
      <c r="N3575" t="s">
        <v>108</v>
      </c>
      <c r="O3575" t="s">
        <v>96</v>
      </c>
    </row>
    <row r="3576" spans="1:15" x14ac:dyDescent="0.25">
      <c r="A3576">
        <v>1706</v>
      </c>
      <c r="B3576" s="10">
        <v>45844</v>
      </c>
      <c r="C3576">
        <v>6</v>
      </c>
      <c r="D3576" t="s">
        <v>145</v>
      </c>
      <c r="E3576" t="s">
        <v>161</v>
      </c>
      <c r="F3576" t="s">
        <v>107</v>
      </c>
      <c r="G3576" t="s">
        <v>100</v>
      </c>
      <c r="H3576" t="s">
        <v>92</v>
      </c>
      <c r="I3576" t="s">
        <v>129</v>
      </c>
      <c r="J3576" t="s">
        <v>103</v>
      </c>
      <c r="K3576">
        <v>35</v>
      </c>
      <c r="L3576">
        <v>37800</v>
      </c>
      <c r="M3576">
        <v>1323000</v>
      </c>
      <c r="N3576" t="s">
        <v>95</v>
      </c>
      <c r="O3576" t="s">
        <v>115</v>
      </c>
    </row>
    <row r="3577" spans="1:15" x14ac:dyDescent="0.25">
      <c r="A3577">
        <v>4117</v>
      </c>
      <c r="B3577" s="10">
        <v>45980</v>
      </c>
      <c r="C3577">
        <v>19</v>
      </c>
      <c r="D3577" t="s">
        <v>90</v>
      </c>
      <c r="E3577" t="s">
        <v>142</v>
      </c>
      <c r="F3577" t="s">
        <v>117</v>
      </c>
      <c r="G3577" t="s">
        <v>118</v>
      </c>
      <c r="H3577" t="s">
        <v>92</v>
      </c>
      <c r="I3577" t="s">
        <v>129</v>
      </c>
      <c r="J3577" t="s">
        <v>103</v>
      </c>
      <c r="K3577">
        <v>37</v>
      </c>
      <c r="L3577">
        <v>37800</v>
      </c>
      <c r="M3577">
        <v>1398600</v>
      </c>
      <c r="N3577" t="s">
        <v>95</v>
      </c>
      <c r="O3577" t="s">
        <v>104</v>
      </c>
    </row>
    <row r="3578" spans="1:15" x14ac:dyDescent="0.25">
      <c r="A3578">
        <v>354</v>
      </c>
      <c r="B3578" s="10">
        <v>45824</v>
      </c>
      <c r="C3578">
        <v>16</v>
      </c>
      <c r="D3578" t="s">
        <v>153</v>
      </c>
      <c r="E3578" t="s">
        <v>106</v>
      </c>
      <c r="F3578" t="s">
        <v>151</v>
      </c>
      <c r="G3578" t="s">
        <v>111</v>
      </c>
      <c r="H3578" t="s">
        <v>23</v>
      </c>
      <c r="I3578" t="s">
        <v>45</v>
      </c>
      <c r="J3578" t="s">
        <v>103</v>
      </c>
      <c r="K3578">
        <v>38</v>
      </c>
      <c r="L3578">
        <v>37900</v>
      </c>
      <c r="M3578">
        <v>1440200</v>
      </c>
      <c r="N3578" t="s">
        <v>108</v>
      </c>
      <c r="O3578" t="s">
        <v>96</v>
      </c>
    </row>
    <row r="3579" spans="1:15" x14ac:dyDescent="0.25">
      <c r="A3579">
        <v>1225</v>
      </c>
      <c r="B3579" s="10">
        <v>45955</v>
      </c>
      <c r="C3579">
        <v>25</v>
      </c>
      <c r="D3579" t="s">
        <v>136</v>
      </c>
      <c r="E3579" t="s">
        <v>121</v>
      </c>
      <c r="F3579" t="s">
        <v>117</v>
      </c>
      <c r="G3579" t="s">
        <v>118</v>
      </c>
      <c r="H3579" t="s">
        <v>23</v>
      </c>
      <c r="I3579" t="s">
        <v>45</v>
      </c>
      <c r="J3579" t="s">
        <v>103</v>
      </c>
      <c r="K3579">
        <v>46</v>
      </c>
      <c r="L3579">
        <v>37900</v>
      </c>
      <c r="M3579">
        <v>1743400</v>
      </c>
      <c r="N3579" t="s">
        <v>95</v>
      </c>
      <c r="O3579" t="s">
        <v>96</v>
      </c>
    </row>
    <row r="3580" spans="1:15" x14ac:dyDescent="0.25">
      <c r="A3580">
        <v>1320</v>
      </c>
      <c r="B3580" s="10">
        <v>45804</v>
      </c>
      <c r="C3580">
        <v>27</v>
      </c>
      <c r="D3580" t="s">
        <v>120</v>
      </c>
      <c r="E3580" t="s">
        <v>150</v>
      </c>
      <c r="F3580" t="s">
        <v>144</v>
      </c>
      <c r="G3580" t="s">
        <v>91</v>
      </c>
      <c r="H3580" t="s">
        <v>23</v>
      </c>
      <c r="I3580" t="s">
        <v>45</v>
      </c>
      <c r="J3580" t="s">
        <v>103</v>
      </c>
      <c r="K3580">
        <v>47</v>
      </c>
      <c r="L3580">
        <v>37900</v>
      </c>
      <c r="M3580">
        <v>1781300</v>
      </c>
      <c r="N3580" t="s">
        <v>108</v>
      </c>
      <c r="O3580" t="s">
        <v>115</v>
      </c>
    </row>
    <row r="3581" spans="1:15" x14ac:dyDescent="0.25">
      <c r="A3581">
        <v>1512</v>
      </c>
      <c r="B3581" s="10">
        <v>45835</v>
      </c>
      <c r="C3581">
        <v>27</v>
      </c>
      <c r="D3581" t="s">
        <v>153</v>
      </c>
      <c r="E3581" t="s">
        <v>128</v>
      </c>
      <c r="F3581" t="s">
        <v>134</v>
      </c>
      <c r="G3581" t="s">
        <v>100</v>
      </c>
      <c r="H3581" t="s">
        <v>92</v>
      </c>
      <c r="I3581" t="s">
        <v>129</v>
      </c>
      <c r="J3581" t="s">
        <v>103</v>
      </c>
      <c r="K3581">
        <v>22</v>
      </c>
      <c r="L3581">
        <v>37900</v>
      </c>
      <c r="M3581">
        <v>833800</v>
      </c>
      <c r="N3581" t="s">
        <v>95</v>
      </c>
      <c r="O3581" t="s">
        <v>104</v>
      </c>
    </row>
    <row r="3582" spans="1:15" x14ac:dyDescent="0.25">
      <c r="A3582">
        <v>1999</v>
      </c>
      <c r="B3582" s="10">
        <v>45772</v>
      </c>
      <c r="C3582">
        <v>25</v>
      </c>
      <c r="D3582" t="s">
        <v>105</v>
      </c>
      <c r="E3582" t="s">
        <v>150</v>
      </c>
      <c r="F3582" t="s">
        <v>141</v>
      </c>
      <c r="G3582" t="s">
        <v>100</v>
      </c>
      <c r="H3582" t="s">
        <v>92</v>
      </c>
      <c r="I3582" t="s">
        <v>129</v>
      </c>
      <c r="J3582" t="s">
        <v>103</v>
      </c>
      <c r="K3582">
        <v>19</v>
      </c>
      <c r="L3582">
        <v>37900</v>
      </c>
      <c r="M3582">
        <v>720100</v>
      </c>
      <c r="N3582" t="s">
        <v>108</v>
      </c>
      <c r="O3582" t="s">
        <v>96</v>
      </c>
    </row>
    <row r="3583" spans="1:15" x14ac:dyDescent="0.25">
      <c r="A3583">
        <v>2880</v>
      </c>
      <c r="B3583" s="10">
        <v>45730</v>
      </c>
      <c r="C3583">
        <v>14</v>
      </c>
      <c r="D3583" t="s">
        <v>140</v>
      </c>
      <c r="E3583" t="s">
        <v>138</v>
      </c>
      <c r="F3583" t="s">
        <v>28</v>
      </c>
      <c r="G3583" t="s">
        <v>126</v>
      </c>
      <c r="H3583" t="s">
        <v>23</v>
      </c>
      <c r="I3583" t="s">
        <v>45</v>
      </c>
      <c r="J3583" t="s">
        <v>103</v>
      </c>
      <c r="K3583">
        <v>50</v>
      </c>
      <c r="L3583">
        <v>37900</v>
      </c>
      <c r="M3583">
        <v>1895000</v>
      </c>
      <c r="N3583" t="s">
        <v>108</v>
      </c>
      <c r="O3583" t="s">
        <v>96</v>
      </c>
    </row>
    <row r="3584" spans="1:15" x14ac:dyDescent="0.25">
      <c r="A3584">
        <v>3880</v>
      </c>
      <c r="B3584" s="10">
        <v>45773</v>
      </c>
      <c r="C3584">
        <v>26</v>
      </c>
      <c r="D3584" t="s">
        <v>105</v>
      </c>
      <c r="E3584" t="s">
        <v>150</v>
      </c>
      <c r="F3584" t="s">
        <v>151</v>
      </c>
      <c r="G3584" t="s">
        <v>111</v>
      </c>
      <c r="H3584" t="s">
        <v>92</v>
      </c>
      <c r="I3584" t="s">
        <v>129</v>
      </c>
      <c r="J3584" t="s">
        <v>103</v>
      </c>
      <c r="K3584">
        <v>33</v>
      </c>
      <c r="L3584">
        <v>37900</v>
      </c>
      <c r="M3584">
        <v>1250700</v>
      </c>
      <c r="N3584" t="s">
        <v>95</v>
      </c>
      <c r="O3584" t="s">
        <v>96</v>
      </c>
    </row>
    <row r="3585" spans="1:15" x14ac:dyDescent="0.25">
      <c r="A3585">
        <v>4309</v>
      </c>
      <c r="B3585" s="10">
        <v>45919</v>
      </c>
      <c r="C3585">
        <v>19</v>
      </c>
      <c r="D3585" t="s">
        <v>147</v>
      </c>
      <c r="E3585" t="s">
        <v>112</v>
      </c>
      <c r="F3585" t="s">
        <v>151</v>
      </c>
      <c r="G3585" t="s">
        <v>111</v>
      </c>
      <c r="H3585" t="s">
        <v>23</v>
      </c>
      <c r="I3585" t="s">
        <v>45</v>
      </c>
      <c r="J3585" t="s">
        <v>103</v>
      </c>
      <c r="K3585">
        <v>28</v>
      </c>
      <c r="L3585">
        <v>37900</v>
      </c>
      <c r="M3585">
        <v>1061200</v>
      </c>
      <c r="N3585" t="s">
        <v>108</v>
      </c>
      <c r="O3585" t="s">
        <v>96</v>
      </c>
    </row>
    <row r="3586" spans="1:15" x14ac:dyDescent="0.25">
      <c r="A3586">
        <v>1757</v>
      </c>
      <c r="B3586" s="10">
        <v>45765</v>
      </c>
      <c r="C3586">
        <v>18</v>
      </c>
      <c r="D3586" t="s">
        <v>105</v>
      </c>
      <c r="E3586" t="s">
        <v>31</v>
      </c>
      <c r="F3586" t="s">
        <v>151</v>
      </c>
      <c r="G3586" t="s">
        <v>111</v>
      </c>
      <c r="H3586" t="s">
        <v>92</v>
      </c>
      <c r="I3586" t="s">
        <v>129</v>
      </c>
      <c r="J3586" t="s">
        <v>103</v>
      </c>
      <c r="K3586">
        <v>25</v>
      </c>
      <c r="L3586">
        <v>38000</v>
      </c>
      <c r="M3586">
        <v>950000</v>
      </c>
      <c r="N3586" t="s">
        <v>108</v>
      </c>
      <c r="O3586" t="s">
        <v>104</v>
      </c>
    </row>
    <row r="3587" spans="1:15" x14ac:dyDescent="0.25">
      <c r="A3587">
        <v>1894</v>
      </c>
      <c r="B3587" s="10">
        <v>46022</v>
      </c>
      <c r="C3587">
        <v>31</v>
      </c>
      <c r="D3587" t="s">
        <v>125</v>
      </c>
      <c r="E3587" t="s">
        <v>112</v>
      </c>
      <c r="F3587" t="s">
        <v>117</v>
      </c>
      <c r="G3587" t="s">
        <v>118</v>
      </c>
      <c r="H3587" t="s">
        <v>23</v>
      </c>
      <c r="I3587" t="s">
        <v>45</v>
      </c>
      <c r="J3587" t="s">
        <v>103</v>
      </c>
      <c r="K3587">
        <v>6</v>
      </c>
      <c r="L3587">
        <v>38000</v>
      </c>
      <c r="M3587">
        <v>228000</v>
      </c>
      <c r="N3587" t="s">
        <v>108</v>
      </c>
      <c r="O3587" t="s">
        <v>104</v>
      </c>
    </row>
    <row r="3588" spans="1:15" x14ac:dyDescent="0.25">
      <c r="A3588">
        <v>1118</v>
      </c>
      <c r="B3588" s="10">
        <v>45918</v>
      </c>
      <c r="C3588">
        <v>18</v>
      </c>
      <c r="D3588" t="s">
        <v>147</v>
      </c>
      <c r="E3588" t="s">
        <v>142</v>
      </c>
      <c r="F3588" t="s">
        <v>117</v>
      </c>
      <c r="G3588" t="s">
        <v>118</v>
      </c>
      <c r="H3588" t="s">
        <v>92</v>
      </c>
      <c r="I3588" t="s">
        <v>129</v>
      </c>
      <c r="J3588" t="s">
        <v>103</v>
      </c>
      <c r="K3588">
        <v>36</v>
      </c>
      <c r="L3588">
        <v>38100</v>
      </c>
      <c r="M3588">
        <v>1371600</v>
      </c>
      <c r="N3588" t="s">
        <v>108</v>
      </c>
      <c r="O3588" t="s">
        <v>104</v>
      </c>
    </row>
    <row r="3589" spans="1:15" x14ac:dyDescent="0.25">
      <c r="A3589">
        <v>2064</v>
      </c>
      <c r="B3589" s="10">
        <v>45732</v>
      </c>
      <c r="C3589">
        <v>16</v>
      </c>
      <c r="D3589" t="s">
        <v>140</v>
      </c>
      <c r="E3589" t="s">
        <v>128</v>
      </c>
      <c r="F3589" t="s">
        <v>122</v>
      </c>
      <c r="G3589" t="s">
        <v>114</v>
      </c>
      <c r="H3589" t="s">
        <v>23</v>
      </c>
      <c r="I3589" t="s">
        <v>45</v>
      </c>
      <c r="J3589" t="s">
        <v>103</v>
      </c>
      <c r="K3589">
        <v>8</v>
      </c>
      <c r="L3589">
        <v>38100</v>
      </c>
      <c r="M3589">
        <v>304800</v>
      </c>
      <c r="N3589" t="s">
        <v>108</v>
      </c>
      <c r="O3589" t="s">
        <v>115</v>
      </c>
    </row>
    <row r="3590" spans="1:15" x14ac:dyDescent="0.25">
      <c r="A3590">
        <v>2590</v>
      </c>
      <c r="B3590" s="10">
        <v>45672</v>
      </c>
      <c r="C3590">
        <v>15</v>
      </c>
      <c r="D3590" t="s">
        <v>130</v>
      </c>
      <c r="E3590" t="s">
        <v>116</v>
      </c>
      <c r="F3590" t="s">
        <v>49</v>
      </c>
      <c r="G3590" t="s">
        <v>118</v>
      </c>
      <c r="H3590" t="s">
        <v>92</v>
      </c>
      <c r="I3590" t="s">
        <v>129</v>
      </c>
      <c r="J3590" t="s">
        <v>103</v>
      </c>
      <c r="K3590">
        <v>9</v>
      </c>
      <c r="L3590">
        <v>38100</v>
      </c>
      <c r="M3590">
        <v>342900</v>
      </c>
      <c r="N3590" t="s">
        <v>108</v>
      </c>
      <c r="O3590" t="s">
        <v>115</v>
      </c>
    </row>
    <row r="3591" spans="1:15" x14ac:dyDescent="0.25">
      <c r="A3591">
        <v>2924</v>
      </c>
      <c r="B3591" s="10">
        <v>45837</v>
      </c>
      <c r="C3591">
        <v>29</v>
      </c>
      <c r="D3591" t="s">
        <v>153</v>
      </c>
      <c r="E3591" t="s">
        <v>31</v>
      </c>
      <c r="F3591" t="s">
        <v>36</v>
      </c>
      <c r="G3591" t="s">
        <v>100</v>
      </c>
      <c r="H3591" t="s">
        <v>23</v>
      </c>
      <c r="I3591" t="s">
        <v>45</v>
      </c>
      <c r="J3591" t="s">
        <v>103</v>
      </c>
      <c r="K3591">
        <v>5</v>
      </c>
      <c r="L3591">
        <v>38100</v>
      </c>
      <c r="M3591">
        <v>190500</v>
      </c>
      <c r="N3591" t="s">
        <v>108</v>
      </c>
      <c r="O3591" t="s">
        <v>96</v>
      </c>
    </row>
    <row r="3592" spans="1:15" x14ac:dyDescent="0.25">
      <c r="A3592">
        <v>3093</v>
      </c>
      <c r="B3592" s="10">
        <v>45718</v>
      </c>
      <c r="C3592">
        <v>2</v>
      </c>
      <c r="D3592" t="s">
        <v>140</v>
      </c>
      <c r="E3592" t="s">
        <v>161</v>
      </c>
      <c r="F3592" t="s">
        <v>151</v>
      </c>
      <c r="G3592" t="s">
        <v>111</v>
      </c>
      <c r="H3592" t="s">
        <v>23</v>
      </c>
      <c r="I3592" t="s">
        <v>45</v>
      </c>
      <c r="J3592" t="s">
        <v>103</v>
      </c>
      <c r="K3592">
        <v>49</v>
      </c>
      <c r="L3592">
        <v>38100</v>
      </c>
      <c r="M3592">
        <v>1866900</v>
      </c>
      <c r="N3592" t="s">
        <v>95</v>
      </c>
      <c r="O3592" t="s">
        <v>96</v>
      </c>
    </row>
    <row r="3593" spans="1:15" x14ac:dyDescent="0.25">
      <c r="A3593">
        <v>3404</v>
      </c>
      <c r="B3593" s="10">
        <v>45785</v>
      </c>
      <c r="C3593">
        <v>8</v>
      </c>
      <c r="D3593" t="s">
        <v>120</v>
      </c>
      <c r="E3593" t="s">
        <v>98</v>
      </c>
      <c r="F3593" t="s">
        <v>36</v>
      </c>
      <c r="G3593" t="s">
        <v>100</v>
      </c>
      <c r="H3593" t="s">
        <v>23</v>
      </c>
      <c r="I3593" t="s">
        <v>45</v>
      </c>
      <c r="J3593" t="s">
        <v>103</v>
      </c>
      <c r="K3593">
        <v>8</v>
      </c>
      <c r="L3593">
        <v>38100</v>
      </c>
      <c r="M3593">
        <v>304800</v>
      </c>
      <c r="N3593" t="s">
        <v>95</v>
      </c>
      <c r="O3593" t="s">
        <v>96</v>
      </c>
    </row>
    <row r="3594" spans="1:15" x14ac:dyDescent="0.25">
      <c r="A3594">
        <v>875</v>
      </c>
      <c r="B3594" s="10">
        <v>45821</v>
      </c>
      <c r="C3594">
        <v>13</v>
      </c>
      <c r="D3594" t="s">
        <v>153</v>
      </c>
      <c r="E3594" t="s">
        <v>138</v>
      </c>
      <c r="F3594" t="s">
        <v>22</v>
      </c>
      <c r="G3594" t="s">
        <v>91</v>
      </c>
      <c r="H3594" t="s">
        <v>92</v>
      </c>
      <c r="I3594" t="s">
        <v>129</v>
      </c>
      <c r="J3594" t="s">
        <v>103</v>
      </c>
      <c r="K3594">
        <v>46</v>
      </c>
      <c r="L3594">
        <v>38200</v>
      </c>
      <c r="M3594">
        <v>1757200</v>
      </c>
      <c r="N3594" t="s">
        <v>108</v>
      </c>
      <c r="O3594" t="s">
        <v>115</v>
      </c>
    </row>
    <row r="3595" spans="1:15" x14ac:dyDescent="0.25">
      <c r="A3595">
        <v>1367</v>
      </c>
      <c r="B3595" s="10">
        <v>45881</v>
      </c>
      <c r="C3595">
        <v>12</v>
      </c>
      <c r="D3595" t="s">
        <v>109</v>
      </c>
      <c r="E3595" t="s">
        <v>150</v>
      </c>
      <c r="F3595" t="s">
        <v>144</v>
      </c>
      <c r="G3595" t="s">
        <v>91</v>
      </c>
      <c r="H3595" t="s">
        <v>92</v>
      </c>
      <c r="I3595" t="s">
        <v>129</v>
      </c>
      <c r="J3595" t="s">
        <v>103</v>
      </c>
      <c r="K3595">
        <v>5</v>
      </c>
      <c r="L3595">
        <v>38200</v>
      </c>
      <c r="M3595">
        <v>191000</v>
      </c>
      <c r="N3595" t="s">
        <v>95</v>
      </c>
      <c r="O3595" t="s">
        <v>104</v>
      </c>
    </row>
    <row r="3596" spans="1:15" x14ac:dyDescent="0.25">
      <c r="A3596">
        <v>1682</v>
      </c>
      <c r="B3596" s="10">
        <v>45878</v>
      </c>
      <c r="C3596">
        <v>9</v>
      </c>
      <c r="D3596" t="s">
        <v>109</v>
      </c>
      <c r="E3596" t="s">
        <v>142</v>
      </c>
      <c r="F3596" t="s">
        <v>117</v>
      </c>
      <c r="G3596" t="s">
        <v>118</v>
      </c>
      <c r="H3596" t="s">
        <v>23</v>
      </c>
      <c r="I3596" t="s">
        <v>45</v>
      </c>
      <c r="J3596" t="s">
        <v>103</v>
      </c>
      <c r="K3596">
        <v>20</v>
      </c>
      <c r="L3596">
        <v>38200</v>
      </c>
      <c r="M3596">
        <v>764000</v>
      </c>
      <c r="N3596" t="s">
        <v>108</v>
      </c>
      <c r="O3596" t="s">
        <v>96</v>
      </c>
    </row>
    <row r="3597" spans="1:15" x14ac:dyDescent="0.25">
      <c r="A3597">
        <v>2574</v>
      </c>
      <c r="B3597" s="10">
        <v>45939</v>
      </c>
      <c r="C3597">
        <v>9</v>
      </c>
      <c r="D3597" t="s">
        <v>136</v>
      </c>
      <c r="E3597" t="s">
        <v>137</v>
      </c>
      <c r="F3597" t="s">
        <v>28</v>
      </c>
      <c r="G3597" t="s">
        <v>126</v>
      </c>
      <c r="H3597" t="s">
        <v>92</v>
      </c>
      <c r="I3597" t="s">
        <v>129</v>
      </c>
      <c r="J3597" t="s">
        <v>103</v>
      </c>
      <c r="K3597">
        <v>41</v>
      </c>
      <c r="L3597">
        <v>38200</v>
      </c>
      <c r="M3597">
        <v>1566200</v>
      </c>
      <c r="N3597" t="s">
        <v>108</v>
      </c>
      <c r="O3597" t="s">
        <v>96</v>
      </c>
    </row>
    <row r="3598" spans="1:15" x14ac:dyDescent="0.25">
      <c r="A3598">
        <v>2614</v>
      </c>
      <c r="B3598" s="10">
        <v>45738</v>
      </c>
      <c r="C3598">
        <v>22</v>
      </c>
      <c r="D3598" t="s">
        <v>140</v>
      </c>
      <c r="E3598" t="s">
        <v>142</v>
      </c>
      <c r="F3598" t="s">
        <v>141</v>
      </c>
      <c r="G3598" t="s">
        <v>100</v>
      </c>
      <c r="H3598" t="s">
        <v>23</v>
      </c>
      <c r="I3598" t="s">
        <v>45</v>
      </c>
      <c r="J3598" t="s">
        <v>103</v>
      </c>
      <c r="K3598">
        <v>24</v>
      </c>
      <c r="L3598">
        <v>38200</v>
      </c>
      <c r="M3598">
        <v>916800</v>
      </c>
      <c r="N3598" t="s">
        <v>95</v>
      </c>
      <c r="O3598" t="s">
        <v>96</v>
      </c>
    </row>
    <row r="3599" spans="1:15" x14ac:dyDescent="0.25">
      <c r="A3599">
        <v>3539</v>
      </c>
      <c r="B3599" s="10">
        <v>46018</v>
      </c>
      <c r="C3599">
        <v>27</v>
      </c>
      <c r="D3599" t="s">
        <v>125</v>
      </c>
      <c r="E3599" t="s">
        <v>25</v>
      </c>
      <c r="F3599" t="s">
        <v>151</v>
      </c>
      <c r="G3599" t="s">
        <v>111</v>
      </c>
      <c r="H3599" t="s">
        <v>23</v>
      </c>
      <c r="I3599" t="s">
        <v>45</v>
      </c>
      <c r="J3599" t="s">
        <v>103</v>
      </c>
      <c r="K3599">
        <v>35</v>
      </c>
      <c r="L3599">
        <v>38200</v>
      </c>
      <c r="M3599">
        <v>1337000</v>
      </c>
      <c r="N3599" t="s">
        <v>95</v>
      </c>
      <c r="O3599" t="s">
        <v>115</v>
      </c>
    </row>
    <row r="3600" spans="1:15" x14ac:dyDescent="0.25">
      <c r="A3600">
        <v>3863</v>
      </c>
      <c r="B3600" s="10">
        <v>45836</v>
      </c>
      <c r="C3600">
        <v>28</v>
      </c>
      <c r="D3600" t="s">
        <v>153</v>
      </c>
      <c r="E3600" t="s">
        <v>137</v>
      </c>
      <c r="F3600" t="s">
        <v>22</v>
      </c>
      <c r="G3600" t="s">
        <v>91</v>
      </c>
      <c r="H3600" t="s">
        <v>92</v>
      </c>
      <c r="I3600" t="s">
        <v>129</v>
      </c>
      <c r="J3600" t="s">
        <v>103</v>
      </c>
      <c r="K3600">
        <v>36</v>
      </c>
      <c r="L3600">
        <v>38200</v>
      </c>
      <c r="M3600">
        <v>1375200</v>
      </c>
      <c r="N3600" t="s">
        <v>108</v>
      </c>
      <c r="O3600" t="s">
        <v>115</v>
      </c>
    </row>
    <row r="3601" spans="1:15" x14ac:dyDescent="0.25">
      <c r="A3601">
        <v>4223</v>
      </c>
      <c r="B3601" s="10">
        <v>45884</v>
      </c>
      <c r="C3601">
        <v>15</v>
      </c>
      <c r="D3601" t="s">
        <v>109</v>
      </c>
      <c r="E3601" t="s">
        <v>25</v>
      </c>
      <c r="F3601" t="s">
        <v>117</v>
      </c>
      <c r="G3601" t="s">
        <v>118</v>
      </c>
      <c r="H3601" t="s">
        <v>92</v>
      </c>
      <c r="I3601" t="s">
        <v>129</v>
      </c>
      <c r="J3601" t="s">
        <v>103</v>
      </c>
      <c r="K3601">
        <v>31</v>
      </c>
      <c r="L3601">
        <v>38200</v>
      </c>
      <c r="M3601">
        <v>1184200</v>
      </c>
      <c r="N3601" t="s">
        <v>108</v>
      </c>
      <c r="O3601" t="s">
        <v>115</v>
      </c>
    </row>
    <row r="3602" spans="1:15" x14ac:dyDescent="0.25">
      <c r="A3602">
        <v>4896</v>
      </c>
      <c r="B3602" s="10">
        <v>45776</v>
      </c>
      <c r="C3602">
        <v>29</v>
      </c>
      <c r="D3602" t="s">
        <v>105</v>
      </c>
      <c r="E3602" t="s">
        <v>161</v>
      </c>
      <c r="F3602" t="s">
        <v>122</v>
      </c>
      <c r="G3602" t="s">
        <v>114</v>
      </c>
      <c r="H3602" t="s">
        <v>92</v>
      </c>
      <c r="I3602" t="s">
        <v>129</v>
      </c>
      <c r="J3602" t="s">
        <v>103</v>
      </c>
      <c r="K3602">
        <v>20</v>
      </c>
      <c r="L3602">
        <v>38200</v>
      </c>
      <c r="M3602">
        <v>764000</v>
      </c>
      <c r="N3602" t="s">
        <v>108</v>
      </c>
      <c r="O3602" t="s">
        <v>115</v>
      </c>
    </row>
    <row r="3603" spans="1:15" x14ac:dyDescent="0.25">
      <c r="A3603">
        <v>2113</v>
      </c>
      <c r="B3603" s="10">
        <v>45659</v>
      </c>
      <c r="C3603">
        <v>2</v>
      </c>
      <c r="D3603" t="s">
        <v>130</v>
      </c>
      <c r="E3603" t="s">
        <v>142</v>
      </c>
      <c r="F3603" t="s">
        <v>22</v>
      </c>
      <c r="G3603" t="s">
        <v>91</v>
      </c>
      <c r="H3603" t="s">
        <v>23</v>
      </c>
      <c r="I3603" t="s">
        <v>45</v>
      </c>
      <c r="J3603" t="s">
        <v>103</v>
      </c>
      <c r="K3603">
        <v>6</v>
      </c>
      <c r="L3603">
        <v>38300</v>
      </c>
      <c r="M3603">
        <v>229800</v>
      </c>
      <c r="N3603" t="s">
        <v>108</v>
      </c>
      <c r="O3603" t="s">
        <v>96</v>
      </c>
    </row>
    <row r="3604" spans="1:15" x14ac:dyDescent="0.25">
      <c r="A3604">
        <v>2180</v>
      </c>
      <c r="B3604" s="10">
        <v>45924</v>
      </c>
      <c r="C3604">
        <v>24</v>
      </c>
      <c r="D3604" t="s">
        <v>147</v>
      </c>
      <c r="E3604" t="s">
        <v>161</v>
      </c>
      <c r="F3604" t="s">
        <v>107</v>
      </c>
      <c r="G3604" t="s">
        <v>100</v>
      </c>
      <c r="H3604" t="s">
        <v>92</v>
      </c>
      <c r="I3604" t="s">
        <v>129</v>
      </c>
      <c r="J3604" t="s">
        <v>103</v>
      </c>
      <c r="K3604">
        <v>33</v>
      </c>
      <c r="L3604">
        <v>38300</v>
      </c>
      <c r="M3604">
        <v>1263900</v>
      </c>
      <c r="N3604" t="s">
        <v>95</v>
      </c>
      <c r="O3604" t="s">
        <v>96</v>
      </c>
    </row>
    <row r="3605" spans="1:15" x14ac:dyDescent="0.25">
      <c r="A3605">
        <v>3241</v>
      </c>
      <c r="B3605" s="10">
        <v>45762</v>
      </c>
      <c r="C3605">
        <v>15</v>
      </c>
      <c r="D3605" t="s">
        <v>105</v>
      </c>
      <c r="E3605" t="s">
        <v>133</v>
      </c>
      <c r="F3605" t="s">
        <v>107</v>
      </c>
      <c r="G3605" t="s">
        <v>100</v>
      </c>
      <c r="H3605" t="s">
        <v>92</v>
      </c>
      <c r="I3605" t="s">
        <v>129</v>
      </c>
      <c r="J3605" t="s">
        <v>103</v>
      </c>
      <c r="K3605">
        <v>8</v>
      </c>
      <c r="L3605">
        <v>38300</v>
      </c>
      <c r="M3605">
        <v>306400</v>
      </c>
      <c r="N3605" t="s">
        <v>108</v>
      </c>
      <c r="O3605" t="s">
        <v>96</v>
      </c>
    </row>
    <row r="3606" spans="1:15" x14ac:dyDescent="0.25">
      <c r="A3606">
        <v>3624</v>
      </c>
      <c r="B3606" s="10">
        <v>45968</v>
      </c>
      <c r="C3606">
        <v>7</v>
      </c>
      <c r="D3606" t="s">
        <v>90</v>
      </c>
      <c r="E3606" t="s">
        <v>110</v>
      </c>
      <c r="F3606" t="s">
        <v>28</v>
      </c>
      <c r="G3606" t="s">
        <v>126</v>
      </c>
      <c r="H3606" t="s">
        <v>23</v>
      </c>
      <c r="I3606" t="s">
        <v>45</v>
      </c>
      <c r="J3606" t="s">
        <v>103</v>
      </c>
      <c r="K3606">
        <v>42</v>
      </c>
      <c r="L3606">
        <v>38300</v>
      </c>
      <c r="M3606">
        <v>1608600</v>
      </c>
      <c r="N3606" t="s">
        <v>95</v>
      </c>
      <c r="O3606" t="s">
        <v>96</v>
      </c>
    </row>
    <row r="3607" spans="1:15" x14ac:dyDescent="0.25">
      <c r="A3607">
        <v>3807</v>
      </c>
      <c r="B3607" s="10">
        <v>45700</v>
      </c>
      <c r="C3607">
        <v>12</v>
      </c>
      <c r="D3607" t="s">
        <v>97</v>
      </c>
      <c r="E3607" t="s">
        <v>98</v>
      </c>
      <c r="F3607" t="s">
        <v>107</v>
      </c>
      <c r="G3607" t="s">
        <v>100</v>
      </c>
      <c r="H3607" t="s">
        <v>92</v>
      </c>
      <c r="I3607" t="s">
        <v>129</v>
      </c>
      <c r="J3607" t="s">
        <v>103</v>
      </c>
      <c r="K3607">
        <v>32</v>
      </c>
      <c r="L3607">
        <v>38300</v>
      </c>
      <c r="M3607">
        <v>1225600</v>
      </c>
      <c r="N3607" t="s">
        <v>108</v>
      </c>
      <c r="O3607" t="s">
        <v>96</v>
      </c>
    </row>
    <row r="3608" spans="1:15" x14ac:dyDescent="0.25">
      <c r="A3608">
        <v>1940</v>
      </c>
      <c r="B3608" s="10">
        <v>45891</v>
      </c>
      <c r="C3608">
        <v>22</v>
      </c>
      <c r="D3608" t="s">
        <v>109</v>
      </c>
      <c r="E3608" t="s">
        <v>116</v>
      </c>
      <c r="F3608" t="s">
        <v>49</v>
      </c>
      <c r="G3608" t="s">
        <v>118</v>
      </c>
      <c r="H3608" t="s">
        <v>92</v>
      </c>
      <c r="I3608" t="s">
        <v>129</v>
      </c>
      <c r="J3608" t="s">
        <v>103</v>
      </c>
      <c r="K3608">
        <v>23</v>
      </c>
      <c r="L3608">
        <v>38400</v>
      </c>
      <c r="M3608">
        <v>883200</v>
      </c>
      <c r="N3608" t="s">
        <v>95</v>
      </c>
      <c r="O3608" t="s">
        <v>96</v>
      </c>
    </row>
    <row r="3609" spans="1:15" x14ac:dyDescent="0.25">
      <c r="A3609">
        <v>3357</v>
      </c>
      <c r="B3609" s="10">
        <v>45767</v>
      </c>
      <c r="C3609">
        <v>20</v>
      </c>
      <c r="D3609" t="s">
        <v>105</v>
      </c>
      <c r="E3609" t="s">
        <v>138</v>
      </c>
      <c r="F3609" t="s">
        <v>49</v>
      </c>
      <c r="G3609" t="s">
        <v>118</v>
      </c>
      <c r="H3609" t="s">
        <v>92</v>
      </c>
      <c r="I3609" t="s">
        <v>129</v>
      </c>
      <c r="J3609" t="s">
        <v>103</v>
      </c>
      <c r="K3609">
        <v>26</v>
      </c>
      <c r="L3609">
        <v>38400</v>
      </c>
      <c r="M3609">
        <v>998400</v>
      </c>
      <c r="N3609" t="s">
        <v>108</v>
      </c>
      <c r="O3609" t="s">
        <v>96</v>
      </c>
    </row>
    <row r="3610" spans="1:15" x14ac:dyDescent="0.25">
      <c r="A3610">
        <v>2358</v>
      </c>
      <c r="B3610" s="10">
        <v>45953</v>
      </c>
      <c r="C3610">
        <v>23</v>
      </c>
      <c r="D3610" t="s">
        <v>136</v>
      </c>
      <c r="E3610" t="s">
        <v>138</v>
      </c>
      <c r="F3610" t="s">
        <v>117</v>
      </c>
      <c r="G3610" t="s">
        <v>118</v>
      </c>
      <c r="H3610" t="s">
        <v>92</v>
      </c>
      <c r="I3610" t="s">
        <v>129</v>
      </c>
      <c r="J3610" t="s">
        <v>103</v>
      </c>
      <c r="K3610">
        <v>47</v>
      </c>
      <c r="L3610">
        <v>38500</v>
      </c>
      <c r="M3610">
        <v>1809500</v>
      </c>
      <c r="N3610" t="s">
        <v>95</v>
      </c>
      <c r="O3610" t="s">
        <v>104</v>
      </c>
    </row>
    <row r="3611" spans="1:15" x14ac:dyDescent="0.25">
      <c r="A3611">
        <v>3158</v>
      </c>
      <c r="B3611" s="10">
        <v>45980</v>
      </c>
      <c r="C3611">
        <v>19</v>
      </c>
      <c r="D3611" t="s">
        <v>90</v>
      </c>
      <c r="E3611" t="s">
        <v>25</v>
      </c>
      <c r="F3611" t="s">
        <v>144</v>
      </c>
      <c r="G3611" t="s">
        <v>91</v>
      </c>
      <c r="H3611" t="s">
        <v>92</v>
      </c>
      <c r="I3611" t="s">
        <v>129</v>
      </c>
      <c r="J3611" t="s">
        <v>103</v>
      </c>
      <c r="K3611">
        <v>10</v>
      </c>
      <c r="L3611">
        <v>38500</v>
      </c>
      <c r="M3611">
        <v>385000</v>
      </c>
      <c r="N3611" t="s">
        <v>108</v>
      </c>
      <c r="O3611" t="s">
        <v>96</v>
      </c>
    </row>
    <row r="3612" spans="1:15" x14ac:dyDescent="0.25">
      <c r="A3612">
        <v>3889</v>
      </c>
      <c r="B3612" s="10">
        <v>45714</v>
      </c>
      <c r="C3612">
        <v>26</v>
      </c>
      <c r="D3612" t="s">
        <v>97</v>
      </c>
      <c r="E3612" t="s">
        <v>137</v>
      </c>
      <c r="F3612" t="s">
        <v>28</v>
      </c>
      <c r="G3612" t="s">
        <v>126</v>
      </c>
      <c r="H3612" t="s">
        <v>92</v>
      </c>
      <c r="I3612" t="s">
        <v>129</v>
      </c>
      <c r="J3612" t="s">
        <v>103</v>
      </c>
      <c r="K3612">
        <v>10</v>
      </c>
      <c r="L3612">
        <v>38500</v>
      </c>
      <c r="M3612">
        <v>385000</v>
      </c>
      <c r="N3612" t="s">
        <v>95</v>
      </c>
      <c r="O3612" t="s">
        <v>115</v>
      </c>
    </row>
    <row r="3613" spans="1:15" x14ac:dyDescent="0.25">
      <c r="A3613">
        <v>238</v>
      </c>
      <c r="B3613" s="10">
        <v>45955</v>
      </c>
      <c r="C3613">
        <v>25</v>
      </c>
      <c r="D3613" t="s">
        <v>136</v>
      </c>
      <c r="E3613" t="s">
        <v>138</v>
      </c>
      <c r="F3613" t="s">
        <v>36</v>
      </c>
      <c r="G3613" t="s">
        <v>100</v>
      </c>
      <c r="H3613" t="s">
        <v>92</v>
      </c>
      <c r="I3613" t="s">
        <v>129</v>
      </c>
      <c r="J3613" t="s">
        <v>103</v>
      </c>
      <c r="K3613">
        <v>41</v>
      </c>
      <c r="L3613">
        <v>38600</v>
      </c>
      <c r="M3613">
        <v>1582600</v>
      </c>
      <c r="N3613" t="s">
        <v>95</v>
      </c>
      <c r="O3613" t="s">
        <v>104</v>
      </c>
    </row>
    <row r="3614" spans="1:15" x14ac:dyDescent="0.25">
      <c r="A3614">
        <v>659</v>
      </c>
      <c r="B3614" s="10">
        <v>45738</v>
      </c>
      <c r="C3614">
        <v>22</v>
      </c>
      <c r="D3614" t="s">
        <v>140</v>
      </c>
      <c r="E3614" t="s">
        <v>133</v>
      </c>
      <c r="F3614" t="s">
        <v>28</v>
      </c>
      <c r="G3614" t="s">
        <v>126</v>
      </c>
      <c r="H3614" t="s">
        <v>92</v>
      </c>
      <c r="I3614" t="s">
        <v>129</v>
      </c>
      <c r="J3614" t="s">
        <v>103</v>
      </c>
      <c r="K3614">
        <v>45</v>
      </c>
      <c r="L3614">
        <v>38600</v>
      </c>
      <c r="M3614">
        <v>1737000</v>
      </c>
      <c r="N3614" t="s">
        <v>95</v>
      </c>
      <c r="O3614" t="s">
        <v>104</v>
      </c>
    </row>
    <row r="3615" spans="1:15" x14ac:dyDescent="0.25">
      <c r="A3615">
        <v>2399</v>
      </c>
      <c r="B3615" s="10">
        <v>45940</v>
      </c>
      <c r="C3615">
        <v>10</v>
      </c>
      <c r="D3615" t="s">
        <v>136</v>
      </c>
      <c r="E3615" t="s">
        <v>31</v>
      </c>
      <c r="F3615" t="s">
        <v>141</v>
      </c>
      <c r="G3615" t="s">
        <v>100</v>
      </c>
      <c r="H3615" t="s">
        <v>92</v>
      </c>
      <c r="I3615" t="s">
        <v>129</v>
      </c>
      <c r="J3615" t="s">
        <v>103</v>
      </c>
      <c r="K3615">
        <v>41</v>
      </c>
      <c r="L3615">
        <v>38600</v>
      </c>
      <c r="M3615">
        <v>1582600</v>
      </c>
      <c r="N3615" t="s">
        <v>95</v>
      </c>
      <c r="O3615" t="s">
        <v>115</v>
      </c>
    </row>
    <row r="3616" spans="1:15" x14ac:dyDescent="0.25">
      <c r="A3616">
        <v>1937</v>
      </c>
      <c r="B3616" s="10">
        <v>46016</v>
      </c>
      <c r="C3616">
        <v>25</v>
      </c>
      <c r="D3616" t="s">
        <v>125</v>
      </c>
      <c r="E3616" t="s">
        <v>121</v>
      </c>
      <c r="F3616" t="s">
        <v>141</v>
      </c>
      <c r="G3616" t="s">
        <v>100</v>
      </c>
      <c r="H3616" t="s">
        <v>23</v>
      </c>
      <c r="I3616" t="s">
        <v>45</v>
      </c>
      <c r="J3616" t="s">
        <v>103</v>
      </c>
      <c r="K3616">
        <v>18</v>
      </c>
      <c r="L3616">
        <v>38700</v>
      </c>
      <c r="M3616">
        <v>696600</v>
      </c>
      <c r="N3616" t="s">
        <v>95</v>
      </c>
      <c r="O3616" t="s">
        <v>115</v>
      </c>
    </row>
    <row r="3617" spans="1:15" x14ac:dyDescent="0.25">
      <c r="A3617">
        <v>3922</v>
      </c>
      <c r="B3617" s="10">
        <v>45824</v>
      </c>
      <c r="C3617">
        <v>16</v>
      </c>
      <c r="D3617" t="s">
        <v>153</v>
      </c>
      <c r="E3617" t="s">
        <v>98</v>
      </c>
      <c r="F3617" t="s">
        <v>141</v>
      </c>
      <c r="G3617" t="s">
        <v>100</v>
      </c>
      <c r="H3617" t="s">
        <v>92</v>
      </c>
      <c r="I3617" t="s">
        <v>129</v>
      </c>
      <c r="J3617" t="s">
        <v>103</v>
      </c>
      <c r="K3617">
        <v>48</v>
      </c>
      <c r="L3617">
        <v>38700</v>
      </c>
      <c r="M3617">
        <v>1857600</v>
      </c>
      <c r="N3617" t="s">
        <v>95</v>
      </c>
      <c r="O3617" t="s">
        <v>104</v>
      </c>
    </row>
    <row r="3618" spans="1:15" x14ac:dyDescent="0.25">
      <c r="A3618">
        <v>4766</v>
      </c>
      <c r="B3618" s="10">
        <v>45982</v>
      </c>
      <c r="C3618">
        <v>21</v>
      </c>
      <c r="D3618" t="s">
        <v>90</v>
      </c>
      <c r="E3618" t="s">
        <v>31</v>
      </c>
      <c r="F3618" t="s">
        <v>28</v>
      </c>
      <c r="G3618" t="s">
        <v>126</v>
      </c>
      <c r="H3618" t="s">
        <v>23</v>
      </c>
      <c r="I3618" t="s">
        <v>45</v>
      </c>
      <c r="J3618" t="s">
        <v>103</v>
      </c>
      <c r="K3618">
        <v>7</v>
      </c>
      <c r="L3618">
        <v>38700</v>
      </c>
      <c r="M3618">
        <v>270900</v>
      </c>
      <c r="N3618" t="s">
        <v>95</v>
      </c>
      <c r="O3618" t="s">
        <v>115</v>
      </c>
    </row>
    <row r="3619" spans="1:15" x14ac:dyDescent="0.25">
      <c r="A3619">
        <v>1573</v>
      </c>
      <c r="B3619" s="10">
        <v>45868</v>
      </c>
      <c r="C3619">
        <v>30</v>
      </c>
      <c r="D3619" t="s">
        <v>145</v>
      </c>
      <c r="E3619" t="s">
        <v>98</v>
      </c>
      <c r="F3619" t="s">
        <v>49</v>
      </c>
      <c r="G3619" t="s">
        <v>118</v>
      </c>
      <c r="H3619" t="s">
        <v>23</v>
      </c>
      <c r="I3619" t="s">
        <v>45</v>
      </c>
      <c r="J3619" t="s">
        <v>103</v>
      </c>
      <c r="K3619">
        <v>37</v>
      </c>
      <c r="L3619">
        <v>38800</v>
      </c>
      <c r="M3619">
        <v>1435600</v>
      </c>
      <c r="N3619" t="s">
        <v>95</v>
      </c>
      <c r="O3619" t="s">
        <v>115</v>
      </c>
    </row>
    <row r="3620" spans="1:15" x14ac:dyDescent="0.25">
      <c r="A3620">
        <v>1943</v>
      </c>
      <c r="B3620" s="10">
        <v>45749</v>
      </c>
      <c r="C3620">
        <v>2</v>
      </c>
      <c r="D3620" t="s">
        <v>105</v>
      </c>
      <c r="E3620" t="s">
        <v>150</v>
      </c>
      <c r="F3620" t="s">
        <v>148</v>
      </c>
      <c r="G3620" t="s">
        <v>118</v>
      </c>
      <c r="H3620" t="s">
        <v>23</v>
      </c>
      <c r="I3620" t="s">
        <v>45</v>
      </c>
      <c r="J3620" t="s">
        <v>103</v>
      </c>
      <c r="K3620">
        <v>41</v>
      </c>
      <c r="L3620">
        <v>38800</v>
      </c>
      <c r="M3620">
        <v>1590800</v>
      </c>
      <c r="N3620" t="s">
        <v>95</v>
      </c>
      <c r="O3620" t="s">
        <v>96</v>
      </c>
    </row>
    <row r="3621" spans="1:15" x14ac:dyDescent="0.25">
      <c r="A3621">
        <v>3225</v>
      </c>
      <c r="B3621" s="10">
        <v>45779</v>
      </c>
      <c r="C3621">
        <v>2</v>
      </c>
      <c r="D3621" t="s">
        <v>120</v>
      </c>
      <c r="E3621" t="s">
        <v>142</v>
      </c>
      <c r="F3621" t="s">
        <v>117</v>
      </c>
      <c r="G3621" t="s">
        <v>118</v>
      </c>
      <c r="H3621" t="s">
        <v>23</v>
      </c>
      <c r="I3621" t="s">
        <v>45</v>
      </c>
      <c r="J3621" t="s">
        <v>103</v>
      </c>
      <c r="K3621">
        <v>15</v>
      </c>
      <c r="L3621">
        <v>38800</v>
      </c>
      <c r="M3621">
        <v>582000</v>
      </c>
      <c r="N3621" t="s">
        <v>108</v>
      </c>
      <c r="O3621" t="s">
        <v>104</v>
      </c>
    </row>
    <row r="3622" spans="1:15" x14ac:dyDescent="0.25">
      <c r="A3622">
        <v>1751</v>
      </c>
      <c r="B3622" s="10">
        <v>45839</v>
      </c>
      <c r="C3622">
        <v>1</v>
      </c>
      <c r="D3622" t="s">
        <v>145</v>
      </c>
      <c r="E3622" t="s">
        <v>128</v>
      </c>
      <c r="F3622" t="s">
        <v>144</v>
      </c>
      <c r="G3622" t="s">
        <v>91</v>
      </c>
      <c r="H3622" t="s">
        <v>92</v>
      </c>
      <c r="I3622" t="s">
        <v>129</v>
      </c>
      <c r="J3622" t="s">
        <v>94</v>
      </c>
      <c r="K3622">
        <v>4</v>
      </c>
      <c r="L3622">
        <v>38900</v>
      </c>
      <c r="M3622">
        <v>155600</v>
      </c>
      <c r="N3622" t="s">
        <v>95</v>
      </c>
      <c r="O3622" t="s">
        <v>104</v>
      </c>
    </row>
    <row r="3623" spans="1:15" x14ac:dyDescent="0.25">
      <c r="A3623">
        <v>3761</v>
      </c>
      <c r="B3623" s="10">
        <v>45697</v>
      </c>
      <c r="C3623">
        <v>9</v>
      </c>
      <c r="D3623" t="s">
        <v>97</v>
      </c>
      <c r="E3623" t="s">
        <v>31</v>
      </c>
      <c r="F3623" t="s">
        <v>148</v>
      </c>
      <c r="G3623" t="s">
        <v>118</v>
      </c>
      <c r="H3623" t="s">
        <v>92</v>
      </c>
      <c r="I3623" t="s">
        <v>129</v>
      </c>
      <c r="J3623" t="s">
        <v>103</v>
      </c>
      <c r="K3623">
        <v>25</v>
      </c>
      <c r="L3623">
        <v>38900</v>
      </c>
      <c r="M3623">
        <v>972500</v>
      </c>
      <c r="N3623" t="s">
        <v>95</v>
      </c>
      <c r="O3623" t="s">
        <v>104</v>
      </c>
    </row>
    <row r="3624" spans="1:15" x14ac:dyDescent="0.25">
      <c r="A3624">
        <v>4519</v>
      </c>
      <c r="B3624" s="10">
        <v>45665</v>
      </c>
      <c r="C3624">
        <v>8</v>
      </c>
      <c r="D3624" t="s">
        <v>130</v>
      </c>
      <c r="E3624" t="s">
        <v>25</v>
      </c>
      <c r="F3624" t="s">
        <v>117</v>
      </c>
      <c r="G3624" t="s">
        <v>118</v>
      </c>
      <c r="H3624" t="s">
        <v>92</v>
      </c>
      <c r="I3624" t="s">
        <v>129</v>
      </c>
      <c r="J3624" t="s">
        <v>103</v>
      </c>
      <c r="K3624">
        <v>14</v>
      </c>
      <c r="L3624">
        <v>38900</v>
      </c>
      <c r="M3624">
        <v>544600</v>
      </c>
      <c r="N3624" t="s">
        <v>108</v>
      </c>
      <c r="O3624" t="s">
        <v>104</v>
      </c>
    </row>
    <row r="3625" spans="1:15" x14ac:dyDescent="0.25">
      <c r="A3625">
        <v>276</v>
      </c>
      <c r="B3625" s="10">
        <v>45789</v>
      </c>
      <c r="C3625">
        <v>12</v>
      </c>
      <c r="D3625" t="s">
        <v>120</v>
      </c>
      <c r="E3625" t="s">
        <v>161</v>
      </c>
      <c r="F3625" t="s">
        <v>36</v>
      </c>
      <c r="G3625" t="s">
        <v>100</v>
      </c>
      <c r="H3625" t="s">
        <v>23</v>
      </c>
      <c r="I3625" t="s">
        <v>45</v>
      </c>
      <c r="J3625" t="s">
        <v>103</v>
      </c>
      <c r="K3625">
        <v>41</v>
      </c>
      <c r="L3625">
        <v>39100</v>
      </c>
      <c r="M3625">
        <v>1603100</v>
      </c>
      <c r="N3625" t="s">
        <v>95</v>
      </c>
      <c r="O3625" t="s">
        <v>104</v>
      </c>
    </row>
    <row r="3626" spans="1:15" x14ac:dyDescent="0.25">
      <c r="A3626">
        <v>1575</v>
      </c>
      <c r="B3626" s="10">
        <v>45875</v>
      </c>
      <c r="C3626">
        <v>6</v>
      </c>
      <c r="D3626" t="s">
        <v>109</v>
      </c>
      <c r="E3626" t="s">
        <v>142</v>
      </c>
      <c r="F3626" t="s">
        <v>44</v>
      </c>
      <c r="G3626" t="s">
        <v>111</v>
      </c>
      <c r="H3626" t="s">
        <v>23</v>
      </c>
      <c r="I3626" t="s">
        <v>45</v>
      </c>
      <c r="J3626" t="s">
        <v>103</v>
      </c>
      <c r="K3626">
        <v>19</v>
      </c>
      <c r="L3626">
        <v>39100</v>
      </c>
      <c r="M3626">
        <v>742900</v>
      </c>
      <c r="N3626" t="s">
        <v>108</v>
      </c>
      <c r="O3626" t="s">
        <v>96</v>
      </c>
    </row>
    <row r="3627" spans="1:15" x14ac:dyDescent="0.25">
      <c r="A3627">
        <v>2280</v>
      </c>
      <c r="B3627" s="10">
        <v>45909</v>
      </c>
      <c r="C3627">
        <v>9</v>
      </c>
      <c r="D3627" t="s">
        <v>147</v>
      </c>
      <c r="E3627" t="s">
        <v>112</v>
      </c>
      <c r="F3627" t="s">
        <v>99</v>
      </c>
      <c r="G3627" t="s">
        <v>100</v>
      </c>
      <c r="H3627" t="s">
        <v>92</v>
      </c>
      <c r="I3627" t="s">
        <v>129</v>
      </c>
      <c r="J3627" t="s">
        <v>103</v>
      </c>
      <c r="K3627">
        <v>19</v>
      </c>
      <c r="L3627">
        <v>39100</v>
      </c>
      <c r="M3627">
        <v>742900</v>
      </c>
      <c r="N3627" t="s">
        <v>108</v>
      </c>
      <c r="O3627" t="s">
        <v>104</v>
      </c>
    </row>
    <row r="3628" spans="1:15" x14ac:dyDescent="0.25">
      <c r="A3628">
        <v>2632</v>
      </c>
      <c r="B3628" s="10">
        <v>45966</v>
      </c>
      <c r="C3628">
        <v>5</v>
      </c>
      <c r="D3628" t="s">
        <v>90</v>
      </c>
      <c r="E3628" t="s">
        <v>110</v>
      </c>
      <c r="F3628" t="s">
        <v>36</v>
      </c>
      <c r="G3628" t="s">
        <v>100</v>
      </c>
      <c r="H3628" t="s">
        <v>23</v>
      </c>
      <c r="I3628" t="s">
        <v>45</v>
      </c>
      <c r="J3628" t="s">
        <v>103</v>
      </c>
      <c r="K3628">
        <v>35</v>
      </c>
      <c r="L3628">
        <v>39100</v>
      </c>
      <c r="M3628">
        <v>1368500</v>
      </c>
      <c r="N3628" t="s">
        <v>95</v>
      </c>
      <c r="O3628" t="s">
        <v>115</v>
      </c>
    </row>
    <row r="3629" spans="1:15" x14ac:dyDescent="0.25">
      <c r="A3629">
        <v>3200</v>
      </c>
      <c r="B3629" s="10">
        <v>45758</v>
      </c>
      <c r="C3629">
        <v>11</v>
      </c>
      <c r="D3629" t="s">
        <v>105</v>
      </c>
      <c r="E3629" t="s">
        <v>150</v>
      </c>
      <c r="F3629" t="s">
        <v>117</v>
      </c>
      <c r="G3629" t="s">
        <v>118</v>
      </c>
      <c r="H3629" t="s">
        <v>23</v>
      </c>
      <c r="I3629" t="s">
        <v>45</v>
      </c>
      <c r="J3629" t="s">
        <v>103</v>
      </c>
      <c r="K3629">
        <v>6</v>
      </c>
      <c r="L3629">
        <v>39100</v>
      </c>
      <c r="M3629">
        <v>234600</v>
      </c>
      <c r="N3629" t="s">
        <v>95</v>
      </c>
      <c r="O3629" t="s">
        <v>115</v>
      </c>
    </row>
    <row r="3630" spans="1:15" x14ac:dyDescent="0.25">
      <c r="A3630">
        <v>3202</v>
      </c>
      <c r="B3630" s="10">
        <v>45706</v>
      </c>
      <c r="C3630">
        <v>18</v>
      </c>
      <c r="D3630" t="s">
        <v>97</v>
      </c>
      <c r="E3630" t="s">
        <v>150</v>
      </c>
      <c r="F3630" t="s">
        <v>134</v>
      </c>
      <c r="G3630" t="s">
        <v>100</v>
      </c>
      <c r="H3630" t="s">
        <v>23</v>
      </c>
      <c r="I3630" t="s">
        <v>45</v>
      </c>
      <c r="J3630" t="s">
        <v>103</v>
      </c>
      <c r="K3630">
        <v>41</v>
      </c>
      <c r="L3630">
        <v>39100</v>
      </c>
      <c r="M3630">
        <v>1603100</v>
      </c>
      <c r="N3630" t="s">
        <v>95</v>
      </c>
      <c r="O3630" t="s">
        <v>115</v>
      </c>
    </row>
    <row r="3631" spans="1:15" x14ac:dyDescent="0.25">
      <c r="A3631">
        <v>3812</v>
      </c>
      <c r="B3631" s="10">
        <v>45757</v>
      </c>
      <c r="C3631">
        <v>10</v>
      </c>
      <c r="D3631" t="s">
        <v>105</v>
      </c>
      <c r="E3631" t="s">
        <v>137</v>
      </c>
      <c r="F3631" t="s">
        <v>134</v>
      </c>
      <c r="G3631" t="s">
        <v>100</v>
      </c>
      <c r="H3631" t="s">
        <v>23</v>
      </c>
      <c r="I3631" t="s">
        <v>45</v>
      </c>
      <c r="J3631" t="s">
        <v>103</v>
      </c>
      <c r="K3631">
        <v>42</v>
      </c>
      <c r="L3631">
        <v>39100</v>
      </c>
      <c r="M3631">
        <v>1642200</v>
      </c>
      <c r="N3631" t="s">
        <v>108</v>
      </c>
      <c r="O3631" t="s">
        <v>96</v>
      </c>
    </row>
    <row r="3632" spans="1:15" x14ac:dyDescent="0.25">
      <c r="A3632">
        <v>4950</v>
      </c>
      <c r="B3632" s="10">
        <v>45932</v>
      </c>
      <c r="C3632">
        <v>2</v>
      </c>
      <c r="D3632" t="s">
        <v>136</v>
      </c>
      <c r="E3632" t="s">
        <v>116</v>
      </c>
      <c r="F3632" t="s">
        <v>148</v>
      </c>
      <c r="G3632" t="s">
        <v>118</v>
      </c>
      <c r="H3632" t="s">
        <v>92</v>
      </c>
      <c r="I3632" t="s">
        <v>129</v>
      </c>
      <c r="J3632" t="s">
        <v>103</v>
      </c>
      <c r="K3632">
        <v>33</v>
      </c>
      <c r="L3632">
        <v>39100</v>
      </c>
      <c r="M3632">
        <v>1290300</v>
      </c>
      <c r="N3632" t="s">
        <v>95</v>
      </c>
      <c r="O3632" t="s">
        <v>96</v>
      </c>
    </row>
    <row r="3633" spans="1:15" x14ac:dyDescent="0.25">
      <c r="A3633">
        <v>858</v>
      </c>
      <c r="B3633" s="10">
        <v>45845</v>
      </c>
      <c r="C3633">
        <v>7</v>
      </c>
      <c r="D3633" t="s">
        <v>145</v>
      </c>
      <c r="E3633" t="s">
        <v>133</v>
      </c>
      <c r="F3633" t="s">
        <v>148</v>
      </c>
      <c r="G3633" t="s">
        <v>118</v>
      </c>
      <c r="H3633" t="s">
        <v>23</v>
      </c>
      <c r="I3633" t="s">
        <v>45</v>
      </c>
      <c r="J3633" t="s">
        <v>103</v>
      </c>
      <c r="K3633">
        <v>16</v>
      </c>
      <c r="L3633">
        <v>39200</v>
      </c>
      <c r="M3633">
        <v>627200</v>
      </c>
      <c r="N3633" t="s">
        <v>95</v>
      </c>
      <c r="O3633" t="s">
        <v>96</v>
      </c>
    </row>
    <row r="3634" spans="1:15" x14ac:dyDescent="0.25">
      <c r="A3634">
        <v>1072</v>
      </c>
      <c r="B3634" s="10">
        <v>45720</v>
      </c>
      <c r="C3634">
        <v>4</v>
      </c>
      <c r="D3634" t="s">
        <v>140</v>
      </c>
      <c r="E3634" t="s">
        <v>121</v>
      </c>
      <c r="F3634" t="s">
        <v>36</v>
      </c>
      <c r="G3634" t="s">
        <v>100</v>
      </c>
      <c r="H3634" t="s">
        <v>92</v>
      </c>
      <c r="I3634" t="s">
        <v>129</v>
      </c>
      <c r="J3634" t="s">
        <v>103</v>
      </c>
      <c r="K3634">
        <v>32</v>
      </c>
      <c r="L3634">
        <v>39200</v>
      </c>
      <c r="M3634">
        <v>1254400</v>
      </c>
      <c r="N3634" t="s">
        <v>95</v>
      </c>
      <c r="O3634" t="s">
        <v>96</v>
      </c>
    </row>
    <row r="3635" spans="1:15" x14ac:dyDescent="0.25">
      <c r="A3635">
        <v>2463</v>
      </c>
      <c r="B3635" s="10">
        <v>45774</v>
      </c>
      <c r="C3635">
        <v>27</v>
      </c>
      <c r="D3635" t="s">
        <v>105</v>
      </c>
      <c r="E3635" t="s">
        <v>142</v>
      </c>
      <c r="F3635" t="s">
        <v>113</v>
      </c>
      <c r="G3635" t="s">
        <v>114</v>
      </c>
      <c r="H3635" t="s">
        <v>92</v>
      </c>
      <c r="I3635" t="s">
        <v>129</v>
      </c>
      <c r="J3635" t="s">
        <v>103</v>
      </c>
      <c r="K3635">
        <v>39</v>
      </c>
      <c r="L3635">
        <v>39200</v>
      </c>
      <c r="M3635">
        <v>1528800</v>
      </c>
      <c r="N3635" t="s">
        <v>95</v>
      </c>
      <c r="O3635" t="s">
        <v>115</v>
      </c>
    </row>
    <row r="3636" spans="1:15" x14ac:dyDescent="0.25">
      <c r="A3636">
        <v>3433</v>
      </c>
      <c r="B3636" s="10">
        <v>45864</v>
      </c>
      <c r="C3636">
        <v>26</v>
      </c>
      <c r="D3636" t="s">
        <v>145</v>
      </c>
      <c r="E3636" t="s">
        <v>110</v>
      </c>
      <c r="F3636" t="s">
        <v>148</v>
      </c>
      <c r="G3636" t="s">
        <v>118</v>
      </c>
      <c r="H3636" t="s">
        <v>23</v>
      </c>
      <c r="I3636" t="s">
        <v>45</v>
      </c>
      <c r="J3636" t="s">
        <v>103</v>
      </c>
      <c r="K3636">
        <v>40</v>
      </c>
      <c r="L3636">
        <v>39200</v>
      </c>
      <c r="M3636">
        <v>1568000</v>
      </c>
      <c r="N3636" t="s">
        <v>108</v>
      </c>
      <c r="O3636" t="s">
        <v>115</v>
      </c>
    </row>
    <row r="3637" spans="1:15" x14ac:dyDescent="0.25">
      <c r="A3637">
        <v>4249</v>
      </c>
      <c r="B3637" s="10">
        <v>45858</v>
      </c>
      <c r="C3637">
        <v>20</v>
      </c>
      <c r="D3637" t="s">
        <v>145</v>
      </c>
      <c r="E3637" t="s">
        <v>137</v>
      </c>
      <c r="F3637" t="s">
        <v>107</v>
      </c>
      <c r="G3637" t="s">
        <v>100</v>
      </c>
      <c r="H3637" t="s">
        <v>23</v>
      </c>
      <c r="I3637" t="s">
        <v>45</v>
      </c>
      <c r="J3637" t="s">
        <v>103</v>
      </c>
      <c r="K3637">
        <v>42</v>
      </c>
      <c r="L3637">
        <v>39200</v>
      </c>
      <c r="M3637">
        <v>1646400</v>
      </c>
      <c r="N3637" t="s">
        <v>95</v>
      </c>
      <c r="O3637" t="s">
        <v>96</v>
      </c>
    </row>
    <row r="3638" spans="1:15" x14ac:dyDescent="0.25">
      <c r="A3638">
        <v>1059</v>
      </c>
      <c r="B3638" s="10">
        <v>45959</v>
      </c>
      <c r="C3638">
        <v>29</v>
      </c>
      <c r="D3638" t="s">
        <v>136</v>
      </c>
      <c r="E3638" t="s">
        <v>25</v>
      </c>
      <c r="F3638" t="s">
        <v>151</v>
      </c>
      <c r="G3638" t="s">
        <v>111</v>
      </c>
      <c r="H3638" t="s">
        <v>23</v>
      </c>
      <c r="I3638" t="s">
        <v>45</v>
      </c>
      <c r="J3638" t="s">
        <v>103</v>
      </c>
      <c r="K3638">
        <v>16</v>
      </c>
      <c r="L3638">
        <v>39300</v>
      </c>
      <c r="M3638">
        <v>628800</v>
      </c>
      <c r="N3638" t="s">
        <v>108</v>
      </c>
      <c r="O3638" t="s">
        <v>104</v>
      </c>
    </row>
    <row r="3639" spans="1:15" x14ac:dyDescent="0.25">
      <c r="A3639">
        <v>2513</v>
      </c>
      <c r="B3639" s="10">
        <v>45808</v>
      </c>
      <c r="C3639">
        <v>31</v>
      </c>
      <c r="D3639" t="s">
        <v>120</v>
      </c>
      <c r="E3639" t="s">
        <v>150</v>
      </c>
      <c r="F3639" t="s">
        <v>151</v>
      </c>
      <c r="G3639" t="s">
        <v>111</v>
      </c>
      <c r="H3639" t="s">
        <v>23</v>
      </c>
      <c r="I3639" t="s">
        <v>45</v>
      </c>
      <c r="J3639" t="s">
        <v>103</v>
      </c>
      <c r="K3639">
        <v>37</v>
      </c>
      <c r="L3639">
        <v>39300</v>
      </c>
      <c r="M3639">
        <v>1454100</v>
      </c>
      <c r="N3639" t="s">
        <v>95</v>
      </c>
      <c r="O3639" t="s">
        <v>104</v>
      </c>
    </row>
    <row r="3640" spans="1:15" x14ac:dyDescent="0.25">
      <c r="A3640">
        <v>3307</v>
      </c>
      <c r="B3640" s="10">
        <v>45917</v>
      </c>
      <c r="C3640">
        <v>17</v>
      </c>
      <c r="D3640" t="s">
        <v>147</v>
      </c>
      <c r="E3640" t="s">
        <v>98</v>
      </c>
      <c r="F3640" t="s">
        <v>49</v>
      </c>
      <c r="G3640" t="s">
        <v>118</v>
      </c>
      <c r="H3640" t="s">
        <v>23</v>
      </c>
      <c r="I3640" t="s">
        <v>45</v>
      </c>
      <c r="J3640" t="s">
        <v>103</v>
      </c>
      <c r="K3640">
        <v>28</v>
      </c>
      <c r="L3640">
        <v>39300</v>
      </c>
      <c r="M3640">
        <v>1100400</v>
      </c>
      <c r="N3640" t="s">
        <v>108</v>
      </c>
      <c r="O3640" t="s">
        <v>96</v>
      </c>
    </row>
    <row r="3641" spans="1:15" x14ac:dyDescent="0.25">
      <c r="A3641">
        <v>4460</v>
      </c>
      <c r="B3641" s="10">
        <v>45919</v>
      </c>
      <c r="C3641">
        <v>19</v>
      </c>
      <c r="D3641" t="s">
        <v>147</v>
      </c>
      <c r="E3641" t="s">
        <v>121</v>
      </c>
      <c r="F3641" t="s">
        <v>148</v>
      </c>
      <c r="G3641" t="s">
        <v>118</v>
      </c>
      <c r="H3641" t="s">
        <v>92</v>
      </c>
      <c r="I3641" t="s">
        <v>129</v>
      </c>
      <c r="J3641" t="s">
        <v>103</v>
      </c>
      <c r="K3641">
        <v>22</v>
      </c>
      <c r="L3641">
        <v>39500</v>
      </c>
      <c r="M3641">
        <v>869000</v>
      </c>
      <c r="N3641" t="s">
        <v>108</v>
      </c>
      <c r="O3641" t="s">
        <v>96</v>
      </c>
    </row>
    <row r="3642" spans="1:15" x14ac:dyDescent="0.25">
      <c r="A3642">
        <v>964</v>
      </c>
      <c r="B3642" s="10">
        <v>45726</v>
      </c>
      <c r="C3642">
        <v>10</v>
      </c>
      <c r="D3642" t="s">
        <v>140</v>
      </c>
      <c r="E3642" t="s">
        <v>116</v>
      </c>
      <c r="F3642" t="s">
        <v>36</v>
      </c>
      <c r="G3642" t="s">
        <v>100</v>
      </c>
      <c r="H3642" t="s">
        <v>92</v>
      </c>
      <c r="I3642" t="s">
        <v>129</v>
      </c>
      <c r="J3642" t="s">
        <v>103</v>
      </c>
      <c r="K3642">
        <v>23</v>
      </c>
      <c r="L3642">
        <v>39600</v>
      </c>
      <c r="M3642">
        <v>910800</v>
      </c>
      <c r="N3642" t="s">
        <v>95</v>
      </c>
      <c r="O3642" t="s">
        <v>104</v>
      </c>
    </row>
    <row r="3643" spans="1:15" x14ac:dyDescent="0.25">
      <c r="A3643">
        <v>1481</v>
      </c>
      <c r="B3643" s="10">
        <v>45995</v>
      </c>
      <c r="C3643">
        <v>4</v>
      </c>
      <c r="D3643" t="s">
        <v>125</v>
      </c>
      <c r="E3643" t="s">
        <v>138</v>
      </c>
      <c r="F3643" t="s">
        <v>148</v>
      </c>
      <c r="G3643" t="s">
        <v>118</v>
      </c>
      <c r="H3643" t="s">
        <v>92</v>
      </c>
      <c r="I3643" t="s">
        <v>129</v>
      </c>
      <c r="J3643" t="s">
        <v>103</v>
      </c>
      <c r="K3643">
        <v>13</v>
      </c>
      <c r="L3643">
        <v>39600</v>
      </c>
      <c r="M3643">
        <v>514800</v>
      </c>
      <c r="N3643" t="s">
        <v>108</v>
      </c>
      <c r="O3643" t="s">
        <v>96</v>
      </c>
    </row>
    <row r="3644" spans="1:15" x14ac:dyDescent="0.25">
      <c r="A3644">
        <v>4665</v>
      </c>
      <c r="B3644" s="10">
        <v>45869</v>
      </c>
      <c r="C3644">
        <v>31</v>
      </c>
      <c r="D3644" t="s">
        <v>145</v>
      </c>
      <c r="E3644" t="s">
        <v>116</v>
      </c>
      <c r="F3644" t="s">
        <v>44</v>
      </c>
      <c r="G3644" t="s">
        <v>111</v>
      </c>
      <c r="H3644" t="s">
        <v>23</v>
      </c>
      <c r="I3644" t="s">
        <v>45</v>
      </c>
      <c r="J3644" t="s">
        <v>103</v>
      </c>
      <c r="K3644">
        <v>46</v>
      </c>
      <c r="L3644">
        <v>39600</v>
      </c>
      <c r="M3644">
        <v>1821600</v>
      </c>
      <c r="N3644" t="s">
        <v>95</v>
      </c>
      <c r="O3644" t="s">
        <v>96</v>
      </c>
    </row>
    <row r="3645" spans="1:15" x14ac:dyDescent="0.25">
      <c r="A3645">
        <v>1171</v>
      </c>
      <c r="B3645" s="10">
        <v>45677</v>
      </c>
      <c r="C3645">
        <v>20</v>
      </c>
      <c r="D3645" t="s">
        <v>130</v>
      </c>
      <c r="E3645" t="s">
        <v>106</v>
      </c>
      <c r="F3645" t="s">
        <v>144</v>
      </c>
      <c r="G3645" t="s">
        <v>91</v>
      </c>
      <c r="H3645" t="s">
        <v>92</v>
      </c>
      <c r="I3645" t="s">
        <v>129</v>
      </c>
      <c r="J3645" t="s">
        <v>103</v>
      </c>
      <c r="K3645">
        <v>26</v>
      </c>
      <c r="L3645">
        <v>39700</v>
      </c>
      <c r="M3645">
        <v>1032200</v>
      </c>
      <c r="N3645" t="s">
        <v>95</v>
      </c>
      <c r="O3645" t="s">
        <v>115</v>
      </c>
    </row>
    <row r="3646" spans="1:15" x14ac:dyDescent="0.25">
      <c r="A3646">
        <v>787</v>
      </c>
      <c r="B3646" s="10">
        <v>45698</v>
      </c>
      <c r="C3646">
        <v>10</v>
      </c>
      <c r="D3646" t="s">
        <v>97</v>
      </c>
      <c r="E3646" t="s">
        <v>138</v>
      </c>
      <c r="F3646" t="s">
        <v>99</v>
      </c>
      <c r="G3646" t="s">
        <v>100</v>
      </c>
      <c r="H3646" t="s">
        <v>92</v>
      </c>
      <c r="I3646" t="s">
        <v>129</v>
      </c>
      <c r="J3646" t="s">
        <v>103</v>
      </c>
      <c r="K3646">
        <v>34</v>
      </c>
      <c r="L3646">
        <v>39800</v>
      </c>
      <c r="M3646">
        <v>1353200</v>
      </c>
      <c r="N3646" t="s">
        <v>95</v>
      </c>
      <c r="O3646" t="s">
        <v>96</v>
      </c>
    </row>
    <row r="3647" spans="1:15" x14ac:dyDescent="0.25">
      <c r="A3647">
        <v>3674</v>
      </c>
      <c r="B3647" s="10">
        <v>45712</v>
      </c>
      <c r="C3647">
        <v>24</v>
      </c>
      <c r="D3647" t="s">
        <v>97</v>
      </c>
      <c r="E3647" t="s">
        <v>133</v>
      </c>
      <c r="F3647" t="s">
        <v>28</v>
      </c>
      <c r="G3647" t="s">
        <v>126</v>
      </c>
      <c r="H3647" t="s">
        <v>23</v>
      </c>
      <c r="I3647" t="s">
        <v>45</v>
      </c>
      <c r="J3647" t="s">
        <v>103</v>
      </c>
      <c r="K3647">
        <v>26</v>
      </c>
      <c r="L3647">
        <v>39800</v>
      </c>
      <c r="M3647">
        <v>1034800</v>
      </c>
      <c r="N3647" t="s">
        <v>108</v>
      </c>
      <c r="O3647" t="s">
        <v>115</v>
      </c>
    </row>
    <row r="3648" spans="1:15" x14ac:dyDescent="0.25">
      <c r="A3648">
        <v>4999</v>
      </c>
      <c r="B3648" s="10">
        <v>45685</v>
      </c>
      <c r="C3648">
        <v>28</v>
      </c>
      <c r="D3648" t="s">
        <v>130</v>
      </c>
      <c r="E3648" t="s">
        <v>121</v>
      </c>
      <c r="F3648" t="s">
        <v>148</v>
      </c>
      <c r="G3648" t="s">
        <v>118</v>
      </c>
      <c r="H3648" t="s">
        <v>92</v>
      </c>
      <c r="I3648" t="s">
        <v>129</v>
      </c>
      <c r="J3648" t="s">
        <v>103</v>
      </c>
      <c r="K3648">
        <v>6</v>
      </c>
      <c r="L3648">
        <v>39800</v>
      </c>
      <c r="M3648">
        <v>238800</v>
      </c>
      <c r="N3648" t="s">
        <v>95</v>
      </c>
      <c r="O3648" t="s">
        <v>115</v>
      </c>
    </row>
    <row r="3649" spans="1:15" x14ac:dyDescent="0.25">
      <c r="A3649">
        <v>240</v>
      </c>
      <c r="B3649" s="10">
        <v>45985</v>
      </c>
      <c r="C3649">
        <v>24</v>
      </c>
      <c r="D3649" t="s">
        <v>90</v>
      </c>
      <c r="E3649" t="s">
        <v>25</v>
      </c>
      <c r="F3649" t="s">
        <v>151</v>
      </c>
      <c r="G3649" t="s">
        <v>111</v>
      </c>
      <c r="H3649" t="s">
        <v>92</v>
      </c>
      <c r="I3649" t="s">
        <v>129</v>
      </c>
      <c r="J3649" t="s">
        <v>103</v>
      </c>
      <c r="K3649">
        <v>46</v>
      </c>
      <c r="L3649">
        <v>39900</v>
      </c>
      <c r="M3649">
        <v>1835400</v>
      </c>
      <c r="N3649" t="s">
        <v>108</v>
      </c>
      <c r="O3649" t="s">
        <v>115</v>
      </c>
    </row>
    <row r="3650" spans="1:15" x14ac:dyDescent="0.25">
      <c r="A3650">
        <v>2569</v>
      </c>
      <c r="B3650" s="10">
        <v>45839</v>
      </c>
      <c r="C3650">
        <v>1</v>
      </c>
      <c r="D3650" t="s">
        <v>145</v>
      </c>
      <c r="E3650" t="s">
        <v>137</v>
      </c>
      <c r="F3650" t="s">
        <v>36</v>
      </c>
      <c r="G3650" t="s">
        <v>100</v>
      </c>
      <c r="H3650" t="s">
        <v>23</v>
      </c>
      <c r="I3650" t="s">
        <v>45</v>
      </c>
      <c r="J3650" t="s">
        <v>103</v>
      </c>
      <c r="K3650">
        <v>34</v>
      </c>
      <c r="L3650">
        <v>39900</v>
      </c>
      <c r="M3650">
        <v>1356600</v>
      </c>
      <c r="N3650" t="s">
        <v>95</v>
      </c>
      <c r="O3650" t="s">
        <v>96</v>
      </c>
    </row>
    <row r="3651" spans="1:15" x14ac:dyDescent="0.25">
      <c r="A3651">
        <v>3672</v>
      </c>
      <c r="B3651" s="10">
        <v>45971</v>
      </c>
      <c r="C3651">
        <v>10</v>
      </c>
      <c r="D3651" t="s">
        <v>90</v>
      </c>
      <c r="E3651" t="s">
        <v>161</v>
      </c>
      <c r="F3651" t="s">
        <v>117</v>
      </c>
      <c r="G3651" t="s">
        <v>118</v>
      </c>
      <c r="H3651" t="s">
        <v>92</v>
      </c>
      <c r="I3651" t="s">
        <v>129</v>
      </c>
      <c r="J3651" t="s">
        <v>103</v>
      </c>
      <c r="K3651">
        <v>41</v>
      </c>
      <c r="L3651">
        <v>39900</v>
      </c>
      <c r="M3651">
        <v>1635900</v>
      </c>
      <c r="N3651" t="s">
        <v>108</v>
      </c>
      <c r="O3651" t="s">
        <v>115</v>
      </c>
    </row>
    <row r="3652" spans="1:15" x14ac:dyDescent="0.25">
      <c r="A3652">
        <v>297</v>
      </c>
      <c r="B3652" s="10">
        <v>45806</v>
      </c>
      <c r="C3652">
        <v>29</v>
      </c>
      <c r="D3652" t="s">
        <v>120</v>
      </c>
      <c r="E3652" t="s">
        <v>106</v>
      </c>
      <c r="F3652" t="s">
        <v>141</v>
      </c>
      <c r="G3652" t="s">
        <v>100</v>
      </c>
      <c r="H3652" t="s">
        <v>92</v>
      </c>
      <c r="I3652" t="s">
        <v>129</v>
      </c>
      <c r="J3652" t="s">
        <v>103</v>
      </c>
      <c r="K3652">
        <v>41</v>
      </c>
      <c r="L3652">
        <v>40000</v>
      </c>
      <c r="M3652">
        <v>1640000</v>
      </c>
      <c r="N3652" t="s">
        <v>108</v>
      </c>
      <c r="O3652" t="s">
        <v>104</v>
      </c>
    </row>
    <row r="3653" spans="1:15" x14ac:dyDescent="0.25">
      <c r="A3653">
        <v>2658</v>
      </c>
      <c r="B3653" s="10">
        <v>45672</v>
      </c>
      <c r="C3653">
        <v>15</v>
      </c>
      <c r="D3653" t="s">
        <v>130</v>
      </c>
      <c r="E3653" t="s">
        <v>133</v>
      </c>
      <c r="F3653" t="s">
        <v>113</v>
      </c>
      <c r="G3653" t="s">
        <v>114</v>
      </c>
      <c r="H3653" t="s">
        <v>92</v>
      </c>
      <c r="I3653" t="s">
        <v>129</v>
      </c>
      <c r="J3653" t="s">
        <v>103</v>
      </c>
      <c r="K3653">
        <v>46</v>
      </c>
      <c r="L3653">
        <v>40000</v>
      </c>
      <c r="M3653">
        <v>1840000</v>
      </c>
      <c r="N3653" t="s">
        <v>108</v>
      </c>
      <c r="O3653" t="s">
        <v>115</v>
      </c>
    </row>
    <row r="3654" spans="1:15" x14ac:dyDescent="0.25">
      <c r="A3654">
        <v>2957</v>
      </c>
      <c r="B3654" s="10">
        <v>45724</v>
      </c>
      <c r="C3654">
        <v>8</v>
      </c>
      <c r="D3654" t="s">
        <v>140</v>
      </c>
      <c r="E3654" t="s">
        <v>128</v>
      </c>
      <c r="F3654" t="s">
        <v>49</v>
      </c>
      <c r="G3654" t="s">
        <v>118</v>
      </c>
      <c r="H3654" t="s">
        <v>92</v>
      </c>
      <c r="I3654" t="s">
        <v>129</v>
      </c>
      <c r="J3654" t="s">
        <v>103</v>
      </c>
      <c r="K3654">
        <v>21</v>
      </c>
      <c r="L3654">
        <v>40000</v>
      </c>
      <c r="M3654">
        <v>840000</v>
      </c>
      <c r="N3654" t="s">
        <v>108</v>
      </c>
      <c r="O3654" t="s">
        <v>115</v>
      </c>
    </row>
    <row r="3655" spans="1:15" x14ac:dyDescent="0.25">
      <c r="A3655">
        <v>3240</v>
      </c>
      <c r="B3655" s="10">
        <v>45861</v>
      </c>
      <c r="C3655">
        <v>23</v>
      </c>
      <c r="D3655" t="s">
        <v>145</v>
      </c>
      <c r="E3655" t="s">
        <v>161</v>
      </c>
      <c r="F3655" t="s">
        <v>151</v>
      </c>
      <c r="G3655" t="s">
        <v>111</v>
      </c>
      <c r="H3655" t="s">
        <v>92</v>
      </c>
      <c r="I3655" t="s">
        <v>129</v>
      </c>
      <c r="J3655" t="s">
        <v>103</v>
      </c>
      <c r="K3655">
        <v>9</v>
      </c>
      <c r="L3655">
        <v>40000</v>
      </c>
      <c r="M3655">
        <v>360000</v>
      </c>
      <c r="N3655" t="s">
        <v>95</v>
      </c>
      <c r="O3655" t="s">
        <v>104</v>
      </c>
    </row>
    <row r="3656" spans="1:15" x14ac:dyDescent="0.25">
      <c r="A3656">
        <v>424</v>
      </c>
      <c r="B3656" s="10">
        <v>45939</v>
      </c>
      <c r="C3656">
        <v>9</v>
      </c>
      <c r="D3656" t="s">
        <v>136</v>
      </c>
      <c r="E3656" t="s">
        <v>133</v>
      </c>
      <c r="F3656" t="s">
        <v>22</v>
      </c>
      <c r="G3656" t="s">
        <v>91</v>
      </c>
      <c r="H3656" t="s">
        <v>23</v>
      </c>
      <c r="I3656" t="s">
        <v>45</v>
      </c>
      <c r="J3656" t="s">
        <v>103</v>
      </c>
      <c r="K3656">
        <v>13</v>
      </c>
      <c r="L3656">
        <v>40100</v>
      </c>
      <c r="M3656">
        <v>521300</v>
      </c>
      <c r="N3656" t="s">
        <v>108</v>
      </c>
      <c r="O3656" t="s">
        <v>104</v>
      </c>
    </row>
    <row r="3657" spans="1:15" x14ac:dyDescent="0.25">
      <c r="A3657">
        <v>3137</v>
      </c>
      <c r="B3657" s="10">
        <v>45663</v>
      </c>
      <c r="C3657">
        <v>6</v>
      </c>
      <c r="D3657" t="s">
        <v>130</v>
      </c>
      <c r="E3657" t="s">
        <v>25</v>
      </c>
      <c r="F3657" t="s">
        <v>22</v>
      </c>
      <c r="G3657" t="s">
        <v>91</v>
      </c>
      <c r="H3657" t="s">
        <v>23</v>
      </c>
      <c r="I3657" t="s">
        <v>45</v>
      </c>
      <c r="J3657" t="s">
        <v>103</v>
      </c>
      <c r="K3657">
        <v>8</v>
      </c>
      <c r="L3657">
        <v>40100</v>
      </c>
      <c r="M3657">
        <v>320800</v>
      </c>
      <c r="N3657" t="s">
        <v>108</v>
      </c>
      <c r="O3657" t="s">
        <v>115</v>
      </c>
    </row>
    <row r="3658" spans="1:15" x14ac:dyDescent="0.25">
      <c r="A3658">
        <v>1378</v>
      </c>
      <c r="B3658" s="10">
        <v>45885</v>
      </c>
      <c r="C3658">
        <v>16</v>
      </c>
      <c r="D3658" t="s">
        <v>109</v>
      </c>
      <c r="E3658" t="s">
        <v>137</v>
      </c>
      <c r="F3658" t="s">
        <v>148</v>
      </c>
      <c r="G3658" t="s">
        <v>118</v>
      </c>
      <c r="H3658" t="s">
        <v>23</v>
      </c>
      <c r="I3658" t="s">
        <v>45</v>
      </c>
      <c r="J3658" t="s">
        <v>103</v>
      </c>
      <c r="K3658">
        <v>18</v>
      </c>
      <c r="L3658">
        <v>40200</v>
      </c>
      <c r="M3658">
        <v>723600</v>
      </c>
      <c r="N3658" t="s">
        <v>95</v>
      </c>
      <c r="O3658" t="s">
        <v>115</v>
      </c>
    </row>
    <row r="3659" spans="1:15" x14ac:dyDescent="0.25">
      <c r="A3659">
        <v>4789</v>
      </c>
      <c r="B3659" s="10">
        <v>45817</v>
      </c>
      <c r="C3659">
        <v>9</v>
      </c>
      <c r="D3659" t="s">
        <v>153</v>
      </c>
      <c r="E3659" t="s">
        <v>116</v>
      </c>
      <c r="F3659" t="s">
        <v>99</v>
      </c>
      <c r="G3659" t="s">
        <v>100</v>
      </c>
      <c r="H3659" t="s">
        <v>92</v>
      </c>
      <c r="I3659" t="s">
        <v>129</v>
      </c>
      <c r="J3659" t="s">
        <v>94</v>
      </c>
      <c r="K3659">
        <v>6</v>
      </c>
      <c r="L3659">
        <v>40300</v>
      </c>
      <c r="M3659">
        <v>241800</v>
      </c>
      <c r="N3659" t="s">
        <v>95</v>
      </c>
      <c r="O3659" t="s">
        <v>104</v>
      </c>
    </row>
    <row r="3660" spans="1:15" x14ac:dyDescent="0.25">
      <c r="A3660">
        <v>3081</v>
      </c>
      <c r="B3660" s="10">
        <v>45864</v>
      </c>
      <c r="C3660">
        <v>26</v>
      </c>
      <c r="D3660" t="s">
        <v>145</v>
      </c>
      <c r="E3660" t="s">
        <v>137</v>
      </c>
      <c r="F3660" t="s">
        <v>144</v>
      </c>
      <c r="G3660" t="s">
        <v>91</v>
      </c>
      <c r="H3660" t="s">
        <v>23</v>
      </c>
      <c r="I3660" t="s">
        <v>45</v>
      </c>
      <c r="J3660" t="s">
        <v>103</v>
      </c>
      <c r="K3660">
        <v>49</v>
      </c>
      <c r="L3660">
        <v>40500</v>
      </c>
      <c r="M3660">
        <v>1984500</v>
      </c>
      <c r="N3660" t="s">
        <v>95</v>
      </c>
      <c r="O3660" t="s">
        <v>96</v>
      </c>
    </row>
    <row r="3661" spans="1:15" x14ac:dyDescent="0.25">
      <c r="A3661">
        <v>2731</v>
      </c>
      <c r="B3661" s="10">
        <v>45960</v>
      </c>
      <c r="C3661">
        <v>30</v>
      </c>
      <c r="D3661" t="s">
        <v>136</v>
      </c>
      <c r="E3661" t="s">
        <v>150</v>
      </c>
      <c r="F3661" t="s">
        <v>113</v>
      </c>
      <c r="G3661" t="s">
        <v>114</v>
      </c>
      <c r="H3661" t="s">
        <v>92</v>
      </c>
      <c r="I3661" t="s">
        <v>129</v>
      </c>
      <c r="J3661" t="s">
        <v>103</v>
      </c>
      <c r="K3661">
        <v>19</v>
      </c>
      <c r="L3661">
        <v>40600</v>
      </c>
      <c r="M3661">
        <v>771400</v>
      </c>
      <c r="N3661" t="s">
        <v>108</v>
      </c>
      <c r="O3661" t="s">
        <v>104</v>
      </c>
    </row>
    <row r="3662" spans="1:15" x14ac:dyDescent="0.25">
      <c r="A3662">
        <v>2951</v>
      </c>
      <c r="B3662" s="10">
        <v>45973</v>
      </c>
      <c r="C3662">
        <v>12</v>
      </c>
      <c r="D3662" t="s">
        <v>90</v>
      </c>
      <c r="E3662" t="s">
        <v>112</v>
      </c>
      <c r="F3662" t="s">
        <v>22</v>
      </c>
      <c r="G3662" t="s">
        <v>91</v>
      </c>
      <c r="H3662" t="s">
        <v>92</v>
      </c>
      <c r="I3662" t="s">
        <v>129</v>
      </c>
      <c r="J3662" t="s">
        <v>103</v>
      </c>
      <c r="K3662">
        <v>11</v>
      </c>
      <c r="L3662">
        <v>40600</v>
      </c>
      <c r="M3662">
        <v>446600</v>
      </c>
      <c r="N3662" t="s">
        <v>108</v>
      </c>
      <c r="O3662" t="s">
        <v>96</v>
      </c>
    </row>
    <row r="3663" spans="1:15" x14ac:dyDescent="0.25">
      <c r="A3663">
        <v>4835</v>
      </c>
      <c r="B3663" s="10">
        <v>45860</v>
      </c>
      <c r="C3663">
        <v>22</v>
      </c>
      <c r="D3663" t="s">
        <v>145</v>
      </c>
      <c r="E3663" t="s">
        <v>25</v>
      </c>
      <c r="F3663" t="s">
        <v>28</v>
      </c>
      <c r="G3663" t="s">
        <v>126</v>
      </c>
      <c r="H3663" t="s">
        <v>23</v>
      </c>
      <c r="I3663" t="s">
        <v>45</v>
      </c>
      <c r="J3663" t="s">
        <v>94</v>
      </c>
      <c r="K3663">
        <v>4</v>
      </c>
      <c r="L3663">
        <v>40700</v>
      </c>
      <c r="M3663">
        <v>162800</v>
      </c>
      <c r="N3663" t="s">
        <v>95</v>
      </c>
      <c r="O3663" t="s">
        <v>104</v>
      </c>
    </row>
    <row r="3664" spans="1:15" x14ac:dyDescent="0.25">
      <c r="A3664">
        <v>604</v>
      </c>
      <c r="B3664" s="10">
        <v>45993</v>
      </c>
      <c r="C3664">
        <v>2</v>
      </c>
      <c r="D3664" t="s">
        <v>125</v>
      </c>
      <c r="E3664" t="s">
        <v>25</v>
      </c>
      <c r="F3664" t="s">
        <v>36</v>
      </c>
      <c r="G3664" t="s">
        <v>100</v>
      </c>
      <c r="H3664" t="s">
        <v>23</v>
      </c>
      <c r="I3664" t="s">
        <v>45</v>
      </c>
      <c r="J3664" t="s">
        <v>103</v>
      </c>
      <c r="K3664">
        <v>27</v>
      </c>
      <c r="L3664">
        <v>40800</v>
      </c>
      <c r="M3664">
        <v>1101600</v>
      </c>
      <c r="N3664" t="s">
        <v>108</v>
      </c>
      <c r="O3664" t="s">
        <v>115</v>
      </c>
    </row>
    <row r="3665" spans="1:15" x14ac:dyDescent="0.25">
      <c r="A3665">
        <v>3432</v>
      </c>
      <c r="B3665" s="10">
        <v>45732</v>
      </c>
      <c r="C3665">
        <v>16</v>
      </c>
      <c r="D3665" t="s">
        <v>140</v>
      </c>
      <c r="E3665" t="s">
        <v>31</v>
      </c>
      <c r="F3665" t="s">
        <v>49</v>
      </c>
      <c r="G3665" t="s">
        <v>118</v>
      </c>
      <c r="H3665" t="s">
        <v>92</v>
      </c>
      <c r="I3665" t="s">
        <v>129</v>
      </c>
      <c r="J3665" t="s">
        <v>103</v>
      </c>
      <c r="K3665">
        <v>21</v>
      </c>
      <c r="L3665">
        <v>40800</v>
      </c>
      <c r="M3665">
        <v>856800</v>
      </c>
      <c r="N3665" t="s">
        <v>95</v>
      </c>
      <c r="O3665" t="s">
        <v>96</v>
      </c>
    </row>
    <row r="3666" spans="1:15" x14ac:dyDescent="0.25">
      <c r="A3666">
        <v>4912</v>
      </c>
      <c r="B3666" s="10">
        <v>45768</v>
      </c>
      <c r="C3666">
        <v>21</v>
      </c>
      <c r="D3666" t="s">
        <v>105</v>
      </c>
      <c r="E3666" t="s">
        <v>121</v>
      </c>
      <c r="F3666" t="s">
        <v>151</v>
      </c>
      <c r="G3666" t="s">
        <v>111</v>
      </c>
      <c r="H3666" t="s">
        <v>23</v>
      </c>
      <c r="I3666" t="s">
        <v>45</v>
      </c>
      <c r="J3666" t="s">
        <v>103</v>
      </c>
      <c r="K3666">
        <v>35</v>
      </c>
      <c r="L3666">
        <v>40800</v>
      </c>
      <c r="M3666">
        <v>1428000</v>
      </c>
      <c r="N3666" t="s">
        <v>95</v>
      </c>
      <c r="O3666" t="s">
        <v>104</v>
      </c>
    </row>
    <row r="3667" spans="1:15" x14ac:dyDescent="0.25">
      <c r="A3667">
        <v>4644</v>
      </c>
      <c r="B3667" s="10">
        <v>45876</v>
      </c>
      <c r="C3667">
        <v>7</v>
      </c>
      <c r="D3667" t="s">
        <v>109</v>
      </c>
      <c r="E3667" t="s">
        <v>138</v>
      </c>
      <c r="F3667" t="s">
        <v>49</v>
      </c>
      <c r="G3667" t="s">
        <v>118</v>
      </c>
      <c r="H3667" t="s">
        <v>92</v>
      </c>
      <c r="I3667" t="s">
        <v>129</v>
      </c>
      <c r="J3667" t="s">
        <v>103</v>
      </c>
      <c r="K3667">
        <v>31</v>
      </c>
      <c r="L3667">
        <v>40900</v>
      </c>
      <c r="M3667">
        <v>1267900</v>
      </c>
      <c r="N3667" t="s">
        <v>108</v>
      </c>
      <c r="O3667" t="s">
        <v>104</v>
      </c>
    </row>
    <row r="3668" spans="1:15" x14ac:dyDescent="0.25">
      <c r="A3668">
        <v>1456</v>
      </c>
      <c r="B3668" s="10">
        <v>45758</v>
      </c>
      <c r="C3668">
        <v>11</v>
      </c>
      <c r="D3668" t="s">
        <v>105</v>
      </c>
      <c r="E3668" t="s">
        <v>142</v>
      </c>
      <c r="F3668" t="s">
        <v>148</v>
      </c>
      <c r="G3668" t="s">
        <v>118</v>
      </c>
      <c r="H3668" t="s">
        <v>23</v>
      </c>
      <c r="I3668" t="s">
        <v>45</v>
      </c>
      <c r="J3668" t="s">
        <v>94</v>
      </c>
      <c r="K3668">
        <v>1</v>
      </c>
      <c r="L3668">
        <v>41000</v>
      </c>
      <c r="M3668">
        <v>41000</v>
      </c>
      <c r="N3668" t="s">
        <v>108</v>
      </c>
      <c r="O3668" t="s">
        <v>115</v>
      </c>
    </row>
    <row r="3669" spans="1:15" x14ac:dyDescent="0.25">
      <c r="A3669">
        <v>2267</v>
      </c>
      <c r="B3669" s="10">
        <v>45682</v>
      </c>
      <c r="C3669">
        <v>25</v>
      </c>
      <c r="D3669" t="s">
        <v>130</v>
      </c>
      <c r="E3669" t="s">
        <v>138</v>
      </c>
      <c r="F3669" t="s">
        <v>148</v>
      </c>
      <c r="G3669" t="s">
        <v>118</v>
      </c>
      <c r="H3669" t="s">
        <v>92</v>
      </c>
      <c r="I3669" t="s">
        <v>129</v>
      </c>
      <c r="J3669" t="s">
        <v>94</v>
      </c>
      <c r="K3669">
        <v>5</v>
      </c>
      <c r="L3669">
        <v>41000</v>
      </c>
      <c r="M3669">
        <v>205000</v>
      </c>
      <c r="N3669" t="s">
        <v>95</v>
      </c>
      <c r="O3669" t="s">
        <v>115</v>
      </c>
    </row>
    <row r="3670" spans="1:15" x14ac:dyDescent="0.25">
      <c r="A3670">
        <v>2724</v>
      </c>
      <c r="B3670" s="10">
        <v>45668</v>
      </c>
      <c r="C3670">
        <v>11</v>
      </c>
      <c r="D3670" t="s">
        <v>130</v>
      </c>
      <c r="E3670" t="s">
        <v>112</v>
      </c>
      <c r="F3670" t="s">
        <v>36</v>
      </c>
      <c r="G3670" t="s">
        <v>100</v>
      </c>
      <c r="H3670" t="s">
        <v>23</v>
      </c>
      <c r="I3670" t="s">
        <v>45</v>
      </c>
      <c r="J3670" t="s">
        <v>103</v>
      </c>
      <c r="K3670">
        <v>37</v>
      </c>
      <c r="L3670">
        <v>41100</v>
      </c>
      <c r="M3670">
        <v>1520700</v>
      </c>
      <c r="N3670" t="s">
        <v>108</v>
      </c>
      <c r="O3670" t="s">
        <v>104</v>
      </c>
    </row>
    <row r="3671" spans="1:15" x14ac:dyDescent="0.25">
      <c r="A3671">
        <v>722</v>
      </c>
      <c r="B3671" s="10">
        <v>45971</v>
      </c>
      <c r="C3671">
        <v>10</v>
      </c>
      <c r="D3671" t="s">
        <v>90</v>
      </c>
      <c r="E3671" t="s">
        <v>128</v>
      </c>
      <c r="F3671" t="s">
        <v>22</v>
      </c>
      <c r="G3671" t="s">
        <v>91</v>
      </c>
      <c r="H3671" t="s">
        <v>92</v>
      </c>
      <c r="I3671" t="s">
        <v>129</v>
      </c>
      <c r="J3671" t="s">
        <v>94</v>
      </c>
      <c r="K3671">
        <v>8</v>
      </c>
      <c r="L3671">
        <v>41200</v>
      </c>
      <c r="M3671">
        <v>329600</v>
      </c>
      <c r="N3671" t="s">
        <v>108</v>
      </c>
      <c r="O3671" t="s">
        <v>104</v>
      </c>
    </row>
    <row r="3672" spans="1:15" x14ac:dyDescent="0.25">
      <c r="A3672">
        <v>1419</v>
      </c>
      <c r="B3672" s="10">
        <v>45714</v>
      </c>
      <c r="C3672">
        <v>26</v>
      </c>
      <c r="D3672" t="s">
        <v>97</v>
      </c>
      <c r="E3672" t="s">
        <v>25</v>
      </c>
      <c r="F3672" t="s">
        <v>44</v>
      </c>
      <c r="G3672" t="s">
        <v>111</v>
      </c>
      <c r="H3672" t="s">
        <v>23</v>
      </c>
      <c r="I3672" t="s">
        <v>45</v>
      </c>
      <c r="J3672" t="s">
        <v>103</v>
      </c>
      <c r="K3672">
        <v>49</v>
      </c>
      <c r="L3672">
        <v>41200</v>
      </c>
      <c r="M3672">
        <v>2018800</v>
      </c>
      <c r="N3672" t="s">
        <v>108</v>
      </c>
      <c r="O3672" t="s">
        <v>115</v>
      </c>
    </row>
    <row r="3673" spans="1:15" x14ac:dyDescent="0.25">
      <c r="A3673">
        <v>2368</v>
      </c>
      <c r="B3673" s="10">
        <v>45802</v>
      </c>
      <c r="C3673">
        <v>25</v>
      </c>
      <c r="D3673" t="s">
        <v>120</v>
      </c>
      <c r="E3673" t="s">
        <v>138</v>
      </c>
      <c r="F3673" t="s">
        <v>28</v>
      </c>
      <c r="G3673" t="s">
        <v>126</v>
      </c>
      <c r="H3673" t="s">
        <v>23</v>
      </c>
      <c r="I3673" t="s">
        <v>45</v>
      </c>
      <c r="J3673" t="s">
        <v>94</v>
      </c>
      <c r="K3673">
        <v>9</v>
      </c>
      <c r="L3673">
        <v>41200</v>
      </c>
      <c r="M3673">
        <v>370800</v>
      </c>
      <c r="N3673" t="s">
        <v>108</v>
      </c>
      <c r="O3673" t="s">
        <v>96</v>
      </c>
    </row>
    <row r="3674" spans="1:15" x14ac:dyDescent="0.25">
      <c r="A3674">
        <v>4866</v>
      </c>
      <c r="B3674" s="10">
        <v>45740</v>
      </c>
      <c r="C3674">
        <v>24</v>
      </c>
      <c r="D3674" t="s">
        <v>140</v>
      </c>
      <c r="E3674" t="s">
        <v>116</v>
      </c>
      <c r="F3674" t="s">
        <v>151</v>
      </c>
      <c r="G3674" t="s">
        <v>111</v>
      </c>
      <c r="H3674" t="s">
        <v>23</v>
      </c>
      <c r="I3674" t="s">
        <v>45</v>
      </c>
      <c r="J3674" t="s">
        <v>94</v>
      </c>
      <c r="K3674">
        <v>2</v>
      </c>
      <c r="L3674">
        <v>41200</v>
      </c>
      <c r="M3674">
        <v>82400</v>
      </c>
      <c r="N3674" t="s">
        <v>95</v>
      </c>
      <c r="O3674" t="s">
        <v>104</v>
      </c>
    </row>
    <row r="3675" spans="1:15" x14ac:dyDescent="0.25">
      <c r="A3675">
        <v>625</v>
      </c>
      <c r="B3675" s="10">
        <v>45873</v>
      </c>
      <c r="C3675">
        <v>4</v>
      </c>
      <c r="D3675" t="s">
        <v>109</v>
      </c>
      <c r="E3675" t="s">
        <v>133</v>
      </c>
      <c r="F3675" t="s">
        <v>36</v>
      </c>
      <c r="G3675" t="s">
        <v>100</v>
      </c>
      <c r="H3675" t="s">
        <v>92</v>
      </c>
      <c r="I3675" t="s">
        <v>129</v>
      </c>
      <c r="J3675" t="s">
        <v>103</v>
      </c>
      <c r="K3675">
        <v>36</v>
      </c>
      <c r="L3675">
        <v>41300</v>
      </c>
      <c r="M3675">
        <v>1486800</v>
      </c>
      <c r="N3675" t="s">
        <v>108</v>
      </c>
      <c r="O3675" t="s">
        <v>115</v>
      </c>
    </row>
    <row r="3676" spans="1:15" x14ac:dyDescent="0.25">
      <c r="A3676">
        <v>2551</v>
      </c>
      <c r="B3676" s="10">
        <v>45694</v>
      </c>
      <c r="C3676">
        <v>6</v>
      </c>
      <c r="D3676" t="s">
        <v>97</v>
      </c>
      <c r="E3676" t="s">
        <v>137</v>
      </c>
      <c r="F3676" t="s">
        <v>44</v>
      </c>
      <c r="G3676" t="s">
        <v>111</v>
      </c>
      <c r="H3676" t="s">
        <v>92</v>
      </c>
      <c r="I3676" t="s">
        <v>129</v>
      </c>
      <c r="J3676" t="s">
        <v>94</v>
      </c>
      <c r="K3676">
        <v>4</v>
      </c>
      <c r="L3676">
        <v>41400</v>
      </c>
      <c r="M3676">
        <v>165600</v>
      </c>
      <c r="N3676" t="s">
        <v>108</v>
      </c>
      <c r="O3676" t="s">
        <v>96</v>
      </c>
    </row>
    <row r="3677" spans="1:15" x14ac:dyDescent="0.25">
      <c r="A3677">
        <v>4348</v>
      </c>
      <c r="B3677" s="10">
        <v>45954</v>
      </c>
      <c r="C3677">
        <v>24</v>
      </c>
      <c r="D3677" t="s">
        <v>136</v>
      </c>
      <c r="E3677" t="s">
        <v>133</v>
      </c>
      <c r="F3677" t="s">
        <v>141</v>
      </c>
      <c r="G3677" t="s">
        <v>100</v>
      </c>
      <c r="H3677" t="s">
        <v>23</v>
      </c>
      <c r="I3677" t="s">
        <v>45</v>
      </c>
      <c r="J3677" t="s">
        <v>94</v>
      </c>
      <c r="K3677">
        <v>9</v>
      </c>
      <c r="L3677">
        <v>41400</v>
      </c>
      <c r="M3677">
        <v>372600</v>
      </c>
      <c r="N3677" t="s">
        <v>108</v>
      </c>
      <c r="O3677" t="s">
        <v>104</v>
      </c>
    </row>
    <row r="3678" spans="1:15" x14ac:dyDescent="0.25">
      <c r="A3678">
        <v>4986</v>
      </c>
      <c r="B3678" s="10">
        <v>45758</v>
      </c>
      <c r="C3678">
        <v>11</v>
      </c>
      <c r="D3678" t="s">
        <v>105</v>
      </c>
      <c r="E3678" t="s">
        <v>142</v>
      </c>
      <c r="F3678" t="s">
        <v>117</v>
      </c>
      <c r="G3678" t="s">
        <v>118</v>
      </c>
      <c r="H3678" t="s">
        <v>92</v>
      </c>
      <c r="I3678" t="s">
        <v>129</v>
      </c>
      <c r="J3678" t="s">
        <v>103</v>
      </c>
      <c r="K3678">
        <v>13</v>
      </c>
      <c r="L3678">
        <v>41400</v>
      </c>
      <c r="M3678">
        <v>538200</v>
      </c>
      <c r="N3678" t="s">
        <v>108</v>
      </c>
      <c r="O3678" t="s">
        <v>96</v>
      </c>
    </row>
    <row r="3679" spans="1:15" x14ac:dyDescent="0.25">
      <c r="A3679">
        <v>1372</v>
      </c>
      <c r="B3679" s="10">
        <v>45755</v>
      </c>
      <c r="C3679">
        <v>8</v>
      </c>
      <c r="D3679" t="s">
        <v>105</v>
      </c>
      <c r="E3679" t="s">
        <v>98</v>
      </c>
      <c r="F3679" t="s">
        <v>148</v>
      </c>
      <c r="G3679" t="s">
        <v>118</v>
      </c>
      <c r="H3679" t="s">
        <v>23</v>
      </c>
      <c r="I3679" t="s">
        <v>45</v>
      </c>
      <c r="J3679" t="s">
        <v>103</v>
      </c>
      <c r="K3679">
        <v>6</v>
      </c>
      <c r="L3679">
        <v>41500</v>
      </c>
      <c r="M3679">
        <v>249000</v>
      </c>
      <c r="N3679" t="s">
        <v>108</v>
      </c>
      <c r="O3679" t="s">
        <v>115</v>
      </c>
    </row>
    <row r="3680" spans="1:15" x14ac:dyDescent="0.25">
      <c r="A3680">
        <v>2678</v>
      </c>
      <c r="B3680" s="10">
        <v>46004</v>
      </c>
      <c r="C3680">
        <v>13</v>
      </c>
      <c r="D3680" t="s">
        <v>125</v>
      </c>
      <c r="E3680" t="s">
        <v>121</v>
      </c>
      <c r="F3680" t="s">
        <v>122</v>
      </c>
      <c r="G3680" t="s">
        <v>114</v>
      </c>
      <c r="H3680" t="s">
        <v>92</v>
      </c>
      <c r="I3680" t="s">
        <v>129</v>
      </c>
      <c r="J3680" t="s">
        <v>94</v>
      </c>
      <c r="K3680">
        <v>3</v>
      </c>
      <c r="L3680">
        <v>41500</v>
      </c>
      <c r="M3680">
        <v>124500</v>
      </c>
      <c r="N3680" t="s">
        <v>95</v>
      </c>
      <c r="O3680" t="s">
        <v>104</v>
      </c>
    </row>
    <row r="3681" spans="1:15" x14ac:dyDescent="0.25">
      <c r="A3681">
        <v>3391</v>
      </c>
      <c r="B3681" s="10">
        <v>45802</v>
      </c>
      <c r="C3681">
        <v>25</v>
      </c>
      <c r="D3681" t="s">
        <v>120</v>
      </c>
      <c r="E3681" t="s">
        <v>110</v>
      </c>
      <c r="F3681" t="s">
        <v>122</v>
      </c>
      <c r="G3681" t="s">
        <v>114</v>
      </c>
      <c r="H3681" t="s">
        <v>92</v>
      </c>
      <c r="I3681" t="s">
        <v>129</v>
      </c>
      <c r="J3681" t="s">
        <v>94</v>
      </c>
      <c r="K3681">
        <v>1</v>
      </c>
      <c r="L3681">
        <v>41500</v>
      </c>
      <c r="M3681">
        <v>41500</v>
      </c>
      <c r="N3681" t="s">
        <v>95</v>
      </c>
      <c r="O3681" t="s">
        <v>115</v>
      </c>
    </row>
    <row r="3682" spans="1:15" x14ac:dyDescent="0.25">
      <c r="A3682">
        <v>2813</v>
      </c>
      <c r="B3682" s="10">
        <v>45920</v>
      </c>
      <c r="C3682">
        <v>20</v>
      </c>
      <c r="D3682" t="s">
        <v>147</v>
      </c>
      <c r="E3682" t="s">
        <v>110</v>
      </c>
      <c r="F3682" t="s">
        <v>141</v>
      </c>
      <c r="G3682" t="s">
        <v>100</v>
      </c>
      <c r="H3682" t="s">
        <v>23</v>
      </c>
      <c r="I3682" t="s">
        <v>45</v>
      </c>
      <c r="J3682" t="s">
        <v>103</v>
      </c>
      <c r="K3682">
        <v>48</v>
      </c>
      <c r="L3682">
        <v>41600</v>
      </c>
      <c r="M3682">
        <v>1996800</v>
      </c>
      <c r="N3682" t="s">
        <v>108</v>
      </c>
      <c r="O3682" t="s">
        <v>104</v>
      </c>
    </row>
    <row r="3683" spans="1:15" x14ac:dyDescent="0.25">
      <c r="A3683">
        <v>770</v>
      </c>
      <c r="B3683" s="10">
        <v>45832</v>
      </c>
      <c r="C3683">
        <v>24</v>
      </c>
      <c r="D3683" t="s">
        <v>153</v>
      </c>
      <c r="E3683" t="s">
        <v>106</v>
      </c>
      <c r="F3683" t="s">
        <v>141</v>
      </c>
      <c r="G3683" t="s">
        <v>100</v>
      </c>
      <c r="H3683" t="s">
        <v>92</v>
      </c>
      <c r="I3683" t="s">
        <v>129</v>
      </c>
      <c r="J3683" t="s">
        <v>103</v>
      </c>
      <c r="K3683">
        <v>32</v>
      </c>
      <c r="L3683">
        <v>41700</v>
      </c>
      <c r="M3683">
        <v>1334400</v>
      </c>
      <c r="N3683" t="s">
        <v>108</v>
      </c>
      <c r="O3683" t="s">
        <v>96</v>
      </c>
    </row>
    <row r="3684" spans="1:15" x14ac:dyDescent="0.25">
      <c r="A3684">
        <v>1786</v>
      </c>
      <c r="B3684" s="10">
        <v>46006</v>
      </c>
      <c r="C3684">
        <v>15</v>
      </c>
      <c r="D3684" t="s">
        <v>125</v>
      </c>
      <c r="E3684" t="s">
        <v>138</v>
      </c>
      <c r="F3684" t="s">
        <v>122</v>
      </c>
      <c r="G3684" t="s">
        <v>114</v>
      </c>
      <c r="H3684" t="s">
        <v>92</v>
      </c>
      <c r="I3684" t="s">
        <v>129</v>
      </c>
      <c r="J3684" t="s">
        <v>94</v>
      </c>
      <c r="K3684">
        <v>3</v>
      </c>
      <c r="L3684">
        <v>41700</v>
      </c>
      <c r="M3684">
        <v>125100</v>
      </c>
      <c r="N3684" t="s">
        <v>108</v>
      </c>
      <c r="O3684" t="s">
        <v>104</v>
      </c>
    </row>
    <row r="3685" spans="1:15" x14ac:dyDescent="0.25">
      <c r="A3685">
        <v>157</v>
      </c>
      <c r="B3685" s="10">
        <v>45722</v>
      </c>
      <c r="C3685">
        <v>6</v>
      </c>
      <c r="D3685" t="s">
        <v>140</v>
      </c>
      <c r="E3685" t="s">
        <v>116</v>
      </c>
      <c r="F3685" t="s">
        <v>148</v>
      </c>
      <c r="G3685" t="s">
        <v>118</v>
      </c>
      <c r="H3685" t="s">
        <v>92</v>
      </c>
      <c r="I3685" t="s">
        <v>129</v>
      </c>
      <c r="J3685" t="s">
        <v>103</v>
      </c>
      <c r="K3685">
        <v>29</v>
      </c>
      <c r="L3685">
        <v>41800</v>
      </c>
      <c r="M3685">
        <v>1212200</v>
      </c>
      <c r="N3685" t="s">
        <v>108</v>
      </c>
      <c r="O3685" t="s">
        <v>115</v>
      </c>
    </row>
    <row r="3686" spans="1:15" x14ac:dyDescent="0.25">
      <c r="A3686">
        <v>2553</v>
      </c>
      <c r="B3686" s="10">
        <v>45948</v>
      </c>
      <c r="C3686">
        <v>18</v>
      </c>
      <c r="D3686" t="s">
        <v>136</v>
      </c>
      <c r="E3686" t="s">
        <v>150</v>
      </c>
      <c r="F3686" t="s">
        <v>36</v>
      </c>
      <c r="G3686" t="s">
        <v>100</v>
      </c>
      <c r="H3686" t="s">
        <v>23</v>
      </c>
      <c r="I3686" t="s">
        <v>45</v>
      </c>
      <c r="J3686" t="s">
        <v>103</v>
      </c>
      <c r="K3686">
        <v>9</v>
      </c>
      <c r="L3686">
        <v>41800</v>
      </c>
      <c r="M3686">
        <v>376200</v>
      </c>
      <c r="N3686" t="s">
        <v>95</v>
      </c>
      <c r="O3686" t="s">
        <v>104</v>
      </c>
    </row>
    <row r="3687" spans="1:15" x14ac:dyDescent="0.25">
      <c r="A3687">
        <v>4940</v>
      </c>
      <c r="B3687" s="10">
        <v>45665</v>
      </c>
      <c r="C3687">
        <v>8</v>
      </c>
      <c r="D3687" t="s">
        <v>130</v>
      </c>
      <c r="E3687" t="s">
        <v>116</v>
      </c>
      <c r="F3687" t="s">
        <v>151</v>
      </c>
      <c r="G3687" t="s">
        <v>111</v>
      </c>
      <c r="H3687" t="s">
        <v>23</v>
      </c>
      <c r="I3687" t="s">
        <v>45</v>
      </c>
      <c r="J3687" t="s">
        <v>94</v>
      </c>
      <c r="K3687">
        <v>8</v>
      </c>
      <c r="L3687">
        <v>41800</v>
      </c>
      <c r="M3687">
        <v>334400</v>
      </c>
      <c r="N3687" t="s">
        <v>95</v>
      </c>
      <c r="O3687" t="s">
        <v>115</v>
      </c>
    </row>
    <row r="3688" spans="1:15" x14ac:dyDescent="0.25">
      <c r="A3688">
        <v>4273</v>
      </c>
      <c r="B3688" s="10">
        <v>45972</v>
      </c>
      <c r="C3688">
        <v>11</v>
      </c>
      <c r="D3688" t="s">
        <v>90</v>
      </c>
      <c r="E3688" t="s">
        <v>116</v>
      </c>
      <c r="F3688" t="s">
        <v>107</v>
      </c>
      <c r="G3688" t="s">
        <v>100</v>
      </c>
      <c r="H3688" t="s">
        <v>23</v>
      </c>
      <c r="I3688" t="s">
        <v>45</v>
      </c>
      <c r="J3688" t="s">
        <v>94</v>
      </c>
      <c r="K3688">
        <v>2</v>
      </c>
      <c r="L3688">
        <v>41900</v>
      </c>
      <c r="M3688">
        <v>83800</v>
      </c>
      <c r="N3688" t="s">
        <v>108</v>
      </c>
      <c r="O3688" t="s">
        <v>104</v>
      </c>
    </row>
    <row r="3689" spans="1:15" x14ac:dyDescent="0.25">
      <c r="A3689">
        <v>2509</v>
      </c>
      <c r="B3689" s="10">
        <v>45707</v>
      </c>
      <c r="C3689">
        <v>19</v>
      </c>
      <c r="D3689" t="s">
        <v>97</v>
      </c>
      <c r="E3689" t="s">
        <v>137</v>
      </c>
      <c r="F3689" t="s">
        <v>122</v>
      </c>
      <c r="G3689" t="s">
        <v>114</v>
      </c>
      <c r="H3689" t="s">
        <v>92</v>
      </c>
      <c r="I3689" t="s">
        <v>129</v>
      </c>
      <c r="J3689" t="s">
        <v>94</v>
      </c>
      <c r="K3689">
        <v>5</v>
      </c>
      <c r="L3689">
        <v>42000</v>
      </c>
      <c r="M3689">
        <v>210000</v>
      </c>
      <c r="N3689" t="s">
        <v>95</v>
      </c>
      <c r="O3689" t="s">
        <v>96</v>
      </c>
    </row>
    <row r="3690" spans="1:15" x14ac:dyDescent="0.25">
      <c r="A3690">
        <v>1246</v>
      </c>
      <c r="B3690" s="10">
        <v>45848</v>
      </c>
      <c r="C3690">
        <v>10</v>
      </c>
      <c r="D3690" t="s">
        <v>145</v>
      </c>
      <c r="E3690" t="s">
        <v>110</v>
      </c>
      <c r="F3690" t="s">
        <v>122</v>
      </c>
      <c r="G3690" t="s">
        <v>114</v>
      </c>
      <c r="H3690" t="s">
        <v>92</v>
      </c>
      <c r="I3690" t="s">
        <v>129</v>
      </c>
      <c r="J3690" t="s">
        <v>94</v>
      </c>
      <c r="K3690">
        <v>7</v>
      </c>
      <c r="L3690">
        <v>42200</v>
      </c>
      <c r="M3690">
        <v>295400</v>
      </c>
      <c r="N3690" t="s">
        <v>95</v>
      </c>
      <c r="O3690" t="s">
        <v>115</v>
      </c>
    </row>
    <row r="3691" spans="1:15" x14ac:dyDescent="0.25">
      <c r="A3691">
        <v>1931</v>
      </c>
      <c r="B3691" s="10">
        <v>45908</v>
      </c>
      <c r="C3691">
        <v>8</v>
      </c>
      <c r="D3691" t="s">
        <v>147</v>
      </c>
      <c r="E3691" t="s">
        <v>110</v>
      </c>
      <c r="F3691" t="s">
        <v>151</v>
      </c>
      <c r="G3691" t="s">
        <v>111</v>
      </c>
      <c r="H3691" t="s">
        <v>23</v>
      </c>
      <c r="I3691" t="s">
        <v>45</v>
      </c>
      <c r="J3691" t="s">
        <v>94</v>
      </c>
      <c r="K3691">
        <v>7</v>
      </c>
      <c r="L3691">
        <v>42200</v>
      </c>
      <c r="M3691">
        <v>295400</v>
      </c>
      <c r="N3691" t="s">
        <v>95</v>
      </c>
      <c r="O3691" t="s">
        <v>96</v>
      </c>
    </row>
    <row r="3692" spans="1:15" x14ac:dyDescent="0.25">
      <c r="A3692">
        <v>2495</v>
      </c>
      <c r="B3692" s="10">
        <v>45959</v>
      </c>
      <c r="C3692">
        <v>29</v>
      </c>
      <c r="D3692" t="s">
        <v>136</v>
      </c>
      <c r="E3692" t="s">
        <v>142</v>
      </c>
      <c r="F3692" t="s">
        <v>151</v>
      </c>
      <c r="G3692" t="s">
        <v>111</v>
      </c>
      <c r="H3692" t="s">
        <v>23</v>
      </c>
      <c r="I3692" t="s">
        <v>45</v>
      </c>
      <c r="J3692" t="s">
        <v>94</v>
      </c>
      <c r="K3692">
        <v>1</v>
      </c>
      <c r="L3692">
        <v>42200</v>
      </c>
      <c r="M3692">
        <v>42200</v>
      </c>
      <c r="N3692" t="s">
        <v>108</v>
      </c>
      <c r="O3692" t="s">
        <v>115</v>
      </c>
    </row>
    <row r="3693" spans="1:15" x14ac:dyDescent="0.25">
      <c r="A3693">
        <v>3778</v>
      </c>
      <c r="B3693" s="10">
        <v>45820</v>
      </c>
      <c r="C3693">
        <v>12</v>
      </c>
      <c r="D3693" t="s">
        <v>153</v>
      </c>
      <c r="E3693" t="s">
        <v>137</v>
      </c>
      <c r="F3693" t="s">
        <v>141</v>
      </c>
      <c r="G3693" t="s">
        <v>100</v>
      </c>
      <c r="H3693" t="s">
        <v>23</v>
      </c>
      <c r="I3693" t="s">
        <v>45</v>
      </c>
      <c r="J3693" t="s">
        <v>94</v>
      </c>
      <c r="K3693">
        <v>10</v>
      </c>
      <c r="L3693">
        <v>42200</v>
      </c>
      <c r="M3693">
        <v>422000</v>
      </c>
      <c r="N3693" t="s">
        <v>108</v>
      </c>
      <c r="O3693" t="s">
        <v>96</v>
      </c>
    </row>
    <row r="3694" spans="1:15" x14ac:dyDescent="0.25">
      <c r="A3694">
        <v>1221</v>
      </c>
      <c r="B3694" s="10">
        <v>45807</v>
      </c>
      <c r="C3694">
        <v>30</v>
      </c>
      <c r="D3694" t="s">
        <v>120</v>
      </c>
      <c r="E3694" t="s">
        <v>161</v>
      </c>
      <c r="F3694" t="s">
        <v>134</v>
      </c>
      <c r="G3694" t="s">
        <v>100</v>
      </c>
      <c r="H3694" t="s">
        <v>23</v>
      </c>
      <c r="I3694" t="s">
        <v>45</v>
      </c>
      <c r="J3694" t="s">
        <v>94</v>
      </c>
      <c r="K3694">
        <v>4</v>
      </c>
      <c r="L3694">
        <v>42300</v>
      </c>
      <c r="M3694">
        <v>169200</v>
      </c>
      <c r="N3694" t="s">
        <v>95</v>
      </c>
      <c r="O3694" t="s">
        <v>96</v>
      </c>
    </row>
    <row r="3695" spans="1:15" x14ac:dyDescent="0.25">
      <c r="A3695">
        <v>4281</v>
      </c>
      <c r="B3695" s="10">
        <v>45729</v>
      </c>
      <c r="C3695">
        <v>13</v>
      </c>
      <c r="D3695" t="s">
        <v>140</v>
      </c>
      <c r="E3695" t="s">
        <v>31</v>
      </c>
      <c r="F3695" t="s">
        <v>36</v>
      </c>
      <c r="G3695" t="s">
        <v>100</v>
      </c>
      <c r="H3695" t="s">
        <v>92</v>
      </c>
      <c r="I3695" t="s">
        <v>129</v>
      </c>
      <c r="J3695" t="s">
        <v>103</v>
      </c>
      <c r="K3695">
        <v>32</v>
      </c>
      <c r="L3695">
        <v>42300</v>
      </c>
      <c r="M3695">
        <v>1353600</v>
      </c>
      <c r="N3695" t="s">
        <v>95</v>
      </c>
      <c r="O3695" t="s">
        <v>115</v>
      </c>
    </row>
    <row r="3696" spans="1:15" x14ac:dyDescent="0.25">
      <c r="A3696">
        <v>1126</v>
      </c>
      <c r="B3696" s="10">
        <v>45920</v>
      </c>
      <c r="C3696">
        <v>20</v>
      </c>
      <c r="D3696" t="s">
        <v>147</v>
      </c>
      <c r="E3696" t="s">
        <v>137</v>
      </c>
      <c r="F3696" t="s">
        <v>122</v>
      </c>
      <c r="G3696" t="s">
        <v>114</v>
      </c>
      <c r="H3696" t="s">
        <v>23</v>
      </c>
      <c r="I3696" t="s">
        <v>45</v>
      </c>
      <c r="J3696" t="s">
        <v>94</v>
      </c>
      <c r="K3696">
        <v>2</v>
      </c>
      <c r="L3696">
        <v>42400</v>
      </c>
      <c r="M3696">
        <v>84800</v>
      </c>
      <c r="N3696" t="s">
        <v>95</v>
      </c>
      <c r="O3696" t="s">
        <v>104</v>
      </c>
    </row>
    <row r="3697" spans="1:15" x14ac:dyDescent="0.25">
      <c r="A3697">
        <v>1066</v>
      </c>
      <c r="B3697" s="10">
        <v>45982</v>
      </c>
      <c r="C3697">
        <v>21</v>
      </c>
      <c r="D3697" t="s">
        <v>90</v>
      </c>
      <c r="E3697" t="s">
        <v>106</v>
      </c>
      <c r="F3697" t="s">
        <v>144</v>
      </c>
      <c r="G3697" t="s">
        <v>91</v>
      </c>
      <c r="H3697" t="s">
        <v>23</v>
      </c>
      <c r="I3697" t="s">
        <v>45</v>
      </c>
      <c r="J3697" t="s">
        <v>94</v>
      </c>
      <c r="K3697">
        <v>4</v>
      </c>
      <c r="L3697">
        <v>42500</v>
      </c>
      <c r="M3697">
        <v>170000</v>
      </c>
      <c r="N3697" t="s">
        <v>95</v>
      </c>
      <c r="O3697" t="s">
        <v>115</v>
      </c>
    </row>
    <row r="3698" spans="1:15" x14ac:dyDescent="0.25">
      <c r="A3698">
        <v>1187</v>
      </c>
      <c r="B3698" s="10">
        <v>45784</v>
      </c>
      <c r="C3698">
        <v>7</v>
      </c>
      <c r="D3698" t="s">
        <v>120</v>
      </c>
      <c r="E3698" t="s">
        <v>106</v>
      </c>
      <c r="F3698" t="s">
        <v>151</v>
      </c>
      <c r="G3698" t="s">
        <v>111</v>
      </c>
      <c r="H3698" t="s">
        <v>23</v>
      </c>
      <c r="I3698" t="s">
        <v>45</v>
      </c>
      <c r="J3698" t="s">
        <v>94</v>
      </c>
      <c r="K3698">
        <v>3</v>
      </c>
      <c r="L3698">
        <v>42800</v>
      </c>
      <c r="M3698">
        <v>128400</v>
      </c>
      <c r="N3698" t="s">
        <v>108</v>
      </c>
      <c r="O3698" t="s">
        <v>96</v>
      </c>
    </row>
    <row r="3699" spans="1:15" x14ac:dyDescent="0.25">
      <c r="A3699">
        <v>4398</v>
      </c>
      <c r="B3699" s="10">
        <v>45706</v>
      </c>
      <c r="C3699">
        <v>18</v>
      </c>
      <c r="D3699" t="s">
        <v>97</v>
      </c>
      <c r="E3699" t="s">
        <v>138</v>
      </c>
      <c r="F3699" t="s">
        <v>28</v>
      </c>
      <c r="G3699" t="s">
        <v>126</v>
      </c>
      <c r="H3699" t="s">
        <v>92</v>
      </c>
      <c r="I3699" t="s">
        <v>129</v>
      </c>
      <c r="J3699" t="s">
        <v>94</v>
      </c>
      <c r="K3699">
        <v>9</v>
      </c>
      <c r="L3699">
        <v>42800</v>
      </c>
      <c r="M3699">
        <v>385200</v>
      </c>
      <c r="N3699" t="s">
        <v>95</v>
      </c>
      <c r="O3699" t="s">
        <v>104</v>
      </c>
    </row>
    <row r="3700" spans="1:15" x14ac:dyDescent="0.25">
      <c r="A3700">
        <v>2563</v>
      </c>
      <c r="B3700" s="10">
        <v>45873</v>
      </c>
      <c r="C3700">
        <v>4</v>
      </c>
      <c r="D3700" t="s">
        <v>109</v>
      </c>
      <c r="E3700" t="s">
        <v>121</v>
      </c>
      <c r="F3700" t="s">
        <v>122</v>
      </c>
      <c r="G3700" t="s">
        <v>114</v>
      </c>
      <c r="H3700" t="s">
        <v>23</v>
      </c>
      <c r="I3700" t="s">
        <v>45</v>
      </c>
      <c r="J3700" t="s">
        <v>94</v>
      </c>
      <c r="K3700">
        <v>1</v>
      </c>
      <c r="L3700">
        <v>42900</v>
      </c>
      <c r="M3700">
        <v>42900</v>
      </c>
      <c r="N3700" t="s">
        <v>108</v>
      </c>
      <c r="O3700" t="s">
        <v>96</v>
      </c>
    </row>
    <row r="3701" spans="1:15" x14ac:dyDescent="0.25">
      <c r="A3701">
        <v>2990</v>
      </c>
      <c r="B3701" s="10">
        <v>46005</v>
      </c>
      <c r="C3701">
        <v>14</v>
      </c>
      <c r="D3701" t="s">
        <v>125</v>
      </c>
      <c r="E3701" t="s">
        <v>106</v>
      </c>
      <c r="F3701" t="s">
        <v>36</v>
      </c>
      <c r="G3701" t="s">
        <v>100</v>
      </c>
      <c r="H3701" t="s">
        <v>23</v>
      </c>
      <c r="I3701" t="s">
        <v>45</v>
      </c>
      <c r="J3701" t="s">
        <v>103</v>
      </c>
      <c r="K3701">
        <v>20</v>
      </c>
      <c r="L3701">
        <v>42900</v>
      </c>
      <c r="M3701">
        <v>858000</v>
      </c>
      <c r="N3701" t="s">
        <v>108</v>
      </c>
      <c r="O3701" t="s">
        <v>104</v>
      </c>
    </row>
    <row r="3702" spans="1:15" x14ac:dyDescent="0.25">
      <c r="A3702">
        <v>530</v>
      </c>
      <c r="B3702" s="10">
        <v>45938</v>
      </c>
      <c r="C3702">
        <v>8</v>
      </c>
      <c r="D3702" t="s">
        <v>136</v>
      </c>
      <c r="E3702" t="s">
        <v>121</v>
      </c>
      <c r="F3702" t="s">
        <v>113</v>
      </c>
      <c r="G3702" t="s">
        <v>114</v>
      </c>
      <c r="H3702" t="s">
        <v>92</v>
      </c>
      <c r="I3702" t="s">
        <v>129</v>
      </c>
      <c r="J3702" t="s">
        <v>94</v>
      </c>
      <c r="K3702">
        <v>4</v>
      </c>
      <c r="L3702">
        <v>43000</v>
      </c>
      <c r="M3702">
        <v>172000</v>
      </c>
      <c r="N3702" t="s">
        <v>95</v>
      </c>
      <c r="O3702" t="s">
        <v>96</v>
      </c>
    </row>
    <row r="3703" spans="1:15" x14ac:dyDescent="0.25">
      <c r="A3703">
        <v>1370</v>
      </c>
      <c r="B3703" s="10">
        <v>45722</v>
      </c>
      <c r="C3703">
        <v>6</v>
      </c>
      <c r="D3703" t="s">
        <v>140</v>
      </c>
      <c r="E3703" t="s">
        <v>98</v>
      </c>
      <c r="F3703" t="s">
        <v>151</v>
      </c>
      <c r="G3703" t="s">
        <v>111</v>
      </c>
      <c r="H3703" t="s">
        <v>92</v>
      </c>
      <c r="I3703" t="s">
        <v>129</v>
      </c>
      <c r="J3703" t="s">
        <v>94</v>
      </c>
      <c r="K3703">
        <v>1</v>
      </c>
      <c r="L3703">
        <v>43000</v>
      </c>
      <c r="M3703">
        <v>43000</v>
      </c>
      <c r="N3703" t="s">
        <v>95</v>
      </c>
      <c r="O3703" t="s">
        <v>96</v>
      </c>
    </row>
    <row r="3704" spans="1:15" x14ac:dyDescent="0.25">
      <c r="A3704">
        <v>4818</v>
      </c>
      <c r="B3704" s="10">
        <v>45840</v>
      </c>
      <c r="C3704">
        <v>2</v>
      </c>
      <c r="D3704" t="s">
        <v>145</v>
      </c>
      <c r="E3704" t="s">
        <v>161</v>
      </c>
      <c r="F3704" t="s">
        <v>148</v>
      </c>
      <c r="G3704" t="s">
        <v>118</v>
      </c>
      <c r="H3704" t="s">
        <v>23</v>
      </c>
      <c r="I3704" t="s">
        <v>45</v>
      </c>
      <c r="J3704" t="s">
        <v>94</v>
      </c>
      <c r="K3704">
        <v>5</v>
      </c>
      <c r="L3704">
        <v>43000</v>
      </c>
      <c r="M3704">
        <v>215000</v>
      </c>
      <c r="N3704" t="s">
        <v>95</v>
      </c>
      <c r="O3704" t="s">
        <v>115</v>
      </c>
    </row>
    <row r="3705" spans="1:15" x14ac:dyDescent="0.25">
      <c r="A3705">
        <v>881</v>
      </c>
      <c r="B3705" s="10">
        <v>45966</v>
      </c>
      <c r="C3705">
        <v>5</v>
      </c>
      <c r="D3705" t="s">
        <v>90</v>
      </c>
      <c r="E3705" t="s">
        <v>110</v>
      </c>
      <c r="F3705" t="s">
        <v>107</v>
      </c>
      <c r="G3705" t="s">
        <v>100</v>
      </c>
      <c r="H3705" t="s">
        <v>23</v>
      </c>
      <c r="I3705" t="s">
        <v>45</v>
      </c>
      <c r="J3705" t="s">
        <v>103</v>
      </c>
      <c r="K3705">
        <v>14</v>
      </c>
      <c r="L3705">
        <v>43100</v>
      </c>
      <c r="M3705">
        <v>603400</v>
      </c>
      <c r="N3705" t="s">
        <v>108</v>
      </c>
      <c r="O3705" t="s">
        <v>115</v>
      </c>
    </row>
    <row r="3706" spans="1:15" x14ac:dyDescent="0.25">
      <c r="A3706">
        <v>3601</v>
      </c>
      <c r="B3706" s="10">
        <v>45829</v>
      </c>
      <c r="C3706">
        <v>21</v>
      </c>
      <c r="D3706" t="s">
        <v>153</v>
      </c>
      <c r="E3706" t="s">
        <v>137</v>
      </c>
      <c r="F3706" t="s">
        <v>113</v>
      </c>
      <c r="G3706" t="s">
        <v>114</v>
      </c>
      <c r="H3706" t="s">
        <v>23</v>
      </c>
      <c r="I3706" t="s">
        <v>45</v>
      </c>
      <c r="J3706" t="s">
        <v>94</v>
      </c>
      <c r="K3706">
        <v>3</v>
      </c>
      <c r="L3706">
        <v>43100</v>
      </c>
      <c r="M3706">
        <v>129300</v>
      </c>
      <c r="N3706" t="s">
        <v>95</v>
      </c>
      <c r="O3706" t="s">
        <v>115</v>
      </c>
    </row>
    <row r="3707" spans="1:15" x14ac:dyDescent="0.25">
      <c r="A3707">
        <v>3627</v>
      </c>
      <c r="B3707" s="10">
        <v>45718</v>
      </c>
      <c r="C3707">
        <v>2</v>
      </c>
      <c r="D3707" t="s">
        <v>140</v>
      </c>
      <c r="E3707" t="s">
        <v>98</v>
      </c>
      <c r="F3707" t="s">
        <v>122</v>
      </c>
      <c r="G3707" t="s">
        <v>114</v>
      </c>
      <c r="H3707" t="s">
        <v>23</v>
      </c>
      <c r="I3707" t="s">
        <v>45</v>
      </c>
      <c r="J3707" t="s">
        <v>94</v>
      </c>
      <c r="K3707">
        <v>7</v>
      </c>
      <c r="L3707">
        <v>43100</v>
      </c>
      <c r="M3707">
        <v>301700</v>
      </c>
      <c r="N3707" t="s">
        <v>95</v>
      </c>
      <c r="O3707" t="s">
        <v>96</v>
      </c>
    </row>
    <row r="3708" spans="1:15" x14ac:dyDescent="0.25">
      <c r="A3708">
        <v>525</v>
      </c>
      <c r="B3708" s="10">
        <v>45870</v>
      </c>
      <c r="C3708">
        <v>1</v>
      </c>
      <c r="D3708" t="s">
        <v>109</v>
      </c>
      <c r="E3708" t="s">
        <v>25</v>
      </c>
      <c r="F3708" t="s">
        <v>144</v>
      </c>
      <c r="G3708" t="s">
        <v>91</v>
      </c>
      <c r="H3708" t="s">
        <v>92</v>
      </c>
      <c r="I3708" t="s">
        <v>129</v>
      </c>
      <c r="J3708" t="s">
        <v>94</v>
      </c>
      <c r="K3708">
        <v>8</v>
      </c>
      <c r="L3708">
        <v>43300</v>
      </c>
      <c r="M3708">
        <v>346400</v>
      </c>
      <c r="N3708" t="s">
        <v>108</v>
      </c>
      <c r="O3708" t="s">
        <v>96</v>
      </c>
    </row>
    <row r="3709" spans="1:15" x14ac:dyDescent="0.25">
      <c r="A3709">
        <v>3562</v>
      </c>
      <c r="B3709" s="10">
        <v>45703</v>
      </c>
      <c r="C3709">
        <v>15</v>
      </c>
      <c r="D3709" t="s">
        <v>97</v>
      </c>
      <c r="E3709" t="s">
        <v>25</v>
      </c>
      <c r="F3709" t="s">
        <v>113</v>
      </c>
      <c r="G3709" t="s">
        <v>114</v>
      </c>
      <c r="H3709" t="s">
        <v>92</v>
      </c>
      <c r="I3709" t="s">
        <v>129</v>
      </c>
      <c r="J3709" t="s">
        <v>94</v>
      </c>
      <c r="K3709">
        <v>4</v>
      </c>
      <c r="L3709">
        <v>43300</v>
      </c>
      <c r="M3709">
        <v>173200</v>
      </c>
      <c r="N3709" t="s">
        <v>95</v>
      </c>
      <c r="O3709" t="s">
        <v>96</v>
      </c>
    </row>
    <row r="3710" spans="1:15" x14ac:dyDescent="0.25">
      <c r="A3710">
        <v>4575</v>
      </c>
      <c r="B3710" s="10">
        <v>46006</v>
      </c>
      <c r="C3710">
        <v>15</v>
      </c>
      <c r="D3710" t="s">
        <v>125</v>
      </c>
      <c r="E3710" t="s">
        <v>150</v>
      </c>
      <c r="F3710" t="s">
        <v>44</v>
      </c>
      <c r="G3710" t="s">
        <v>111</v>
      </c>
      <c r="H3710" t="s">
        <v>92</v>
      </c>
      <c r="I3710" t="s">
        <v>129</v>
      </c>
      <c r="J3710" t="s">
        <v>94</v>
      </c>
      <c r="K3710">
        <v>8</v>
      </c>
      <c r="L3710">
        <v>43300</v>
      </c>
      <c r="M3710">
        <v>346400</v>
      </c>
      <c r="N3710" t="s">
        <v>108</v>
      </c>
      <c r="O3710" t="s">
        <v>104</v>
      </c>
    </row>
    <row r="3711" spans="1:15" x14ac:dyDescent="0.25">
      <c r="A3711">
        <v>349</v>
      </c>
      <c r="B3711" s="10">
        <v>46014</v>
      </c>
      <c r="C3711">
        <v>23</v>
      </c>
      <c r="D3711" t="s">
        <v>125</v>
      </c>
      <c r="E3711" t="s">
        <v>133</v>
      </c>
      <c r="F3711" t="s">
        <v>113</v>
      </c>
      <c r="G3711" t="s">
        <v>114</v>
      </c>
      <c r="H3711" t="s">
        <v>23</v>
      </c>
      <c r="I3711" t="s">
        <v>45</v>
      </c>
      <c r="J3711" t="s">
        <v>94</v>
      </c>
      <c r="K3711">
        <v>2</v>
      </c>
      <c r="L3711">
        <v>43400</v>
      </c>
      <c r="M3711">
        <v>86800</v>
      </c>
      <c r="N3711" t="s">
        <v>95</v>
      </c>
      <c r="O3711" t="s">
        <v>115</v>
      </c>
    </row>
    <row r="3712" spans="1:15" x14ac:dyDescent="0.25">
      <c r="A3712">
        <v>1259</v>
      </c>
      <c r="B3712" s="10">
        <v>45912</v>
      </c>
      <c r="C3712">
        <v>12</v>
      </c>
      <c r="D3712" t="s">
        <v>147</v>
      </c>
      <c r="E3712" t="s">
        <v>137</v>
      </c>
      <c r="F3712" t="s">
        <v>122</v>
      </c>
      <c r="G3712" t="s">
        <v>114</v>
      </c>
      <c r="H3712" t="s">
        <v>92</v>
      </c>
      <c r="I3712" t="s">
        <v>129</v>
      </c>
      <c r="J3712" t="s">
        <v>94</v>
      </c>
      <c r="K3712">
        <v>7</v>
      </c>
      <c r="L3712">
        <v>43400</v>
      </c>
      <c r="M3712">
        <v>303800</v>
      </c>
      <c r="N3712" t="s">
        <v>95</v>
      </c>
      <c r="O3712" t="s">
        <v>96</v>
      </c>
    </row>
    <row r="3713" spans="1:15" x14ac:dyDescent="0.25">
      <c r="A3713">
        <v>505</v>
      </c>
      <c r="B3713" s="10">
        <v>45696</v>
      </c>
      <c r="C3713">
        <v>8</v>
      </c>
      <c r="D3713" t="s">
        <v>97</v>
      </c>
      <c r="E3713" t="s">
        <v>161</v>
      </c>
      <c r="F3713" t="s">
        <v>99</v>
      </c>
      <c r="G3713" t="s">
        <v>100</v>
      </c>
      <c r="H3713" t="s">
        <v>23</v>
      </c>
      <c r="I3713" t="s">
        <v>45</v>
      </c>
      <c r="J3713" t="s">
        <v>94</v>
      </c>
      <c r="K3713">
        <v>8</v>
      </c>
      <c r="L3713">
        <v>43500</v>
      </c>
      <c r="M3713">
        <v>348000</v>
      </c>
      <c r="N3713" t="s">
        <v>108</v>
      </c>
      <c r="O3713" t="s">
        <v>115</v>
      </c>
    </row>
    <row r="3714" spans="1:15" x14ac:dyDescent="0.25">
      <c r="A3714">
        <v>2586</v>
      </c>
      <c r="B3714" s="10">
        <v>45758</v>
      </c>
      <c r="C3714">
        <v>11</v>
      </c>
      <c r="D3714" t="s">
        <v>105</v>
      </c>
      <c r="E3714" t="s">
        <v>25</v>
      </c>
      <c r="F3714" t="s">
        <v>122</v>
      </c>
      <c r="G3714" t="s">
        <v>114</v>
      </c>
      <c r="H3714" t="s">
        <v>23</v>
      </c>
      <c r="I3714" t="s">
        <v>45</v>
      </c>
      <c r="J3714" t="s">
        <v>94</v>
      </c>
      <c r="K3714">
        <v>8</v>
      </c>
      <c r="L3714">
        <v>43600</v>
      </c>
      <c r="M3714">
        <v>348800</v>
      </c>
      <c r="N3714" t="s">
        <v>108</v>
      </c>
      <c r="O3714" t="s">
        <v>115</v>
      </c>
    </row>
    <row r="3715" spans="1:15" x14ac:dyDescent="0.25">
      <c r="A3715">
        <v>3578</v>
      </c>
      <c r="B3715" s="10">
        <v>45927</v>
      </c>
      <c r="C3715">
        <v>27</v>
      </c>
      <c r="D3715" t="s">
        <v>147</v>
      </c>
      <c r="E3715" t="s">
        <v>142</v>
      </c>
      <c r="F3715" t="s">
        <v>22</v>
      </c>
      <c r="G3715" t="s">
        <v>91</v>
      </c>
      <c r="H3715" t="s">
        <v>23</v>
      </c>
      <c r="I3715" t="s">
        <v>45</v>
      </c>
      <c r="J3715" t="s">
        <v>94</v>
      </c>
      <c r="K3715">
        <v>1</v>
      </c>
      <c r="L3715">
        <v>43600</v>
      </c>
      <c r="M3715">
        <v>43600</v>
      </c>
      <c r="N3715" t="s">
        <v>95</v>
      </c>
      <c r="O3715" t="s">
        <v>115</v>
      </c>
    </row>
    <row r="3716" spans="1:15" x14ac:dyDescent="0.25">
      <c r="A3716">
        <v>4307</v>
      </c>
      <c r="B3716" s="10">
        <v>45934</v>
      </c>
      <c r="C3716">
        <v>4</v>
      </c>
      <c r="D3716" t="s">
        <v>136</v>
      </c>
      <c r="E3716" t="s">
        <v>98</v>
      </c>
      <c r="F3716" t="s">
        <v>22</v>
      </c>
      <c r="G3716" t="s">
        <v>91</v>
      </c>
      <c r="H3716" t="s">
        <v>23</v>
      </c>
      <c r="I3716" t="s">
        <v>45</v>
      </c>
      <c r="J3716" t="s">
        <v>94</v>
      </c>
      <c r="K3716">
        <v>4</v>
      </c>
      <c r="L3716">
        <v>43600</v>
      </c>
      <c r="M3716">
        <v>174400</v>
      </c>
      <c r="N3716" t="s">
        <v>108</v>
      </c>
      <c r="O3716" t="s">
        <v>115</v>
      </c>
    </row>
    <row r="3717" spans="1:15" x14ac:dyDescent="0.25">
      <c r="A3717">
        <v>540</v>
      </c>
      <c r="B3717" s="10">
        <v>45696</v>
      </c>
      <c r="C3717">
        <v>8</v>
      </c>
      <c r="D3717" t="s">
        <v>97</v>
      </c>
      <c r="E3717" t="s">
        <v>138</v>
      </c>
      <c r="F3717" t="s">
        <v>36</v>
      </c>
      <c r="G3717" t="s">
        <v>100</v>
      </c>
      <c r="H3717" t="s">
        <v>92</v>
      </c>
      <c r="I3717" t="s">
        <v>129</v>
      </c>
      <c r="J3717" t="s">
        <v>94</v>
      </c>
      <c r="K3717">
        <v>7</v>
      </c>
      <c r="L3717">
        <v>43700</v>
      </c>
      <c r="M3717">
        <v>305900</v>
      </c>
      <c r="N3717" t="s">
        <v>95</v>
      </c>
      <c r="O3717" t="s">
        <v>115</v>
      </c>
    </row>
    <row r="3718" spans="1:15" x14ac:dyDescent="0.25">
      <c r="A3718">
        <v>1062</v>
      </c>
      <c r="B3718" s="10">
        <v>45972</v>
      </c>
      <c r="C3718">
        <v>11</v>
      </c>
      <c r="D3718" t="s">
        <v>90</v>
      </c>
      <c r="E3718" t="s">
        <v>150</v>
      </c>
      <c r="F3718" t="s">
        <v>36</v>
      </c>
      <c r="G3718" t="s">
        <v>100</v>
      </c>
      <c r="H3718" t="s">
        <v>23</v>
      </c>
      <c r="I3718" t="s">
        <v>24</v>
      </c>
      <c r="J3718" t="s">
        <v>103</v>
      </c>
      <c r="K3718">
        <v>29</v>
      </c>
      <c r="L3718">
        <v>43700</v>
      </c>
      <c r="M3718">
        <v>1267300</v>
      </c>
      <c r="N3718" t="s">
        <v>95</v>
      </c>
      <c r="O3718" t="s">
        <v>115</v>
      </c>
    </row>
    <row r="3719" spans="1:15" x14ac:dyDescent="0.25">
      <c r="A3719">
        <v>4350</v>
      </c>
      <c r="B3719" s="10">
        <v>45909</v>
      </c>
      <c r="C3719">
        <v>9</v>
      </c>
      <c r="D3719" t="s">
        <v>147</v>
      </c>
      <c r="E3719" t="s">
        <v>116</v>
      </c>
      <c r="F3719" t="s">
        <v>44</v>
      </c>
      <c r="G3719" t="s">
        <v>111</v>
      </c>
      <c r="H3719" t="s">
        <v>92</v>
      </c>
      <c r="I3719" t="s">
        <v>129</v>
      </c>
      <c r="J3719" t="s">
        <v>94</v>
      </c>
      <c r="K3719">
        <v>10</v>
      </c>
      <c r="L3719">
        <v>43700</v>
      </c>
      <c r="M3719">
        <v>437000</v>
      </c>
      <c r="N3719" t="s">
        <v>95</v>
      </c>
      <c r="O3719" t="s">
        <v>104</v>
      </c>
    </row>
    <row r="3720" spans="1:15" x14ac:dyDescent="0.25">
      <c r="A3720">
        <v>4149</v>
      </c>
      <c r="B3720" s="10">
        <v>45827</v>
      </c>
      <c r="C3720">
        <v>19</v>
      </c>
      <c r="D3720" t="s">
        <v>153</v>
      </c>
      <c r="E3720" t="s">
        <v>137</v>
      </c>
      <c r="F3720" t="s">
        <v>22</v>
      </c>
      <c r="G3720" t="s">
        <v>91</v>
      </c>
      <c r="H3720" t="s">
        <v>23</v>
      </c>
      <c r="I3720" t="s">
        <v>45</v>
      </c>
      <c r="J3720" t="s">
        <v>94</v>
      </c>
      <c r="K3720">
        <v>8</v>
      </c>
      <c r="L3720">
        <v>43800</v>
      </c>
      <c r="M3720">
        <v>350400</v>
      </c>
      <c r="N3720" t="s">
        <v>108</v>
      </c>
      <c r="O3720" t="s">
        <v>115</v>
      </c>
    </row>
    <row r="3721" spans="1:15" x14ac:dyDescent="0.25">
      <c r="A3721">
        <v>4618</v>
      </c>
      <c r="B3721" s="10">
        <v>45874</v>
      </c>
      <c r="C3721">
        <v>5</v>
      </c>
      <c r="D3721" t="s">
        <v>109</v>
      </c>
      <c r="E3721" t="s">
        <v>110</v>
      </c>
      <c r="F3721" t="s">
        <v>148</v>
      </c>
      <c r="G3721" t="s">
        <v>118</v>
      </c>
      <c r="H3721" t="s">
        <v>23</v>
      </c>
      <c r="I3721" t="s">
        <v>24</v>
      </c>
      <c r="J3721" t="s">
        <v>103</v>
      </c>
      <c r="K3721">
        <v>15</v>
      </c>
      <c r="L3721">
        <v>43800</v>
      </c>
      <c r="M3721">
        <v>657000</v>
      </c>
      <c r="N3721" t="s">
        <v>95</v>
      </c>
      <c r="O3721" t="s">
        <v>96</v>
      </c>
    </row>
    <row r="3722" spans="1:15" x14ac:dyDescent="0.25">
      <c r="A3722">
        <v>345</v>
      </c>
      <c r="B3722" s="10">
        <v>45878</v>
      </c>
      <c r="C3722">
        <v>9</v>
      </c>
      <c r="D3722" t="s">
        <v>109</v>
      </c>
      <c r="E3722" t="s">
        <v>31</v>
      </c>
      <c r="F3722" t="s">
        <v>22</v>
      </c>
      <c r="G3722" t="s">
        <v>91</v>
      </c>
      <c r="H3722" t="s">
        <v>23</v>
      </c>
      <c r="I3722" t="s">
        <v>45</v>
      </c>
      <c r="J3722" t="s">
        <v>94</v>
      </c>
      <c r="K3722">
        <v>9</v>
      </c>
      <c r="L3722">
        <v>43900</v>
      </c>
      <c r="M3722">
        <v>395100</v>
      </c>
      <c r="N3722" t="s">
        <v>95</v>
      </c>
      <c r="O3722" t="s">
        <v>115</v>
      </c>
    </row>
    <row r="3723" spans="1:15" x14ac:dyDescent="0.25">
      <c r="A3723">
        <v>3451</v>
      </c>
      <c r="B3723" s="10">
        <v>45752</v>
      </c>
      <c r="C3723">
        <v>5</v>
      </c>
      <c r="D3723" t="s">
        <v>105</v>
      </c>
      <c r="E3723" t="s">
        <v>128</v>
      </c>
      <c r="F3723" t="s">
        <v>144</v>
      </c>
      <c r="G3723" t="s">
        <v>91</v>
      </c>
      <c r="H3723" t="s">
        <v>92</v>
      </c>
      <c r="I3723" t="s">
        <v>129</v>
      </c>
      <c r="J3723" t="s">
        <v>94</v>
      </c>
      <c r="K3723">
        <v>8</v>
      </c>
      <c r="L3723">
        <v>43900</v>
      </c>
      <c r="M3723">
        <v>351200</v>
      </c>
      <c r="N3723" t="s">
        <v>95</v>
      </c>
      <c r="O3723" t="s">
        <v>104</v>
      </c>
    </row>
    <row r="3724" spans="1:15" x14ac:dyDescent="0.25">
      <c r="A3724">
        <v>11</v>
      </c>
      <c r="B3724" s="10">
        <v>45796</v>
      </c>
      <c r="C3724">
        <v>19</v>
      </c>
      <c r="D3724" t="s">
        <v>120</v>
      </c>
      <c r="E3724" t="s">
        <v>128</v>
      </c>
      <c r="F3724" t="s">
        <v>122</v>
      </c>
      <c r="G3724" t="s">
        <v>114</v>
      </c>
      <c r="H3724" t="s">
        <v>92</v>
      </c>
      <c r="I3724" t="s">
        <v>129</v>
      </c>
      <c r="J3724" t="s">
        <v>94</v>
      </c>
      <c r="K3724">
        <v>6</v>
      </c>
      <c r="L3724">
        <v>44000</v>
      </c>
      <c r="M3724">
        <v>264000</v>
      </c>
      <c r="N3724" t="s">
        <v>95</v>
      </c>
      <c r="O3724" t="s">
        <v>104</v>
      </c>
    </row>
    <row r="3725" spans="1:15" x14ac:dyDescent="0.25">
      <c r="A3725">
        <v>829</v>
      </c>
      <c r="B3725" s="10">
        <v>45746</v>
      </c>
      <c r="C3725">
        <v>30</v>
      </c>
      <c r="D3725" t="s">
        <v>140</v>
      </c>
      <c r="E3725" t="s">
        <v>150</v>
      </c>
      <c r="F3725" t="s">
        <v>28</v>
      </c>
      <c r="G3725" t="s">
        <v>126</v>
      </c>
      <c r="H3725" t="s">
        <v>23</v>
      </c>
      <c r="I3725" t="s">
        <v>45</v>
      </c>
      <c r="J3725" t="s">
        <v>94</v>
      </c>
      <c r="K3725">
        <v>7</v>
      </c>
      <c r="L3725">
        <v>44100</v>
      </c>
      <c r="M3725">
        <v>308700</v>
      </c>
      <c r="N3725" t="s">
        <v>95</v>
      </c>
      <c r="O3725" t="s">
        <v>96</v>
      </c>
    </row>
    <row r="3726" spans="1:15" x14ac:dyDescent="0.25">
      <c r="A3726">
        <v>3231</v>
      </c>
      <c r="B3726" s="10">
        <v>45819</v>
      </c>
      <c r="C3726">
        <v>11</v>
      </c>
      <c r="D3726" t="s">
        <v>153</v>
      </c>
      <c r="E3726" t="s">
        <v>110</v>
      </c>
      <c r="F3726" t="s">
        <v>151</v>
      </c>
      <c r="G3726" t="s">
        <v>111</v>
      </c>
      <c r="H3726" t="s">
        <v>92</v>
      </c>
      <c r="I3726" t="s">
        <v>129</v>
      </c>
      <c r="J3726" t="s">
        <v>94</v>
      </c>
      <c r="K3726">
        <v>2</v>
      </c>
      <c r="L3726">
        <v>44100</v>
      </c>
      <c r="M3726">
        <v>88200</v>
      </c>
      <c r="N3726" t="s">
        <v>95</v>
      </c>
      <c r="O3726" t="s">
        <v>96</v>
      </c>
    </row>
    <row r="3727" spans="1:15" x14ac:dyDescent="0.25">
      <c r="A3727">
        <v>3836</v>
      </c>
      <c r="B3727" s="10">
        <v>45982</v>
      </c>
      <c r="C3727">
        <v>21</v>
      </c>
      <c r="D3727" t="s">
        <v>90</v>
      </c>
      <c r="E3727" t="s">
        <v>121</v>
      </c>
      <c r="F3727" t="s">
        <v>107</v>
      </c>
      <c r="G3727" t="s">
        <v>100</v>
      </c>
      <c r="H3727" t="s">
        <v>23</v>
      </c>
      <c r="I3727" t="s">
        <v>45</v>
      </c>
      <c r="J3727" t="s">
        <v>94</v>
      </c>
      <c r="K3727">
        <v>4</v>
      </c>
      <c r="L3727">
        <v>44100</v>
      </c>
      <c r="M3727">
        <v>176400</v>
      </c>
      <c r="N3727" t="s">
        <v>95</v>
      </c>
      <c r="O3727" t="s">
        <v>115</v>
      </c>
    </row>
    <row r="3728" spans="1:15" x14ac:dyDescent="0.25">
      <c r="A3728">
        <v>4315</v>
      </c>
      <c r="B3728" s="10">
        <v>46000</v>
      </c>
      <c r="C3728">
        <v>9</v>
      </c>
      <c r="D3728" t="s">
        <v>125</v>
      </c>
      <c r="E3728" t="s">
        <v>112</v>
      </c>
      <c r="F3728" t="s">
        <v>107</v>
      </c>
      <c r="G3728" t="s">
        <v>100</v>
      </c>
      <c r="H3728" t="s">
        <v>92</v>
      </c>
      <c r="I3728" t="s">
        <v>129</v>
      </c>
      <c r="J3728" t="s">
        <v>94</v>
      </c>
      <c r="K3728">
        <v>2</v>
      </c>
      <c r="L3728">
        <v>44100</v>
      </c>
      <c r="M3728">
        <v>88200</v>
      </c>
      <c r="N3728" t="s">
        <v>108</v>
      </c>
      <c r="O3728" t="s">
        <v>96</v>
      </c>
    </row>
    <row r="3729" spans="1:15" x14ac:dyDescent="0.25">
      <c r="A3729">
        <v>1081</v>
      </c>
      <c r="B3729" s="10">
        <v>45676</v>
      </c>
      <c r="C3729">
        <v>19</v>
      </c>
      <c r="D3729" t="s">
        <v>130</v>
      </c>
      <c r="E3729" t="s">
        <v>116</v>
      </c>
      <c r="F3729" t="s">
        <v>151</v>
      </c>
      <c r="G3729" t="s">
        <v>111</v>
      </c>
      <c r="H3729" t="s">
        <v>92</v>
      </c>
      <c r="I3729" t="s">
        <v>129</v>
      </c>
      <c r="J3729" t="s">
        <v>94</v>
      </c>
      <c r="K3729">
        <v>1</v>
      </c>
      <c r="L3729">
        <v>44200</v>
      </c>
      <c r="M3729">
        <v>44200</v>
      </c>
      <c r="N3729" t="s">
        <v>95</v>
      </c>
      <c r="O3729" t="s">
        <v>96</v>
      </c>
    </row>
    <row r="3730" spans="1:15" x14ac:dyDescent="0.25">
      <c r="A3730">
        <v>1395</v>
      </c>
      <c r="B3730" s="10">
        <v>45749</v>
      </c>
      <c r="C3730">
        <v>2</v>
      </c>
      <c r="D3730" t="s">
        <v>105</v>
      </c>
      <c r="E3730" t="s">
        <v>98</v>
      </c>
      <c r="F3730" t="s">
        <v>148</v>
      </c>
      <c r="G3730" t="s">
        <v>118</v>
      </c>
      <c r="H3730" t="s">
        <v>92</v>
      </c>
      <c r="I3730" t="s">
        <v>129</v>
      </c>
      <c r="J3730" t="s">
        <v>94</v>
      </c>
      <c r="K3730">
        <v>2</v>
      </c>
      <c r="L3730">
        <v>44200</v>
      </c>
      <c r="M3730">
        <v>88400</v>
      </c>
      <c r="N3730" t="s">
        <v>108</v>
      </c>
      <c r="O3730" t="s">
        <v>115</v>
      </c>
    </row>
    <row r="3731" spans="1:15" x14ac:dyDescent="0.25">
      <c r="A3731">
        <v>2709</v>
      </c>
      <c r="B3731" s="10">
        <v>45683</v>
      </c>
      <c r="C3731">
        <v>26</v>
      </c>
      <c r="D3731" t="s">
        <v>130</v>
      </c>
      <c r="E3731" t="s">
        <v>142</v>
      </c>
      <c r="F3731" t="s">
        <v>113</v>
      </c>
      <c r="G3731" t="s">
        <v>114</v>
      </c>
      <c r="H3731" t="s">
        <v>92</v>
      </c>
      <c r="I3731" t="s">
        <v>129</v>
      </c>
      <c r="J3731" t="s">
        <v>94</v>
      </c>
      <c r="K3731">
        <v>9</v>
      </c>
      <c r="L3731">
        <v>44200</v>
      </c>
      <c r="M3731">
        <v>397800</v>
      </c>
      <c r="N3731" t="s">
        <v>108</v>
      </c>
      <c r="O3731" t="s">
        <v>104</v>
      </c>
    </row>
    <row r="3732" spans="1:15" x14ac:dyDescent="0.25">
      <c r="A3732">
        <v>2544</v>
      </c>
      <c r="B3732" s="10">
        <v>46016</v>
      </c>
      <c r="C3732">
        <v>25</v>
      </c>
      <c r="D3732" t="s">
        <v>125</v>
      </c>
      <c r="E3732" t="s">
        <v>128</v>
      </c>
      <c r="F3732" t="s">
        <v>22</v>
      </c>
      <c r="G3732" t="s">
        <v>91</v>
      </c>
      <c r="H3732" t="s">
        <v>23</v>
      </c>
      <c r="I3732" t="s">
        <v>45</v>
      </c>
      <c r="J3732" t="s">
        <v>94</v>
      </c>
      <c r="K3732">
        <v>6</v>
      </c>
      <c r="L3732">
        <v>44300</v>
      </c>
      <c r="M3732">
        <v>265800</v>
      </c>
      <c r="N3732" t="s">
        <v>95</v>
      </c>
      <c r="O3732" t="s">
        <v>96</v>
      </c>
    </row>
    <row r="3733" spans="1:15" x14ac:dyDescent="0.25">
      <c r="A3733">
        <v>3571</v>
      </c>
      <c r="B3733" s="10">
        <v>45753</v>
      </c>
      <c r="C3733">
        <v>6</v>
      </c>
      <c r="D3733" t="s">
        <v>105</v>
      </c>
      <c r="E3733" t="s">
        <v>137</v>
      </c>
      <c r="F3733" t="s">
        <v>144</v>
      </c>
      <c r="G3733" t="s">
        <v>91</v>
      </c>
      <c r="H3733" t="s">
        <v>92</v>
      </c>
      <c r="I3733" t="s">
        <v>129</v>
      </c>
      <c r="J3733" t="s">
        <v>94</v>
      </c>
      <c r="K3733">
        <v>8</v>
      </c>
      <c r="L3733">
        <v>44300</v>
      </c>
      <c r="M3733">
        <v>354400</v>
      </c>
      <c r="N3733" t="s">
        <v>108</v>
      </c>
      <c r="O3733" t="s">
        <v>96</v>
      </c>
    </row>
    <row r="3734" spans="1:15" x14ac:dyDescent="0.25">
      <c r="A3734">
        <v>1610</v>
      </c>
      <c r="B3734" s="10">
        <v>45742</v>
      </c>
      <c r="C3734">
        <v>26</v>
      </c>
      <c r="D3734" t="s">
        <v>140</v>
      </c>
      <c r="E3734" t="s">
        <v>133</v>
      </c>
      <c r="F3734" t="s">
        <v>141</v>
      </c>
      <c r="G3734" t="s">
        <v>100</v>
      </c>
      <c r="H3734" t="s">
        <v>23</v>
      </c>
      <c r="I3734" t="s">
        <v>45</v>
      </c>
      <c r="J3734" t="s">
        <v>94</v>
      </c>
      <c r="K3734">
        <v>1</v>
      </c>
      <c r="L3734">
        <v>44400</v>
      </c>
      <c r="M3734">
        <v>44400</v>
      </c>
      <c r="N3734" t="s">
        <v>95</v>
      </c>
      <c r="O3734" t="s">
        <v>96</v>
      </c>
    </row>
    <row r="3735" spans="1:15" x14ac:dyDescent="0.25">
      <c r="A3735">
        <v>291</v>
      </c>
      <c r="B3735" s="10">
        <v>45850</v>
      </c>
      <c r="C3735">
        <v>12</v>
      </c>
      <c r="D3735" t="s">
        <v>145</v>
      </c>
      <c r="E3735" t="s">
        <v>31</v>
      </c>
      <c r="F3735" t="s">
        <v>122</v>
      </c>
      <c r="G3735" t="s">
        <v>114</v>
      </c>
      <c r="H3735" t="s">
        <v>92</v>
      </c>
      <c r="I3735" t="s">
        <v>129</v>
      </c>
      <c r="J3735" t="s">
        <v>94</v>
      </c>
      <c r="K3735">
        <v>6</v>
      </c>
      <c r="L3735">
        <v>44500</v>
      </c>
      <c r="M3735">
        <v>267000</v>
      </c>
      <c r="N3735" t="s">
        <v>95</v>
      </c>
      <c r="O3735" t="s">
        <v>104</v>
      </c>
    </row>
    <row r="3736" spans="1:15" x14ac:dyDescent="0.25">
      <c r="A3736">
        <v>1523</v>
      </c>
      <c r="B3736" s="10">
        <v>45795</v>
      </c>
      <c r="C3736">
        <v>18</v>
      </c>
      <c r="D3736" t="s">
        <v>120</v>
      </c>
      <c r="E3736" t="s">
        <v>98</v>
      </c>
      <c r="F3736" t="s">
        <v>44</v>
      </c>
      <c r="G3736" t="s">
        <v>111</v>
      </c>
      <c r="H3736" t="s">
        <v>92</v>
      </c>
      <c r="I3736" t="s">
        <v>129</v>
      </c>
      <c r="J3736" t="s">
        <v>94</v>
      </c>
      <c r="K3736">
        <v>2</v>
      </c>
      <c r="L3736">
        <v>44500</v>
      </c>
      <c r="M3736">
        <v>89000</v>
      </c>
      <c r="N3736" t="s">
        <v>108</v>
      </c>
      <c r="O3736" t="s">
        <v>96</v>
      </c>
    </row>
    <row r="3737" spans="1:15" x14ac:dyDescent="0.25">
      <c r="A3737">
        <v>2745</v>
      </c>
      <c r="B3737" s="10">
        <v>45666</v>
      </c>
      <c r="C3737">
        <v>9</v>
      </c>
      <c r="D3737" t="s">
        <v>130</v>
      </c>
      <c r="E3737" t="s">
        <v>116</v>
      </c>
      <c r="F3737" t="s">
        <v>99</v>
      </c>
      <c r="G3737" t="s">
        <v>100</v>
      </c>
      <c r="H3737" t="s">
        <v>23</v>
      </c>
      <c r="I3737" t="s">
        <v>24</v>
      </c>
      <c r="J3737" t="s">
        <v>103</v>
      </c>
      <c r="K3737">
        <v>15</v>
      </c>
      <c r="L3737">
        <v>44500</v>
      </c>
      <c r="M3737">
        <v>667500</v>
      </c>
      <c r="N3737" t="s">
        <v>108</v>
      </c>
      <c r="O3737" t="s">
        <v>96</v>
      </c>
    </row>
    <row r="3738" spans="1:15" x14ac:dyDescent="0.25">
      <c r="A3738">
        <v>3717</v>
      </c>
      <c r="B3738" s="10">
        <v>45899</v>
      </c>
      <c r="C3738">
        <v>30</v>
      </c>
      <c r="D3738" t="s">
        <v>109</v>
      </c>
      <c r="E3738" t="s">
        <v>150</v>
      </c>
      <c r="F3738" t="s">
        <v>28</v>
      </c>
      <c r="G3738" t="s">
        <v>126</v>
      </c>
      <c r="H3738" t="s">
        <v>92</v>
      </c>
      <c r="I3738" t="s">
        <v>129</v>
      </c>
      <c r="J3738" t="s">
        <v>103</v>
      </c>
      <c r="K3738">
        <v>32</v>
      </c>
      <c r="L3738">
        <v>44500</v>
      </c>
      <c r="M3738">
        <v>1424000</v>
      </c>
      <c r="N3738" t="s">
        <v>108</v>
      </c>
      <c r="O3738" t="s">
        <v>96</v>
      </c>
    </row>
    <row r="3739" spans="1:15" x14ac:dyDescent="0.25">
      <c r="A3739">
        <v>660</v>
      </c>
      <c r="B3739" s="10">
        <v>45840</v>
      </c>
      <c r="C3739">
        <v>2</v>
      </c>
      <c r="D3739" t="s">
        <v>145</v>
      </c>
      <c r="E3739" t="s">
        <v>98</v>
      </c>
      <c r="F3739" t="s">
        <v>36</v>
      </c>
      <c r="G3739" t="s">
        <v>100</v>
      </c>
      <c r="H3739" t="s">
        <v>92</v>
      </c>
      <c r="I3739" t="s">
        <v>129</v>
      </c>
      <c r="J3739" t="s">
        <v>94</v>
      </c>
      <c r="K3739">
        <v>3</v>
      </c>
      <c r="L3739">
        <v>44700</v>
      </c>
      <c r="M3739">
        <v>134100</v>
      </c>
      <c r="N3739" t="s">
        <v>108</v>
      </c>
      <c r="O3739" t="s">
        <v>104</v>
      </c>
    </row>
    <row r="3740" spans="1:15" x14ac:dyDescent="0.25">
      <c r="A3740">
        <v>1104</v>
      </c>
      <c r="B3740" s="10">
        <v>45985</v>
      </c>
      <c r="C3740">
        <v>24</v>
      </c>
      <c r="D3740" t="s">
        <v>90</v>
      </c>
      <c r="E3740" t="s">
        <v>128</v>
      </c>
      <c r="F3740" t="s">
        <v>49</v>
      </c>
      <c r="G3740" t="s">
        <v>118</v>
      </c>
      <c r="H3740" t="s">
        <v>23</v>
      </c>
      <c r="I3740" t="s">
        <v>45</v>
      </c>
      <c r="J3740" t="s">
        <v>94</v>
      </c>
      <c r="K3740">
        <v>8</v>
      </c>
      <c r="L3740">
        <v>44700</v>
      </c>
      <c r="M3740">
        <v>357600</v>
      </c>
      <c r="N3740" t="s">
        <v>108</v>
      </c>
      <c r="O3740" t="s">
        <v>96</v>
      </c>
    </row>
    <row r="3741" spans="1:15" x14ac:dyDescent="0.25">
      <c r="A3741">
        <v>3680</v>
      </c>
      <c r="B3741" s="10">
        <v>46011</v>
      </c>
      <c r="C3741">
        <v>20</v>
      </c>
      <c r="D3741" t="s">
        <v>125</v>
      </c>
      <c r="E3741" t="s">
        <v>161</v>
      </c>
      <c r="F3741" t="s">
        <v>148</v>
      </c>
      <c r="G3741" t="s">
        <v>118</v>
      </c>
      <c r="H3741" t="s">
        <v>92</v>
      </c>
      <c r="I3741" t="s">
        <v>129</v>
      </c>
      <c r="J3741" t="s">
        <v>94</v>
      </c>
      <c r="K3741">
        <v>7</v>
      </c>
      <c r="L3741">
        <v>44800</v>
      </c>
      <c r="M3741">
        <v>313600</v>
      </c>
      <c r="N3741" t="s">
        <v>95</v>
      </c>
      <c r="O3741" t="s">
        <v>96</v>
      </c>
    </row>
    <row r="3742" spans="1:15" x14ac:dyDescent="0.25">
      <c r="A3742">
        <v>4547</v>
      </c>
      <c r="B3742" s="10">
        <v>45750</v>
      </c>
      <c r="C3742">
        <v>3</v>
      </c>
      <c r="D3742" t="s">
        <v>105</v>
      </c>
      <c r="E3742" t="s">
        <v>112</v>
      </c>
      <c r="F3742" t="s">
        <v>122</v>
      </c>
      <c r="G3742" t="s">
        <v>114</v>
      </c>
      <c r="H3742" t="s">
        <v>92</v>
      </c>
      <c r="I3742" t="s">
        <v>129</v>
      </c>
      <c r="J3742" t="s">
        <v>94</v>
      </c>
      <c r="K3742">
        <v>2</v>
      </c>
      <c r="L3742">
        <v>44800</v>
      </c>
      <c r="M3742">
        <v>89600</v>
      </c>
      <c r="N3742" t="s">
        <v>95</v>
      </c>
      <c r="O3742" t="s">
        <v>96</v>
      </c>
    </row>
    <row r="3743" spans="1:15" x14ac:dyDescent="0.25">
      <c r="A3743">
        <v>4865</v>
      </c>
      <c r="B3743" s="10">
        <v>45884</v>
      </c>
      <c r="C3743">
        <v>15</v>
      </c>
      <c r="D3743" t="s">
        <v>109</v>
      </c>
      <c r="E3743" t="s">
        <v>110</v>
      </c>
      <c r="F3743" t="s">
        <v>148</v>
      </c>
      <c r="G3743" t="s">
        <v>118</v>
      </c>
      <c r="H3743" t="s">
        <v>92</v>
      </c>
      <c r="I3743" t="s">
        <v>129</v>
      </c>
      <c r="J3743" t="s">
        <v>94</v>
      </c>
      <c r="K3743">
        <v>5</v>
      </c>
      <c r="L3743">
        <v>44800</v>
      </c>
      <c r="M3743">
        <v>224000</v>
      </c>
      <c r="N3743" t="s">
        <v>108</v>
      </c>
      <c r="O3743" t="s">
        <v>96</v>
      </c>
    </row>
    <row r="3744" spans="1:15" x14ac:dyDescent="0.25">
      <c r="A3744">
        <v>1311</v>
      </c>
      <c r="B3744" s="10">
        <v>45680</v>
      </c>
      <c r="C3744">
        <v>23</v>
      </c>
      <c r="D3744" t="s">
        <v>130</v>
      </c>
      <c r="E3744" t="s">
        <v>138</v>
      </c>
      <c r="F3744" t="s">
        <v>49</v>
      </c>
      <c r="G3744" t="s">
        <v>118</v>
      </c>
      <c r="H3744" t="s">
        <v>23</v>
      </c>
      <c r="I3744" t="s">
        <v>45</v>
      </c>
      <c r="J3744" t="s">
        <v>94</v>
      </c>
      <c r="K3744">
        <v>10</v>
      </c>
      <c r="L3744">
        <v>44900</v>
      </c>
      <c r="M3744">
        <v>449000</v>
      </c>
      <c r="N3744" t="s">
        <v>95</v>
      </c>
      <c r="O3744" t="s">
        <v>104</v>
      </c>
    </row>
    <row r="3745" spans="1:15" x14ac:dyDescent="0.25">
      <c r="A3745">
        <v>4151</v>
      </c>
      <c r="B3745" s="10">
        <v>45707</v>
      </c>
      <c r="C3745">
        <v>19</v>
      </c>
      <c r="D3745" t="s">
        <v>97</v>
      </c>
      <c r="E3745" t="s">
        <v>31</v>
      </c>
      <c r="F3745" t="s">
        <v>113</v>
      </c>
      <c r="G3745" t="s">
        <v>114</v>
      </c>
      <c r="H3745" t="s">
        <v>23</v>
      </c>
      <c r="I3745" t="s">
        <v>45</v>
      </c>
      <c r="J3745" t="s">
        <v>94</v>
      </c>
      <c r="K3745">
        <v>10</v>
      </c>
      <c r="L3745">
        <v>44900</v>
      </c>
      <c r="M3745">
        <v>449000</v>
      </c>
      <c r="N3745" t="s">
        <v>108</v>
      </c>
      <c r="O3745" t="s">
        <v>96</v>
      </c>
    </row>
    <row r="3746" spans="1:15" x14ac:dyDescent="0.25">
      <c r="A3746">
        <v>1308</v>
      </c>
      <c r="B3746" s="10">
        <v>45748</v>
      </c>
      <c r="C3746">
        <v>1</v>
      </c>
      <c r="D3746" t="s">
        <v>105</v>
      </c>
      <c r="E3746" t="s">
        <v>121</v>
      </c>
      <c r="F3746" t="s">
        <v>134</v>
      </c>
      <c r="G3746" t="s">
        <v>100</v>
      </c>
      <c r="H3746" t="s">
        <v>92</v>
      </c>
      <c r="I3746" t="s">
        <v>129</v>
      </c>
      <c r="J3746" t="s">
        <v>94</v>
      </c>
      <c r="K3746">
        <v>2</v>
      </c>
      <c r="L3746">
        <v>45000</v>
      </c>
      <c r="M3746">
        <v>90000</v>
      </c>
      <c r="N3746" t="s">
        <v>95</v>
      </c>
      <c r="O3746" t="s">
        <v>104</v>
      </c>
    </row>
    <row r="3747" spans="1:15" x14ac:dyDescent="0.25">
      <c r="A3747">
        <v>2123</v>
      </c>
      <c r="B3747" s="10">
        <v>45740</v>
      </c>
      <c r="C3747">
        <v>24</v>
      </c>
      <c r="D3747" t="s">
        <v>140</v>
      </c>
      <c r="E3747" t="s">
        <v>137</v>
      </c>
      <c r="F3747" t="s">
        <v>141</v>
      </c>
      <c r="G3747" t="s">
        <v>100</v>
      </c>
      <c r="H3747" t="s">
        <v>92</v>
      </c>
      <c r="I3747" t="s">
        <v>129</v>
      </c>
      <c r="J3747" t="s">
        <v>94</v>
      </c>
      <c r="K3747">
        <v>8</v>
      </c>
      <c r="L3747">
        <v>45000</v>
      </c>
      <c r="M3747">
        <v>360000</v>
      </c>
      <c r="N3747" t="s">
        <v>108</v>
      </c>
      <c r="O3747" t="s">
        <v>104</v>
      </c>
    </row>
    <row r="3748" spans="1:15" x14ac:dyDescent="0.25">
      <c r="A3748">
        <v>2153</v>
      </c>
      <c r="B3748" s="10">
        <v>45806</v>
      </c>
      <c r="C3748">
        <v>29</v>
      </c>
      <c r="D3748" t="s">
        <v>120</v>
      </c>
      <c r="E3748" t="s">
        <v>106</v>
      </c>
      <c r="F3748" t="s">
        <v>134</v>
      </c>
      <c r="G3748" t="s">
        <v>100</v>
      </c>
      <c r="H3748" t="s">
        <v>23</v>
      </c>
      <c r="I3748" t="s">
        <v>45</v>
      </c>
      <c r="J3748" t="s">
        <v>94</v>
      </c>
      <c r="K3748">
        <v>5</v>
      </c>
      <c r="L3748">
        <v>45000</v>
      </c>
      <c r="M3748">
        <v>225000</v>
      </c>
      <c r="N3748" t="s">
        <v>108</v>
      </c>
      <c r="O3748" t="s">
        <v>104</v>
      </c>
    </row>
    <row r="3749" spans="1:15" x14ac:dyDescent="0.25">
      <c r="A3749">
        <v>3795</v>
      </c>
      <c r="B3749" s="10">
        <v>45688</v>
      </c>
      <c r="C3749">
        <v>31</v>
      </c>
      <c r="D3749" t="s">
        <v>130</v>
      </c>
      <c r="E3749" t="s">
        <v>128</v>
      </c>
      <c r="F3749" t="s">
        <v>117</v>
      </c>
      <c r="G3749" t="s">
        <v>118</v>
      </c>
      <c r="H3749" t="s">
        <v>92</v>
      </c>
      <c r="I3749" t="s">
        <v>129</v>
      </c>
      <c r="J3749" t="s">
        <v>94</v>
      </c>
      <c r="K3749">
        <v>3</v>
      </c>
      <c r="L3749">
        <v>45000</v>
      </c>
      <c r="M3749">
        <v>135000</v>
      </c>
      <c r="N3749" t="s">
        <v>108</v>
      </c>
      <c r="O3749" t="s">
        <v>104</v>
      </c>
    </row>
    <row r="3750" spans="1:15" x14ac:dyDescent="0.25">
      <c r="A3750">
        <v>4132</v>
      </c>
      <c r="B3750" s="10">
        <v>45743</v>
      </c>
      <c r="C3750">
        <v>27</v>
      </c>
      <c r="D3750" t="s">
        <v>140</v>
      </c>
      <c r="E3750" t="s">
        <v>98</v>
      </c>
      <c r="F3750" t="s">
        <v>44</v>
      </c>
      <c r="G3750" t="s">
        <v>111</v>
      </c>
      <c r="H3750" t="s">
        <v>92</v>
      </c>
      <c r="I3750" t="s">
        <v>129</v>
      </c>
      <c r="J3750" t="s">
        <v>94</v>
      </c>
      <c r="K3750">
        <v>9</v>
      </c>
      <c r="L3750">
        <v>45000</v>
      </c>
      <c r="M3750">
        <v>405000</v>
      </c>
      <c r="N3750" t="s">
        <v>108</v>
      </c>
      <c r="O3750" t="s">
        <v>104</v>
      </c>
    </row>
    <row r="3751" spans="1:15" x14ac:dyDescent="0.25">
      <c r="A3751">
        <v>744</v>
      </c>
      <c r="B3751" s="10">
        <v>45828</v>
      </c>
      <c r="C3751">
        <v>20</v>
      </c>
      <c r="D3751" t="s">
        <v>153</v>
      </c>
      <c r="E3751" t="s">
        <v>150</v>
      </c>
      <c r="F3751" t="s">
        <v>134</v>
      </c>
      <c r="G3751" t="s">
        <v>100</v>
      </c>
      <c r="H3751" t="s">
        <v>92</v>
      </c>
      <c r="I3751" t="s">
        <v>129</v>
      </c>
      <c r="J3751" t="s">
        <v>94</v>
      </c>
      <c r="K3751">
        <v>3</v>
      </c>
      <c r="L3751">
        <v>45100</v>
      </c>
      <c r="M3751">
        <v>135300</v>
      </c>
      <c r="N3751" t="s">
        <v>95</v>
      </c>
      <c r="O3751" t="s">
        <v>115</v>
      </c>
    </row>
    <row r="3752" spans="1:15" x14ac:dyDescent="0.25">
      <c r="A3752">
        <v>1205</v>
      </c>
      <c r="B3752" s="10">
        <v>45984</v>
      </c>
      <c r="C3752">
        <v>23</v>
      </c>
      <c r="D3752" t="s">
        <v>90</v>
      </c>
      <c r="E3752" t="s">
        <v>121</v>
      </c>
      <c r="F3752" t="s">
        <v>113</v>
      </c>
      <c r="G3752" t="s">
        <v>114</v>
      </c>
      <c r="H3752" t="s">
        <v>23</v>
      </c>
      <c r="I3752" t="s">
        <v>45</v>
      </c>
      <c r="J3752" t="s">
        <v>94</v>
      </c>
      <c r="K3752">
        <v>6</v>
      </c>
      <c r="L3752">
        <v>45100</v>
      </c>
      <c r="M3752">
        <v>270600</v>
      </c>
      <c r="N3752" t="s">
        <v>108</v>
      </c>
      <c r="O3752" t="s">
        <v>104</v>
      </c>
    </row>
    <row r="3753" spans="1:15" x14ac:dyDescent="0.25">
      <c r="A3753">
        <v>1206</v>
      </c>
      <c r="B3753" s="10">
        <v>45968</v>
      </c>
      <c r="C3753">
        <v>7</v>
      </c>
      <c r="D3753" t="s">
        <v>90</v>
      </c>
      <c r="E3753" t="s">
        <v>133</v>
      </c>
      <c r="F3753" t="s">
        <v>134</v>
      </c>
      <c r="G3753" t="s">
        <v>100</v>
      </c>
      <c r="H3753" t="s">
        <v>92</v>
      </c>
      <c r="I3753" t="s">
        <v>129</v>
      </c>
      <c r="J3753" t="s">
        <v>94</v>
      </c>
      <c r="K3753">
        <v>6</v>
      </c>
      <c r="L3753">
        <v>45100</v>
      </c>
      <c r="M3753">
        <v>270600</v>
      </c>
      <c r="N3753" t="s">
        <v>108</v>
      </c>
      <c r="O3753" t="s">
        <v>115</v>
      </c>
    </row>
    <row r="3754" spans="1:15" x14ac:dyDescent="0.25">
      <c r="A3754">
        <v>1227</v>
      </c>
      <c r="B3754" s="10">
        <v>45758</v>
      </c>
      <c r="C3754">
        <v>11</v>
      </c>
      <c r="D3754" t="s">
        <v>105</v>
      </c>
      <c r="E3754" t="s">
        <v>161</v>
      </c>
      <c r="F3754" t="s">
        <v>122</v>
      </c>
      <c r="G3754" t="s">
        <v>114</v>
      </c>
      <c r="H3754" t="s">
        <v>23</v>
      </c>
      <c r="I3754" t="s">
        <v>45</v>
      </c>
      <c r="J3754" t="s">
        <v>94</v>
      </c>
      <c r="K3754">
        <v>3</v>
      </c>
      <c r="L3754">
        <v>45100</v>
      </c>
      <c r="M3754">
        <v>135300</v>
      </c>
      <c r="N3754" t="s">
        <v>108</v>
      </c>
      <c r="O3754" t="s">
        <v>115</v>
      </c>
    </row>
    <row r="3755" spans="1:15" x14ac:dyDescent="0.25">
      <c r="A3755">
        <v>3035</v>
      </c>
      <c r="B3755" s="10">
        <v>45839</v>
      </c>
      <c r="C3755">
        <v>1</v>
      </c>
      <c r="D3755" t="s">
        <v>145</v>
      </c>
      <c r="E3755" t="s">
        <v>25</v>
      </c>
      <c r="F3755" t="s">
        <v>113</v>
      </c>
      <c r="G3755" t="s">
        <v>114</v>
      </c>
      <c r="H3755" t="s">
        <v>23</v>
      </c>
      <c r="I3755" t="s">
        <v>45</v>
      </c>
      <c r="J3755" t="s">
        <v>94</v>
      </c>
      <c r="K3755">
        <v>3</v>
      </c>
      <c r="L3755">
        <v>45100</v>
      </c>
      <c r="M3755">
        <v>135300</v>
      </c>
      <c r="N3755" t="s">
        <v>95</v>
      </c>
      <c r="O3755" t="s">
        <v>96</v>
      </c>
    </row>
    <row r="3756" spans="1:15" x14ac:dyDescent="0.25">
      <c r="A3756">
        <v>333</v>
      </c>
      <c r="B3756" s="10">
        <v>45856</v>
      </c>
      <c r="C3756">
        <v>18</v>
      </c>
      <c r="D3756" t="s">
        <v>145</v>
      </c>
      <c r="E3756" t="s">
        <v>112</v>
      </c>
      <c r="F3756" t="s">
        <v>28</v>
      </c>
      <c r="G3756" t="s">
        <v>126</v>
      </c>
      <c r="H3756" t="s">
        <v>92</v>
      </c>
      <c r="I3756" t="s">
        <v>129</v>
      </c>
      <c r="J3756" t="s">
        <v>94</v>
      </c>
      <c r="K3756">
        <v>10</v>
      </c>
      <c r="L3756">
        <v>45200</v>
      </c>
      <c r="M3756">
        <v>452000</v>
      </c>
      <c r="N3756" t="s">
        <v>95</v>
      </c>
      <c r="O3756" t="s">
        <v>96</v>
      </c>
    </row>
    <row r="3757" spans="1:15" x14ac:dyDescent="0.25">
      <c r="A3757">
        <v>1785</v>
      </c>
      <c r="B3757" s="10">
        <v>45843</v>
      </c>
      <c r="C3757">
        <v>5</v>
      </c>
      <c r="D3757" t="s">
        <v>145</v>
      </c>
      <c r="E3757" t="s">
        <v>137</v>
      </c>
      <c r="F3757" t="s">
        <v>49</v>
      </c>
      <c r="G3757" t="s">
        <v>118</v>
      </c>
      <c r="H3757" t="s">
        <v>92</v>
      </c>
      <c r="I3757" t="s">
        <v>129</v>
      </c>
      <c r="J3757" t="s">
        <v>94</v>
      </c>
      <c r="K3757">
        <v>6</v>
      </c>
      <c r="L3757">
        <v>45200</v>
      </c>
      <c r="M3757">
        <v>271200</v>
      </c>
      <c r="N3757" t="s">
        <v>95</v>
      </c>
      <c r="O3757" t="s">
        <v>104</v>
      </c>
    </row>
    <row r="3758" spans="1:15" x14ac:dyDescent="0.25">
      <c r="A3758">
        <v>1822</v>
      </c>
      <c r="B3758" s="10">
        <v>45836</v>
      </c>
      <c r="C3758">
        <v>28</v>
      </c>
      <c r="D3758" t="s">
        <v>153</v>
      </c>
      <c r="E3758" t="s">
        <v>161</v>
      </c>
      <c r="F3758" t="s">
        <v>99</v>
      </c>
      <c r="G3758" t="s">
        <v>100</v>
      </c>
      <c r="H3758" t="s">
        <v>92</v>
      </c>
      <c r="I3758" t="s">
        <v>129</v>
      </c>
      <c r="J3758" t="s">
        <v>94</v>
      </c>
      <c r="K3758">
        <v>8</v>
      </c>
      <c r="L3758">
        <v>45200</v>
      </c>
      <c r="M3758">
        <v>361600</v>
      </c>
      <c r="N3758" t="s">
        <v>108</v>
      </c>
      <c r="O3758" t="s">
        <v>96</v>
      </c>
    </row>
    <row r="3759" spans="1:15" x14ac:dyDescent="0.25">
      <c r="A3759">
        <v>2400</v>
      </c>
      <c r="B3759" s="10">
        <v>45785</v>
      </c>
      <c r="C3759">
        <v>8</v>
      </c>
      <c r="D3759" t="s">
        <v>120</v>
      </c>
      <c r="E3759" t="s">
        <v>98</v>
      </c>
      <c r="F3759" t="s">
        <v>99</v>
      </c>
      <c r="G3759" t="s">
        <v>100</v>
      </c>
      <c r="H3759" t="s">
        <v>23</v>
      </c>
      <c r="I3759" t="s">
        <v>45</v>
      </c>
      <c r="J3759" t="s">
        <v>94</v>
      </c>
      <c r="K3759">
        <v>1</v>
      </c>
      <c r="L3759">
        <v>45200</v>
      </c>
      <c r="M3759">
        <v>45200</v>
      </c>
      <c r="N3759" t="s">
        <v>108</v>
      </c>
      <c r="O3759" t="s">
        <v>96</v>
      </c>
    </row>
    <row r="3760" spans="1:15" x14ac:dyDescent="0.25">
      <c r="A3760">
        <v>1281</v>
      </c>
      <c r="B3760" s="10">
        <v>45719</v>
      </c>
      <c r="C3760">
        <v>3</v>
      </c>
      <c r="D3760" t="s">
        <v>140</v>
      </c>
      <c r="E3760" t="s">
        <v>138</v>
      </c>
      <c r="F3760" t="s">
        <v>134</v>
      </c>
      <c r="G3760" t="s">
        <v>100</v>
      </c>
      <c r="H3760" t="s">
        <v>23</v>
      </c>
      <c r="I3760" t="s">
        <v>45</v>
      </c>
      <c r="J3760" t="s">
        <v>94</v>
      </c>
      <c r="K3760">
        <v>3</v>
      </c>
      <c r="L3760">
        <v>45300</v>
      </c>
      <c r="M3760">
        <v>135900</v>
      </c>
      <c r="N3760" t="s">
        <v>108</v>
      </c>
      <c r="O3760" t="s">
        <v>104</v>
      </c>
    </row>
    <row r="3761" spans="1:15" x14ac:dyDescent="0.25">
      <c r="A3761">
        <v>3082</v>
      </c>
      <c r="B3761" s="10">
        <v>45848</v>
      </c>
      <c r="C3761">
        <v>10</v>
      </c>
      <c r="D3761" t="s">
        <v>145</v>
      </c>
      <c r="E3761" t="s">
        <v>121</v>
      </c>
      <c r="F3761" t="s">
        <v>107</v>
      </c>
      <c r="G3761" t="s">
        <v>100</v>
      </c>
      <c r="H3761" t="s">
        <v>92</v>
      </c>
      <c r="I3761" t="s">
        <v>129</v>
      </c>
      <c r="J3761" t="s">
        <v>94</v>
      </c>
      <c r="K3761">
        <v>1</v>
      </c>
      <c r="L3761">
        <v>45300</v>
      </c>
      <c r="M3761">
        <v>45300</v>
      </c>
      <c r="N3761" t="s">
        <v>95</v>
      </c>
      <c r="O3761" t="s">
        <v>115</v>
      </c>
    </row>
    <row r="3762" spans="1:15" x14ac:dyDescent="0.25">
      <c r="A3762">
        <v>3390</v>
      </c>
      <c r="B3762" s="10">
        <v>45965</v>
      </c>
      <c r="C3762">
        <v>4</v>
      </c>
      <c r="D3762" t="s">
        <v>90</v>
      </c>
      <c r="E3762" t="s">
        <v>106</v>
      </c>
      <c r="F3762" t="s">
        <v>22</v>
      </c>
      <c r="G3762" t="s">
        <v>91</v>
      </c>
      <c r="H3762" t="s">
        <v>23</v>
      </c>
      <c r="I3762" t="s">
        <v>45</v>
      </c>
      <c r="J3762" t="s">
        <v>94</v>
      </c>
      <c r="K3762">
        <v>2</v>
      </c>
      <c r="L3762">
        <v>45300</v>
      </c>
      <c r="M3762">
        <v>90600</v>
      </c>
      <c r="N3762" t="s">
        <v>108</v>
      </c>
      <c r="O3762" t="s">
        <v>104</v>
      </c>
    </row>
    <row r="3763" spans="1:15" x14ac:dyDescent="0.25">
      <c r="A3763">
        <v>193</v>
      </c>
      <c r="B3763" s="10">
        <v>46001</v>
      </c>
      <c r="C3763">
        <v>10</v>
      </c>
      <c r="D3763" t="s">
        <v>125</v>
      </c>
      <c r="E3763" t="s">
        <v>161</v>
      </c>
      <c r="F3763" t="s">
        <v>141</v>
      </c>
      <c r="G3763" t="s">
        <v>100</v>
      </c>
      <c r="H3763" t="s">
        <v>92</v>
      </c>
      <c r="I3763" t="s">
        <v>129</v>
      </c>
      <c r="J3763" t="s">
        <v>94</v>
      </c>
      <c r="K3763">
        <v>7</v>
      </c>
      <c r="L3763">
        <v>45500</v>
      </c>
      <c r="M3763">
        <v>318500</v>
      </c>
      <c r="N3763" t="s">
        <v>108</v>
      </c>
      <c r="O3763" t="s">
        <v>104</v>
      </c>
    </row>
    <row r="3764" spans="1:15" x14ac:dyDescent="0.25">
      <c r="A3764">
        <v>346</v>
      </c>
      <c r="B3764" s="10">
        <v>45849</v>
      </c>
      <c r="C3764">
        <v>11</v>
      </c>
      <c r="D3764" t="s">
        <v>145</v>
      </c>
      <c r="E3764" t="s">
        <v>142</v>
      </c>
      <c r="F3764" t="s">
        <v>151</v>
      </c>
      <c r="G3764" t="s">
        <v>111</v>
      </c>
      <c r="H3764" t="s">
        <v>92</v>
      </c>
      <c r="I3764" t="s">
        <v>129</v>
      </c>
      <c r="J3764" t="s">
        <v>94</v>
      </c>
      <c r="K3764">
        <v>6</v>
      </c>
      <c r="L3764">
        <v>45500</v>
      </c>
      <c r="M3764">
        <v>273000</v>
      </c>
      <c r="N3764" t="s">
        <v>95</v>
      </c>
      <c r="O3764" t="s">
        <v>115</v>
      </c>
    </row>
    <row r="3765" spans="1:15" x14ac:dyDescent="0.25">
      <c r="A3765">
        <v>1290</v>
      </c>
      <c r="B3765" s="10">
        <v>46018</v>
      </c>
      <c r="C3765">
        <v>27</v>
      </c>
      <c r="D3765" t="s">
        <v>125</v>
      </c>
      <c r="E3765" t="s">
        <v>133</v>
      </c>
      <c r="F3765" t="s">
        <v>144</v>
      </c>
      <c r="G3765" t="s">
        <v>91</v>
      </c>
      <c r="H3765" t="s">
        <v>23</v>
      </c>
      <c r="I3765" t="s">
        <v>24</v>
      </c>
      <c r="J3765" t="s">
        <v>103</v>
      </c>
      <c r="K3765">
        <v>24</v>
      </c>
      <c r="L3765">
        <v>45500</v>
      </c>
      <c r="M3765">
        <v>1092000</v>
      </c>
      <c r="N3765" t="s">
        <v>108</v>
      </c>
      <c r="O3765" t="s">
        <v>104</v>
      </c>
    </row>
    <row r="3766" spans="1:15" x14ac:dyDescent="0.25">
      <c r="A3766">
        <v>2029</v>
      </c>
      <c r="B3766" s="10">
        <v>45719</v>
      </c>
      <c r="C3766">
        <v>3</v>
      </c>
      <c r="D3766" t="s">
        <v>140</v>
      </c>
      <c r="E3766" t="s">
        <v>138</v>
      </c>
      <c r="F3766" t="s">
        <v>36</v>
      </c>
      <c r="G3766" t="s">
        <v>100</v>
      </c>
      <c r="H3766" t="s">
        <v>23</v>
      </c>
      <c r="I3766" t="s">
        <v>45</v>
      </c>
      <c r="J3766" t="s">
        <v>94</v>
      </c>
      <c r="K3766">
        <v>1</v>
      </c>
      <c r="L3766">
        <v>45500</v>
      </c>
      <c r="M3766">
        <v>45500</v>
      </c>
      <c r="N3766" t="s">
        <v>95</v>
      </c>
      <c r="O3766" t="s">
        <v>115</v>
      </c>
    </row>
    <row r="3767" spans="1:15" x14ac:dyDescent="0.25">
      <c r="A3767">
        <v>2854</v>
      </c>
      <c r="B3767" s="10">
        <v>46013</v>
      </c>
      <c r="C3767">
        <v>22</v>
      </c>
      <c r="D3767" t="s">
        <v>125</v>
      </c>
      <c r="E3767" t="s">
        <v>112</v>
      </c>
      <c r="F3767" t="s">
        <v>141</v>
      </c>
      <c r="G3767" t="s">
        <v>100</v>
      </c>
      <c r="H3767" t="s">
        <v>92</v>
      </c>
      <c r="I3767" t="s">
        <v>129</v>
      </c>
      <c r="J3767" t="s">
        <v>94</v>
      </c>
      <c r="K3767">
        <v>10</v>
      </c>
      <c r="L3767">
        <v>45500</v>
      </c>
      <c r="M3767">
        <v>455000</v>
      </c>
      <c r="N3767" t="s">
        <v>95</v>
      </c>
      <c r="O3767" t="s">
        <v>104</v>
      </c>
    </row>
    <row r="3768" spans="1:15" x14ac:dyDescent="0.25">
      <c r="A3768">
        <v>3878</v>
      </c>
      <c r="B3768" s="10">
        <v>45757</v>
      </c>
      <c r="C3768">
        <v>10</v>
      </c>
      <c r="D3768" t="s">
        <v>105</v>
      </c>
      <c r="E3768" t="s">
        <v>110</v>
      </c>
      <c r="F3768" t="s">
        <v>22</v>
      </c>
      <c r="G3768" t="s">
        <v>91</v>
      </c>
      <c r="H3768" t="s">
        <v>23</v>
      </c>
      <c r="I3768" t="s">
        <v>45</v>
      </c>
      <c r="J3768" t="s">
        <v>94</v>
      </c>
      <c r="K3768">
        <v>1</v>
      </c>
      <c r="L3768">
        <v>45500</v>
      </c>
      <c r="M3768">
        <v>45500</v>
      </c>
      <c r="N3768" t="s">
        <v>108</v>
      </c>
      <c r="O3768" t="s">
        <v>115</v>
      </c>
    </row>
    <row r="3769" spans="1:15" x14ac:dyDescent="0.25">
      <c r="A3769">
        <v>4253</v>
      </c>
      <c r="B3769" s="10">
        <v>45820</v>
      </c>
      <c r="C3769">
        <v>12</v>
      </c>
      <c r="D3769" t="s">
        <v>153</v>
      </c>
      <c r="E3769" t="s">
        <v>138</v>
      </c>
      <c r="F3769" t="s">
        <v>151</v>
      </c>
      <c r="G3769" t="s">
        <v>111</v>
      </c>
      <c r="H3769" t="s">
        <v>92</v>
      </c>
      <c r="I3769" t="s">
        <v>129</v>
      </c>
      <c r="J3769" t="s">
        <v>94</v>
      </c>
      <c r="K3769">
        <v>2</v>
      </c>
      <c r="L3769">
        <v>45500</v>
      </c>
      <c r="M3769">
        <v>91000</v>
      </c>
      <c r="N3769" t="s">
        <v>95</v>
      </c>
      <c r="O3769" t="s">
        <v>104</v>
      </c>
    </row>
    <row r="3770" spans="1:15" x14ac:dyDescent="0.25">
      <c r="A3770">
        <v>4062</v>
      </c>
      <c r="B3770" s="10">
        <v>45819</v>
      </c>
      <c r="C3770">
        <v>11</v>
      </c>
      <c r="D3770" t="s">
        <v>153</v>
      </c>
      <c r="E3770" t="s">
        <v>121</v>
      </c>
      <c r="F3770" t="s">
        <v>134</v>
      </c>
      <c r="G3770" t="s">
        <v>100</v>
      </c>
      <c r="H3770" t="s">
        <v>92</v>
      </c>
      <c r="I3770" t="s">
        <v>129</v>
      </c>
      <c r="J3770" t="s">
        <v>94</v>
      </c>
      <c r="K3770">
        <v>5</v>
      </c>
      <c r="L3770">
        <v>45600</v>
      </c>
      <c r="M3770">
        <v>228000</v>
      </c>
      <c r="N3770" t="s">
        <v>108</v>
      </c>
      <c r="O3770" t="s">
        <v>115</v>
      </c>
    </row>
    <row r="3771" spans="1:15" x14ac:dyDescent="0.25">
      <c r="A3771">
        <v>4781</v>
      </c>
      <c r="B3771" s="10">
        <v>45717</v>
      </c>
      <c r="C3771">
        <v>1</v>
      </c>
      <c r="D3771" t="s">
        <v>140</v>
      </c>
      <c r="E3771" t="s">
        <v>98</v>
      </c>
      <c r="F3771" t="s">
        <v>122</v>
      </c>
      <c r="G3771" t="s">
        <v>114</v>
      </c>
      <c r="H3771" t="s">
        <v>23</v>
      </c>
      <c r="I3771" t="s">
        <v>45</v>
      </c>
      <c r="J3771" t="s">
        <v>94</v>
      </c>
      <c r="K3771">
        <v>10</v>
      </c>
      <c r="L3771">
        <v>45600</v>
      </c>
      <c r="M3771">
        <v>456000</v>
      </c>
      <c r="N3771" t="s">
        <v>108</v>
      </c>
      <c r="O3771" t="s">
        <v>96</v>
      </c>
    </row>
    <row r="3772" spans="1:15" x14ac:dyDescent="0.25">
      <c r="A3772">
        <v>4983</v>
      </c>
      <c r="B3772" s="10">
        <v>45786</v>
      </c>
      <c r="C3772">
        <v>9</v>
      </c>
      <c r="D3772" t="s">
        <v>120</v>
      </c>
      <c r="E3772" t="s">
        <v>31</v>
      </c>
      <c r="F3772" t="s">
        <v>151</v>
      </c>
      <c r="G3772" t="s">
        <v>111</v>
      </c>
      <c r="H3772" t="s">
        <v>92</v>
      </c>
      <c r="I3772" t="s">
        <v>129</v>
      </c>
      <c r="J3772" t="s">
        <v>94</v>
      </c>
      <c r="K3772">
        <v>6</v>
      </c>
      <c r="L3772">
        <v>45600</v>
      </c>
      <c r="M3772">
        <v>273600</v>
      </c>
      <c r="N3772" t="s">
        <v>108</v>
      </c>
      <c r="O3772" t="s">
        <v>104</v>
      </c>
    </row>
    <row r="3773" spans="1:15" x14ac:dyDescent="0.25">
      <c r="A3773">
        <v>298</v>
      </c>
      <c r="B3773" s="10">
        <v>45812</v>
      </c>
      <c r="C3773">
        <v>4</v>
      </c>
      <c r="D3773" t="s">
        <v>153</v>
      </c>
      <c r="E3773" t="s">
        <v>128</v>
      </c>
      <c r="F3773" t="s">
        <v>36</v>
      </c>
      <c r="G3773" t="s">
        <v>100</v>
      </c>
      <c r="H3773" t="s">
        <v>92</v>
      </c>
      <c r="I3773" t="s">
        <v>129</v>
      </c>
      <c r="J3773" t="s">
        <v>94</v>
      </c>
      <c r="K3773">
        <v>7</v>
      </c>
      <c r="L3773">
        <v>45700</v>
      </c>
      <c r="M3773">
        <v>319900</v>
      </c>
      <c r="N3773" t="s">
        <v>108</v>
      </c>
      <c r="O3773" t="s">
        <v>115</v>
      </c>
    </row>
    <row r="3774" spans="1:15" x14ac:dyDescent="0.25">
      <c r="A3774">
        <v>3507</v>
      </c>
      <c r="B3774" s="10">
        <v>45788</v>
      </c>
      <c r="C3774">
        <v>11</v>
      </c>
      <c r="D3774" t="s">
        <v>120</v>
      </c>
      <c r="E3774" t="s">
        <v>98</v>
      </c>
      <c r="F3774" t="s">
        <v>28</v>
      </c>
      <c r="G3774" t="s">
        <v>126</v>
      </c>
      <c r="H3774" t="s">
        <v>23</v>
      </c>
      <c r="I3774" t="s">
        <v>45</v>
      </c>
      <c r="J3774" t="s">
        <v>94</v>
      </c>
      <c r="K3774">
        <v>5</v>
      </c>
      <c r="L3774">
        <v>45700</v>
      </c>
      <c r="M3774">
        <v>228500</v>
      </c>
      <c r="N3774" t="s">
        <v>95</v>
      </c>
      <c r="O3774" t="s">
        <v>104</v>
      </c>
    </row>
    <row r="3775" spans="1:15" x14ac:dyDescent="0.25">
      <c r="A3775">
        <v>549</v>
      </c>
      <c r="B3775" s="10">
        <v>45918</v>
      </c>
      <c r="C3775">
        <v>18</v>
      </c>
      <c r="D3775" t="s">
        <v>147</v>
      </c>
      <c r="E3775" t="s">
        <v>133</v>
      </c>
      <c r="F3775" t="s">
        <v>151</v>
      </c>
      <c r="G3775" t="s">
        <v>111</v>
      </c>
      <c r="H3775" t="s">
        <v>23</v>
      </c>
      <c r="I3775" t="s">
        <v>45</v>
      </c>
      <c r="J3775" t="s">
        <v>94</v>
      </c>
      <c r="K3775">
        <v>6</v>
      </c>
      <c r="L3775">
        <v>45800</v>
      </c>
      <c r="M3775">
        <v>274800</v>
      </c>
      <c r="N3775" t="s">
        <v>95</v>
      </c>
      <c r="O3775" t="s">
        <v>104</v>
      </c>
    </row>
    <row r="3776" spans="1:15" x14ac:dyDescent="0.25">
      <c r="A3776">
        <v>1254</v>
      </c>
      <c r="B3776" s="10">
        <v>45948</v>
      </c>
      <c r="C3776">
        <v>18</v>
      </c>
      <c r="D3776" t="s">
        <v>136</v>
      </c>
      <c r="E3776" t="s">
        <v>161</v>
      </c>
      <c r="F3776" t="s">
        <v>44</v>
      </c>
      <c r="G3776" t="s">
        <v>111</v>
      </c>
      <c r="H3776" t="s">
        <v>23</v>
      </c>
      <c r="I3776" t="s">
        <v>45</v>
      </c>
      <c r="J3776" t="s">
        <v>94</v>
      </c>
      <c r="K3776">
        <v>10</v>
      </c>
      <c r="L3776">
        <v>45800</v>
      </c>
      <c r="M3776">
        <v>458000</v>
      </c>
      <c r="N3776" t="s">
        <v>108</v>
      </c>
      <c r="O3776" t="s">
        <v>96</v>
      </c>
    </row>
    <row r="3777" spans="1:15" x14ac:dyDescent="0.25">
      <c r="A3777">
        <v>2256</v>
      </c>
      <c r="B3777" s="10">
        <v>45830</v>
      </c>
      <c r="C3777">
        <v>22</v>
      </c>
      <c r="D3777" t="s">
        <v>153</v>
      </c>
      <c r="E3777" t="s">
        <v>128</v>
      </c>
      <c r="F3777" t="s">
        <v>117</v>
      </c>
      <c r="G3777" t="s">
        <v>118</v>
      </c>
      <c r="H3777" t="s">
        <v>23</v>
      </c>
      <c r="I3777" t="s">
        <v>45</v>
      </c>
      <c r="J3777" t="s">
        <v>94</v>
      </c>
      <c r="K3777">
        <v>5</v>
      </c>
      <c r="L3777">
        <v>45800</v>
      </c>
      <c r="M3777">
        <v>229000</v>
      </c>
      <c r="N3777" t="s">
        <v>108</v>
      </c>
      <c r="O3777" t="s">
        <v>96</v>
      </c>
    </row>
    <row r="3778" spans="1:15" x14ac:dyDescent="0.25">
      <c r="A3778">
        <v>2695</v>
      </c>
      <c r="B3778" s="10">
        <v>45896</v>
      </c>
      <c r="C3778">
        <v>27</v>
      </c>
      <c r="D3778" t="s">
        <v>109</v>
      </c>
      <c r="E3778" t="s">
        <v>116</v>
      </c>
      <c r="F3778" t="s">
        <v>49</v>
      </c>
      <c r="G3778" t="s">
        <v>118</v>
      </c>
      <c r="H3778" t="s">
        <v>23</v>
      </c>
      <c r="I3778" t="s">
        <v>45</v>
      </c>
      <c r="J3778" t="s">
        <v>94</v>
      </c>
      <c r="K3778">
        <v>6</v>
      </c>
      <c r="L3778">
        <v>45800</v>
      </c>
      <c r="M3778">
        <v>274800</v>
      </c>
      <c r="N3778" t="s">
        <v>95</v>
      </c>
      <c r="O3778" t="s">
        <v>104</v>
      </c>
    </row>
    <row r="3779" spans="1:15" x14ac:dyDescent="0.25">
      <c r="A3779">
        <v>2999</v>
      </c>
      <c r="B3779" s="10">
        <v>45712</v>
      </c>
      <c r="C3779">
        <v>24</v>
      </c>
      <c r="D3779" t="s">
        <v>97</v>
      </c>
      <c r="E3779" t="s">
        <v>142</v>
      </c>
      <c r="F3779" t="s">
        <v>36</v>
      </c>
      <c r="G3779" t="s">
        <v>100</v>
      </c>
      <c r="H3779" t="s">
        <v>23</v>
      </c>
      <c r="I3779" t="s">
        <v>45</v>
      </c>
      <c r="J3779" t="s">
        <v>94</v>
      </c>
      <c r="K3779">
        <v>10</v>
      </c>
      <c r="L3779">
        <v>45800</v>
      </c>
      <c r="M3779">
        <v>458000</v>
      </c>
      <c r="N3779" t="s">
        <v>108</v>
      </c>
      <c r="O3779" t="s">
        <v>104</v>
      </c>
    </row>
    <row r="3780" spans="1:15" x14ac:dyDescent="0.25">
      <c r="A3780">
        <v>4518</v>
      </c>
      <c r="B3780" s="10">
        <v>45976</v>
      </c>
      <c r="C3780">
        <v>15</v>
      </c>
      <c r="D3780" t="s">
        <v>90</v>
      </c>
      <c r="E3780" t="s">
        <v>110</v>
      </c>
      <c r="F3780" t="s">
        <v>141</v>
      </c>
      <c r="G3780" t="s">
        <v>100</v>
      </c>
      <c r="H3780" t="s">
        <v>92</v>
      </c>
      <c r="I3780" t="s">
        <v>129</v>
      </c>
      <c r="J3780" t="s">
        <v>94</v>
      </c>
      <c r="K3780">
        <v>9</v>
      </c>
      <c r="L3780">
        <v>45800</v>
      </c>
      <c r="M3780">
        <v>412200</v>
      </c>
      <c r="N3780" t="s">
        <v>95</v>
      </c>
      <c r="O3780" t="s">
        <v>96</v>
      </c>
    </row>
    <row r="3781" spans="1:15" x14ac:dyDescent="0.25">
      <c r="A3781">
        <v>714</v>
      </c>
      <c r="B3781" s="10">
        <v>45776</v>
      </c>
      <c r="C3781">
        <v>29</v>
      </c>
      <c r="D3781" t="s">
        <v>105</v>
      </c>
      <c r="E3781" t="s">
        <v>106</v>
      </c>
      <c r="F3781" t="s">
        <v>122</v>
      </c>
      <c r="G3781" t="s">
        <v>114</v>
      </c>
      <c r="H3781" t="s">
        <v>23</v>
      </c>
      <c r="I3781" t="s">
        <v>45</v>
      </c>
      <c r="J3781" t="s">
        <v>94</v>
      </c>
      <c r="K3781">
        <v>8</v>
      </c>
      <c r="L3781">
        <v>45900</v>
      </c>
      <c r="M3781">
        <v>367200</v>
      </c>
      <c r="N3781" t="s">
        <v>95</v>
      </c>
      <c r="O3781" t="s">
        <v>96</v>
      </c>
    </row>
    <row r="3782" spans="1:15" x14ac:dyDescent="0.25">
      <c r="A3782">
        <v>2527</v>
      </c>
      <c r="B3782" s="10">
        <v>45703</v>
      </c>
      <c r="C3782">
        <v>15</v>
      </c>
      <c r="D3782" t="s">
        <v>97</v>
      </c>
      <c r="E3782" t="s">
        <v>110</v>
      </c>
      <c r="F3782" t="s">
        <v>117</v>
      </c>
      <c r="G3782" t="s">
        <v>118</v>
      </c>
      <c r="H3782" t="s">
        <v>92</v>
      </c>
      <c r="I3782" t="s">
        <v>129</v>
      </c>
      <c r="J3782" t="s">
        <v>94</v>
      </c>
      <c r="K3782">
        <v>8</v>
      </c>
      <c r="L3782">
        <v>45900</v>
      </c>
      <c r="M3782">
        <v>367200</v>
      </c>
      <c r="N3782" t="s">
        <v>95</v>
      </c>
      <c r="O3782" t="s">
        <v>115</v>
      </c>
    </row>
    <row r="3783" spans="1:15" x14ac:dyDescent="0.25">
      <c r="A3783">
        <v>2625</v>
      </c>
      <c r="B3783" s="10">
        <v>45749</v>
      </c>
      <c r="C3783">
        <v>2</v>
      </c>
      <c r="D3783" t="s">
        <v>105</v>
      </c>
      <c r="E3783" t="s">
        <v>161</v>
      </c>
      <c r="F3783" t="s">
        <v>36</v>
      </c>
      <c r="G3783" t="s">
        <v>100</v>
      </c>
      <c r="H3783" t="s">
        <v>23</v>
      </c>
      <c r="I3783" t="s">
        <v>45</v>
      </c>
      <c r="J3783" t="s">
        <v>94</v>
      </c>
      <c r="K3783">
        <v>6</v>
      </c>
      <c r="L3783">
        <v>45900</v>
      </c>
      <c r="M3783">
        <v>275400</v>
      </c>
      <c r="N3783" t="s">
        <v>108</v>
      </c>
      <c r="O3783" t="s">
        <v>96</v>
      </c>
    </row>
    <row r="3784" spans="1:15" x14ac:dyDescent="0.25">
      <c r="A3784">
        <v>2640</v>
      </c>
      <c r="B3784" s="10">
        <v>45736</v>
      </c>
      <c r="C3784">
        <v>20</v>
      </c>
      <c r="D3784" t="s">
        <v>140</v>
      </c>
      <c r="E3784" t="s">
        <v>138</v>
      </c>
      <c r="F3784" t="s">
        <v>36</v>
      </c>
      <c r="G3784" t="s">
        <v>100</v>
      </c>
      <c r="H3784" t="s">
        <v>92</v>
      </c>
      <c r="I3784" t="s">
        <v>129</v>
      </c>
      <c r="J3784" t="s">
        <v>94</v>
      </c>
      <c r="K3784">
        <v>2</v>
      </c>
      <c r="L3784">
        <v>45900</v>
      </c>
      <c r="M3784">
        <v>91800</v>
      </c>
      <c r="N3784" t="s">
        <v>108</v>
      </c>
      <c r="O3784" t="s">
        <v>115</v>
      </c>
    </row>
    <row r="3785" spans="1:15" x14ac:dyDescent="0.25">
      <c r="A3785">
        <v>2343</v>
      </c>
      <c r="B3785" s="10">
        <v>45876</v>
      </c>
      <c r="C3785">
        <v>7</v>
      </c>
      <c r="D3785" t="s">
        <v>109</v>
      </c>
      <c r="E3785" t="s">
        <v>112</v>
      </c>
      <c r="F3785" t="s">
        <v>113</v>
      </c>
      <c r="G3785" t="s">
        <v>114</v>
      </c>
      <c r="H3785" t="s">
        <v>92</v>
      </c>
      <c r="I3785" t="s">
        <v>129</v>
      </c>
      <c r="J3785" t="s">
        <v>94</v>
      </c>
      <c r="K3785">
        <v>5</v>
      </c>
      <c r="L3785">
        <v>46100</v>
      </c>
      <c r="M3785">
        <v>230500</v>
      </c>
      <c r="N3785" t="s">
        <v>95</v>
      </c>
      <c r="O3785" t="s">
        <v>96</v>
      </c>
    </row>
    <row r="3786" spans="1:15" x14ac:dyDescent="0.25">
      <c r="A3786">
        <v>3509</v>
      </c>
      <c r="B3786" s="10">
        <v>45925</v>
      </c>
      <c r="C3786">
        <v>25</v>
      </c>
      <c r="D3786" t="s">
        <v>147</v>
      </c>
      <c r="E3786" t="s">
        <v>98</v>
      </c>
      <c r="F3786" t="s">
        <v>122</v>
      </c>
      <c r="G3786" t="s">
        <v>114</v>
      </c>
      <c r="H3786" t="s">
        <v>23</v>
      </c>
      <c r="I3786" t="s">
        <v>45</v>
      </c>
      <c r="J3786" t="s">
        <v>94</v>
      </c>
      <c r="K3786">
        <v>8</v>
      </c>
      <c r="L3786">
        <v>46100</v>
      </c>
      <c r="M3786">
        <v>368800</v>
      </c>
      <c r="N3786" t="s">
        <v>108</v>
      </c>
      <c r="O3786" t="s">
        <v>115</v>
      </c>
    </row>
    <row r="3787" spans="1:15" x14ac:dyDescent="0.25">
      <c r="A3787">
        <v>208</v>
      </c>
      <c r="B3787" s="10">
        <v>45963</v>
      </c>
      <c r="C3787">
        <v>2</v>
      </c>
      <c r="D3787" t="s">
        <v>90</v>
      </c>
      <c r="E3787" t="s">
        <v>137</v>
      </c>
      <c r="F3787" t="s">
        <v>22</v>
      </c>
      <c r="G3787" t="s">
        <v>91</v>
      </c>
      <c r="H3787" t="s">
        <v>92</v>
      </c>
      <c r="I3787" t="s">
        <v>129</v>
      </c>
      <c r="J3787" t="s">
        <v>94</v>
      </c>
      <c r="K3787">
        <v>3</v>
      </c>
      <c r="L3787">
        <v>46200</v>
      </c>
      <c r="M3787">
        <v>138600</v>
      </c>
      <c r="N3787" t="s">
        <v>108</v>
      </c>
      <c r="O3787" t="s">
        <v>115</v>
      </c>
    </row>
    <row r="3788" spans="1:15" x14ac:dyDescent="0.25">
      <c r="A3788">
        <v>3078</v>
      </c>
      <c r="B3788" s="10">
        <v>45983</v>
      </c>
      <c r="C3788">
        <v>22</v>
      </c>
      <c r="D3788" t="s">
        <v>90</v>
      </c>
      <c r="E3788" t="s">
        <v>142</v>
      </c>
      <c r="F3788" t="s">
        <v>99</v>
      </c>
      <c r="G3788" t="s">
        <v>100</v>
      </c>
      <c r="H3788" t="s">
        <v>23</v>
      </c>
      <c r="I3788" t="s">
        <v>45</v>
      </c>
      <c r="J3788" t="s">
        <v>94</v>
      </c>
      <c r="K3788">
        <v>8</v>
      </c>
      <c r="L3788">
        <v>46200</v>
      </c>
      <c r="M3788">
        <v>369600</v>
      </c>
      <c r="N3788" t="s">
        <v>108</v>
      </c>
      <c r="O3788" t="s">
        <v>115</v>
      </c>
    </row>
    <row r="3789" spans="1:15" x14ac:dyDescent="0.25">
      <c r="A3789">
        <v>1139</v>
      </c>
      <c r="B3789" s="10">
        <v>45763</v>
      </c>
      <c r="C3789">
        <v>16</v>
      </c>
      <c r="D3789" t="s">
        <v>105</v>
      </c>
      <c r="E3789" t="s">
        <v>106</v>
      </c>
      <c r="F3789" t="s">
        <v>44</v>
      </c>
      <c r="G3789" t="s">
        <v>111</v>
      </c>
      <c r="H3789" t="s">
        <v>92</v>
      </c>
      <c r="I3789" t="s">
        <v>129</v>
      </c>
      <c r="J3789" t="s">
        <v>94</v>
      </c>
      <c r="K3789">
        <v>8</v>
      </c>
      <c r="L3789">
        <v>46300</v>
      </c>
      <c r="M3789">
        <v>370400</v>
      </c>
      <c r="N3789" t="s">
        <v>95</v>
      </c>
      <c r="O3789" t="s">
        <v>115</v>
      </c>
    </row>
    <row r="3790" spans="1:15" x14ac:dyDescent="0.25">
      <c r="A3790">
        <v>1314</v>
      </c>
      <c r="B3790" s="10">
        <v>45936</v>
      </c>
      <c r="C3790">
        <v>6</v>
      </c>
      <c r="D3790" t="s">
        <v>136</v>
      </c>
      <c r="E3790" t="s">
        <v>161</v>
      </c>
      <c r="F3790" t="s">
        <v>44</v>
      </c>
      <c r="G3790" t="s">
        <v>111</v>
      </c>
      <c r="H3790" t="s">
        <v>92</v>
      </c>
      <c r="I3790" t="s">
        <v>129</v>
      </c>
      <c r="J3790" t="s">
        <v>94</v>
      </c>
      <c r="K3790">
        <v>1</v>
      </c>
      <c r="L3790">
        <v>46300</v>
      </c>
      <c r="M3790">
        <v>46300</v>
      </c>
      <c r="N3790" t="s">
        <v>95</v>
      </c>
      <c r="O3790" t="s">
        <v>104</v>
      </c>
    </row>
    <row r="3791" spans="1:15" x14ac:dyDescent="0.25">
      <c r="A3791">
        <v>2093</v>
      </c>
      <c r="B3791" s="10">
        <v>45791</v>
      </c>
      <c r="C3791">
        <v>14</v>
      </c>
      <c r="D3791" t="s">
        <v>120</v>
      </c>
      <c r="E3791" t="s">
        <v>138</v>
      </c>
      <c r="F3791" t="s">
        <v>122</v>
      </c>
      <c r="G3791" t="s">
        <v>114</v>
      </c>
      <c r="H3791" t="s">
        <v>92</v>
      </c>
      <c r="I3791" t="s">
        <v>129</v>
      </c>
      <c r="J3791" t="s">
        <v>94</v>
      </c>
      <c r="K3791">
        <v>8</v>
      </c>
      <c r="L3791">
        <v>46400</v>
      </c>
      <c r="M3791">
        <v>371200</v>
      </c>
      <c r="N3791" t="s">
        <v>95</v>
      </c>
      <c r="O3791" t="s">
        <v>96</v>
      </c>
    </row>
    <row r="3792" spans="1:15" x14ac:dyDescent="0.25">
      <c r="A3792">
        <v>2798</v>
      </c>
      <c r="B3792" s="10">
        <v>45723</v>
      </c>
      <c r="C3792">
        <v>7</v>
      </c>
      <c r="D3792" t="s">
        <v>140</v>
      </c>
      <c r="E3792" t="s">
        <v>98</v>
      </c>
      <c r="F3792" t="s">
        <v>36</v>
      </c>
      <c r="G3792" t="s">
        <v>100</v>
      </c>
      <c r="H3792" t="s">
        <v>23</v>
      </c>
      <c r="I3792" t="s">
        <v>24</v>
      </c>
      <c r="J3792" t="s">
        <v>103</v>
      </c>
      <c r="K3792">
        <v>20</v>
      </c>
      <c r="L3792">
        <v>46400</v>
      </c>
      <c r="M3792">
        <v>928000</v>
      </c>
      <c r="N3792" t="s">
        <v>95</v>
      </c>
      <c r="O3792" t="s">
        <v>96</v>
      </c>
    </row>
    <row r="3793" spans="1:15" x14ac:dyDescent="0.25">
      <c r="A3793">
        <v>2918</v>
      </c>
      <c r="B3793" s="10">
        <v>45834</v>
      </c>
      <c r="C3793">
        <v>26</v>
      </c>
      <c r="D3793" t="s">
        <v>153</v>
      </c>
      <c r="E3793" t="s">
        <v>133</v>
      </c>
      <c r="F3793" t="s">
        <v>22</v>
      </c>
      <c r="G3793" t="s">
        <v>91</v>
      </c>
      <c r="H3793" t="s">
        <v>23</v>
      </c>
      <c r="I3793" t="s">
        <v>45</v>
      </c>
      <c r="J3793" t="s">
        <v>94</v>
      </c>
      <c r="K3793">
        <v>3</v>
      </c>
      <c r="L3793">
        <v>46500</v>
      </c>
      <c r="M3793">
        <v>139500</v>
      </c>
      <c r="N3793" t="s">
        <v>95</v>
      </c>
      <c r="O3793" t="s">
        <v>96</v>
      </c>
    </row>
    <row r="3794" spans="1:15" x14ac:dyDescent="0.25">
      <c r="A3794">
        <v>4905</v>
      </c>
      <c r="B3794" s="10">
        <v>45916</v>
      </c>
      <c r="C3794">
        <v>16</v>
      </c>
      <c r="D3794" t="s">
        <v>147</v>
      </c>
      <c r="E3794" t="s">
        <v>31</v>
      </c>
      <c r="F3794" t="s">
        <v>28</v>
      </c>
      <c r="G3794" t="s">
        <v>126</v>
      </c>
      <c r="H3794" t="s">
        <v>23</v>
      </c>
      <c r="I3794" t="s">
        <v>45</v>
      </c>
      <c r="J3794" t="s">
        <v>94</v>
      </c>
      <c r="K3794">
        <v>3</v>
      </c>
      <c r="L3794">
        <v>46500</v>
      </c>
      <c r="M3794">
        <v>139500</v>
      </c>
      <c r="N3794" t="s">
        <v>95</v>
      </c>
      <c r="O3794" t="s">
        <v>96</v>
      </c>
    </row>
    <row r="3795" spans="1:15" x14ac:dyDescent="0.25">
      <c r="A3795">
        <v>4356</v>
      </c>
      <c r="B3795" s="10">
        <v>45781</v>
      </c>
      <c r="C3795">
        <v>4</v>
      </c>
      <c r="D3795" t="s">
        <v>120</v>
      </c>
      <c r="E3795" t="s">
        <v>137</v>
      </c>
      <c r="F3795" t="s">
        <v>22</v>
      </c>
      <c r="G3795" t="s">
        <v>91</v>
      </c>
      <c r="H3795" t="s">
        <v>23</v>
      </c>
      <c r="I3795" t="s">
        <v>45</v>
      </c>
      <c r="J3795" t="s">
        <v>94</v>
      </c>
      <c r="K3795">
        <v>7</v>
      </c>
      <c r="L3795">
        <v>46600</v>
      </c>
      <c r="M3795">
        <v>326200</v>
      </c>
      <c r="N3795" t="s">
        <v>108</v>
      </c>
      <c r="O3795" t="s">
        <v>115</v>
      </c>
    </row>
    <row r="3796" spans="1:15" x14ac:dyDescent="0.25">
      <c r="A3796">
        <v>4787</v>
      </c>
      <c r="B3796" s="10">
        <v>45810</v>
      </c>
      <c r="C3796">
        <v>2</v>
      </c>
      <c r="D3796" t="s">
        <v>153</v>
      </c>
      <c r="E3796" t="s">
        <v>137</v>
      </c>
      <c r="F3796" t="s">
        <v>28</v>
      </c>
      <c r="G3796" t="s">
        <v>126</v>
      </c>
      <c r="H3796" t="s">
        <v>92</v>
      </c>
      <c r="I3796" t="s">
        <v>129</v>
      </c>
      <c r="J3796" t="s">
        <v>94</v>
      </c>
      <c r="K3796">
        <v>8</v>
      </c>
      <c r="L3796">
        <v>46600</v>
      </c>
      <c r="M3796">
        <v>372800</v>
      </c>
      <c r="N3796" t="s">
        <v>95</v>
      </c>
      <c r="O3796" t="s">
        <v>96</v>
      </c>
    </row>
    <row r="3797" spans="1:15" x14ac:dyDescent="0.25">
      <c r="A3797">
        <v>601</v>
      </c>
      <c r="B3797" s="10">
        <v>45993</v>
      </c>
      <c r="C3797">
        <v>2</v>
      </c>
      <c r="D3797" t="s">
        <v>125</v>
      </c>
      <c r="E3797" t="s">
        <v>137</v>
      </c>
      <c r="F3797" t="s">
        <v>44</v>
      </c>
      <c r="G3797" t="s">
        <v>111</v>
      </c>
      <c r="H3797" t="s">
        <v>92</v>
      </c>
      <c r="I3797" t="s">
        <v>129</v>
      </c>
      <c r="J3797" t="s">
        <v>94</v>
      </c>
      <c r="K3797">
        <v>3</v>
      </c>
      <c r="L3797">
        <v>46700</v>
      </c>
      <c r="M3797">
        <v>140100</v>
      </c>
      <c r="N3797" t="s">
        <v>108</v>
      </c>
      <c r="O3797" t="s">
        <v>115</v>
      </c>
    </row>
    <row r="3798" spans="1:15" x14ac:dyDescent="0.25">
      <c r="A3798">
        <v>636</v>
      </c>
      <c r="B3798" s="10">
        <v>45861</v>
      </c>
      <c r="C3798">
        <v>23</v>
      </c>
      <c r="D3798" t="s">
        <v>145</v>
      </c>
      <c r="E3798" t="s">
        <v>137</v>
      </c>
      <c r="F3798" t="s">
        <v>117</v>
      </c>
      <c r="G3798" t="s">
        <v>118</v>
      </c>
      <c r="H3798" t="s">
        <v>23</v>
      </c>
      <c r="I3798" t="s">
        <v>24</v>
      </c>
      <c r="J3798" t="s">
        <v>103</v>
      </c>
      <c r="K3798">
        <v>44</v>
      </c>
      <c r="L3798">
        <v>46800</v>
      </c>
      <c r="M3798">
        <v>2059200</v>
      </c>
      <c r="N3798" t="s">
        <v>95</v>
      </c>
      <c r="O3798" t="s">
        <v>104</v>
      </c>
    </row>
    <row r="3799" spans="1:15" x14ac:dyDescent="0.25">
      <c r="A3799">
        <v>2939</v>
      </c>
      <c r="B3799" s="10">
        <v>45987</v>
      </c>
      <c r="C3799">
        <v>26</v>
      </c>
      <c r="D3799" t="s">
        <v>90</v>
      </c>
      <c r="E3799" t="s">
        <v>121</v>
      </c>
      <c r="F3799" t="s">
        <v>28</v>
      </c>
      <c r="G3799" t="s">
        <v>126</v>
      </c>
      <c r="H3799" t="s">
        <v>23</v>
      </c>
      <c r="I3799" t="s">
        <v>24</v>
      </c>
      <c r="J3799" t="s">
        <v>103</v>
      </c>
      <c r="K3799">
        <v>17</v>
      </c>
      <c r="L3799">
        <v>46800</v>
      </c>
      <c r="M3799">
        <v>795600</v>
      </c>
      <c r="N3799" t="s">
        <v>95</v>
      </c>
      <c r="O3799" t="s">
        <v>96</v>
      </c>
    </row>
    <row r="3800" spans="1:15" x14ac:dyDescent="0.25">
      <c r="A3800">
        <v>3890</v>
      </c>
      <c r="B3800" s="10">
        <v>45888</v>
      </c>
      <c r="C3800">
        <v>19</v>
      </c>
      <c r="D3800" t="s">
        <v>109</v>
      </c>
      <c r="E3800" t="s">
        <v>106</v>
      </c>
      <c r="F3800" t="s">
        <v>107</v>
      </c>
      <c r="G3800" t="s">
        <v>100</v>
      </c>
      <c r="H3800" t="s">
        <v>23</v>
      </c>
      <c r="I3800" t="s">
        <v>45</v>
      </c>
      <c r="J3800" t="s">
        <v>94</v>
      </c>
      <c r="K3800">
        <v>1</v>
      </c>
      <c r="L3800">
        <v>46900</v>
      </c>
      <c r="M3800">
        <v>46900</v>
      </c>
      <c r="N3800" t="s">
        <v>95</v>
      </c>
      <c r="O3800" t="s">
        <v>96</v>
      </c>
    </row>
    <row r="3801" spans="1:15" x14ac:dyDescent="0.25">
      <c r="A3801">
        <v>377</v>
      </c>
      <c r="B3801" s="10">
        <v>45993</v>
      </c>
      <c r="C3801">
        <v>2</v>
      </c>
      <c r="D3801" t="s">
        <v>125</v>
      </c>
      <c r="E3801" t="s">
        <v>150</v>
      </c>
      <c r="F3801" t="s">
        <v>44</v>
      </c>
      <c r="G3801" t="s">
        <v>111</v>
      </c>
      <c r="H3801" t="s">
        <v>23</v>
      </c>
      <c r="I3801" t="s">
        <v>45</v>
      </c>
      <c r="J3801" t="s">
        <v>94</v>
      </c>
      <c r="K3801">
        <v>1</v>
      </c>
      <c r="L3801">
        <v>47000</v>
      </c>
      <c r="M3801">
        <v>47000</v>
      </c>
      <c r="N3801" t="s">
        <v>108</v>
      </c>
      <c r="O3801" t="s">
        <v>96</v>
      </c>
    </row>
    <row r="3802" spans="1:15" x14ac:dyDescent="0.25">
      <c r="A3802">
        <v>4489</v>
      </c>
      <c r="B3802" s="10">
        <v>45878</v>
      </c>
      <c r="C3802">
        <v>9</v>
      </c>
      <c r="D3802" t="s">
        <v>109</v>
      </c>
      <c r="E3802" t="s">
        <v>137</v>
      </c>
      <c r="F3802" t="s">
        <v>122</v>
      </c>
      <c r="G3802" t="s">
        <v>114</v>
      </c>
      <c r="H3802" t="s">
        <v>92</v>
      </c>
      <c r="I3802" t="s">
        <v>129</v>
      </c>
      <c r="J3802" t="s">
        <v>94</v>
      </c>
      <c r="K3802">
        <v>1</v>
      </c>
      <c r="L3802">
        <v>47000</v>
      </c>
      <c r="M3802">
        <v>47000</v>
      </c>
      <c r="N3802" t="s">
        <v>108</v>
      </c>
      <c r="O3802" t="s">
        <v>96</v>
      </c>
    </row>
    <row r="3803" spans="1:15" x14ac:dyDescent="0.25">
      <c r="A3803">
        <v>2292</v>
      </c>
      <c r="B3803" s="10">
        <v>45968</v>
      </c>
      <c r="C3803">
        <v>7</v>
      </c>
      <c r="D3803" t="s">
        <v>90</v>
      </c>
      <c r="E3803" t="s">
        <v>150</v>
      </c>
      <c r="F3803" t="s">
        <v>141</v>
      </c>
      <c r="G3803" t="s">
        <v>100</v>
      </c>
      <c r="H3803" t="s">
        <v>92</v>
      </c>
      <c r="I3803" t="s">
        <v>129</v>
      </c>
      <c r="J3803" t="s">
        <v>94</v>
      </c>
      <c r="K3803">
        <v>2</v>
      </c>
      <c r="L3803">
        <v>47200</v>
      </c>
      <c r="M3803">
        <v>94400</v>
      </c>
      <c r="N3803" t="s">
        <v>108</v>
      </c>
      <c r="O3803" t="s">
        <v>115</v>
      </c>
    </row>
    <row r="3804" spans="1:15" x14ac:dyDescent="0.25">
      <c r="A3804">
        <v>4059</v>
      </c>
      <c r="B3804" s="10">
        <v>45852</v>
      </c>
      <c r="C3804">
        <v>14</v>
      </c>
      <c r="D3804" t="s">
        <v>145</v>
      </c>
      <c r="E3804" t="s">
        <v>98</v>
      </c>
      <c r="F3804" t="s">
        <v>148</v>
      </c>
      <c r="G3804" t="s">
        <v>118</v>
      </c>
      <c r="H3804" t="s">
        <v>23</v>
      </c>
      <c r="I3804" t="s">
        <v>45</v>
      </c>
      <c r="J3804" t="s">
        <v>94</v>
      </c>
      <c r="K3804">
        <v>10</v>
      </c>
      <c r="L3804">
        <v>47200</v>
      </c>
      <c r="M3804">
        <v>472000</v>
      </c>
      <c r="N3804" t="s">
        <v>95</v>
      </c>
      <c r="O3804" t="s">
        <v>96</v>
      </c>
    </row>
    <row r="3805" spans="1:15" x14ac:dyDescent="0.25">
      <c r="A3805">
        <v>2140</v>
      </c>
      <c r="B3805" s="10">
        <v>45949</v>
      </c>
      <c r="C3805">
        <v>19</v>
      </c>
      <c r="D3805" t="s">
        <v>136</v>
      </c>
      <c r="E3805" t="s">
        <v>161</v>
      </c>
      <c r="F3805" t="s">
        <v>141</v>
      </c>
      <c r="G3805" t="s">
        <v>100</v>
      </c>
      <c r="H3805" t="s">
        <v>23</v>
      </c>
      <c r="I3805" t="s">
        <v>24</v>
      </c>
      <c r="J3805" t="s">
        <v>103</v>
      </c>
      <c r="K3805">
        <v>18</v>
      </c>
      <c r="L3805">
        <v>47300</v>
      </c>
      <c r="M3805">
        <v>851400</v>
      </c>
      <c r="N3805" t="s">
        <v>95</v>
      </c>
      <c r="O3805" t="s">
        <v>104</v>
      </c>
    </row>
    <row r="3806" spans="1:15" x14ac:dyDescent="0.25">
      <c r="A3806">
        <v>3384</v>
      </c>
      <c r="B3806" s="10">
        <v>46002</v>
      </c>
      <c r="C3806">
        <v>11</v>
      </c>
      <c r="D3806" t="s">
        <v>125</v>
      </c>
      <c r="E3806" t="s">
        <v>25</v>
      </c>
      <c r="F3806" t="s">
        <v>134</v>
      </c>
      <c r="G3806" t="s">
        <v>100</v>
      </c>
      <c r="H3806" t="s">
        <v>92</v>
      </c>
      <c r="I3806" t="s">
        <v>129</v>
      </c>
      <c r="J3806" t="s">
        <v>94</v>
      </c>
      <c r="K3806">
        <v>4</v>
      </c>
      <c r="L3806">
        <v>47300</v>
      </c>
      <c r="M3806">
        <v>189200</v>
      </c>
      <c r="N3806" t="s">
        <v>108</v>
      </c>
      <c r="O3806" t="s">
        <v>104</v>
      </c>
    </row>
    <row r="3807" spans="1:15" x14ac:dyDescent="0.25">
      <c r="A3807">
        <v>204</v>
      </c>
      <c r="B3807" s="10">
        <v>45672</v>
      </c>
      <c r="C3807">
        <v>15</v>
      </c>
      <c r="D3807" t="s">
        <v>130</v>
      </c>
      <c r="E3807" t="s">
        <v>150</v>
      </c>
      <c r="F3807" t="s">
        <v>144</v>
      </c>
      <c r="G3807" t="s">
        <v>91</v>
      </c>
      <c r="H3807" t="s">
        <v>23</v>
      </c>
      <c r="I3807" t="s">
        <v>45</v>
      </c>
      <c r="J3807" t="s">
        <v>94</v>
      </c>
      <c r="K3807">
        <v>3</v>
      </c>
      <c r="L3807">
        <v>47400</v>
      </c>
      <c r="M3807">
        <v>142200</v>
      </c>
      <c r="N3807" t="s">
        <v>95</v>
      </c>
      <c r="O3807" t="s">
        <v>115</v>
      </c>
    </row>
    <row r="3808" spans="1:15" x14ac:dyDescent="0.25">
      <c r="A3808">
        <v>754</v>
      </c>
      <c r="B3808" s="10">
        <v>45676</v>
      </c>
      <c r="C3808">
        <v>19</v>
      </c>
      <c r="D3808" t="s">
        <v>130</v>
      </c>
      <c r="E3808" t="s">
        <v>133</v>
      </c>
      <c r="F3808" t="s">
        <v>134</v>
      </c>
      <c r="G3808" t="s">
        <v>100</v>
      </c>
      <c r="H3808" t="s">
        <v>92</v>
      </c>
      <c r="I3808" t="s">
        <v>129</v>
      </c>
      <c r="J3808" t="s">
        <v>94</v>
      </c>
      <c r="K3808">
        <v>1</v>
      </c>
      <c r="L3808">
        <v>47400</v>
      </c>
      <c r="M3808">
        <v>47400</v>
      </c>
      <c r="N3808" t="s">
        <v>108</v>
      </c>
      <c r="O3808" t="s">
        <v>104</v>
      </c>
    </row>
    <row r="3809" spans="1:15" x14ac:dyDescent="0.25">
      <c r="A3809">
        <v>1040</v>
      </c>
      <c r="B3809" s="10">
        <v>45831</v>
      </c>
      <c r="C3809">
        <v>23</v>
      </c>
      <c r="D3809" t="s">
        <v>153</v>
      </c>
      <c r="E3809" t="s">
        <v>106</v>
      </c>
      <c r="F3809" t="s">
        <v>117</v>
      </c>
      <c r="G3809" t="s">
        <v>118</v>
      </c>
      <c r="H3809" t="s">
        <v>92</v>
      </c>
      <c r="I3809" t="s">
        <v>129</v>
      </c>
      <c r="J3809" t="s">
        <v>94</v>
      </c>
      <c r="K3809">
        <v>6</v>
      </c>
      <c r="L3809">
        <v>47400</v>
      </c>
      <c r="M3809">
        <v>284400</v>
      </c>
      <c r="N3809" t="s">
        <v>108</v>
      </c>
      <c r="O3809" t="s">
        <v>115</v>
      </c>
    </row>
    <row r="3810" spans="1:15" x14ac:dyDescent="0.25">
      <c r="A3810">
        <v>3430</v>
      </c>
      <c r="B3810" s="10">
        <v>45701</v>
      </c>
      <c r="C3810">
        <v>13</v>
      </c>
      <c r="D3810" t="s">
        <v>97</v>
      </c>
      <c r="E3810" t="s">
        <v>98</v>
      </c>
      <c r="F3810" t="s">
        <v>107</v>
      </c>
      <c r="G3810" t="s">
        <v>100</v>
      </c>
      <c r="H3810" t="s">
        <v>92</v>
      </c>
      <c r="I3810" t="s">
        <v>129</v>
      </c>
      <c r="J3810" t="s">
        <v>94</v>
      </c>
      <c r="K3810">
        <v>1</v>
      </c>
      <c r="L3810">
        <v>47500</v>
      </c>
      <c r="M3810">
        <v>47500</v>
      </c>
      <c r="N3810" t="s">
        <v>108</v>
      </c>
      <c r="O3810" t="s">
        <v>104</v>
      </c>
    </row>
    <row r="3811" spans="1:15" x14ac:dyDescent="0.25">
      <c r="A3811">
        <v>4197</v>
      </c>
      <c r="B3811" s="10">
        <v>45946</v>
      </c>
      <c r="C3811">
        <v>16</v>
      </c>
      <c r="D3811" t="s">
        <v>136</v>
      </c>
      <c r="E3811" t="s">
        <v>106</v>
      </c>
      <c r="F3811" t="s">
        <v>144</v>
      </c>
      <c r="G3811" t="s">
        <v>91</v>
      </c>
      <c r="H3811" t="s">
        <v>92</v>
      </c>
      <c r="I3811" t="s">
        <v>129</v>
      </c>
      <c r="J3811" t="s">
        <v>94</v>
      </c>
      <c r="K3811">
        <v>3</v>
      </c>
      <c r="L3811">
        <v>47500</v>
      </c>
      <c r="M3811">
        <v>142500</v>
      </c>
      <c r="N3811" t="s">
        <v>108</v>
      </c>
      <c r="O3811" t="s">
        <v>96</v>
      </c>
    </row>
    <row r="3812" spans="1:15" x14ac:dyDescent="0.25">
      <c r="A3812">
        <v>2479</v>
      </c>
      <c r="B3812" s="10">
        <v>46018</v>
      </c>
      <c r="C3812">
        <v>27</v>
      </c>
      <c r="D3812" t="s">
        <v>125</v>
      </c>
      <c r="E3812" t="s">
        <v>112</v>
      </c>
      <c r="F3812" t="s">
        <v>107</v>
      </c>
      <c r="G3812" t="s">
        <v>100</v>
      </c>
      <c r="H3812" t="s">
        <v>23</v>
      </c>
      <c r="I3812" t="s">
        <v>24</v>
      </c>
      <c r="J3812" t="s">
        <v>103</v>
      </c>
      <c r="K3812">
        <v>20</v>
      </c>
      <c r="L3812">
        <v>47600</v>
      </c>
      <c r="M3812">
        <v>952000</v>
      </c>
      <c r="N3812" t="s">
        <v>95</v>
      </c>
      <c r="O3812" t="s">
        <v>104</v>
      </c>
    </row>
    <row r="3813" spans="1:15" x14ac:dyDescent="0.25">
      <c r="A3813">
        <v>3300</v>
      </c>
      <c r="B3813" s="10">
        <v>45933</v>
      </c>
      <c r="C3813">
        <v>3</v>
      </c>
      <c r="D3813" t="s">
        <v>136</v>
      </c>
      <c r="E3813" t="s">
        <v>106</v>
      </c>
      <c r="F3813" t="s">
        <v>28</v>
      </c>
      <c r="G3813" t="s">
        <v>126</v>
      </c>
      <c r="H3813" t="s">
        <v>23</v>
      </c>
      <c r="I3813" t="s">
        <v>45</v>
      </c>
      <c r="J3813" t="s">
        <v>94</v>
      </c>
      <c r="K3813">
        <v>5</v>
      </c>
      <c r="L3813">
        <v>47600</v>
      </c>
      <c r="M3813">
        <v>238000</v>
      </c>
      <c r="N3813" t="s">
        <v>108</v>
      </c>
      <c r="O3813" t="s">
        <v>104</v>
      </c>
    </row>
    <row r="3814" spans="1:15" x14ac:dyDescent="0.25">
      <c r="A3814">
        <v>4283</v>
      </c>
      <c r="B3814" s="10">
        <v>45930</v>
      </c>
      <c r="C3814">
        <v>30</v>
      </c>
      <c r="D3814" t="s">
        <v>147</v>
      </c>
      <c r="E3814" t="s">
        <v>116</v>
      </c>
      <c r="F3814" t="s">
        <v>151</v>
      </c>
      <c r="G3814" t="s">
        <v>111</v>
      </c>
      <c r="H3814" t="s">
        <v>23</v>
      </c>
      <c r="I3814" t="s">
        <v>45</v>
      </c>
      <c r="J3814" t="s">
        <v>94</v>
      </c>
      <c r="K3814">
        <v>1</v>
      </c>
      <c r="L3814">
        <v>47600</v>
      </c>
      <c r="M3814">
        <v>47600</v>
      </c>
      <c r="N3814" t="s">
        <v>95</v>
      </c>
      <c r="O3814" t="s">
        <v>104</v>
      </c>
    </row>
    <row r="3815" spans="1:15" x14ac:dyDescent="0.25">
      <c r="A3815">
        <v>395</v>
      </c>
      <c r="B3815" s="10">
        <v>45890</v>
      </c>
      <c r="C3815">
        <v>21</v>
      </c>
      <c r="D3815" t="s">
        <v>109</v>
      </c>
      <c r="E3815" t="s">
        <v>110</v>
      </c>
      <c r="F3815" t="s">
        <v>148</v>
      </c>
      <c r="G3815" t="s">
        <v>118</v>
      </c>
      <c r="H3815" t="s">
        <v>23</v>
      </c>
      <c r="I3815" t="s">
        <v>45</v>
      </c>
      <c r="J3815" t="s">
        <v>94</v>
      </c>
      <c r="K3815">
        <v>2</v>
      </c>
      <c r="L3815">
        <v>47700</v>
      </c>
      <c r="M3815">
        <v>95400</v>
      </c>
      <c r="N3815" t="s">
        <v>95</v>
      </c>
      <c r="O3815" t="s">
        <v>96</v>
      </c>
    </row>
    <row r="3816" spans="1:15" x14ac:dyDescent="0.25">
      <c r="A3816">
        <v>2599</v>
      </c>
      <c r="B3816" s="10">
        <v>46002</v>
      </c>
      <c r="C3816">
        <v>11</v>
      </c>
      <c r="D3816" t="s">
        <v>125</v>
      </c>
      <c r="E3816" t="s">
        <v>138</v>
      </c>
      <c r="F3816" t="s">
        <v>28</v>
      </c>
      <c r="G3816" t="s">
        <v>126</v>
      </c>
      <c r="H3816" t="s">
        <v>92</v>
      </c>
      <c r="I3816" t="s">
        <v>129</v>
      </c>
      <c r="J3816" t="s">
        <v>94</v>
      </c>
      <c r="K3816">
        <v>9</v>
      </c>
      <c r="L3816">
        <v>47700</v>
      </c>
      <c r="M3816">
        <v>429300</v>
      </c>
      <c r="N3816" t="s">
        <v>108</v>
      </c>
      <c r="O3816" t="s">
        <v>96</v>
      </c>
    </row>
    <row r="3817" spans="1:15" x14ac:dyDescent="0.25">
      <c r="A3817">
        <v>3050</v>
      </c>
      <c r="B3817" s="10">
        <v>45783</v>
      </c>
      <c r="C3817">
        <v>6</v>
      </c>
      <c r="D3817" t="s">
        <v>120</v>
      </c>
      <c r="E3817" t="s">
        <v>128</v>
      </c>
      <c r="F3817" t="s">
        <v>44</v>
      </c>
      <c r="G3817" t="s">
        <v>111</v>
      </c>
      <c r="H3817" t="s">
        <v>23</v>
      </c>
      <c r="I3817" t="s">
        <v>45</v>
      </c>
      <c r="J3817" t="s">
        <v>94</v>
      </c>
      <c r="K3817">
        <v>10</v>
      </c>
      <c r="L3817">
        <v>47700</v>
      </c>
      <c r="M3817">
        <v>477000</v>
      </c>
      <c r="N3817" t="s">
        <v>95</v>
      </c>
      <c r="O3817" t="s">
        <v>104</v>
      </c>
    </row>
    <row r="3818" spans="1:15" x14ac:dyDescent="0.25">
      <c r="A3818">
        <v>3564</v>
      </c>
      <c r="B3818" s="10">
        <v>45706</v>
      </c>
      <c r="C3818">
        <v>18</v>
      </c>
      <c r="D3818" t="s">
        <v>97</v>
      </c>
      <c r="E3818" t="s">
        <v>137</v>
      </c>
      <c r="F3818" t="s">
        <v>148</v>
      </c>
      <c r="G3818" t="s">
        <v>118</v>
      </c>
      <c r="H3818" t="s">
        <v>23</v>
      </c>
      <c r="I3818" t="s">
        <v>45</v>
      </c>
      <c r="J3818" t="s">
        <v>94</v>
      </c>
      <c r="K3818">
        <v>7</v>
      </c>
      <c r="L3818">
        <v>47700</v>
      </c>
      <c r="M3818">
        <v>333900</v>
      </c>
      <c r="N3818" t="s">
        <v>95</v>
      </c>
      <c r="O3818" t="s">
        <v>115</v>
      </c>
    </row>
    <row r="3819" spans="1:15" x14ac:dyDescent="0.25">
      <c r="A3819">
        <v>4323</v>
      </c>
      <c r="B3819" s="10">
        <v>45703</v>
      </c>
      <c r="C3819">
        <v>15</v>
      </c>
      <c r="D3819" t="s">
        <v>97</v>
      </c>
      <c r="E3819" t="s">
        <v>121</v>
      </c>
      <c r="F3819" t="s">
        <v>107</v>
      </c>
      <c r="G3819" t="s">
        <v>100</v>
      </c>
      <c r="H3819" t="s">
        <v>23</v>
      </c>
      <c r="I3819" t="s">
        <v>45</v>
      </c>
      <c r="J3819" t="s">
        <v>94</v>
      </c>
      <c r="K3819">
        <v>6</v>
      </c>
      <c r="L3819">
        <v>47700</v>
      </c>
      <c r="M3819">
        <v>286200</v>
      </c>
      <c r="N3819" t="s">
        <v>108</v>
      </c>
      <c r="O3819" t="s">
        <v>96</v>
      </c>
    </row>
    <row r="3820" spans="1:15" x14ac:dyDescent="0.25">
      <c r="A3820">
        <v>2263</v>
      </c>
      <c r="B3820" s="10">
        <v>45868</v>
      </c>
      <c r="C3820">
        <v>30</v>
      </c>
      <c r="D3820" t="s">
        <v>145</v>
      </c>
      <c r="E3820" t="s">
        <v>98</v>
      </c>
      <c r="F3820" t="s">
        <v>36</v>
      </c>
      <c r="G3820" t="s">
        <v>100</v>
      </c>
      <c r="H3820" t="s">
        <v>23</v>
      </c>
      <c r="I3820" t="s">
        <v>45</v>
      </c>
      <c r="J3820" t="s">
        <v>94</v>
      </c>
      <c r="K3820">
        <v>5</v>
      </c>
      <c r="L3820">
        <v>47800</v>
      </c>
      <c r="M3820">
        <v>239000</v>
      </c>
      <c r="N3820" t="s">
        <v>108</v>
      </c>
      <c r="O3820" t="s">
        <v>104</v>
      </c>
    </row>
    <row r="3821" spans="1:15" x14ac:dyDescent="0.25">
      <c r="A3821">
        <v>2870</v>
      </c>
      <c r="B3821" s="10">
        <v>45731</v>
      </c>
      <c r="C3821">
        <v>15</v>
      </c>
      <c r="D3821" t="s">
        <v>140</v>
      </c>
      <c r="E3821" t="s">
        <v>138</v>
      </c>
      <c r="F3821" t="s">
        <v>44</v>
      </c>
      <c r="G3821" t="s">
        <v>111</v>
      </c>
      <c r="H3821" t="s">
        <v>23</v>
      </c>
      <c r="I3821" t="s">
        <v>45</v>
      </c>
      <c r="J3821" t="s">
        <v>94</v>
      </c>
      <c r="K3821">
        <v>3</v>
      </c>
      <c r="L3821">
        <v>47800</v>
      </c>
      <c r="M3821">
        <v>143400</v>
      </c>
      <c r="N3821" t="s">
        <v>108</v>
      </c>
      <c r="O3821" t="s">
        <v>104</v>
      </c>
    </row>
    <row r="3822" spans="1:15" x14ac:dyDescent="0.25">
      <c r="A3822">
        <v>3684</v>
      </c>
      <c r="B3822" s="10">
        <v>45954</v>
      </c>
      <c r="C3822">
        <v>24</v>
      </c>
      <c r="D3822" t="s">
        <v>136</v>
      </c>
      <c r="E3822" t="s">
        <v>25</v>
      </c>
      <c r="F3822" t="s">
        <v>117</v>
      </c>
      <c r="G3822" t="s">
        <v>118</v>
      </c>
      <c r="H3822" t="s">
        <v>23</v>
      </c>
      <c r="I3822" t="s">
        <v>45</v>
      </c>
      <c r="J3822" t="s">
        <v>94</v>
      </c>
      <c r="K3822">
        <v>4</v>
      </c>
      <c r="L3822">
        <v>47800</v>
      </c>
      <c r="M3822">
        <v>191200</v>
      </c>
      <c r="N3822" t="s">
        <v>108</v>
      </c>
      <c r="O3822" t="s">
        <v>96</v>
      </c>
    </row>
    <row r="3823" spans="1:15" x14ac:dyDescent="0.25">
      <c r="A3823">
        <v>398</v>
      </c>
      <c r="B3823" s="10">
        <v>45926</v>
      </c>
      <c r="C3823">
        <v>26</v>
      </c>
      <c r="D3823" t="s">
        <v>147</v>
      </c>
      <c r="E3823" t="s">
        <v>31</v>
      </c>
      <c r="F3823" t="s">
        <v>44</v>
      </c>
      <c r="G3823" t="s">
        <v>111</v>
      </c>
      <c r="H3823" t="s">
        <v>92</v>
      </c>
      <c r="I3823" t="s">
        <v>129</v>
      </c>
      <c r="J3823" t="s">
        <v>94</v>
      </c>
      <c r="K3823">
        <v>8</v>
      </c>
      <c r="L3823">
        <v>48000</v>
      </c>
      <c r="M3823">
        <v>384000</v>
      </c>
      <c r="N3823" t="s">
        <v>108</v>
      </c>
      <c r="O3823" t="s">
        <v>96</v>
      </c>
    </row>
    <row r="3824" spans="1:15" x14ac:dyDescent="0.25">
      <c r="A3824">
        <v>3186</v>
      </c>
      <c r="B3824" s="10">
        <v>45780</v>
      </c>
      <c r="C3824">
        <v>3</v>
      </c>
      <c r="D3824" t="s">
        <v>120</v>
      </c>
      <c r="E3824" t="s">
        <v>142</v>
      </c>
      <c r="F3824" t="s">
        <v>141</v>
      </c>
      <c r="G3824" t="s">
        <v>100</v>
      </c>
      <c r="H3824" t="s">
        <v>23</v>
      </c>
      <c r="I3824" t="s">
        <v>45</v>
      </c>
      <c r="J3824" t="s">
        <v>94</v>
      </c>
      <c r="K3824">
        <v>3</v>
      </c>
      <c r="L3824">
        <v>48000</v>
      </c>
      <c r="M3824">
        <v>144000</v>
      </c>
      <c r="N3824" t="s">
        <v>95</v>
      </c>
      <c r="O3824" t="s">
        <v>96</v>
      </c>
    </row>
    <row r="3825" spans="1:15" x14ac:dyDescent="0.25">
      <c r="A3825">
        <v>4604</v>
      </c>
      <c r="B3825" s="10">
        <v>45701</v>
      </c>
      <c r="C3825">
        <v>13</v>
      </c>
      <c r="D3825" t="s">
        <v>97</v>
      </c>
      <c r="E3825" t="s">
        <v>98</v>
      </c>
      <c r="F3825" t="s">
        <v>141</v>
      </c>
      <c r="G3825" t="s">
        <v>100</v>
      </c>
      <c r="H3825" t="s">
        <v>92</v>
      </c>
      <c r="I3825" t="s">
        <v>129</v>
      </c>
      <c r="J3825" t="s">
        <v>94</v>
      </c>
      <c r="K3825">
        <v>3</v>
      </c>
      <c r="L3825">
        <v>48000</v>
      </c>
      <c r="M3825">
        <v>144000</v>
      </c>
      <c r="N3825" t="s">
        <v>95</v>
      </c>
      <c r="O3825" t="s">
        <v>104</v>
      </c>
    </row>
    <row r="3826" spans="1:15" x14ac:dyDescent="0.25">
      <c r="A3826">
        <v>4767</v>
      </c>
      <c r="B3826" s="10">
        <v>45892</v>
      </c>
      <c r="C3826">
        <v>23</v>
      </c>
      <c r="D3826" t="s">
        <v>109</v>
      </c>
      <c r="E3826" t="s">
        <v>150</v>
      </c>
      <c r="F3826" t="s">
        <v>134</v>
      </c>
      <c r="G3826" t="s">
        <v>100</v>
      </c>
      <c r="H3826" t="s">
        <v>23</v>
      </c>
      <c r="I3826" t="s">
        <v>24</v>
      </c>
      <c r="J3826" t="s">
        <v>103</v>
      </c>
      <c r="K3826">
        <v>23</v>
      </c>
      <c r="L3826">
        <v>48000</v>
      </c>
      <c r="M3826">
        <v>1104000</v>
      </c>
      <c r="N3826" t="s">
        <v>95</v>
      </c>
      <c r="O3826" t="s">
        <v>115</v>
      </c>
    </row>
    <row r="3827" spans="1:15" x14ac:dyDescent="0.25">
      <c r="A3827">
        <v>2442</v>
      </c>
      <c r="B3827" s="10">
        <v>45721</v>
      </c>
      <c r="C3827">
        <v>5</v>
      </c>
      <c r="D3827" t="s">
        <v>140</v>
      </c>
      <c r="E3827" t="s">
        <v>110</v>
      </c>
      <c r="F3827" t="s">
        <v>36</v>
      </c>
      <c r="G3827" t="s">
        <v>100</v>
      </c>
      <c r="H3827" t="s">
        <v>92</v>
      </c>
      <c r="I3827" t="s">
        <v>129</v>
      </c>
      <c r="J3827" t="s">
        <v>94</v>
      </c>
      <c r="K3827">
        <v>1</v>
      </c>
      <c r="L3827">
        <v>48100</v>
      </c>
      <c r="M3827">
        <v>48100</v>
      </c>
      <c r="N3827" t="s">
        <v>108</v>
      </c>
      <c r="O3827" t="s">
        <v>115</v>
      </c>
    </row>
    <row r="3828" spans="1:15" x14ac:dyDescent="0.25">
      <c r="A3828">
        <v>2290</v>
      </c>
      <c r="B3828" s="10">
        <v>45666</v>
      </c>
      <c r="C3828">
        <v>9</v>
      </c>
      <c r="D3828" t="s">
        <v>130</v>
      </c>
      <c r="E3828" t="s">
        <v>138</v>
      </c>
      <c r="F3828" t="s">
        <v>36</v>
      </c>
      <c r="G3828" t="s">
        <v>100</v>
      </c>
      <c r="H3828" t="s">
        <v>23</v>
      </c>
      <c r="I3828" t="s">
        <v>45</v>
      </c>
      <c r="J3828" t="s">
        <v>94</v>
      </c>
      <c r="K3828">
        <v>10</v>
      </c>
      <c r="L3828">
        <v>48200</v>
      </c>
      <c r="M3828">
        <v>482000</v>
      </c>
      <c r="N3828" t="s">
        <v>95</v>
      </c>
      <c r="O3828" t="s">
        <v>96</v>
      </c>
    </row>
    <row r="3829" spans="1:15" x14ac:dyDescent="0.25">
      <c r="A3829">
        <v>3221</v>
      </c>
      <c r="B3829" s="10">
        <v>45940</v>
      </c>
      <c r="C3829">
        <v>10</v>
      </c>
      <c r="D3829" t="s">
        <v>136</v>
      </c>
      <c r="E3829" t="s">
        <v>106</v>
      </c>
      <c r="F3829" t="s">
        <v>28</v>
      </c>
      <c r="G3829" t="s">
        <v>126</v>
      </c>
      <c r="H3829" t="s">
        <v>23</v>
      </c>
      <c r="I3829" t="s">
        <v>24</v>
      </c>
      <c r="J3829" t="s">
        <v>103</v>
      </c>
      <c r="K3829">
        <v>23</v>
      </c>
      <c r="L3829">
        <v>48300</v>
      </c>
      <c r="M3829">
        <v>1110900</v>
      </c>
      <c r="N3829" t="s">
        <v>95</v>
      </c>
      <c r="O3829" t="s">
        <v>104</v>
      </c>
    </row>
    <row r="3830" spans="1:15" x14ac:dyDescent="0.25">
      <c r="A3830">
        <v>4324</v>
      </c>
      <c r="B3830" s="10">
        <v>45820</v>
      </c>
      <c r="C3830">
        <v>12</v>
      </c>
      <c r="D3830" t="s">
        <v>153</v>
      </c>
      <c r="E3830" t="s">
        <v>110</v>
      </c>
      <c r="F3830" t="s">
        <v>148</v>
      </c>
      <c r="G3830" t="s">
        <v>118</v>
      </c>
      <c r="H3830" t="s">
        <v>23</v>
      </c>
      <c r="I3830" t="s">
        <v>24</v>
      </c>
      <c r="J3830" t="s">
        <v>103</v>
      </c>
      <c r="K3830">
        <v>35</v>
      </c>
      <c r="L3830">
        <v>48300</v>
      </c>
      <c r="M3830">
        <v>1690500</v>
      </c>
      <c r="N3830" t="s">
        <v>108</v>
      </c>
      <c r="O3830" t="s">
        <v>104</v>
      </c>
    </row>
    <row r="3831" spans="1:15" x14ac:dyDescent="0.25">
      <c r="A3831">
        <v>17</v>
      </c>
      <c r="B3831" s="10">
        <v>45786</v>
      </c>
      <c r="C3831">
        <v>9</v>
      </c>
      <c r="D3831" t="s">
        <v>120</v>
      </c>
      <c r="E3831" t="s">
        <v>137</v>
      </c>
      <c r="F3831" t="s">
        <v>141</v>
      </c>
      <c r="G3831" t="s">
        <v>100</v>
      </c>
      <c r="H3831" t="s">
        <v>23</v>
      </c>
      <c r="I3831" t="s">
        <v>24</v>
      </c>
      <c r="J3831" t="s">
        <v>103</v>
      </c>
      <c r="K3831">
        <v>46</v>
      </c>
      <c r="L3831">
        <v>48400</v>
      </c>
      <c r="M3831">
        <v>2226400</v>
      </c>
      <c r="N3831" t="s">
        <v>108</v>
      </c>
      <c r="O3831" t="s">
        <v>104</v>
      </c>
    </row>
    <row r="3832" spans="1:15" x14ac:dyDescent="0.25">
      <c r="A3832">
        <v>635</v>
      </c>
      <c r="B3832" s="10">
        <v>45743</v>
      </c>
      <c r="C3832">
        <v>27</v>
      </c>
      <c r="D3832" t="s">
        <v>140</v>
      </c>
      <c r="E3832" t="s">
        <v>142</v>
      </c>
      <c r="F3832" t="s">
        <v>28</v>
      </c>
      <c r="G3832" t="s">
        <v>126</v>
      </c>
      <c r="H3832" t="s">
        <v>23</v>
      </c>
      <c r="I3832" t="s">
        <v>24</v>
      </c>
      <c r="J3832" t="s">
        <v>103</v>
      </c>
      <c r="K3832">
        <v>40</v>
      </c>
      <c r="L3832">
        <v>48400</v>
      </c>
      <c r="M3832">
        <v>1936000</v>
      </c>
      <c r="N3832" t="s">
        <v>95</v>
      </c>
      <c r="O3832" t="s">
        <v>104</v>
      </c>
    </row>
    <row r="3833" spans="1:15" x14ac:dyDescent="0.25">
      <c r="A3833">
        <v>2991</v>
      </c>
      <c r="B3833" s="10">
        <v>45835</v>
      </c>
      <c r="C3833">
        <v>27</v>
      </c>
      <c r="D3833" t="s">
        <v>153</v>
      </c>
      <c r="E3833" t="s">
        <v>112</v>
      </c>
      <c r="F3833" t="s">
        <v>22</v>
      </c>
      <c r="G3833" t="s">
        <v>91</v>
      </c>
      <c r="H3833" t="s">
        <v>92</v>
      </c>
      <c r="I3833" t="s">
        <v>129</v>
      </c>
      <c r="J3833" t="s">
        <v>94</v>
      </c>
      <c r="K3833">
        <v>8</v>
      </c>
      <c r="L3833">
        <v>48400</v>
      </c>
      <c r="M3833">
        <v>387200</v>
      </c>
      <c r="N3833" t="s">
        <v>95</v>
      </c>
      <c r="O3833" t="s">
        <v>96</v>
      </c>
    </row>
    <row r="3834" spans="1:15" x14ac:dyDescent="0.25">
      <c r="A3834">
        <v>3485</v>
      </c>
      <c r="B3834" s="10">
        <v>45805</v>
      </c>
      <c r="C3834">
        <v>28</v>
      </c>
      <c r="D3834" t="s">
        <v>120</v>
      </c>
      <c r="E3834" t="s">
        <v>161</v>
      </c>
      <c r="F3834" t="s">
        <v>113</v>
      </c>
      <c r="G3834" t="s">
        <v>114</v>
      </c>
      <c r="H3834" t="s">
        <v>23</v>
      </c>
      <c r="I3834" t="s">
        <v>24</v>
      </c>
      <c r="J3834" t="s">
        <v>103</v>
      </c>
      <c r="K3834">
        <v>31</v>
      </c>
      <c r="L3834">
        <v>48400</v>
      </c>
      <c r="M3834">
        <v>1500400</v>
      </c>
      <c r="N3834" t="s">
        <v>95</v>
      </c>
      <c r="O3834" t="s">
        <v>115</v>
      </c>
    </row>
    <row r="3835" spans="1:15" x14ac:dyDescent="0.25">
      <c r="A3835">
        <v>2877</v>
      </c>
      <c r="B3835" s="10">
        <v>45828</v>
      </c>
      <c r="C3835">
        <v>20</v>
      </c>
      <c r="D3835" t="s">
        <v>153</v>
      </c>
      <c r="E3835" t="s">
        <v>112</v>
      </c>
      <c r="F3835" t="s">
        <v>148</v>
      </c>
      <c r="G3835" t="s">
        <v>118</v>
      </c>
      <c r="H3835" t="s">
        <v>23</v>
      </c>
      <c r="I3835" t="s">
        <v>24</v>
      </c>
      <c r="J3835" t="s">
        <v>103</v>
      </c>
      <c r="K3835">
        <v>18</v>
      </c>
      <c r="L3835">
        <v>48600</v>
      </c>
      <c r="M3835">
        <v>874800</v>
      </c>
      <c r="N3835" t="s">
        <v>108</v>
      </c>
      <c r="O3835" t="s">
        <v>104</v>
      </c>
    </row>
    <row r="3836" spans="1:15" x14ac:dyDescent="0.25">
      <c r="A3836">
        <v>3905</v>
      </c>
      <c r="B3836" s="10">
        <v>45685</v>
      </c>
      <c r="C3836">
        <v>28</v>
      </c>
      <c r="D3836" t="s">
        <v>130</v>
      </c>
      <c r="E3836" t="s">
        <v>31</v>
      </c>
      <c r="F3836" t="s">
        <v>107</v>
      </c>
      <c r="G3836" t="s">
        <v>100</v>
      </c>
      <c r="H3836" t="s">
        <v>23</v>
      </c>
      <c r="I3836" t="s">
        <v>45</v>
      </c>
      <c r="J3836" t="s">
        <v>94</v>
      </c>
      <c r="K3836">
        <v>4</v>
      </c>
      <c r="L3836">
        <v>48600</v>
      </c>
      <c r="M3836">
        <v>194400</v>
      </c>
      <c r="N3836" t="s">
        <v>108</v>
      </c>
      <c r="O3836" t="s">
        <v>96</v>
      </c>
    </row>
    <row r="3837" spans="1:15" x14ac:dyDescent="0.25">
      <c r="A3837">
        <v>1268</v>
      </c>
      <c r="B3837" s="10">
        <v>45753</v>
      </c>
      <c r="C3837">
        <v>6</v>
      </c>
      <c r="D3837" t="s">
        <v>105</v>
      </c>
      <c r="E3837" t="s">
        <v>142</v>
      </c>
      <c r="F3837" t="s">
        <v>113</v>
      </c>
      <c r="G3837" t="s">
        <v>114</v>
      </c>
      <c r="H3837" t="s">
        <v>23</v>
      </c>
      <c r="I3837" t="s">
        <v>24</v>
      </c>
      <c r="J3837" t="s">
        <v>103</v>
      </c>
      <c r="K3837">
        <v>36</v>
      </c>
      <c r="L3837">
        <v>48700</v>
      </c>
      <c r="M3837">
        <v>1753200</v>
      </c>
      <c r="N3837" t="s">
        <v>95</v>
      </c>
      <c r="O3837" t="s">
        <v>104</v>
      </c>
    </row>
    <row r="3838" spans="1:15" x14ac:dyDescent="0.25">
      <c r="A3838">
        <v>1683</v>
      </c>
      <c r="B3838" s="10">
        <v>45725</v>
      </c>
      <c r="C3838">
        <v>9</v>
      </c>
      <c r="D3838" t="s">
        <v>140</v>
      </c>
      <c r="E3838" t="s">
        <v>142</v>
      </c>
      <c r="F3838" t="s">
        <v>148</v>
      </c>
      <c r="G3838" t="s">
        <v>118</v>
      </c>
      <c r="H3838" t="s">
        <v>23</v>
      </c>
      <c r="I3838" t="s">
        <v>24</v>
      </c>
      <c r="J3838" t="s">
        <v>103</v>
      </c>
      <c r="K3838">
        <v>18</v>
      </c>
      <c r="L3838">
        <v>48700</v>
      </c>
      <c r="M3838">
        <v>876600</v>
      </c>
      <c r="N3838" t="s">
        <v>95</v>
      </c>
      <c r="O3838" t="s">
        <v>104</v>
      </c>
    </row>
    <row r="3839" spans="1:15" x14ac:dyDescent="0.25">
      <c r="A3839">
        <v>2414</v>
      </c>
      <c r="B3839" s="10">
        <v>45663</v>
      </c>
      <c r="C3839">
        <v>6</v>
      </c>
      <c r="D3839" t="s">
        <v>130</v>
      </c>
      <c r="E3839" t="s">
        <v>137</v>
      </c>
      <c r="F3839" t="s">
        <v>36</v>
      </c>
      <c r="G3839" t="s">
        <v>100</v>
      </c>
      <c r="H3839" t="s">
        <v>23</v>
      </c>
      <c r="I3839" t="s">
        <v>24</v>
      </c>
      <c r="J3839" t="s">
        <v>103</v>
      </c>
      <c r="K3839">
        <v>39</v>
      </c>
      <c r="L3839">
        <v>48700</v>
      </c>
      <c r="M3839">
        <v>1899300</v>
      </c>
      <c r="N3839" t="s">
        <v>95</v>
      </c>
      <c r="O3839" t="s">
        <v>115</v>
      </c>
    </row>
    <row r="3840" spans="1:15" x14ac:dyDescent="0.25">
      <c r="A3840">
        <v>3788</v>
      </c>
      <c r="B3840" s="10">
        <v>45840</v>
      </c>
      <c r="C3840">
        <v>2</v>
      </c>
      <c r="D3840" t="s">
        <v>145</v>
      </c>
      <c r="E3840" t="s">
        <v>150</v>
      </c>
      <c r="F3840" t="s">
        <v>49</v>
      </c>
      <c r="G3840" t="s">
        <v>118</v>
      </c>
      <c r="H3840" t="s">
        <v>23</v>
      </c>
      <c r="I3840" t="s">
        <v>24</v>
      </c>
      <c r="J3840" t="s">
        <v>103</v>
      </c>
      <c r="K3840">
        <v>19</v>
      </c>
      <c r="L3840">
        <v>48700</v>
      </c>
      <c r="M3840">
        <v>925300</v>
      </c>
      <c r="N3840" t="s">
        <v>95</v>
      </c>
      <c r="O3840" t="s">
        <v>104</v>
      </c>
    </row>
    <row r="3841" spans="1:15" x14ac:dyDescent="0.25">
      <c r="A3841">
        <v>1041</v>
      </c>
      <c r="B3841" s="10">
        <v>45999</v>
      </c>
      <c r="C3841">
        <v>8</v>
      </c>
      <c r="D3841" t="s">
        <v>125</v>
      </c>
      <c r="E3841" t="s">
        <v>112</v>
      </c>
      <c r="F3841" t="s">
        <v>141</v>
      </c>
      <c r="G3841" t="s">
        <v>100</v>
      </c>
      <c r="H3841" t="s">
        <v>92</v>
      </c>
      <c r="I3841" t="s">
        <v>129</v>
      </c>
      <c r="J3841" t="s">
        <v>94</v>
      </c>
      <c r="K3841">
        <v>7</v>
      </c>
      <c r="L3841">
        <v>48800</v>
      </c>
      <c r="M3841">
        <v>341600</v>
      </c>
      <c r="N3841" t="s">
        <v>95</v>
      </c>
      <c r="O3841" t="s">
        <v>104</v>
      </c>
    </row>
    <row r="3842" spans="1:15" x14ac:dyDescent="0.25">
      <c r="A3842">
        <v>3056</v>
      </c>
      <c r="B3842" s="10">
        <v>45961</v>
      </c>
      <c r="C3842">
        <v>31</v>
      </c>
      <c r="D3842" t="s">
        <v>136</v>
      </c>
      <c r="E3842" t="s">
        <v>106</v>
      </c>
      <c r="F3842" t="s">
        <v>134</v>
      </c>
      <c r="G3842" t="s">
        <v>100</v>
      </c>
      <c r="H3842" t="s">
        <v>23</v>
      </c>
      <c r="I3842" t="s">
        <v>24</v>
      </c>
      <c r="J3842" t="s">
        <v>103</v>
      </c>
      <c r="K3842">
        <v>6</v>
      </c>
      <c r="L3842">
        <v>48800</v>
      </c>
      <c r="M3842">
        <v>292800</v>
      </c>
      <c r="N3842" t="s">
        <v>95</v>
      </c>
      <c r="O3842" t="s">
        <v>115</v>
      </c>
    </row>
    <row r="3843" spans="1:15" x14ac:dyDescent="0.25">
      <c r="A3843">
        <v>381</v>
      </c>
      <c r="B3843" s="10">
        <v>45703</v>
      </c>
      <c r="C3843">
        <v>15</v>
      </c>
      <c r="D3843" t="s">
        <v>97</v>
      </c>
      <c r="E3843" t="s">
        <v>161</v>
      </c>
      <c r="F3843" t="s">
        <v>117</v>
      </c>
      <c r="G3843" t="s">
        <v>118</v>
      </c>
      <c r="H3843" t="s">
        <v>23</v>
      </c>
      <c r="I3843" t="s">
        <v>24</v>
      </c>
      <c r="J3843" t="s">
        <v>103</v>
      </c>
      <c r="K3843">
        <v>28</v>
      </c>
      <c r="L3843">
        <v>48900</v>
      </c>
      <c r="M3843">
        <v>1369200</v>
      </c>
      <c r="N3843" t="s">
        <v>108</v>
      </c>
      <c r="O3843" t="s">
        <v>104</v>
      </c>
    </row>
    <row r="3844" spans="1:15" x14ac:dyDescent="0.25">
      <c r="A3844">
        <v>2956</v>
      </c>
      <c r="B3844" s="10">
        <v>45876</v>
      </c>
      <c r="C3844">
        <v>7</v>
      </c>
      <c r="D3844" t="s">
        <v>109</v>
      </c>
      <c r="E3844" t="s">
        <v>25</v>
      </c>
      <c r="F3844" t="s">
        <v>107</v>
      </c>
      <c r="G3844" t="s">
        <v>100</v>
      </c>
      <c r="H3844" t="s">
        <v>92</v>
      </c>
      <c r="I3844" t="s">
        <v>129</v>
      </c>
      <c r="J3844" t="s">
        <v>94</v>
      </c>
      <c r="K3844">
        <v>10</v>
      </c>
      <c r="L3844">
        <v>48900</v>
      </c>
      <c r="M3844">
        <v>489000</v>
      </c>
      <c r="N3844" t="s">
        <v>108</v>
      </c>
      <c r="O3844" t="s">
        <v>104</v>
      </c>
    </row>
    <row r="3845" spans="1:15" x14ac:dyDescent="0.25">
      <c r="A3845">
        <v>3893</v>
      </c>
      <c r="B3845" s="10">
        <v>46001</v>
      </c>
      <c r="C3845">
        <v>10</v>
      </c>
      <c r="D3845" t="s">
        <v>125</v>
      </c>
      <c r="E3845" t="s">
        <v>138</v>
      </c>
      <c r="F3845" t="s">
        <v>36</v>
      </c>
      <c r="G3845" t="s">
        <v>100</v>
      </c>
      <c r="H3845" t="s">
        <v>23</v>
      </c>
      <c r="I3845" t="s">
        <v>24</v>
      </c>
      <c r="J3845" t="s">
        <v>103</v>
      </c>
      <c r="K3845">
        <v>47</v>
      </c>
      <c r="L3845">
        <v>49000</v>
      </c>
      <c r="M3845">
        <v>2303000</v>
      </c>
      <c r="N3845" t="s">
        <v>95</v>
      </c>
      <c r="O3845" t="s">
        <v>104</v>
      </c>
    </row>
    <row r="3846" spans="1:15" x14ac:dyDescent="0.25">
      <c r="A3846">
        <v>4887</v>
      </c>
      <c r="B3846" s="10">
        <v>45814</v>
      </c>
      <c r="C3846">
        <v>6</v>
      </c>
      <c r="D3846" t="s">
        <v>153</v>
      </c>
      <c r="E3846" t="s">
        <v>142</v>
      </c>
      <c r="F3846" t="s">
        <v>44</v>
      </c>
      <c r="G3846" t="s">
        <v>111</v>
      </c>
      <c r="H3846" t="s">
        <v>23</v>
      </c>
      <c r="I3846" t="s">
        <v>24</v>
      </c>
      <c r="J3846" t="s">
        <v>103</v>
      </c>
      <c r="K3846">
        <v>5</v>
      </c>
      <c r="L3846">
        <v>49000</v>
      </c>
      <c r="M3846">
        <v>245000</v>
      </c>
      <c r="N3846" t="s">
        <v>108</v>
      </c>
      <c r="O3846" t="s">
        <v>96</v>
      </c>
    </row>
    <row r="3847" spans="1:15" x14ac:dyDescent="0.25">
      <c r="A3847">
        <v>874</v>
      </c>
      <c r="B3847" s="10">
        <v>45741</v>
      </c>
      <c r="C3847">
        <v>25</v>
      </c>
      <c r="D3847" t="s">
        <v>140</v>
      </c>
      <c r="E3847" t="s">
        <v>137</v>
      </c>
      <c r="F3847" t="s">
        <v>44</v>
      </c>
      <c r="G3847" t="s">
        <v>111</v>
      </c>
      <c r="H3847" t="s">
        <v>23</v>
      </c>
      <c r="I3847" t="s">
        <v>24</v>
      </c>
      <c r="J3847" t="s">
        <v>103</v>
      </c>
      <c r="K3847">
        <v>36</v>
      </c>
      <c r="L3847">
        <v>49100</v>
      </c>
      <c r="M3847">
        <v>1767600</v>
      </c>
      <c r="N3847" t="s">
        <v>95</v>
      </c>
      <c r="O3847" t="s">
        <v>115</v>
      </c>
    </row>
    <row r="3848" spans="1:15" x14ac:dyDescent="0.25">
      <c r="A3848">
        <v>1788</v>
      </c>
      <c r="B3848" s="10">
        <v>45727</v>
      </c>
      <c r="C3848">
        <v>11</v>
      </c>
      <c r="D3848" t="s">
        <v>140</v>
      </c>
      <c r="E3848" t="s">
        <v>161</v>
      </c>
      <c r="F3848" t="s">
        <v>44</v>
      </c>
      <c r="G3848" t="s">
        <v>111</v>
      </c>
      <c r="H3848" t="s">
        <v>23</v>
      </c>
      <c r="I3848" t="s">
        <v>24</v>
      </c>
      <c r="J3848" t="s">
        <v>103</v>
      </c>
      <c r="K3848">
        <v>50</v>
      </c>
      <c r="L3848">
        <v>49100</v>
      </c>
      <c r="M3848">
        <v>2455000</v>
      </c>
      <c r="N3848" t="s">
        <v>108</v>
      </c>
      <c r="O3848" t="s">
        <v>104</v>
      </c>
    </row>
    <row r="3849" spans="1:15" x14ac:dyDescent="0.25">
      <c r="A3849">
        <v>2641</v>
      </c>
      <c r="B3849" s="10">
        <v>45736</v>
      </c>
      <c r="C3849">
        <v>20</v>
      </c>
      <c r="D3849" t="s">
        <v>140</v>
      </c>
      <c r="E3849" t="s">
        <v>150</v>
      </c>
      <c r="F3849" t="s">
        <v>107</v>
      </c>
      <c r="G3849" t="s">
        <v>100</v>
      </c>
      <c r="H3849" t="s">
        <v>92</v>
      </c>
      <c r="I3849" t="s">
        <v>129</v>
      </c>
      <c r="J3849" t="s">
        <v>94</v>
      </c>
      <c r="K3849">
        <v>3</v>
      </c>
      <c r="L3849">
        <v>49100</v>
      </c>
      <c r="M3849">
        <v>147300</v>
      </c>
      <c r="N3849" t="s">
        <v>95</v>
      </c>
      <c r="O3849" t="s">
        <v>96</v>
      </c>
    </row>
    <row r="3850" spans="1:15" x14ac:dyDescent="0.25">
      <c r="A3850">
        <v>3176</v>
      </c>
      <c r="B3850" s="10">
        <v>45781</v>
      </c>
      <c r="C3850">
        <v>4</v>
      </c>
      <c r="D3850" t="s">
        <v>120</v>
      </c>
      <c r="E3850" t="s">
        <v>138</v>
      </c>
      <c r="F3850" t="s">
        <v>122</v>
      </c>
      <c r="G3850" t="s">
        <v>114</v>
      </c>
      <c r="H3850" t="s">
        <v>23</v>
      </c>
      <c r="I3850" t="s">
        <v>24</v>
      </c>
      <c r="J3850" t="s">
        <v>103</v>
      </c>
      <c r="K3850">
        <v>7</v>
      </c>
      <c r="L3850">
        <v>49100</v>
      </c>
      <c r="M3850">
        <v>343700</v>
      </c>
      <c r="N3850" t="s">
        <v>108</v>
      </c>
      <c r="O3850" t="s">
        <v>115</v>
      </c>
    </row>
    <row r="3851" spans="1:15" x14ac:dyDescent="0.25">
      <c r="A3851">
        <v>156</v>
      </c>
      <c r="B3851" s="10">
        <v>46022</v>
      </c>
      <c r="C3851">
        <v>31</v>
      </c>
      <c r="D3851" t="s">
        <v>125</v>
      </c>
      <c r="E3851" t="s">
        <v>128</v>
      </c>
      <c r="F3851" t="s">
        <v>151</v>
      </c>
      <c r="G3851" t="s">
        <v>111</v>
      </c>
      <c r="H3851" t="s">
        <v>23</v>
      </c>
      <c r="I3851" t="s">
        <v>24</v>
      </c>
      <c r="J3851" t="s">
        <v>103</v>
      </c>
      <c r="K3851">
        <v>43</v>
      </c>
      <c r="L3851">
        <v>49200</v>
      </c>
      <c r="M3851">
        <v>2115600</v>
      </c>
      <c r="N3851" t="s">
        <v>95</v>
      </c>
      <c r="O3851" t="s">
        <v>104</v>
      </c>
    </row>
    <row r="3852" spans="1:15" x14ac:dyDescent="0.25">
      <c r="A3852">
        <v>4345</v>
      </c>
      <c r="B3852" s="10">
        <v>45862</v>
      </c>
      <c r="C3852">
        <v>24</v>
      </c>
      <c r="D3852" t="s">
        <v>145</v>
      </c>
      <c r="E3852" t="s">
        <v>121</v>
      </c>
      <c r="F3852" t="s">
        <v>151</v>
      </c>
      <c r="G3852" t="s">
        <v>111</v>
      </c>
      <c r="H3852" t="s">
        <v>23</v>
      </c>
      <c r="I3852" t="s">
        <v>24</v>
      </c>
      <c r="J3852" t="s">
        <v>103</v>
      </c>
      <c r="K3852">
        <v>43</v>
      </c>
      <c r="L3852">
        <v>49300</v>
      </c>
      <c r="M3852">
        <v>2119900</v>
      </c>
      <c r="N3852" t="s">
        <v>108</v>
      </c>
      <c r="O3852" t="s">
        <v>115</v>
      </c>
    </row>
    <row r="3853" spans="1:15" x14ac:dyDescent="0.25">
      <c r="A3853">
        <v>853</v>
      </c>
      <c r="B3853" s="10">
        <v>45809</v>
      </c>
      <c r="C3853">
        <v>1</v>
      </c>
      <c r="D3853" t="s">
        <v>153</v>
      </c>
      <c r="E3853" t="s">
        <v>106</v>
      </c>
      <c r="F3853" t="s">
        <v>122</v>
      </c>
      <c r="G3853" t="s">
        <v>114</v>
      </c>
      <c r="H3853" t="s">
        <v>23</v>
      </c>
      <c r="I3853" t="s">
        <v>24</v>
      </c>
      <c r="J3853" t="s">
        <v>103</v>
      </c>
      <c r="K3853">
        <v>47</v>
      </c>
      <c r="L3853">
        <v>49400</v>
      </c>
      <c r="M3853">
        <v>2321800</v>
      </c>
      <c r="N3853" t="s">
        <v>108</v>
      </c>
      <c r="O3853" t="s">
        <v>104</v>
      </c>
    </row>
    <row r="3854" spans="1:15" x14ac:dyDescent="0.25">
      <c r="A3854">
        <v>390</v>
      </c>
      <c r="B3854" s="10">
        <v>45695</v>
      </c>
      <c r="C3854">
        <v>7</v>
      </c>
      <c r="D3854" t="s">
        <v>97</v>
      </c>
      <c r="E3854" t="s">
        <v>25</v>
      </c>
      <c r="F3854" t="s">
        <v>148</v>
      </c>
      <c r="G3854" t="s">
        <v>118</v>
      </c>
      <c r="H3854" t="s">
        <v>23</v>
      </c>
      <c r="I3854" t="s">
        <v>24</v>
      </c>
      <c r="J3854" t="s">
        <v>103</v>
      </c>
      <c r="K3854">
        <v>18</v>
      </c>
      <c r="L3854">
        <v>49500</v>
      </c>
      <c r="M3854">
        <v>891000</v>
      </c>
      <c r="N3854" t="s">
        <v>95</v>
      </c>
      <c r="O3854" t="s">
        <v>104</v>
      </c>
    </row>
    <row r="3855" spans="1:15" x14ac:dyDescent="0.25">
      <c r="A3855">
        <v>931</v>
      </c>
      <c r="B3855" s="10">
        <v>45989</v>
      </c>
      <c r="C3855">
        <v>28</v>
      </c>
      <c r="D3855" t="s">
        <v>90</v>
      </c>
      <c r="E3855" t="s">
        <v>116</v>
      </c>
      <c r="F3855" t="s">
        <v>148</v>
      </c>
      <c r="G3855" t="s">
        <v>118</v>
      </c>
      <c r="H3855" t="s">
        <v>23</v>
      </c>
      <c r="I3855" t="s">
        <v>24</v>
      </c>
      <c r="J3855" t="s">
        <v>103</v>
      </c>
      <c r="K3855">
        <v>12</v>
      </c>
      <c r="L3855">
        <v>49600</v>
      </c>
      <c r="M3855">
        <v>595200</v>
      </c>
      <c r="N3855" t="s">
        <v>108</v>
      </c>
      <c r="O3855" t="s">
        <v>104</v>
      </c>
    </row>
    <row r="3856" spans="1:15" x14ac:dyDescent="0.25">
      <c r="A3856">
        <v>1598</v>
      </c>
      <c r="B3856" s="10">
        <v>45938</v>
      </c>
      <c r="C3856">
        <v>8</v>
      </c>
      <c r="D3856" t="s">
        <v>136</v>
      </c>
      <c r="E3856" t="s">
        <v>142</v>
      </c>
      <c r="F3856" t="s">
        <v>134</v>
      </c>
      <c r="G3856" t="s">
        <v>100</v>
      </c>
      <c r="H3856" t="s">
        <v>23</v>
      </c>
      <c r="I3856" t="s">
        <v>45</v>
      </c>
      <c r="J3856" t="s">
        <v>94</v>
      </c>
      <c r="K3856">
        <v>7</v>
      </c>
      <c r="L3856">
        <v>49600</v>
      </c>
      <c r="M3856">
        <v>347200</v>
      </c>
      <c r="N3856" t="s">
        <v>108</v>
      </c>
      <c r="O3856" t="s">
        <v>96</v>
      </c>
    </row>
    <row r="3857" spans="1:15" x14ac:dyDescent="0.25">
      <c r="A3857">
        <v>562</v>
      </c>
      <c r="B3857" s="10">
        <v>45894</v>
      </c>
      <c r="C3857">
        <v>25</v>
      </c>
      <c r="D3857" t="s">
        <v>109</v>
      </c>
      <c r="E3857" t="s">
        <v>98</v>
      </c>
      <c r="F3857" t="s">
        <v>107</v>
      </c>
      <c r="G3857" t="s">
        <v>100</v>
      </c>
      <c r="H3857" t="s">
        <v>23</v>
      </c>
      <c r="I3857" t="s">
        <v>45</v>
      </c>
      <c r="J3857" t="s">
        <v>94</v>
      </c>
      <c r="K3857">
        <v>5</v>
      </c>
      <c r="L3857">
        <v>49700</v>
      </c>
      <c r="M3857">
        <v>248500</v>
      </c>
      <c r="N3857" t="s">
        <v>95</v>
      </c>
      <c r="O3857" t="s">
        <v>104</v>
      </c>
    </row>
    <row r="3858" spans="1:15" x14ac:dyDescent="0.25">
      <c r="A3858">
        <v>1668</v>
      </c>
      <c r="B3858" s="10">
        <v>45926</v>
      </c>
      <c r="C3858">
        <v>26</v>
      </c>
      <c r="D3858" t="s">
        <v>147</v>
      </c>
      <c r="E3858" t="s">
        <v>110</v>
      </c>
      <c r="F3858" t="s">
        <v>151</v>
      </c>
      <c r="G3858" t="s">
        <v>111</v>
      </c>
      <c r="H3858" t="s">
        <v>23</v>
      </c>
      <c r="I3858" t="s">
        <v>24</v>
      </c>
      <c r="J3858" t="s">
        <v>103</v>
      </c>
      <c r="K3858">
        <v>28</v>
      </c>
      <c r="L3858">
        <v>49700</v>
      </c>
      <c r="M3858">
        <v>1391600</v>
      </c>
      <c r="N3858" t="s">
        <v>95</v>
      </c>
      <c r="O3858" t="s">
        <v>104</v>
      </c>
    </row>
    <row r="3859" spans="1:15" x14ac:dyDescent="0.25">
      <c r="A3859">
        <v>3832</v>
      </c>
      <c r="B3859" s="10">
        <v>45916</v>
      </c>
      <c r="C3859">
        <v>16</v>
      </c>
      <c r="D3859" t="s">
        <v>147</v>
      </c>
      <c r="E3859" t="s">
        <v>121</v>
      </c>
      <c r="F3859" t="s">
        <v>36</v>
      </c>
      <c r="G3859" t="s">
        <v>100</v>
      </c>
      <c r="H3859" t="s">
        <v>23</v>
      </c>
      <c r="I3859" t="s">
        <v>24</v>
      </c>
      <c r="J3859" t="s">
        <v>103</v>
      </c>
      <c r="K3859">
        <v>17</v>
      </c>
      <c r="L3859">
        <v>49700</v>
      </c>
      <c r="M3859">
        <v>844900</v>
      </c>
      <c r="N3859" t="s">
        <v>95</v>
      </c>
      <c r="O3859" t="s">
        <v>104</v>
      </c>
    </row>
    <row r="3860" spans="1:15" x14ac:dyDescent="0.25">
      <c r="A3860">
        <v>2753</v>
      </c>
      <c r="B3860" s="10">
        <v>45947</v>
      </c>
      <c r="C3860">
        <v>17</v>
      </c>
      <c r="D3860" t="s">
        <v>136</v>
      </c>
      <c r="E3860" t="s">
        <v>112</v>
      </c>
      <c r="F3860" t="s">
        <v>148</v>
      </c>
      <c r="G3860" t="s">
        <v>118</v>
      </c>
      <c r="H3860" t="s">
        <v>23</v>
      </c>
      <c r="I3860" t="s">
        <v>24</v>
      </c>
      <c r="J3860" t="s">
        <v>103</v>
      </c>
      <c r="K3860">
        <v>30</v>
      </c>
      <c r="L3860">
        <v>49800</v>
      </c>
      <c r="M3860">
        <v>1494000</v>
      </c>
      <c r="N3860" t="s">
        <v>108</v>
      </c>
      <c r="O3860" t="s">
        <v>104</v>
      </c>
    </row>
    <row r="3861" spans="1:15" x14ac:dyDescent="0.25">
      <c r="A3861">
        <v>4935</v>
      </c>
      <c r="B3861" s="10">
        <v>45796</v>
      </c>
      <c r="C3861">
        <v>19</v>
      </c>
      <c r="D3861" t="s">
        <v>120</v>
      </c>
      <c r="E3861" t="s">
        <v>110</v>
      </c>
      <c r="F3861" t="s">
        <v>28</v>
      </c>
      <c r="G3861" t="s">
        <v>126</v>
      </c>
      <c r="H3861" t="s">
        <v>23</v>
      </c>
      <c r="I3861" t="s">
        <v>24</v>
      </c>
      <c r="J3861" t="s">
        <v>103</v>
      </c>
      <c r="K3861">
        <v>46</v>
      </c>
      <c r="L3861">
        <v>49800</v>
      </c>
      <c r="M3861">
        <v>2290800</v>
      </c>
      <c r="N3861" t="s">
        <v>108</v>
      </c>
      <c r="O3861" t="s">
        <v>115</v>
      </c>
    </row>
    <row r="3862" spans="1:15" x14ac:dyDescent="0.25">
      <c r="A3862">
        <v>1767</v>
      </c>
      <c r="B3862" s="10">
        <v>45851</v>
      </c>
      <c r="C3862">
        <v>13</v>
      </c>
      <c r="D3862" t="s">
        <v>145</v>
      </c>
      <c r="E3862" t="s">
        <v>112</v>
      </c>
      <c r="F3862" t="s">
        <v>148</v>
      </c>
      <c r="G3862" t="s">
        <v>118</v>
      </c>
      <c r="H3862" t="s">
        <v>92</v>
      </c>
      <c r="I3862" t="s">
        <v>129</v>
      </c>
      <c r="J3862" t="s">
        <v>94</v>
      </c>
      <c r="K3862">
        <v>3</v>
      </c>
      <c r="L3862">
        <v>49900</v>
      </c>
      <c r="M3862">
        <v>149700</v>
      </c>
      <c r="N3862" t="s">
        <v>95</v>
      </c>
      <c r="O3862" t="s">
        <v>104</v>
      </c>
    </row>
    <row r="3863" spans="1:15" x14ac:dyDescent="0.25">
      <c r="A3863">
        <v>4292</v>
      </c>
      <c r="B3863" s="10">
        <v>45987</v>
      </c>
      <c r="C3863">
        <v>26</v>
      </c>
      <c r="D3863" t="s">
        <v>90</v>
      </c>
      <c r="E3863" t="s">
        <v>161</v>
      </c>
      <c r="F3863" t="s">
        <v>117</v>
      </c>
      <c r="G3863" t="s">
        <v>118</v>
      </c>
      <c r="H3863" t="s">
        <v>23</v>
      </c>
      <c r="I3863" t="s">
        <v>24</v>
      </c>
      <c r="J3863" t="s">
        <v>103</v>
      </c>
      <c r="K3863">
        <v>26</v>
      </c>
      <c r="L3863">
        <v>49900</v>
      </c>
      <c r="M3863">
        <v>1297400</v>
      </c>
      <c r="N3863" t="s">
        <v>95</v>
      </c>
      <c r="O3863" t="s">
        <v>115</v>
      </c>
    </row>
    <row r="3864" spans="1:15" x14ac:dyDescent="0.25">
      <c r="A3864">
        <v>823</v>
      </c>
      <c r="B3864" s="10">
        <v>45999</v>
      </c>
      <c r="C3864">
        <v>8</v>
      </c>
      <c r="D3864" t="s">
        <v>125</v>
      </c>
      <c r="E3864" t="s">
        <v>137</v>
      </c>
      <c r="F3864" t="s">
        <v>151</v>
      </c>
      <c r="G3864" t="s">
        <v>111</v>
      </c>
      <c r="H3864" t="s">
        <v>92</v>
      </c>
      <c r="I3864" t="s">
        <v>129</v>
      </c>
      <c r="J3864" t="s">
        <v>94</v>
      </c>
      <c r="K3864">
        <v>10</v>
      </c>
      <c r="L3864">
        <v>50200</v>
      </c>
      <c r="M3864">
        <v>502000</v>
      </c>
      <c r="N3864" t="s">
        <v>95</v>
      </c>
      <c r="O3864" t="s">
        <v>104</v>
      </c>
    </row>
    <row r="3865" spans="1:15" x14ac:dyDescent="0.25">
      <c r="A3865">
        <v>5</v>
      </c>
      <c r="B3865" s="10">
        <v>45768</v>
      </c>
      <c r="C3865">
        <v>21</v>
      </c>
      <c r="D3865" t="s">
        <v>105</v>
      </c>
      <c r="E3865" t="s">
        <v>112</v>
      </c>
      <c r="F3865" t="s">
        <v>113</v>
      </c>
      <c r="G3865" t="s">
        <v>114</v>
      </c>
      <c r="H3865" t="s">
        <v>23</v>
      </c>
      <c r="I3865" t="s">
        <v>24</v>
      </c>
      <c r="J3865" t="s">
        <v>103</v>
      </c>
      <c r="K3865">
        <v>11</v>
      </c>
      <c r="L3865">
        <v>50400</v>
      </c>
      <c r="M3865">
        <v>554400</v>
      </c>
      <c r="N3865" t="s">
        <v>108</v>
      </c>
      <c r="O3865" t="s">
        <v>115</v>
      </c>
    </row>
    <row r="3866" spans="1:15" x14ac:dyDescent="0.25">
      <c r="A3866">
        <v>1228</v>
      </c>
      <c r="B3866" s="10">
        <v>46005</v>
      </c>
      <c r="C3866">
        <v>14</v>
      </c>
      <c r="D3866" t="s">
        <v>125</v>
      </c>
      <c r="E3866" t="s">
        <v>121</v>
      </c>
      <c r="F3866" t="s">
        <v>36</v>
      </c>
      <c r="G3866" t="s">
        <v>100</v>
      </c>
      <c r="H3866" t="s">
        <v>23</v>
      </c>
      <c r="I3866" t="s">
        <v>24</v>
      </c>
      <c r="J3866" t="s">
        <v>103</v>
      </c>
      <c r="K3866">
        <v>35</v>
      </c>
      <c r="L3866">
        <v>50600</v>
      </c>
      <c r="M3866">
        <v>1771000</v>
      </c>
      <c r="N3866" t="s">
        <v>95</v>
      </c>
      <c r="O3866" t="s">
        <v>104</v>
      </c>
    </row>
    <row r="3867" spans="1:15" x14ac:dyDescent="0.25">
      <c r="A3867">
        <v>4271</v>
      </c>
      <c r="B3867" s="10">
        <v>46000</v>
      </c>
      <c r="C3867">
        <v>9</v>
      </c>
      <c r="D3867" t="s">
        <v>125</v>
      </c>
      <c r="E3867" t="s">
        <v>150</v>
      </c>
      <c r="F3867" t="s">
        <v>134</v>
      </c>
      <c r="G3867" t="s">
        <v>100</v>
      </c>
      <c r="H3867" t="s">
        <v>23</v>
      </c>
      <c r="I3867" t="s">
        <v>24</v>
      </c>
      <c r="J3867" t="s">
        <v>103</v>
      </c>
      <c r="K3867">
        <v>31</v>
      </c>
      <c r="L3867">
        <v>50700</v>
      </c>
      <c r="M3867">
        <v>1571700</v>
      </c>
      <c r="N3867" t="s">
        <v>108</v>
      </c>
      <c r="O3867" t="s">
        <v>104</v>
      </c>
    </row>
    <row r="3868" spans="1:15" x14ac:dyDescent="0.25">
      <c r="A3868">
        <v>173</v>
      </c>
      <c r="B3868" s="10">
        <v>45788</v>
      </c>
      <c r="C3868">
        <v>11</v>
      </c>
      <c r="D3868" t="s">
        <v>120</v>
      </c>
      <c r="E3868" t="s">
        <v>116</v>
      </c>
      <c r="F3868" t="s">
        <v>113</v>
      </c>
      <c r="G3868" t="s">
        <v>114</v>
      </c>
      <c r="H3868" t="s">
        <v>23</v>
      </c>
      <c r="I3868" t="s">
        <v>24</v>
      </c>
      <c r="J3868" t="s">
        <v>103</v>
      </c>
      <c r="K3868">
        <v>32</v>
      </c>
      <c r="L3868">
        <v>50800</v>
      </c>
      <c r="M3868">
        <v>1625600</v>
      </c>
      <c r="N3868" t="s">
        <v>95</v>
      </c>
      <c r="O3868" t="s">
        <v>104</v>
      </c>
    </row>
    <row r="3869" spans="1:15" x14ac:dyDescent="0.25">
      <c r="A3869">
        <v>2972</v>
      </c>
      <c r="B3869" s="10">
        <v>45816</v>
      </c>
      <c r="C3869">
        <v>8</v>
      </c>
      <c r="D3869" t="s">
        <v>153</v>
      </c>
      <c r="E3869" t="s">
        <v>137</v>
      </c>
      <c r="F3869" t="s">
        <v>28</v>
      </c>
      <c r="G3869" t="s">
        <v>126</v>
      </c>
      <c r="H3869" t="s">
        <v>23</v>
      </c>
      <c r="I3869" t="s">
        <v>24</v>
      </c>
      <c r="J3869" t="s">
        <v>103</v>
      </c>
      <c r="K3869">
        <v>6</v>
      </c>
      <c r="L3869">
        <v>50800</v>
      </c>
      <c r="M3869">
        <v>304800</v>
      </c>
      <c r="N3869" t="s">
        <v>95</v>
      </c>
      <c r="O3869" t="s">
        <v>115</v>
      </c>
    </row>
    <row r="3870" spans="1:15" x14ac:dyDescent="0.25">
      <c r="A3870">
        <v>2901</v>
      </c>
      <c r="B3870" s="10">
        <v>45769</v>
      </c>
      <c r="C3870">
        <v>22</v>
      </c>
      <c r="D3870" t="s">
        <v>105</v>
      </c>
      <c r="E3870" t="s">
        <v>25</v>
      </c>
      <c r="F3870" t="s">
        <v>22</v>
      </c>
      <c r="G3870" t="s">
        <v>91</v>
      </c>
      <c r="H3870" t="s">
        <v>23</v>
      </c>
      <c r="I3870" t="s">
        <v>24</v>
      </c>
      <c r="J3870" t="s">
        <v>103</v>
      </c>
      <c r="K3870">
        <v>20</v>
      </c>
      <c r="L3870">
        <v>50900</v>
      </c>
      <c r="M3870">
        <v>1018000</v>
      </c>
      <c r="N3870" t="s">
        <v>108</v>
      </c>
      <c r="O3870" t="s">
        <v>96</v>
      </c>
    </row>
    <row r="3871" spans="1:15" x14ac:dyDescent="0.25">
      <c r="A3871">
        <v>4485</v>
      </c>
      <c r="B3871" s="10">
        <v>46002</v>
      </c>
      <c r="C3871">
        <v>11</v>
      </c>
      <c r="D3871" t="s">
        <v>125</v>
      </c>
      <c r="E3871" t="s">
        <v>31</v>
      </c>
      <c r="F3871" t="s">
        <v>36</v>
      </c>
      <c r="G3871" t="s">
        <v>100</v>
      </c>
      <c r="H3871" t="s">
        <v>23</v>
      </c>
      <c r="I3871" t="s">
        <v>24</v>
      </c>
      <c r="J3871" t="s">
        <v>103</v>
      </c>
      <c r="K3871">
        <v>8</v>
      </c>
      <c r="L3871">
        <v>50900</v>
      </c>
      <c r="M3871">
        <v>407200</v>
      </c>
      <c r="N3871" t="s">
        <v>95</v>
      </c>
      <c r="O3871" t="s">
        <v>96</v>
      </c>
    </row>
    <row r="3872" spans="1:15" x14ac:dyDescent="0.25">
      <c r="A3872">
        <v>2948</v>
      </c>
      <c r="B3872" s="10">
        <v>45703</v>
      </c>
      <c r="C3872">
        <v>15</v>
      </c>
      <c r="D3872" t="s">
        <v>97</v>
      </c>
      <c r="E3872" t="s">
        <v>112</v>
      </c>
      <c r="F3872" t="s">
        <v>44</v>
      </c>
      <c r="G3872" t="s">
        <v>111</v>
      </c>
      <c r="H3872" t="s">
        <v>23</v>
      </c>
      <c r="I3872" t="s">
        <v>24</v>
      </c>
      <c r="J3872" t="s">
        <v>94</v>
      </c>
      <c r="K3872">
        <v>5</v>
      </c>
      <c r="L3872">
        <v>51000</v>
      </c>
      <c r="M3872">
        <v>255000</v>
      </c>
      <c r="N3872" t="s">
        <v>108</v>
      </c>
      <c r="O3872" t="s">
        <v>104</v>
      </c>
    </row>
    <row r="3873" spans="1:15" x14ac:dyDescent="0.25">
      <c r="A3873">
        <v>2489</v>
      </c>
      <c r="B3873" s="10">
        <v>45880</v>
      </c>
      <c r="C3873">
        <v>11</v>
      </c>
      <c r="D3873" t="s">
        <v>109</v>
      </c>
      <c r="E3873" t="s">
        <v>142</v>
      </c>
      <c r="F3873" t="s">
        <v>28</v>
      </c>
      <c r="G3873" t="s">
        <v>126</v>
      </c>
      <c r="H3873" t="s">
        <v>23</v>
      </c>
      <c r="I3873" t="s">
        <v>24</v>
      </c>
      <c r="J3873" t="s">
        <v>103</v>
      </c>
      <c r="K3873">
        <v>50</v>
      </c>
      <c r="L3873">
        <v>51100</v>
      </c>
      <c r="M3873">
        <v>2555000</v>
      </c>
      <c r="N3873" t="s">
        <v>108</v>
      </c>
      <c r="O3873" t="s">
        <v>104</v>
      </c>
    </row>
    <row r="3874" spans="1:15" x14ac:dyDescent="0.25">
      <c r="A3874">
        <v>1509</v>
      </c>
      <c r="B3874" s="10">
        <v>45994</v>
      </c>
      <c r="C3874">
        <v>3</v>
      </c>
      <c r="D3874" t="s">
        <v>125</v>
      </c>
      <c r="E3874" t="s">
        <v>31</v>
      </c>
      <c r="F3874" t="s">
        <v>122</v>
      </c>
      <c r="G3874" t="s">
        <v>114</v>
      </c>
      <c r="H3874" t="s">
        <v>23</v>
      </c>
      <c r="I3874" t="s">
        <v>24</v>
      </c>
      <c r="J3874" t="s">
        <v>103</v>
      </c>
      <c r="K3874">
        <v>39</v>
      </c>
      <c r="L3874">
        <v>51200</v>
      </c>
      <c r="M3874">
        <v>1996800</v>
      </c>
      <c r="N3874" t="s">
        <v>95</v>
      </c>
      <c r="O3874" t="s">
        <v>115</v>
      </c>
    </row>
    <row r="3875" spans="1:15" x14ac:dyDescent="0.25">
      <c r="A3875">
        <v>26</v>
      </c>
      <c r="B3875" s="10">
        <v>45981</v>
      </c>
      <c r="C3875">
        <v>20</v>
      </c>
      <c r="D3875" t="s">
        <v>90</v>
      </c>
      <c r="E3875" t="s">
        <v>25</v>
      </c>
      <c r="F3875" t="s">
        <v>49</v>
      </c>
      <c r="G3875" t="s">
        <v>118</v>
      </c>
      <c r="H3875" t="s">
        <v>23</v>
      </c>
      <c r="I3875" t="s">
        <v>24</v>
      </c>
      <c r="J3875" t="s">
        <v>103</v>
      </c>
      <c r="K3875">
        <v>9</v>
      </c>
      <c r="L3875">
        <v>51300</v>
      </c>
      <c r="M3875">
        <v>461700</v>
      </c>
      <c r="N3875" t="s">
        <v>95</v>
      </c>
      <c r="O3875" t="s">
        <v>115</v>
      </c>
    </row>
    <row r="3876" spans="1:15" x14ac:dyDescent="0.25">
      <c r="A3876">
        <v>1621</v>
      </c>
      <c r="B3876" s="10">
        <v>45989</v>
      </c>
      <c r="C3876">
        <v>28</v>
      </c>
      <c r="D3876" t="s">
        <v>90</v>
      </c>
      <c r="E3876" t="s">
        <v>112</v>
      </c>
      <c r="F3876" t="s">
        <v>107</v>
      </c>
      <c r="G3876" t="s">
        <v>100</v>
      </c>
      <c r="H3876" t="s">
        <v>23</v>
      </c>
      <c r="I3876" t="s">
        <v>24</v>
      </c>
      <c r="J3876" t="s">
        <v>103</v>
      </c>
      <c r="K3876">
        <v>6</v>
      </c>
      <c r="L3876">
        <v>51300</v>
      </c>
      <c r="M3876">
        <v>307800</v>
      </c>
      <c r="N3876" t="s">
        <v>95</v>
      </c>
      <c r="O3876" t="s">
        <v>96</v>
      </c>
    </row>
    <row r="3877" spans="1:15" x14ac:dyDescent="0.25">
      <c r="A3877">
        <v>232</v>
      </c>
      <c r="B3877" s="10">
        <v>45940</v>
      </c>
      <c r="C3877">
        <v>10</v>
      </c>
      <c r="D3877" t="s">
        <v>136</v>
      </c>
      <c r="E3877" t="s">
        <v>138</v>
      </c>
      <c r="F3877" t="s">
        <v>148</v>
      </c>
      <c r="G3877" t="s">
        <v>118</v>
      </c>
      <c r="H3877" t="s">
        <v>23</v>
      </c>
      <c r="I3877" t="s">
        <v>24</v>
      </c>
      <c r="J3877" t="s">
        <v>103</v>
      </c>
      <c r="K3877">
        <v>30</v>
      </c>
      <c r="L3877">
        <v>51600</v>
      </c>
      <c r="M3877">
        <v>1548000</v>
      </c>
      <c r="N3877" t="s">
        <v>108</v>
      </c>
      <c r="O3877" t="s">
        <v>96</v>
      </c>
    </row>
    <row r="3878" spans="1:15" x14ac:dyDescent="0.25">
      <c r="A3878">
        <v>2313</v>
      </c>
      <c r="B3878" s="10">
        <v>45778</v>
      </c>
      <c r="C3878">
        <v>1</v>
      </c>
      <c r="D3878" t="s">
        <v>120</v>
      </c>
      <c r="E3878" t="s">
        <v>116</v>
      </c>
      <c r="F3878" t="s">
        <v>117</v>
      </c>
      <c r="G3878" t="s">
        <v>118</v>
      </c>
      <c r="H3878" t="s">
        <v>23</v>
      </c>
      <c r="I3878" t="s">
        <v>24</v>
      </c>
      <c r="J3878" t="s">
        <v>103</v>
      </c>
      <c r="K3878">
        <v>18</v>
      </c>
      <c r="L3878">
        <v>51600</v>
      </c>
      <c r="M3878">
        <v>928800</v>
      </c>
      <c r="N3878" t="s">
        <v>108</v>
      </c>
      <c r="O3878" t="s">
        <v>115</v>
      </c>
    </row>
    <row r="3879" spans="1:15" x14ac:dyDescent="0.25">
      <c r="A3879">
        <v>4106</v>
      </c>
      <c r="B3879" s="10">
        <v>46003</v>
      </c>
      <c r="C3879">
        <v>12</v>
      </c>
      <c r="D3879" t="s">
        <v>125</v>
      </c>
      <c r="E3879" t="s">
        <v>128</v>
      </c>
      <c r="F3879" t="s">
        <v>49</v>
      </c>
      <c r="G3879" t="s">
        <v>118</v>
      </c>
      <c r="H3879" t="s">
        <v>23</v>
      </c>
      <c r="I3879" t="s">
        <v>24</v>
      </c>
      <c r="J3879" t="s">
        <v>103</v>
      </c>
      <c r="K3879">
        <v>47</v>
      </c>
      <c r="L3879">
        <v>51600</v>
      </c>
      <c r="M3879">
        <v>2425200</v>
      </c>
      <c r="N3879" t="s">
        <v>108</v>
      </c>
      <c r="O3879" t="s">
        <v>96</v>
      </c>
    </row>
    <row r="3880" spans="1:15" x14ac:dyDescent="0.25">
      <c r="A3880">
        <v>289</v>
      </c>
      <c r="B3880" s="10">
        <v>46016</v>
      </c>
      <c r="C3880">
        <v>25</v>
      </c>
      <c r="D3880" t="s">
        <v>125</v>
      </c>
      <c r="E3880" t="s">
        <v>31</v>
      </c>
      <c r="F3880" t="s">
        <v>107</v>
      </c>
      <c r="G3880" t="s">
        <v>100</v>
      </c>
      <c r="H3880" t="s">
        <v>23</v>
      </c>
      <c r="I3880" t="s">
        <v>24</v>
      </c>
      <c r="J3880" t="s">
        <v>103</v>
      </c>
      <c r="K3880">
        <v>7</v>
      </c>
      <c r="L3880">
        <v>51700</v>
      </c>
      <c r="M3880">
        <v>361900</v>
      </c>
      <c r="N3880" t="s">
        <v>108</v>
      </c>
      <c r="O3880" t="s">
        <v>115</v>
      </c>
    </row>
    <row r="3881" spans="1:15" x14ac:dyDescent="0.25">
      <c r="A3881">
        <v>817</v>
      </c>
      <c r="B3881" s="10">
        <v>46007</v>
      </c>
      <c r="C3881">
        <v>16</v>
      </c>
      <c r="D3881" t="s">
        <v>125</v>
      </c>
      <c r="E3881" t="s">
        <v>116</v>
      </c>
      <c r="F3881" t="s">
        <v>134</v>
      </c>
      <c r="G3881" t="s">
        <v>100</v>
      </c>
      <c r="H3881" t="s">
        <v>23</v>
      </c>
      <c r="I3881" t="s">
        <v>24</v>
      </c>
      <c r="J3881" t="s">
        <v>103</v>
      </c>
      <c r="K3881">
        <v>39</v>
      </c>
      <c r="L3881">
        <v>51700</v>
      </c>
      <c r="M3881">
        <v>2016300</v>
      </c>
      <c r="N3881" t="s">
        <v>108</v>
      </c>
      <c r="O3881" t="s">
        <v>104</v>
      </c>
    </row>
    <row r="3882" spans="1:15" x14ac:dyDescent="0.25">
      <c r="A3882">
        <v>2522</v>
      </c>
      <c r="B3882" s="10">
        <v>45699</v>
      </c>
      <c r="C3882">
        <v>11</v>
      </c>
      <c r="D3882" t="s">
        <v>97</v>
      </c>
      <c r="E3882" t="s">
        <v>161</v>
      </c>
      <c r="F3882" t="s">
        <v>144</v>
      </c>
      <c r="G3882" t="s">
        <v>91</v>
      </c>
      <c r="H3882" t="s">
        <v>23</v>
      </c>
      <c r="I3882" t="s">
        <v>45</v>
      </c>
      <c r="J3882" t="s">
        <v>94</v>
      </c>
      <c r="K3882">
        <v>8</v>
      </c>
      <c r="L3882">
        <v>51700</v>
      </c>
      <c r="M3882">
        <v>413600</v>
      </c>
      <c r="N3882" t="s">
        <v>95</v>
      </c>
      <c r="O3882" t="s">
        <v>96</v>
      </c>
    </row>
    <row r="3883" spans="1:15" x14ac:dyDescent="0.25">
      <c r="A3883">
        <v>3647</v>
      </c>
      <c r="B3883" s="10">
        <v>45904</v>
      </c>
      <c r="C3883">
        <v>4</v>
      </c>
      <c r="D3883" t="s">
        <v>147</v>
      </c>
      <c r="E3883" t="s">
        <v>138</v>
      </c>
      <c r="F3883" t="s">
        <v>22</v>
      </c>
      <c r="G3883" t="s">
        <v>91</v>
      </c>
      <c r="H3883" t="s">
        <v>23</v>
      </c>
      <c r="I3883" t="s">
        <v>24</v>
      </c>
      <c r="J3883" t="s">
        <v>103</v>
      </c>
      <c r="K3883">
        <v>13</v>
      </c>
      <c r="L3883">
        <v>51700</v>
      </c>
      <c r="M3883">
        <v>672100</v>
      </c>
      <c r="N3883" t="s">
        <v>95</v>
      </c>
      <c r="O3883" t="s">
        <v>115</v>
      </c>
    </row>
    <row r="3884" spans="1:15" x14ac:dyDescent="0.25">
      <c r="A3884">
        <v>4363</v>
      </c>
      <c r="B3884" s="10">
        <v>45870</v>
      </c>
      <c r="C3884">
        <v>1</v>
      </c>
      <c r="D3884" t="s">
        <v>109</v>
      </c>
      <c r="E3884" t="s">
        <v>137</v>
      </c>
      <c r="F3884" t="s">
        <v>134</v>
      </c>
      <c r="G3884" t="s">
        <v>100</v>
      </c>
      <c r="H3884" t="s">
        <v>23</v>
      </c>
      <c r="I3884" t="s">
        <v>24</v>
      </c>
      <c r="J3884" t="s">
        <v>103</v>
      </c>
      <c r="K3884">
        <v>29</v>
      </c>
      <c r="L3884">
        <v>51700</v>
      </c>
      <c r="M3884">
        <v>1499300</v>
      </c>
      <c r="N3884" t="s">
        <v>95</v>
      </c>
      <c r="O3884" t="s">
        <v>104</v>
      </c>
    </row>
    <row r="3885" spans="1:15" x14ac:dyDescent="0.25">
      <c r="A3885">
        <v>1941</v>
      </c>
      <c r="B3885" s="10">
        <v>45723</v>
      </c>
      <c r="C3885">
        <v>7</v>
      </c>
      <c r="D3885" t="s">
        <v>140</v>
      </c>
      <c r="E3885" t="s">
        <v>150</v>
      </c>
      <c r="F3885" t="s">
        <v>22</v>
      </c>
      <c r="G3885" t="s">
        <v>91</v>
      </c>
      <c r="H3885" t="s">
        <v>23</v>
      </c>
      <c r="I3885" t="s">
        <v>24</v>
      </c>
      <c r="J3885" t="s">
        <v>103</v>
      </c>
      <c r="K3885">
        <v>40</v>
      </c>
      <c r="L3885">
        <v>51800</v>
      </c>
      <c r="M3885">
        <v>2072000</v>
      </c>
      <c r="N3885" t="s">
        <v>108</v>
      </c>
      <c r="O3885" t="s">
        <v>115</v>
      </c>
    </row>
    <row r="3886" spans="1:15" x14ac:dyDescent="0.25">
      <c r="A3886">
        <v>2559</v>
      </c>
      <c r="B3886" s="10">
        <v>45982</v>
      </c>
      <c r="C3886">
        <v>21</v>
      </c>
      <c r="D3886" t="s">
        <v>90</v>
      </c>
      <c r="E3886" t="s">
        <v>150</v>
      </c>
      <c r="F3886" t="s">
        <v>141</v>
      </c>
      <c r="G3886" t="s">
        <v>100</v>
      </c>
      <c r="H3886" t="s">
        <v>23</v>
      </c>
      <c r="I3886" t="s">
        <v>24</v>
      </c>
      <c r="J3886" t="s">
        <v>103</v>
      </c>
      <c r="K3886">
        <v>18</v>
      </c>
      <c r="L3886">
        <v>51800</v>
      </c>
      <c r="M3886">
        <v>932400</v>
      </c>
      <c r="N3886" t="s">
        <v>108</v>
      </c>
      <c r="O3886" t="s">
        <v>115</v>
      </c>
    </row>
    <row r="3887" spans="1:15" x14ac:dyDescent="0.25">
      <c r="A3887">
        <v>4756</v>
      </c>
      <c r="B3887" s="10">
        <v>45915</v>
      </c>
      <c r="C3887">
        <v>15</v>
      </c>
      <c r="D3887" t="s">
        <v>147</v>
      </c>
      <c r="E3887" t="s">
        <v>128</v>
      </c>
      <c r="F3887" t="s">
        <v>99</v>
      </c>
      <c r="G3887" t="s">
        <v>100</v>
      </c>
      <c r="H3887" t="s">
        <v>23</v>
      </c>
      <c r="I3887" t="s">
        <v>24</v>
      </c>
      <c r="J3887" t="s">
        <v>103</v>
      </c>
      <c r="K3887">
        <v>36</v>
      </c>
      <c r="L3887">
        <v>51800</v>
      </c>
      <c r="M3887">
        <v>1864800</v>
      </c>
      <c r="N3887" t="s">
        <v>108</v>
      </c>
      <c r="O3887" t="s">
        <v>104</v>
      </c>
    </row>
    <row r="3888" spans="1:15" x14ac:dyDescent="0.25">
      <c r="A3888">
        <v>4998</v>
      </c>
      <c r="B3888" s="10">
        <v>45801</v>
      </c>
      <c r="C3888">
        <v>24</v>
      </c>
      <c r="D3888" t="s">
        <v>120</v>
      </c>
      <c r="E3888" t="s">
        <v>150</v>
      </c>
      <c r="F3888" t="s">
        <v>22</v>
      </c>
      <c r="G3888" t="s">
        <v>91</v>
      </c>
      <c r="H3888" t="s">
        <v>92</v>
      </c>
      <c r="I3888" t="s">
        <v>129</v>
      </c>
      <c r="J3888" t="s">
        <v>94</v>
      </c>
      <c r="K3888">
        <v>4</v>
      </c>
      <c r="L3888">
        <v>52000</v>
      </c>
      <c r="M3888">
        <v>208000</v>
      </c>
      <c r="N3888" t="s">
        <v>95</v>
      </c>
      <c r="O3888" t="s">
        <v>96</v>
      </c>
    </row>
    <row r="3889" spans="1:15" x14ac:dyDescent="0.25">
      <c r="A3889">
        <v>3028</v>
      </c>
      <c r="B3889" s="10">
        <v>45848</v>
      </c>
      <c r="C3889">
        <v>10</v>
      </c>
      <c r="D3889" t="s">
        <v>145</v>
      </c>
      <c r="E3889" t="s">
        <v>116</v>
      </c>
      <c r="F3889" t="s">
        <v>36</v>
      </c>
      <c r="G3889" t="s">
        <v>100</v>
      </c>
      <c r="H3889" t="s">
        <v>23</v>
      </c>
      <c r="I3889" t="s">
        <v>24</v>
      </c>
      <c r="J3889" t="s">
        <v>103</v>
      </c>
      <c r="K3889">
        <v>16</v>
      </c>
      <c r="L3889">
        <v>52100</v>
      </c>
      <c r="M3889">
        <v>833600</v>
      </c>
      <c r="N3889" t="s">
        <v>108</v>
      </c>
      <c r="O3889" t="s">
        <v>96</v>
      </c>
    </row>
    <row r="3890" spans="1:15" x14ac:dyDescent="0.25">
      <c r="A3890">
        <v>4925</v>
      </c>
      <c r="B3890" s="10">
        <v>45801</v>
      </c>
      <c r="C3890">
        <v>24</v>
      </c>
      <c r="D3890" t="s">
        <v>120</v>
      </c>
      <c r="E3890" t="s">
        <v>31</v>
      </c>
      <c r="F3890" t="s">
        <v>49</v>
      </c>
      <c r="G3890" t="s">
        <v>118</v>
      </c>
      <c r="H3890" t="s">
        <v>23</v>
      </c>
      <c r="I3890" t="s">
        <v>24</v>
      </c>
      <c r="J3890" t="s">
        <v>103</v>
      </c>
      <c r="K3890">
        <v>37</v>
      </c>
      <c r="L3890">
        <v>52100</v>
      </c>
      <c r="M3890">
        <v>1927700</v>
      </c>
      <c r="N3890" t="s">
        <v>108</v>
      </c>
      <c r="O3890" t="s">
        <v>115</v>
      </c>
    </row>
    <row r="3891" spans="1:15" x14ac:dyDescent="0.25">
      <c r="A3891">
        <v>1391</v>
      </c>
      <c r="B3891" s="10">
        <v>45669</v>
      </c>
      <c r="C3891">
        <v>12</v>
      </c>
      <c r="D3891" t="s">
        <v>130</v>
      </c>
      <c r="E3891" t="s">
        <v>98</v>
      </c>
      <c r="F3891" t="s">
        <v>148</v>
      </c>
      <c r="G3891" t="s">
        <v>118</v>
      </c>
      <c r="H3891" t="s">
        <v>23</v>
      </c>
      <c r="I3891" t="s">
        <v>24</v>
      </c>
      <c r="J3891" t="s">
        <v>103</v>
      </c>
      <c r="K3891">
        <v>43</v>
      </c>
      <c r="L3891">
        <v>52200</v>
      </c>
      <c r="M3891">
        <v>2244600</v>
      </c>
      <c r="N3891" t="s">
        <v>95</v>
      </c>
      <c r="O3891" t="s">
        <v>104</v>
      </c>
    </row>
    <row r="3892" spans="1:15" x14ac:dyDescent="0.25">
      <c r="A3892">
        <v>372</v>
      </c>
      <c r="B3892" s="10">
        <v>45907</v>
      </c>
      <c r="C3892">
        <v>7</v>
      </c>
      <c r="D3892" t="s">
        <v>147</v>
      </c>
      <c r="E3892" t="s">
        <v>150</v>
      </c>
      <c r="F3892" t="s">
        <v>148</v>
      </c>
      <c r="G3892" t="s">
        <v>118</v>
      </c>
      <c r="H3892" t="s">
        <v>23</v>
      </c>
      <c r="I3892" t="s">
        <v>24</v>
      </c>
      <c r="J3892" t="s">
        <v>103</v>
      </c>
      <c r="K3892">
        <v>45</v>
      </c>
      <c r="L3892">
        <v>52300</v>
      </c>
      <c r="M3892">
        <v>2353500</v>
      </c>
      <c r="N3892" t="s">
        <v>108</v>
      </c>
      <c r="O3892" t="s">
        <v>104</v>
      </c>
    </row>
    <row r="3893" spans="1:15" x14ac:dyDescent="0.25">
      <c r="A3893">
        <v>3886</v>
      </c>
      <c r="B3893" s="10">
        <v>45739</v>
      </c>
      <c r="C3893">
        <v>23</v>
      </c>
      <c r="D3893" t="s">
        <v>140</v>
      </c>
      <c r="E3893" t="s">
        <v>112</v>
      </c>
      <c r="F3893" t="s">
        <v>134</v>
      </c>
      <c r="G3893" t="s">
        <v>100</v>
      </c>
      <c r="H3893" t="s">
        <v>23</v>
      </c>
      <c r="I3893" t="s">
        <v>24</v>
      </c>
      <c r="J3893" t="s">
        <v>103</v>
      </c>
      <c r="K3893">
        <v>46</v>
      </c>
      <c r="L3893">
        <v>52400</v>
      </c>
      <c r="M3893">
        <v>2410400</v>
      </c>
      <c r="N3893" t="s">
        <v>95</v>
      </c>
      <c r="O3893" t="s">
        <v>115</v>
      </c>
    </row>
    <row r="3894" spans="1:15" x14ac:dyDescent="0.25">
      <c r="A3894">
        <v>2761</v>
      </c>
      <c r="B3894" s="10">
        <v>45904</v>
      </c>
      <c r="C3894">
        <v>4</v>
      </c>
      <c r="D3894" t="s">
        <v>147</v>
      </c>
      <c r="E3894" t="s">
        <v>133</v>
      </c>
      <c r="F3894" t="s">
        <v>134</v>
      </c>
      <c r="G3894" t="s">
        <v>100</v>
      </c>
      <c r="H3894" t="s">
        <v>23</v>
      </c>
      <c r="I3894" t="s">
        <v>24</v>
      </c>
      <c r="J3894" t="s">
        <v>103</v>
      </c>
      <c r="K3894">
        <v>45</v>
      </c>
      <c r="L3894">
        <v>52600</v>
      </c>
      <c r="M3894">
        <v>2367000</v>
      </c>
      <c r="N3894" t="s">
        <v>108</v>
      </c>
      <c r="O3894" t="s">
        <v>96</v>
      </c>
    </row>
    <row r="3895" spans="1:15" x14ac:dyDescent="0.25">
      <c r="A3895">
        <v>4360</v>
      </c>
      <c r="B3895" s="10">
        <v>45884</v>
      </c>
      <c r="C3895">
        <v>15</v>
      </c>
      <c r="D3895" t="s">
        <v>109</v>
      </c>
      <c r="E3895" t="s">
        <v>133</v>
      </c>
      <c r="F3895" t="s">
        <v>134</v>
      </c>
      <c r="G3895" t="s">
        <v>100</v>
      </c>
      <c r="H3895" t="s">
        <v>23</v>
      </c>
      <c r="I3895" t="s">
        <v>24</v>
      </c>
      <c r="J3895" t="s">
        <v>103</v>
      </c>
      <c r="K3895">
        <v>27</v>
      </c>
      <c r="L3895">
        <v>52700</v>
      </c>
      <c r="M3895">
        <v>1422900</v>
      </c>
      <c r="N3895" t="s">
        <v>108</v>
      </c>
      <c r="O3895" t="s">
        <v>104</v>
      </c>
    </row>
    <row r="3896" spans="1:15" x14ac:dyDescent="0.25">
      <c r="A3896">
        <v>4992</v>
      </c>
      <c r="B3896" s="10">
        <v>46010</v>
      </c>
      <c r="C3896">
        <v>19</v>
      </c>
      <c r="D3896" t="s">
        <v>125</v>
      </c>
      <c r="E3896" t="s">
        <v>138</v>
      </c>
      <c r="F3896" t="s">
        <v>36</v>
      </c>
      <c r="G3896" t="s">
        <v>100</v>
      </c>
      <c r="H3896" t="s">
        <v>23</v>
      </c>
      <c r="I3896" t="s">
        <v>24</v>
      </c>
      <c r="J3896" t="s">
        <v>103</v>
      </c>
      <c r="K3896">
        <v>26</v>
      </c>
      <c r="L3896">
        <v>52700</v>
      </c>
      <c r="M3896">
        <v>1370200</v>
      </c>
      <c r="N3896" t="s">
        <v>108</v>
      </c>
      <c r="O3896" t="s">
        <v>115</v>
      </c>
    </row>
    <row r="3897" spans="1:15" x14ac:dyDescent="0.25">
      <c r="A3897">
        <v>2622</v>
      </c>
      <c r="B3897" s="10">
        <v>45754</v>
      </c>
      <c r="C3897">
        <v>7</v>
      </c>
      <c r="D3897" t="s">
        <v>105</v>
      </c>
      <c r="E3897" t="s">
        <v>106</v>
      </c>
      <c r="F3897" t="s">
        <v>151</v>
      </c>
      <c r="G3897" t="s">
        <v>111</v>
      </c>
      <c r="H3897" t="s">
        <v>23</v>
      </c>
      <c r="I3897" t="s">
        <v>24</v>
      </c>
      <c r="J3897" t="s">
        <v>103</v>
      </c>
      <c r="K3897">
        <v>8</v>
      </c>
      <c r="L3897">
        <v>53000</v>
      </c>
      <c r="M3897">
        <v>424000</v>
      </c>
      <c r="N3897" t="s">
        <v>95</v>
      </c>
      <c r="O3897" t="s">
        <v>96</v>
      </c>
    </row>
    <row r="3898" spans="1:15" x14ac:dyDescent="0.25">
      <c r="A3898">
        <v>2031</v>
      </c>
      <c r="B3898" s="10">
        <v>45996</v>
      </c>
      <c r="C3898">
        <v>5</v>
      </c>
      <c r="D3898" t="s">
        <v>125</v>
      </c>
      <c r="E3898" t="s">
        <v>110</v>
      </c>
      <c r="F3898" t="s">
        <v>22</v>
      </c>
      <c r="G3898" t="s">
        <v>91</v>
      </c>
      <c r="H3898" t="s">
        <v>23</v>
      </c>
      <c r="I3898" t="s">
        <v>24</v>
      </c>
      <c r="J3898" t="s">
        <v>103</v>
      </c>
      <c r="K3898">
        <v>44</v>
      </c>
      <c r="L3898">
        <v>53100</v>
      </c>
      <c r="M3898">
        <v>2336400</v>
      </c>
      <c r="N3898" t="s">
        <v>108</v>
      </c>
      <c r="O3898" t="s">
        <v>115</v>
      </c>
    </row>
    <row r="3899" spans="1:15" x14ac:dyDescent="0.25">
      <c r="A3899">
        <v>4087</v>
      </c>
      <c r="B3899" s="10">
        <v>45777</v>
      </c>
      <c r="C3899">
        <v>30</v>
      </c>
      <c r="D3899" t="s">
        <v>105</v>
      </c>
      <c r="E3899" t="s">
        <v>150</v>
      </c>
      <c r="F3899" t="s">
        <v>49</v>
      </c>
      <c r="G3899" t="s">
        <v>118</v>
      </c>
      <c r="H3899" t="s">
        <v>23</v>
      </c>
      <c r="I3899" t="s">
        <v>24</v>
      </c>
      <c r="J3899" t="s">
        <v>103</v>
      </c>
      <c r="K3899">
        <v>44</v>
      </c>
      <c r="L3899">
        <v>53200</v>
      </c>
      <c r="M3899">
        <v>2340800</v>
      </c>
      <c r="N3899" t="s">
        <v>95</v>
      </c>
      <c r="O3899" t="s">
        <v>115</v>
      </c>
    </row>
    <row r="3900" spans="1:15" x14ac:dyDescent="0.25">
      <c r="A3900">
        <v>501</v>
      </c>
      <c r="B3900" s="10">
        <v>45974</v>
      </c>
      <c r="C3900">
        <v>13</v>
      </c>
      <c r="D3900" t="s">
        <v>90</v>
      </c>
      <c r="E3900" t="s">
        <v>31</v>
      </c>
      <c r="F3900" t="s">
        <v>44</v>
      </c>
      <c r="G3900" t="s">
        <v>111</v>
      </c>
      <c r="H3900" t="s">
        <v>23</v>
      </c>
      <c r="I3900" t="s">
        <v>24</v>
      </c>
      <c r="J3900" t="s">
        <v>103</v>
      </c>
      <c r="K3900">
        <v>17</v>
      </c>
      <c r="L3900">
        <v>53400</v>
      </c>
      <c r="M3900">
        <v>907800</v>
      </c>
      <c r="N3900" t="s">
        <v>95</v>
      </c>
      <c r="O3900" t="s">
        <v>115</v>
      </c>
    </row>
    <row r="3901" spans="1:15" x14ac:dyDescent="0.25">
      <c r="A3901">
        <v>801</v>
      </c>
      <c r="B3901" s="10">
        <v>45819</v>
      </c>
      <c r="C3901">
        <v>11</v>
      </c>
      <c r="D3901" t="s">
        <v>153</v>
      </c>
      <c r="E3901" t="s">
        <v>137</v>
      </c>
      <c r="F3901" t="s">
        <v>122</v>
      </c>
      <c r="G3901" t="s">
        <v>114</v>
      </c>
      <c r="H3901" t="s">
        <v>23</v>
      </c>
      <c r="I3901" t="s">
        <v>24</v>
      </c>
      <c r="J3901" t="s">
        <v>103</v>
      </c>
      <c r="K3901">
        <v>32</v>
      </c>
      <c r="L3901">
        <v>53400</v>
      </c>
      <c r="M3901">
        <v>1708800</v>
      </c>
      <c r="N3901" t="s">
        <v>108</v>
      </c>
      <c r="O3901" t="s">
        <v>115</v>
      </c>
    </row>
    <row r="3902" spans="1:15" x14ac:dyDescent="0.25">
      <c r="A3902">
        <v>1442</v>
      </c>
      <c r="B3902" s="10">
        <v>45784</v>
      </c>
      <c r="C3902">
        <v>7</v>
      </c>
      <c r="D3902" t="s">
        <v>120</v>
      </c>
      <c r="E3902" t="s">
        <v>133</v>
      </c>
      <c r="F3902" t="s">
        <v>28</v>
      </c>
      <c r="G3902" t="s">
        <v>126</v>
      </c>
      <c r="H3902" t="s">
        <v>23</v>
      </c>
      <c r="I3902" t="s">
        <v>24</v>
      </c>
      <c r="J3902" t="s">
        <v>103</v>
      </c>
      <c r="K3902">
        <v>19</v>
      </c>
      <c r="L3902">
        <v>54000</v>
      </c>
      <c r="M3902">
        <v>1026000</v>
      </c>
      <c r="N3902" t="s">
        <v>95</v>
      </c>
      <c r="O3902" t="s">
        <v>104</v>
      </c>
    </row>
    <row r="3903" spans="1:15" x14ac:dyDescent="0.25">
      <c r="A3903">
        <v>2965</v>
      </c>
      <c r="B3903" s="10">
        <v>45730</v>
      </c>
      <c r="C3903">
        <v>14</v>
      </c>
      <c r="D3903" t="s">
        <v>140</v>
      </c>
      <c r="E3903" t="s">
        <v>31</v>
      </c>
      <c r="F3903" t="s">
        <v>113</v>
      </c>
      <c r="G3903" t="s">
        <v>114</v>
      </c>
      <c r="H3903" t="s">
        <v>23</v>
      </c>
      <c r="I3903" t="s">
        <v>24</v>
      </c>
      <c r="J3903" t="s">
        <v>103</v>
      </c>
      <c r="K3903">
        <v>24</v>
      </c>
      <c r="L3903">
        <v>54100</v>
      </c>
      <c r="M3903">
        <v>1298400</v>
      </c>
      <c r="N3903" t="s">
        <v>95</v>
      </c>
      <c r="O3903" t="s">
        <v>115</v>
      </c>
    </row>
    <row r="3904" spans="1:15" x14ac:dyDescent="0.25">
      <c r="A3904">
        <v>3894</v>
      </c>
      <c r="B3904" s="10">
        <v>45782</v>
      </c>
      <c r="C3904">
        <v>5</v>
      </c>
      <c r="D3904" t="s">
        <v>120</v>
      </c>
      <c r="E3904" t="s">
        <v>150</v>
      </c>
      <c r="F3904" t="s">
        <v>44</v>
      </c>
      <c r="G3904" t="s">
        <v>111</v>
      </c>
      <c r="H3904" t="s">
        <v>23</v>
      </c>
      <c r="I3904" t="s">
        <v>24</v>
      </c>
      <c r="J3904" t="s">
        <v>94</v>
      </c>
      <c r="K3904">
        <v>3</v>
      </c>
      <c r="L3904">
        <v>54300</v>
      </c>
      <c r="M3904">
        <v>162900</v>
      </c>
      <c r="N3904" t="s">
        <v>108</v>
      </c>
      <c r="O3904" t="s">
        <v>104</v>
      </c>
    </row>
    <row r="3905" spans="1:15" x14ac:dyDescent="0.25">
      <c r="A3905">
        <v>569</v>
      </c>
      <c r="B3905" s="10">
        <v>45978</v>
      </c>
      <c r="C3905">
        <v>17</v>
      </c>
      <c r="D3905" t="s">
        <v>90</v>
      </c>
      <c r="E3905" t="s">
        <v>31</v>
      </c>
      <c r="F3905" t="s">
        <v>99</v>
      </c>
      <c r="G3905" t="s">
        <v>100</v>
      </c>
      <c r="H3905" t="s">
        <v>23</v>
      </c>
      <c r="I3905" t="s">
        <v>24</v>
      </c>
      <c r="J3905" t="s">
        <v>94</v>
      </c>
      <c r="K3905">
        <v>10</v>
      </c>
      <c r="L3905">
        <v>54400</v>
      </c>
      <c r="M3905">
        <v>544000</v>
      </c>
      <c r="N3905" t="s">
        <v>108</v>
      </c>
      <c r="O3905" t="s">
        <v>96</v>
      </c>
    </row>
    <row r="3906" spans="1:15" x14ac:dyDescent="0.25">
      <c r="A3906">
        <v>1287</v>
      </c>
      <c r="B3906" s="10">
        <v>45844</v>
      </c>
      <c r="C3906">
        <v>6</v>
      </c>
      <c r="D3906" t="s">
        <v>145</v>
      </c>
      <c r="E3906" t="s">
        <v>150</v>
      </c>
      <c r="F3906" t="s">
        <v>44</v>
      </c>
      <c r="G3906" t="s">
        <v>111</v>
      </c>
      <c r="H3906" t="s">
        <v>23</v>
      </c>
      <c r="I3906" t="s">
        <v>24</v>
      </c>
      <c r="J3906" t="s">
        <v>94</v>
      </c>
      <c r="K3906">
        <v>9</v>
      </c>
      <c r="L3906">
        <v>54500</v>
      </c>
      <c r="M3906">
        <v>490500</v>
      </c>
      <c r="N3906" t="s">
        <v>95</v>
      </c>
      <c r="O3906" t="s">
        <v>115</v>
      </c>
    </row>
    <row r="3907" spans="1:15" x14ac:dyDescent="0.25">
      <c r="A3907">
        <v>3291</v>
      </c>
      <c r="B3907" s="10">
        <v>45963</v>
      </c>
      <c r="C3907">
        <v>2</v>
      </c>
      <c r="D3907" t="s">
        <v>90</v>
      </c>
      <c r="E3907" t="s">
        <v>25</v>
      </c>
      <c r="F3907" t="s">
        <v>141</v>
      </c>
      <c r="G3907" t="s">
        <v>100</v>
      </c>
      <c r="H3907" t="s">
        <v>23</v>
      </c>
      <c r="I3907" t="s">
        <v>24</v>
      </c>
      <c r="J3907" t="s">
        <v>103</v>
      </c>
      <c r="K3907">
        <v>42</v>
      </c>
      <c r="L3907">
        <v>54600</v>
      </c>
      <c r="M3907">
        <v>2293200</v>
      </c>
      <c r="N3907" t="s">
        <v>95</v>
      </c>
      <c r="O3907" t="s">
        <v>104</v>
      </c>
    </row>
    <row r="3908" spans="1:15" x14ac:dyDescent="0.25">
      <c r="A3908">
        <v>4007</v>
      </c>
      <c r="B3908" s="10">
        <v>45931</v>
      </c>
      <c r="C3908">
        <v>1</v>
      </c>
      <c r="D3908" t="s">
        <v>136</v>
      </c>
      <c r="E3908" t="s">
        <v>121</v>
      </c>
      <c r="F3908" t="s">
        <v>151</v>
      </c>
      <c r="G3908" t="s">
        <v>111</v>
      </c>
      <c r="H3908" t="s">
        <v>23</v>
      </c>
      <c r="I3908" t="s">
        <v>157</v>
      </c>
      <c r="J3908" t="s">
        <v>103</v>
      </c>
      <c r="K3908">
        <v>45</v>
      </c>
      <c r="L3908">
        <v>55100</v>
      </c>
      <c r="M3908">
        <v>2479500</v>
      </c>
      <c r="N3908" t="s">
        <v>95</v>
      </c>
      <c r="O3908" t="s">
        <v>115</v>
      </c>
    </row>
    <row r="3909" spans="1:15" x14ac:dyDescent="0.25">
      <c r="A3909">
        <v>4083</v>
      </c>
      <c r="B3909" s="10">
        <v>46018</v>
      </c>
      <c r="C3909">
        <v>27</v>
      </c>
      <c r="D3909" t="s">
        <v>125</v>
      </c>
      <c r="E3909" t="s">
        <v>112</v>
      </c>
      <c r="F3909" t="s">
        <v>134</v>
      </c>
      <c r="G3909" t="s">
        <v>100</v>
      </c>
      <c r="H3909" t="s">
        <v>23</v>
      </c>
      <c r="I3909" t="s">
        <v>24</v>
      </c>
      <c r="J3909" t="s">
        <v>103</v>
      </c>
      <c r="K3909">
        <v>44</v>
      </c>
      <c r="L3909">
        <v>55300</v>
      </c>
      <c r="M3909">
        <v>2433200</v>
      </c>
      <c r="N3909" t="s">
        <v>95</v>
      </c>
      <c r="O3909" t="s">
        <v>104</v>
      </c>
    </row>
    <row r="3910" spans="1:15" x14ac:dyDescent="0.25">
      <c r="A3910">
        <v>1852</v>
      </c>
      <c r="B3910" s="10">
        <v>45950</v>
      </c>
      <c r="C3910">
        <v>20</v>
      </c>
      <c r="D3910" t="s">
        <v>136</v>
      </c>
      <c r="E3910" t="s">
        <v>98</v>
      </c>
      <c r="F3910" t="s">
        <v>148</v>
      </c>
      <c r="G3910" t="s">
        <v>118</v>
      </c>
      <c r="H3910" t="s">
        <v>23</v>
      </c>
      <c r="I3910" t="s">
        <v>24</v>
      </c>
      <c r="J3910" t="s">
        <v>103</v>
      </c>
      <c r="K3910">
        <v>18</v>
      </c>
      <c r="L3910">
        <v>55500</v>
      </c>
      <c r="M3910">
        <v>999000</v>
      </c>
      <c r="N3910" t="s">
        <v>95</v>
      </c>
      <c r="O3910" t="s">
        <v>115</v>
      </c>
    </row>
    <row r="3911" spans="1:15" x14ac:dyDescent="0.25">
      <c r="A3911">
        <v>4101</v>
      </c>
      <c r="B3911" s="10">
        <v>45746</v>
      </c>
      <c r="C3911">
        <v>30</v>
      </c>
      <c r="D3911" t="s">
        <v>140</v>
      </c>
      <c r="E3911" t="s">
        <v>142</v>
      </c>
      <c r="F3911" t="s">
        <v>22</v>
      </c>
      <c r="G3911" t="s">
        <v>91</v>
      </c>
      <c r="H3911" t="s">
        <v>23</v>
      </c>
      <c r="I3911" t="s">
        <v>24</v>
      </c>
      <c r="J3911" t="s">
        <v>94</v>
      </c>
      <c r="K3911">
        <v>2</v>
      </c>
      <c r="L3911">
        <v>55500</v>
      </c>
      <c r="M3911">
        <v>111000</v>
      </c>
      <c r="N3911" t="s">
        <v>95</v>
      </c>
      <c r="O3911" t="s">
        <v>104</v>
      </c>
    </row>
    <row r="3912" spans="1:15" x14ac:dyDescent="0.25">
      <c r="A3912">
        <v>3374</v>
      </c>
      <c r="B3912" s="10">
        <v>45772</v>
      </c>
      <c r="C3912">
        <v>25</v>
      </c>
      <c r="D3912" t="s">
        <v>105</v>
      </c>
      <c r="E3912" t="s">
        <v>98</v>
      </c>
      <c r="F3912" t="s">
        <v>107</v>
      </c>
      <c r="G3912" t="s">
        <v>100</v>
      </c>
      <c r="H3912" t="s">
        <v>23</v>
      </c>
      <c r="I3912" t="s">
        <v>24</v>
      </c>
      <c r="J3912" t="s">
        <v>103</v>
      </c>
      <c r="K3912">
        <v>37</v>
      </c>
      <c r="L3912">
        <v>55600</v>
      </c>
      <c r="M3912">
        <v>2057200</v>
      </c>
      <c r="N3912" t="s">
        <v>95</v>
      </c>
      <c r="O3912" t="s">
        <v>96</v>
      </c>
    </row>
    <row r="3913" spans="1:15" x14ac:dyDescent="0.25">
      <c r="A3913">
        <v>347</v>
      </c>
      <c r="B3913" s="10">
        <v>45711</v>
      </c>
      <c r="C3913">
        <v>23</v>
      </c>
      <c r="D3913" t="s">
        <v>97</v>
      </c>
      <c r="E3913" t="s">
        <v>116</v>
      </c>
      <c r="F3913" t="s">
        <v>134</v>
      </c>
      <c r="G3913" t="s">
        <v>100</v>
      </c>
      <c r="H3913" t="s">
        <v>23</v>
      </c>
      <c r="I3913" t="s">
        <v>24</v>
      </c>
      <c r="J3913" t="s">
        <v>94</v>
      </c>
      <c r="K3913">
        <v>6</v>
      </c>
      <c r="L3913">
        <v>55700</v>
      </c>
      <c r="M3913">
        <v>334200</v>
      </c>
      <c r="N3913" t="s">
        <v>108</v>
      </c>
      <c r="O3913" t="s">
        <v>115</v>
      </c>
    </row>
    <row r="3914" spans="1:15" x14ac:dyDescent="0.25">
      <c r="A3914">
        <v>3921</v>
      </c>
      <c r="B3914" s="10">
        <v>45999</v>
      </c>
      <c r="C3914">
        <v>8</v>
      </c>
      <c r="D3914" t="s">
        <v>125</v>
      </c>
      <c r="E3914" t="s">
        <v>142</v>
      </c>
      <c r="F3914" t="s">
        <v>141</v>
      </c>
      <c r="G3914" t="s">
        <v>100</v>
      </c>
      <c r="H3914" t="s">
        <v>23</v>
      </c>
      <c r="I3914" t="s">
        <v>24</v>
      </c>
      <c r="J3914" t="s">
        <v>103</v>
      </c>
      <c r="K3914">
        <v>22</v>
      </c>
      <c r="L3914">
        <v>55700</v>
      </c>
      <c r="M3914">
        <v>1225400</v>
      </c>
      <c r="N3914" t="s">
        <v>95</v>
      </c>
      <c r="O3914" t="s">
        <v>115</v>
      </c>
    </row>
    <row r="3915" spans="1:15" x14ac:dyDescent="0.25">
      <c r="A3915">
        <v>3857</v>
      </c>
      <c r="B3915" s="10">
        <v>45895</v>
      </c>
      <c r="C3915">
        <v>26</v>
      </c>
      <c r="D3915" t="s">
        <v>109</v>
      </c>
      <c r="E3915" t="s">
        <v>133</v>
      </c>
      <c r="F3915" t="s">
        <v>28</v>
      </c>
      <c r="G3915" t="s">
        <v>126</v>
      </c>
      <c r="H3915" t="s">
        <v>23</v>
      </c>
      <c r="I3915" t="s">
        <v>24</v>
      </c>
      <c r="J3915" t="s">
        <v>94</v>
      </c>
      <c r="K3915">
        <v>2</v>
      </c>
      <c r="L3915">
        <v>55800</v>
      </c>
      <c r="M3915">
        <v>111600</v>
      </c>
      <c r="N3915" t="s">
        <v>108</v>
      </c>
      <c r="O3915" t="s">
        <v>96</v>
      </c>
    </row>
    <row r="3916" spans="1:15" x14ac:dyDescent="0.25">
      <c r="A3916">
        <v>3740</v>
      </c>
      <c r="B3916" s="10">
        <v>45667</v>
      </c>
      <c r="C3916">
        <v>10</v>
      </c>
      <c r="D3916" t="s">
        <v>130</v>
      </c>
      <c r="E3916" t="s">
        <v>161</v>
      </c>
      <c r="F3916" t="s">
        <v>141</v>
      </c>
      <c r="G3916" t="s">
        <v>100</v>
      </c>
      <c r="H3916" t="s">
        <v>23</v>
      </c>
      <c r="I3916" t="s">
        <v>24</v>
      </c>
      <c r="J3916" t="s">
        <v>94</v>
      </c>
      <c r="K3916">
        <v>3</v>
      </c>
      <c r="L3916">
        <v>56000</v>
      </c>
      <c r="M3916">
        <v>168000</v>
      </c>
      <c r="N3916" t="s">
        <v>108</v>
      </c>
      <c r="O3916" t="s">
        <v>96</v>
      </c>
    </row>
    <row r="3917" spans="1:15" x14ac:dyDescent="0.25">
      <c r="A3917">
        <v>3410</v>
      </c>
      <c r="B3917" s="10">
        <v>45949</v>
      </c>
      <c r="C3917">
        <v>19</v>
      </c>
      <c r="D3917" t="s">
        <v>136</v>
      </c>
      <c r="E3917" t="s">
        <v>110</v>
      </c>
      <c r="F3917" t="s">
        <v>49</v>
      </c>
      <c r="G3917" t="s">
        <v>118</v>
      </c>
      <c r="H3917" t="s">
        <v>23</v>
      </c>
      <c r="I3917" t="s">
        <v>24</v>
      </c>
      <c r="J3917" t="s">
        <v>103</v>
      </c>
      <c r="K3917">
        <v>11</v>
      </c>
      <c r="L3917">
        <v>56200</v>
      </c>
      <c r="M3917">
        <v>618200</v>
      </c>
      <c r="N3917" t="s">
        <v>108</v>
      </c>
      <c r="O3917" t="s">
        <v>115</v>
      </c>
    </row>
    <row r="3918" spans="1:15" x14ac:dyDescent="0.25">
      <c r="A3918">
        <v>3528</v>
      </c>
      <c r="B3918" s="10">
        <v>45891</v>
      </c>
      <c r="C3918">
        <v>22</v>
      </c>
      <c r="D3918" t="s">
        <v>109</v>
      </c>
      <c r="E3918" t="s">
        <v>128</v>
      </c>
      <c r="F3918" t="s">
        <v>99</v>
      </c>
      <c r="G3918" t="s">
        <v>100</v>
      </c>
      <c r="H3918" t="s">
        <v>23</v>
      </c>
      <c r="I3918" t="s">
        <v>24</v>
      </c>
      <c r="J3918" t="s">
        <v>103</v>
      </c>
      <c r="K3918">
        <v>13</v>
      </c>
      <c r="L3918">
        <v>56300</v>
      </c>
      <c r="M3918">
        <v>731900</v>
      </c>
      <c r="N3918" t="s">
        <v>108</v>
      </c>
      <c r="O3918" t="s">
        <v>104</v>
      </c>
    </row>
    <row r="3919" spans="1:15" x14ac:dyDescent="0.25">
      <c r="A3919">
        <v>4873</v>
      </c>
      <c r="B3919" s="10">
        <v>45790</v>
      </c>
      <c r="C3919">
        <v>13</v>
      </c>
      <c r="D3919" t="s">
        <v>120</v>
      </c>
      <c r="E3919" t="s">
        <v>31</v>
      </c>
      <c r="F3919" t="s">
        <v>122</v>
      </c>
      <c r="G3919" t="s">
        <v>114</v>
      </c>
      <c r="H3919" t="s">
        <v>23</v>
      </c>
      <c r="I3919" t="s">
        <v>24</v>
      </c>
      <c r="J3919" t="s">
        <v>94</v>
      </c>
      <c r="K3919">
        <v>3</v>
      </c>
      <c r="L3919">
        <v>56300</v>
      </c>
      <c r="M3919">
        <v>168900</v>
      </c>
      <c r="N3919" t="s">
        <v>95</v>
      </c>
      <c r="O3919" t="s">
        <v>115</v>
      </c>
    </row>
    <row r="3920" spans="1:15" x14ac:dyDescent="0.25">
      <c r="A3920">
        <v>1817</v>
      </c>
      <c r="B3920" s="10">
        <v>45664</v>
      </c>
      <c r="C3920">
        <v>7</v>
      </c>
      <c r="D3920" t="s">
        <v>130</v>
      </c>
      <c r="E3920" t="s">
        <v>116</v>
      </c>
      <c r="F3920" t="s">
        <v>49</v>
      </c>
      <c r="G3920" t="s">
        <v>118</v>
      </c>
      <c r="H3920" t="s">
        <v>23</v>
      </c>
      <c r="I3920" t="s">
        <v>157</v>
      </c>
      <c r="J3920" t="s">
        <v>103</v>
      </c>
      <c r="K3920">
        <v>33</v>
      </c>
      <c r="L3920">
        <v>56900</v>
      </c>
      <c r="M3920">
        <v>1877700</v>
      </c>
      <c r="N3920" t="s">
        <v>108</v>
      </c>
      <c r="O3920" t="s">
        <v>96</v>
      </c>
    </row>
    <row r="3921" spans="1:15" x14ac:dyDescent="0.25">
      <c r="A3921">
        <v>263</v>
      </c>
      <c r="B3921" s="10">
        <v>45833</v>
      </c>
      <c r="C3921">
        <v>25</v>
      </c>
      <c r="D3921" t="s">
        <v>153</v>
      </c>
      <c r="E3921" t="s">
        <v>137</v>
      </c>
      <c r="F3921" t="s">
        <v>113</v>
      </c>
      <c r="G3921" t="s">
        <v>114</v>
      </c>
      <c r="H3921" t="s">
        <v>92</v>
      </c>
      <c r="I3921" t="s">
        <v>93</v>
      </c>
      <c r="J3921" t="s">
        <v>103</v>
      </c>
      <c r="K3921">
        <v>17</v>
      </c>
      <c r="L3921">
        <v>57000</v>
      </c>
      <c r="M3921">
        <v>969000</v>
      </c>
      <c r="N3921" t="s">
        <v>95</v>
      </c>
      <c r="O3921" t="s">
        <v>115</v>
      </c>
    </row>
    <row r="3922" spans="1:15" x14ac:dyDescent="0.25">
      <c r="A3922">
        <v>2472</v>
      </c>
      <c r="B3922" s="10">
        <v>45664</v>
      </c>
      <c r="C3922">
        <v>7</v>
      </c>
      <c r="D3922" t="s">
        <v>130</v>
      </c>
      <c r="E3922" t="s">
        <v>98</v>
      </c>
      <c r="F3922" t="s">
        <v>107</v>
      </c>
      <c r="G3922" t="s">
        <v>100</v>
      </c>
      <c r="H3922" t="s">
        <v>23</v>
      </c>
      <c r="I3922" t="s">
        <v>24</v>
      </c>
      <c r="J3922" t="s">
        <v>103</v>
      </c>
      <c r="K3922">
        <v>20</v>
      </c>
      <c r="L3922">
        <v>57000</v>
      </c>
      <c r="M3922">
        <v>1140000</v>
      </c>
      <c r="N3922" t="s">
        <v>95</v>
      </c>
      <c r="O3922" t="s">
        <v>115</v>
      </c>
    </row>
    <row r="3923" spans="1:15" x14ac:dyDescent="0.25">
      <c r="A3923">
        <v>1637</v>
      </c>
      <c r="B3923" s="10">
        <v>45769</v>
      </c>
      <c r="C3923">
        <v>22</v>
      </c>
      <c r="D3923" t="s">
        <v>105</v>
      </c>
      <c r="E3923" t="s">
        <v>133</v>
      </c>
      <c r="F3923" t="s">
        <v>44</v>
      </c>
      <c r="G3923" t="s">
        <v>111</v>
      </c>
      <c r="H3923" t="s">
        <v>23</v>
      </c>
      <c r="I3923" t="s">
        <v>24</v>
      </c>
      <c r="J3923" t="s">
        <v>94</v>
      </c>
      <c r="K3923">
        <v>8</v>
      </c>
      <c r="L3923">
        <v>57100</v>
      </c>
      <c r="M3923">
        <v>456800</v>
      </c>
      <c r="N3923" t="s">
        <v>95</v>
      </c>
      <c r="O3923" t="s">
        <v>115</v>
      </c>
    </row>
    <row r="3924" spans="1:15" x14ac:dyDescent="0.25">
      <c r="A3924">
        <v>2397</v>
      </c>
      <c r="B3924" s="10">
        <v>45978</v>
      </c>
      <c r="C3924">
        <v>17</v>
      </c>
      <c r="D3924" t="s">
        <v>90</v>
      </c>
      <c r="E3924" t="s">
        <v>110</v>
      </c>
      <c r="F3924" t="s">
        <v>22</v>
      </c>
      <c r="G3924" t="s">
        <v>91</v>
      </c>
      <c r="H3924" t="s">
        <v>23</v>
      </c>
      <c r="I3924" t="s">
        <v>24</v>
      </c>
      <c r="J3924" t="s">
        <v>94</v>
      </c>
      <c r="K3924">
        <v>8</v>
      </c>
      <c r="L3924">
        <v>57200</v>
      </c>
      <c r="M3924">
        <v>457600</v>
      </c>
      <c r="N3924" t="s">
        <v>108</v>
      </c>
      <c r="O3924" t="s">
        <v>96</v>
      </c>
    </row>
    <row r="3925" spans="1:15" x14ac:dyDescent="0.25">
      <c r="A3925">
        <v>3626</v>
      </c>
      <c r="B3925" s="10">
        <v>45972</v>
      </c>
      <c r="C3925">
        <v>11</v>
      </c>
      <c r="D3925" t="s">
        <v>90</v>
      </c>
      <c r="E3925" t="s">
        <v>150</v>
      </c>
      <c r="F3925" t="s">
        <v>49</v>
      </c>
      <c r="G3925" t="s">
        <v>118</v>
      </c>
      <c r="H3925" t="s">
        <v>23</v>
      </c>
      <c r="I3925" t="s">
        <v>24</v>
      </c>
      <c r="J3925" t="s">
        <v>94</v>
      </c>
      <c r="K3925">
        <v>10</v>
      </c>
      <c r="L3925">
        <v>57200</v>
      </c>
      <c r="M3925">
        <v>572000</v>
      </c>
      <c r="N3925" t="s">
        <v>108</v>
      </c>
      <c r="O3925" t="s">
        <v>115</v>
      </c>
    </row>
    <row r="3926" spans="1:15" x14ac:dyDescent="0.25">
      <c r="A3926">
        <v>2876</v>
      </c>
      <c r="B3926" s="10">
        <v>45901</v>
      </c>
      <c r="C3926">
        <v>1</v>
      </c>
      <c r="D3926" t="s">
        <v>147</v>
      </c>
      <c r="E3926" t="s">
        <v>110</v>
      </c>
      <c r="F3926" t="s">
        <v>113</v>
      </c>
      <c r="G3926" t="s">
        <v>114</v>
      </c>
      <c r="H3926" t="s">
        <v>23</v>
      </c>
      <c r="I3926" t="s">
        <v>24</v>
      </c>
      <c r="J3926" t="s">
        <v>94</v>
      </c>
      <c r="K3926">
        <v>8</v>
      </c>
      <c r="L3926">
        <v>57300</v>
      </c>
      <c r="M3926">
        <v>458400</v>
      </c>
      <c r="N3926" t="s">
        <v>95</v>
      </c>
      <c r="O3926" t="s">
        <v>104</v>
      </c>
    </row>
    <row r="3927" spans="1:15" x14ac:dyDescent="0.25">
      <c r="A3927">
        <v>3512</v>
      </c>
      <c r="B3927" s="10">
        <v>45888</v>
      </c>
      <c r="C3927">
        <v>19</v>
      </c>
      <c r="D3927" t="s">
        <v>109</v>
      </c>
      <c r="E3927" t="s">
        <v>137</v>
      </c>
      <c r="F3927" t="s">
        <v>44</v>
      </c>
      <c r="G3927" t="s">
        <v>111</v>
      </c>
      <c r="H3927" t="s">
        <v>23</v>
      </c>
      <c r="I3927" t="s">
        <v>24</v>
      </c>
      <c r="J3927" t="s">
        <v>94</v>
      </c>
      <c r="K3927">
        <v>3</v>
      </c>
      <c r="L3927">
        <v>57400</v>
      </c>
      <c r="M3927">
        <v>172200</v>
      </c>
      <c r="N3927" t="s">
        <v>108</v>
      </c>
      <c r="O3927" t="s">
        <v>96</v>
      </c>
    </row>
    <row r="3928" spans="1:15" x14ac:dyDescent="0.25">
      <c r="A3928">
        <v>2808</v>
      </c>
      <c r="B3928" s="10">
        <v>45929</v>
      </c>
      <c r="C3928">
        <v>29</v>
      </c>
      <c r="D3928" t="s">
        <v>147</v>
      </c>
      <c r="E3928" t="s">
        <v>106</v>
      </c>
      <c r="F3928" t="s">
        <v>134</v>
      </c>
      <c r="G3928" t="s">
        <v>100</v>
      </c>
      <c r="H3928" t="s">
        <v>23</v>
      </c>
      <c r="I3928" t="s">
        <v>24</v>
      </c>
      <c r="J3928" t="s">
        <v>94</v>
      </c>
      <c r="K3928">
        <v>4</v>
      </c>
      <c r="L3928">
        <v>57500</v>
      </c>
      <c r="M3928">
        <v>230000</v>
      </c>
      <c r="N3928" t="s">
        <v>95</v>
      </c>
      <c r="O3928" t="s">
        <v>115</v>
      </c>
    </row>
    <row r="3929" spans="1:15" x14ac:dyDescent="0.25">
      <c r="A3929">
        <v>172</v>
      </c>
      <c r="B3929" s="10">
        <v>45770</v>
      </c>
      <c r="C3929">
        <v>23</v>
      </c>
      <c r="D3929" t="s">
        <v>105</v>
      </c>
      <c r="E3929" t="s">
        <v>142</v>
      </c>
      <c r="F3929" t="s">
        <v>148</v>
      </c>
      <c r="G3929" t="s">
        <v>118</v>
      </c>
      <c r="H3929" t="s">
        <v>23</v>
      </c>
      <c r="I3929" t="s">
        <v>24</v>
      </c>
      <c r="J3929" t="s">
        <v>94</v>
      </c>
      <c r="K3929">
        <v>5</v>
      </c>
      <c r="L3929">
        <v>57600</v>
      </c>
      <c r="M3929">
        <v>288000</v>
      </c>
      <c r="N3929" t="s">
        <v>95</v>
      </c>
      <c r="O3929" t="s">
        <v>104</v>
      </c>
    </row>
    <row r="3930" spans="1:15" x14ac:dyDescent="0.25">
      <c r="A3930">
        <v>2787</v>
      </c>
      <c r="B3930" s="10">
        <v>45870</v>
      </c>
      <c r="C3930">
        <v>1</v>
      </c>
      <c r="D3930" t="s">
        <v>109</v>
      </c>
      <c r="E3930" t="s">
        <v>128</v>
      </c>
      <c r="F3930" t="s">
        <v>122</v>
      </c>
      <c r="G3930" t="s">
        <v>114</v>
      </c>
      <c r="H3930" t="s">
        <v>23</v>
      </c>
      <c r="I3930" t="s">
        <v>24</v>
      </c>
      <c r="J3930" t="s">
        <v>94</v>
      </c>
      <c r="K3930">
        <v>4</v>
      </c>
      <c r="L3930">
        <v>57700</v>
      </c>
      <c r="M3930">
        <v>230800</v>
      </c>
      <c r="N3930" t="s">
        <v>108</v>
      </c>
      <c r="O3930" t="s">
        <v>115</v>
      </c>
    </row>
    <row r="3931" spans="1:15" x14ac:dyDescent="0.25">
      <c r="A3931">
        <v>3475</v>
      </c>
      <c r="B3931" s="10">
        <v>45968</v>
      </c>
      <c r="C3931">
        <v>7</v>
      </c>
      <c r="D3931" t="s">
        <v>90</v>
      </c>
      <c r="E3931" t="s">
        <v>116</v>
      </c>
      <c r="F3931" t="s">
        <v>49</v>
      </c>
      <c r="G3931" t="s">
        <v>118</v>
      </c>
      <c r="H3931" t="s">
        <v>23</v>
      </c>
      <c r="I3931" t="s">
        <v>24</v>
      </c>
      <c r="J3931" t="s">
        <v>94</v>
      </c>
      <c r="K3931">
        <v>4</v>
      </c>
      <c r="L3931">
        <v>57800</v>
      </c>
      <c r="M3931">
        <v>231200</v>
      </c>
      <c r="N3931" t="s">
        <v>108</v>
      </c>
      <c r="O3931" t="s">
        <v>115</v>
      </c>
    </row>
    <row r="3932" spans="1:15" x14ac:dyDescent="0.25">
      <c r="A3932">
        <v>2391</v>
      </c>
      <c r="B3932" s="10">
        <v>46018</v>
      </c>
      <c r="C3932">
        <v>27</v>
      </c>
      <c r="D3932" t="s">
        <v>125</v>
      </c>
      <c r="E3932" t="s">
        <v>106</v>
      </c>
      <c r="F3932" t="s">
        <v>22</v>
      </c>
      <c r="G3932" t="s">
        <v>91</v>
      </c>
      <c r="H3932" t="s">
        <v>23</v>
      </c>
      <c r="I3932" t="s">
        <v>157</v>
      </c>
      <c r="J3932" t="s">
        <v>103</v>
      </c>
      <c r="K3932">
        <v>16</v>
      </c>
      <c r="L3932">
        <v>57900</v>
      </c>
      <c r="M3932">
        <v>926400</v>
      </c>
      <c r="N3932" t="s">
        <v>108</v>
      </c>
      <c r="O3932" t="s">
        <v>96</v>
      </c>
    </row>
    <row r="3933" spans="1:15" x14ac:dyDescent="0.25">
      <c r="A3933">
        <v>4082</v>
      </c>
      <c r="B3933" s="10">
        <v>45676</v>
      </c>
      <c r="C3933">
        <v>19</v>
      </c>
      <c r="D3933" t="s">
        <v>130</v>
      </c>
      <c r="E3933" t="s">
        <v>133</v>
      </c>
      <c r="F3933" t="s">
        <v>107</v>
      </c>
      <c r="G3933" t="s">
        <v>100</v>
      </c>
      <c r="H3933" t="s">
        <v>23</v>
      </c>
      <c r="I3933" t="s">
        <v>24</v>
      </c>
      <c r="J3933" t="s">
        <v>94</v>
      </c>
      <c r="K3933">
        <v>8</v>
      </c>
      <c r="L3933">
        <v>57900</v>
      </c>
      <c r="M3933">
        <v>463200</v>
      </c>
      <c r="N3933" t="s">
        <v>95</v>
      </c>
      <c r="O3933" t="s">
        <v>96</v>
      </c>
    </row>
    <row r="3934" spans="1:15" x14ac:dyDescent="0.25">
      <c r="A3934">
        <v>3775</v>
      </c>
      <c r="B3934" s="10">
        <v>45773</v>
      </c>
      <c r="C3934">
        <v>26</v>
      </c>
      <c r="D3934" t="s">
        <v>105</v>
      </c>
      <c r="E3934" t="s">
        <v>121</v>
      </c>
      <c r="F3934" t="s">
        <v>113</v>
      </c>
      <c r="G3934" t="s">
        <v>114</v>
      </c>
      <c r="H3934" t="s">
        <v>23</v>
      </c>
      <c r="I3934" t="s">
        <v>157</v>
      </c>
      <c r="J3934" t="s">
        <v>103</v>
      </c>
      <c r="K3934">
        <v>31</v>
      </c>
      <c r="L3934">
        <v>58100</v>
      </c>
      <c r="M3934">
        <v>1801100</v>
      </c>
      <c r="N3934" t="s">
        <v>108</v>
      </c>
      <c r="O3934" t="s">
        <v>115</v>
      </c>
    </row>
    <row r="3935" spans="1:15" x14ac:dyDescent="0.25">
      <c r="A3935">
        <v>4536</v>
      </c>
      <c r="B3935" s="10">
        <v>45897</v>
      </c>
      <c r="C3935">
        <v>28</v>
      </c>
      <c r="D3935" t="s">
        <v>109</v>
      </c>
      <c r="E3935" t="s">
        <v>25</v>
      </c>
      <c r="F3935" t="s">
        <v>28</v>
      </c>
      <c r="G3935" t="s">
        <v>126</v>
      </c>
      <c r="H3935" t="s">
        <v>23</v>
      </c>
      <c r="I3935" t="s">
        <v>24</v>
      </c>
      <c r="J3935" t="s">
        <v>94</v>
      </c>
      <c r="K3935">
        <v>5</v>
      </c>
      <c r="L3935">
        <v>58100</v>
      </c>
      <c r="M3935">
        <v>290500</v>
      </c>
      <c r="N3935" t="s">
        <v>95</v>
      </c>
      <c r="O3935" t="s">
        <v>115</v>
      </c>
    </row>
    <row r="3936" spans="1:15" x14ac:dyDescent="0.25">
      <c r="A3936">
        <v>507</v>
      </c>
      <c r="B3936" s="10">
        <v>45717</v>
      </c>
      <c r="C3936">
        <v>1</v>
      </c>
      <c r="D3936" t="s">
        <v>140</v>
      </c>
      <c r="E3936" t="s">
        <v>31</v>
      </c>
      <c r="F3936" t="s">
        <v>141</v>
      </c>
      <c r="G3936" t="s">
        <v>100</v>
      </c>
      <c r="H3936" t="s">
        <v>23</v>
      </c>
      <c r="I3936" t="s">
        <v>24</v>
      </c>
      <c r="J3936" t="s">
        <v>94</v>
      </c>
      <c r="K3936">
        <v>3</v>
      </c>
      <c r="L3936">
        <v>58200</v>
      </c>
      <c r="M3936">
        <v>174600</v>
      </c>
      <c r="N3936" t="s">
        <v>108</v>
      </c>
      <c r="O3936" t="s">
        <v>115</v>
      </c>
    </row>
    <row r="3937" spans="1:15" x14ac:dyDescent="0.25">
      <c r="A3937">
        <v>1884</v>
      </c>
      <c r="B3937" s="10">
        <v>45707</v>
      </c>
      <c r="C3937">
        <v>19</v>
      </c>
      <c r="D3937" t="s">
        <v>97</v>
      </c>
      <c r="E3937" t="s">
        <v>112</v>
      </c>
      <c r="F3937" t="s">
        <v>28</v>
      </c>
      <c r="G3937" t="s">
        <v>126</v>
      </c>
      <c r="H3937" t="s">
        <v>23</v>
      </c>
      <c r="I3937" t="s">
        <v>24</v>
      </c>
      <c r="J3937" t="s">
        <v>94</v>
      </c>
      <c r="K3937">
        <v>1</v>
      </c>
      <c r="L3937">
        <v>58200</v>
      </c>
      <c r="M3937">
        <v>58200</v>
      </c>
      <c r="N3937" t="s">
        <v>108</v>
      </c>
      <c r="O3937" t="s">
        <v>104</v>
      </c>
    </row>
    <row r="3938" spans="1:15" x14ac:dyDescent="0.25">
      <c r="A3938">
        <v>2849</v>
      </c>
      <c r="B3938" s="10">
        <v>45793</v>
      </c>
      <c r="C3938">
        <v>16</v>
      </c>
      <c r="D3938" t="s">
        <v>120</v>
      </c>
      <c r="E3938" t="s">
        <v>25</v>
      </c>
      <c r="F3938" t="s">
        <v>113</v>
      </c>
      <c r="G3938" t="s">
        <v>114</v>
      </c>
      <c r="H3938" t="s">
        <v>23</v>
      </c>
      <c r="I3938" t="s">
        <v>24</v>
      </c>
      <c r="J3938" t="s">
        <v>94</v>
      </c>
      <c r="K3938">
        <v>9</v>
      </c>
      <c r="L3938">
        <v>58200</v>
      </c>
      <c r="M3938">
        <v>523800</v>
      </c>
      <c r="N3938" t="s">
        <v>95</v>
      </c>
      <c r="O3938" t="s">
        <v>104</v>
      </c>
    </row>
    <row r="3939" spans="1:15" x14ac:dyDescent="0.25">
      <c r="A3939">
        <v>3956</v>
      </c>
      <c r="B3939" s="10">
        <v>45660</v>
      </c>
      <c r="C3939">
        <v>3</v>
      </c>
      <c r="D3939" t="s">
        <v>130</v>
      </c>
      <c r="E3939" t="s">
        <v>25</v>
      </c>
      <c r="F3939" t="s">
        <v>113</v>
      </c>
      <c r="G3939" t="s">
        <v>114</v>
      </c>
      <c r="H3939" t="s">
        <v>23</v>
      </c>
      <c r="I3939" t="s">
        <v>24</v>
      </c>
      <c r="J3939" t="s">
        <v>94</v>
      </c>
      <c r="K3939">
        <v>9</v>
      </c>
      <c r="L3939">
        <v>58200</v>
      </c>
      <c r="M3939">
        <v>523800</v>
      </c>
      <c r="N3939" t="s">
        <v>108</v>
      </c>
      <c r="O3939" t="s">
        <v>115</v>
      </c>
    </row>
    <row r="3940" spans="1:15" x14ac:dyDescent="0.25">
      <c r="A3940">
        <v>2548</v>
      </c>
      <c r="B3940" s="10">
        <v>45999</v>
      </c>
      <c r="C3940">
        <v>8</v>
      </c>
      <c r="D3940" t="s">
        <v>125</v>
      </c>
      <c r="E3940" t="s">
        <v>112</v>
      </c>
      <c r="F3940" t="s">
        <v>141</v>
      </c>
      <c r="G3940" t="s">
        <v>100</v>
      </c>
      <c r="H3940" t="s">
        <v>23</v>
      </c>
      <c r="I3940" t="s">
        <v>24</v>
      </c>
      <c r="J3940" t="s">
        <v>94</v>
      </c>
      <c r="K3940">
        <v>7</v>
      </c>
      <c r="L3940">
        <v>58300</v>
      </c>
      <c r="M3940">
        <v>408100</v>
      </c>
      <c r="N3940" t="s">
        <v>108</v>
      </c>
      <c r="O3940" t="s">
        <v>96</v>
      </c>
    </row>
    <row r="3941" spans="1:15" x14ac:dyDescent="0.25">
      <c r="A3941">
        <v>2903</v>
      </c>
      <c r="B3941" s="10">
        <v>45787</v>
      </c>
      <c r="C3941">
        <v>10</v>
      </c>
      <c r="D3941" t="s">
        <v>120</v>
      </c>
      <c r="E3941" t="s">
        <v>31</v>
      </c>
      <c r="F3941" t="s">
        <v>134</v>
      </c>
      <c r="G3941" t="s">
        <v>100</v>
      </c>
      <c r="H3941" t="s">
        <v>23</v>
      </c>
      <c r="I3941" t="s">
        <v>24</v>
      </c>
      <c r="J3941" t="s">
        <v>94</v>
      </c>
      <c r="K3941">
        <v>7</v>
      </c>
      <c r="L3941">
        <v>58300</v>
      </c>
      <c r="M3941">
        <v>408100</v>
      </c>
      <c r="N3941" t="s">
        <v>95</v>
      </c>
      <c r="O3941" t="s">
        <v>104</v>
      </c>
    </row>
    <row r="3942" spans="1:15" x14ac:dyDescent="0.25">
      <c r="A3942">
        <v>2372</v>
      </c>
      <c r="B3942" s="10">
        <v>46013</v>
      </c>
      <c r="C3942">
        <v>22</v>
      </c>
      <c r="D3942" t="s">
        <v>125</v>
      </c>
      <c r="E3942" t="s">
        <v>110</v>
      </c>
      <c r="F3942" t="s">
        <v>151</v>
      </c>
      <c r="G3942" t="s">
        <v>111</v>
      </c>
      <c r="H3942" t="s">
        <v>23</v>
      </c>
      <c r="I3942" t="s">
        <v>24</v>
      </c>
      <c r="J3942" t="s">
        <v>94</v>
      </c>
      <c r="K3942">
        <v>8</v>
      </c>
      <c r="L3942">
        <v>58400</v>
      </c>
      <c r="M3942">
        <v>467200</v>
      </c>
      <c r="N3942" t="s">
        <v>95</v>
      </c>
      <c r="O3942" t="s">
        <v>104</v>
      </c>
    </row>
    <row r="3943" spans="1:15" x14ac:dyDescent="0.25">
      <c r="A3943">
        <v>804</v>
      </c>
      <c r="B3943" s="10">
        <v>45938</v>
      </c>
      <c r="C3943">
        <v>8</v>
      </c>
      <c r="D3943" t="s">
        <v>136</v>
      </c>
      <c r="E3943" t="s">
        <v>25</v>
      </c>
      <c r="F3943" t="s">
        <v>122</v>
      </c>
      <c r="G3943" t="s">
        <v>114</v>
      </c>
      <c r="H3943" t="s">
        <v>23</v>
      </c>
      <c r="I3943" t="s">
        <v>24</v>
      </c>
      <c r="J3943" t="s">
        <v>94</v>
      </c>
      <c r="K3943">
        <v>7</v>
      </c>
      <c r="L3943">
        <v>58600</v>
      </c>
      <c r="M3943">
        <v>410200</v>
      </c>
      <c r="N3943" t="s">
        <v>95</v>
      </c>
      <c r="O3943" t="s">
        <v>96</v>
      </c>
    </row>
    <row r="3944" spans="1:15" x14ac:dyDescent="0.25">
      <c r="A3944">
        <v>1811</v>
      </c>
      <c r="B3944" s="10">
        <v>45739</v>
      </c>
      <c r="C3944">
        <v>23</v>
      </c>
      <c r="D3944" t="s">
        <v>140</v>
      </c>
      <c r="E3944" t="s">
        <v>138</v>
      </c>
      <c r="F3944" t="s">
        <v>113</v>
      </c>
      <c r="G3944" t="s">
        <v>114</v>
      </c>
      <c r="H3944" t="s">
        <v>23</v>
      </c>
      <c r="I3944" t="s">
        <v>24</v>
      </c>
      <c r="J3944" t="s">
        <v>94</v>
      </c>
      <c r="K3944">
        <v>10</v>
      </c>
      <c r="L3944">
        <v>58600</v>
      </c>
      <c r="M3944">
        <v>586000</v>
      </c>
      <c r="N3944" t="s">
        <v>108</v>
      </c>
      <c r="O3944" t="s">
        <v>96</v>
      </c>
    </row>
    <row r="3945" spans="1:15" x14ac:dyDescent="0.25">
      <c r="A3945">
        <v>2217</v>
      </c>
      <c r="B3945" s="10">
        <v>45771</v>
      </c>
      <c r="C3945">
        <v>24</v>
      </c>
      <c r="D3945" t="s">
        <v>105</v>
      </c>
      <c r="E3945" t="s">
        <v>112</v>
      </c>
      <c r="F3945" t="s">
        <v>36</v>
      </c>
      <c r="G3945" t="s">
        <v>100</v>
      </c>
      <c r="H3945" t="s">
        <v>23</v>
      </c>
      <c r="I3945" t="s">
        <v>24</v>
      </c>
      <c r="J3945" t="s">
        <v>94</v>
      </c>
      <c r="K3945">
        <v>10</v>
      </c>
      <c r="L3945">
        <v>58700</v>
      </c>
      <c r="M3945">
        <v>587000</v>
      </c>
      <c r="N3945" t="s">
        <v>108</v>
      </c>
      <c r="O3945" t="s">
        <v>96</v>
      </c>
    </row>
    <row r="3946" spans="1:15" x14ac:dyDescent="0.25">
      <c r="A3946">
        <v>926</v>
      </c>
      <c r="B3946" s="10">
        <v>45857</v>
      </c>
      <c r="C3946">
        <v>19</v>
      </c>
      <c r="D3946" t="s">
        <v>145</v>
      </c>
      <c r="E3946" t="s">
        <v>133</v>
      </c>
      <c r="F3946" t="s">
        <v>117</v>
      </c>
      <c r="G3946" t="s">
        <v>118</v>
      </c>
      <c r="H3946" t="s">
        <v>23</v>
      </c>
      <c r="I3946" t="s">
        <v>157</v>
      </c>
      <c r="J3946" t="s">
        <v>103</v>
      </c>
      <c r="K3946">
        <v>47</v>
      </c>
      <c r="L3946">
        <v>58900</v>
      </c>
      <c r="M3946">
        <v>2768300</v>
      </c>
      <c r="N3946" t="s">
        <v>108</v>
      </c>
      <c r="O3946" t="s">
        <v>115</v>
      </c>
    </row>
    <row r="3947" spans="1:15" x14ac:dyDescent="0.25">
      <c r="A3947">
        <v>644</v>
      </c>
      <c r="B3947" s="10">
        <v>45963</v>
      </c>
      <c r="C3947">
        <v>2</v>
      </c>
      <c r="D3947" t="s">
        <v>90</v>
      </c>
      <c r="E3947" t="s">
        <v>106</v>
      </c>
      <c r="F3947" t="s">
        <v>117</v>
      </c>
      <c r="G3947" t="s">
        <v>118</v>
      </c>
      <c r="H3947" t="s">
        <v>23</v>
      </c>
      <c r="I3947" t="s">
        <v>157</v>
      </c>
      <c r="J3947" t="s">
        <v>103</v>
      </c>
      <c r="K3947">
        <v>17</v>
      </c>
      <c r="L3947">
        <v>59000</v>
      </c>
      <c r="M3947">
        <v>1003000</v>
      </c>
      <c r="N3947" t="s">
        <v>108</v>
      </c>
      <c r="O3947" t="s">
        <v>96</v>
      </c>
    </row>
    <row r="3948" spans="1:15" x14ac:dyDescent="0.25">
      <c r="A3948">
        <v>498</v>
      </c>
      <c r="B3948" s="10">
        <v>45713</v>
      </c>
      <c r="C3948">
        <v>25</v>
      </c>
      <c r="D3948" t="s">
        <v>97</v>
      </c>
      <c r="E3948" t="s">
        <v>98</v>
      </c>
      <c r="F3948" t="s">
        <v>141</v>
      </c>
      <c r="G3948" t="s">
        <v>100</v>
      </c>
      <c r="H3948" t="s">
        <v>23</v>
      </c>
      <c r="I3948" t="s">
        <v>24</v>
      </c>
      <c r="J3948" t="s">
        <v>94</v>
      </c>
      <c r="K3948">
        <v>7</v>
      </c>
      <c r="L3948">
        <v>59400</v>
      </c>
      <c r="M3948">
        <v>415800</v>
      </c>
      <c r="N3948" t="s">
        <v>108</v>
      </c>
      <c r="O3948" t="s">
        <v>115</v>
      </c>
    </row>
    <row r="3949" spans="1:15" x14ac:dyDescent="0.25">
      <c r="A3949">
        <v>840</v>
      </c>
      <c r="B3949" s="10">
        <v>45672</v>
      </c>
      <c r="C3949">
        <v>15</v>
      </c>
      <c r="D3949" t="s">
        <v>130</v>
      </c>
      <c r="E3949" t="s">
        <v>133</v>
      </c>
      <c r="F3949" t="s">
        <v>107</v>
      </c>
      <c r="G3949" t="s">
        <v>100</v>
      </c>
      <c r="H3949" t="s">
        <v>23</v>
      </c>
      <c r="I3949" t="s">
        <v>24</v>
      </c>
      <c r="J3949" t="s">
        <v>94</v>
      </c>
      <c r="K3949">
        <v>8</v>
      </c>
      <c r="L3949">
        <v>59400</v>
      </c>
      <c r="M3949">
        <v>475200</v>
      </c>
      <c r="N3949" t="s">
        <v>108</v>
      </c>
      <c r="O3949" t="s">
        <v>115</v>
      </c>
    </row>
    <row r="3950" spans="1:15" x14ac:dyDescent="0.25">
      <c r="A3950">
        <v>1090</v>
      </c>
      <c r="B3950" s="10">
        <v>45742</v>
      </c>
      <c r="C3950">
        <v>26</v>
      </c>
      <c r="D3950" t="s">
        <v>140</v>
      </c>
      <c r="E3950" t="s">
        <v>150</v>
      </c>
      <c r="F3950" t="s">
        <v>44</v>
      </c>
      <c r="G3950" t="s">
        <v>111</v>
      </c>
      <c r="H3950" t="s">
        <v>23</v>
      </c>
      <c r="I3950" t="s">
        <v>24</v>
      </c>
      <c r="J3950" t="s">
        <v>94</v>
      </c>
      <c r="K3950">
        <v>8</v>
      </c>
      <c r="L3950">
        <v>59400</v>
      </c>
      <c r="M3950">
        <v>475200</v>
      </c>
      <c r="N3950" t="s">
        <v>108</v>
      </c>
      <c r="O3950" t="s">
        <v>104</v>
      </c>
    </row>
    <row r="3951" spans="1:15" x14ac:dyDescent="0.25">
      <c r="A3951">
        <v>2371</v>
      </c>
      <c r="B3951" s="10">
        <v>45852</v>
      </c>
      <c r="C3951">
        <v>14</v>
      </c>
      <c r="D3951" t="s">
        <v>145</v>
      </c>
      <c r="E3951" t="s">
        <v>121</v>
      </c>
      <c r="F3951" t="s">
        <v>117</v>
      </c>
      <c r="G3951" t="s">
        <v>118</v>
      </c>
      <c r="H3951" t="s">
        <v>23</v>
      </c>
      <c r="I3951" t="s">
        <v>24</v>
      </c>
      <c r="J3951" t="s">
        <v>94</v>
      </c>
      <c r="K3951">
        <v>10</v>
      </c>
      <c r="L3951">
        <v>59500</v>
      </c>
      <c r="M3951">
        <v>595000</v>
      </c>
      <c r="N3951" t="s">
        <v>108</v>
      </c>
      <c r="O3951" t="s">
        <v>104</v>
      </c>
    </row>
    <row r="3952" spans="1:15" x14ac:dyDescent="0.25">
      <c r="A3952">
        <v>4790</v>
      </c>
      <c r="B3952" s="10">
        <v>45716</v>
      </c>
      <c r="C3952">
        <v>28</v>
      </c>
      <c r="D3952" t="s">
        <v>97</v>
      </c>
      <c r="E3952" t="s">
        <v>137</v>
      </c>
      <c r="F3952" t="s">
        <v>122</v>
      </c>
      <c r="G3952" t="s">
        <v>114</v>
      </c>
      <c r="H3952" t="s">
        <v>23</v>
      </c>
      <c r="I3952" t="s">
        <v>24</v>
      </c>
      <c r="J3952" t="s">
        <v>94</v>
      </c>
      <c r="K3952">
        <v>4</v>
      </c>
      <c r="L3952">
        <v>59500</v>
      </c>
      <c r="M3952">
        <v>238000</v>
      </c>
      <c r="N3952" t="s">
        <v>95</v>
      </c>
      <c r="O3952" t="s">
        <v>96</v>
      </c>
    </row>
    <row r="3953" spans="1:15" x14ac:dyDescent="0.25">
      <c r="A3953">
        <v>3416</v>
      </c>
      <c r="B3953" s="10">
        <v>45920</v>
      </c>
      <c r="C3953">
        <v>20</v>
      </c>
      <c r="D3953" t="s">
        <v>147</v>
      </c>
      <c r="E3953" t="s">
        <v>133</v>
      </c>
      <c r="F3953" t="s">
        <v>117</v>
      </c>
      <c r="G3953" t="s">
        <v>118</v>
      </c>
      <c r="H3953" t="s">
        <v>23</v>
      </c>
      <c r="I3953" t="s">
        <v>24</v>
      </c>
      <c r="J3953" t="s">
        <v>94</v>
      </c>
      <c r="K3953">
        <v>7</v>
      </c>
      <c r="L3953">
        <v>59600</v>
      </c>
      <c r="M3953">
        <v>417200</v>
      </c>
      <c r="N3953" t="s">
        <v>108</v>
      </c>
      <c r="O3953" t="s">
        <v>96</v>
      </c>
    </row>
    <row r="3954" spans="1:15" x14ac:dyDescent="0.25">
      <c r="A3954">
        <v>2927</v>
      </c>
      <c r="B3954" s="10">
        <v>45982</v>
      </c>
      <c r="C3954">
        <v>21</v>
      </c>
      <c r="D3954" t="s">
        <v>90</v>
      </c>
      <c r="E3954" t="s">
        <v>116</v>
      </c>
      <c r="F3954" t="s">
        <v>134</v>
      </c>
      <c r="G3954" t="s">
        <v>100</v>
      </c>
      <c r="H3954" t="s">
        <v>23</v>
      </c>
      <c r="I3954" t="s">
        <v>24</v>
      </c>
      <c r="J3954" t="s">
        <v>94</v>
      </c>
      <c r="K3954">
        <v>6</v>
      </c>
      <c r="L3954">
        <v>59700</v>
      </c>
      <c r="M3954">
        <v>358200</v>
      </c>
      <c r="N3954" t="s">
        <v>95</v>
      </c>
      <c r="O3954" t="s">
        <v>104</v>
      </c>
    </row>
    <row r="3955" spans="1:15" x14ac:dyDescent="0.25">
      <c r="A3955">
        <v>1802</v>
      </c>
      <c r="B3955" s="10">
        <v>45987</v>
      </c>
      <c r="C3955">
        <v>26</v>
      </c>
      <c r="D3955" t="s">
        <v>90</v>
      </c>
      <c r="E3955" t="s">
        <v>31</v>
      </c>
      <c r="F3955" t="s">
        <v>148</v>
      </c>
      <c r="G3955" t="s">
        <v>118</v>
      </c>
      <c r="H3955" t="s">
        <v>23</v>
      </c>
      <c r="I3955" t="s">
        <v>24</v>
      </c>
      <c r="J3955" t="s">
        <v>94</v>
      </c>
      <c r="K3955">
        <v>6</v>
      </c>
      <c r="L3955">
        <v>59800</v>
      </c>
      <c r="M3955">
        <v>358800</v>
      </c>
      <c r="N3955" t="s">
        <v>108</v>
      </c>
      <c r="O3955" t="s">
        <v>115</v>
      </c>
    </row>
    <row r="3956" spans="1:15" x14ac:dyDescent="0.25">
      <c r="A3956">
        <v>4240</v>
      </c>
      <c r="B3956" s="10">
        <v>46007</v>
      </c>
      <c r="C3956">
        <v>16</v>
      </c>
      <c r="D3956" t="s">
        <v>125</v>
      </c>
      <c r="E3956" t="s">
        <v>110</v>
      </c>
      <c r="F3956" t="s">
        <v>36</v>
      </c>
      <c r="G3956" t="s">
        <v>100</v>
      </c>
      <c r="H3956" t="s">
        <v>23</v>
      </c>
      <c r="I3956" t="s">
        <v>24</v>
      </c>
      <c r="J3956" t="s">
        <v>94</v>
      </c>
      <c r="K3956">
        <v>3</v>
      </c>
      <c r="L3956">
        <v>59800</v>
      </c>
      <c r="M3956">
        <v>179400</v>
      </c>
      <c r="N3956" t="s">
        <v>108</v>
      </c>
      <c r="O3956" t="s">
        <v>115</v>
      </c>
    </row>
    <row r="3957" spans="1:15" x14ac:dyDescent="0.25">
      <c r="A3957">
        <v>3760</v>
      </c>
      <c r="B3957" s="10">
        <v>45950</v>
      </c>
      <c r="C3957">
        <v>20</v>
      </c>
      <c r="D3957" t="s">
        <v>136</v>
      </c>
      <c r="E3957" t="s">
        <v>161</v>
      </c>
      <c r="F3957" t="s">
        <v>28</v>
      </c>
      <c r="G3957" t="s">
        <v>126</v>
      </c>
      <c r="H3957" t="s">
        <v>23</v>
      </c>
      <c r="I3957" t="s">
        <v>24</v>
      </c>
      <c r="J3957" t="s">
        <v>94</v>
      </c>
      <c r="K3957">
        <v>5</v>
      </c>
      <c r="L3957">
        <v>59900</v>
      </c>
      <c r="M3957">
        <v>299500</v>
      </c>
      <c r="N3957" t="s">
        <v>108</v>
      </c>
      <c r="O3957" t="s">
        <v>115</v>
      </c>
    </row>
    <row r="3958" spans="1:15" x14ac:dyDescent="0.25">
      <c r="A3958">
        <v>3503</v>
      </c>
      <c r="B3958" s="10">
        <v>45801</v>
      </c>
      <c r="C3958">
        <v>24</v>
      </c>
      <c r="D3958" t="s">
        <v>120</v>
      </c>
      <c r="E3958" t="s">
        <v>110</v>
      </c>
      <c r="F3958" t="s">
        <v>99</v>
      </c>
      <c r="G3958" t="s">
        <v>100</v>
      </c>
      <c r="H3958" t="s">
        <v>23</v>
      </c>
      <c r="I3958" t="s">
        <v>24</v>
      </c>
      <c r="J3958" t="s">
        <v>94</v>
      </c>
      <c r="K3958">
        <v>3</v>
      </c>
      <c r="L3958">
        <v>60100</v>
      </c>
      <c r="M3958">
        <v>180300</v>
      </c>
      <c r="N3958" t="s">
        <v>108</v>
      </c>
      <c r="O3958" t="s">
        <v>96</v>
      </c>
    </row>
    <row r="3959" spans="1:15" x14ac:dyDescent="0.25">
      <c r="A3959">
        <v>4988</v>
      </c>
      <c r="B3959" s="10">
        <v>45968</v>
      </c>
      <c r="C3959">
        <v>7</v>
      </c>
      <c r="D3959" t="s">
        <v>90</v>
      </c>
      <c r="E3959" t="s">
        <v>128</v>
      </c>
      <c r="F3959" t="s">
        <v>22</v>
      </c>
      <c r="G3959" t="s">
        <v>91</v>
      </c>
      <c r="H3959" t="s">
        <v>23</v>
      </c>
      <c r="I3959" t="s">
        <v>24</v>
      </c>
      <c r="J3959" t="s">
        <v>94</v>
      </c>
      <c r="K3959">
        <v>8</v>
      </c>
      <c r="L3959">
        <v>60200</v>
      </c>
      <c r="M3959">
        <v>481600</v>
      </c>
      <c r="N3959" t="s">
        <v>95</v>
      </c>
      <c r="O3959" t="s">
        <v>96</v>
      </c>
    </row>
    <row r="3960" spans="1:15" x14ac:dyDescent="0.25">
      <c r="A3960">
        <v>2562</v>
      </c>
      <c r="B3960" s="10">
        <v>45827</v>
      </c>
      <c r="C3960">
        <v>19</v>
      </c>
      <c r="D3960" t="s">
        <v>153</v>
      </c>
      <c r="E3960" t="s">
        <v>121</v>
      </c>
      <c r="F3960" t="s">
        <v>28</v>
      </c>
      <c r="G3960" t="s">
        <v>126</v>
      </c>
      <c r="H3960" t="s">
        <v>23</v>
      </c>
      <c r="I3960" t="s">
        <v>24</v>
      </c>
      <c r="J3960" t="s">
        <v>94</v>
      </c>
      <c r="K3960">
        <v>10</v>
      </c>
      <c r="L3960">
        <v>60300</v>
      </c>
      <c r="M3960">
        <v>603000</v>
      </c>
      <c r="N3960" t="s">
        <v>95</v>
      </c>
      <c r="O3960" t="s">
        <v>96</v>
      </c>
    </row>
    <row r="3961" spans="1:15" x14ac:dyDescent="0.25">
      <c r="A3961">
        <v>4561</v>
      </c>
      <c r="B3961" s="10">
        <v>45906</v>
      </c>
      <c r="C3961">
        <v>6</v>
      </c>
      <c r="D3961" t="s">
        <v>147</v>
      </c>
      <c r="E3961" t="s">
        <v>116</v>
      </c>
      <c r="F3961" t="s">
        <v>148</v>
      </c>
      <c r="G3961" t="s">
        <v>118</v>
      </c>
      <c r="H3961" t="s">
        <v>23</v>
      </c>
      <c r="I3961" t="s">
        <v>157</v>
      </c>
      <c r="J3961" t="s">
        <v>103</v>
      </c>
      <c r="K3961">
        <v>19</v>
      </c>
      <c r="L3961">
        <v>60300</v>
      </c>
      <c r="M3961">
        <v>1145700</v>
      </c>
      <c r="N3961" t="s">
        <v>95</v>
      </c>
      <c r="O3961" t="s">
        <v>96</v>
      </c>
    </row>
    <row r="3962" spans="1:15" x14ac:dyDescent="0.25">
      <c r="A3962">
        <v>1910</v>
      </c>
      <c r="B3962" s="10">
        <v>45952</v>
      </c>
      <c r="C3962">
        <v>22</v>
      </c>
      <c r="D3962" t="s">
        <v>136</v>
      </c>
      <c r="E3962" t="s">
        <v>106</v>
      </c>
      <c r="F3962" t="s">
        <v>99</v>
      </c>
      <c r="G3962" t="s">
        <v>100</v>
      </c>
      <c r="H3962" t="s">
        <v>23</v>
      </c>
      <c r="I3962" t="s">
        <v>24</v>
      </c>
      <c r="J3962" t="s">
        <v>94</v>
      </c>
      <c r="K3962">
        <v>3</v>
      </c>
      <c r="L3962">
        <v>60400</v>
      </c>
      <c r="M3962">
        <v>181200</v>
      </c>
      <c r="N3962" t="s">
        <v>108</v>
      </c>
      <c r="O3962" t="s">
        <v>104</v>
      </c>
    </row>
    <row r="3963" spans="1:15" x14ac:dyDescent="0.25">
      <c r="A3963">
        <v>758</v>
      </c>
      <c r="B3963" s="10">
        <v>45734</v>
      </c>
      <c r="C3963">
        <v>18</v>
      </c>
      <c r="D3963" t="s">
        <v>140</v>
      </c>
      <c r="E3963" t="s">
        <v>138</v>
      </c>
      <c r="F3963" t="s">
        <v>44</v>
      </c>
      <c r="G3963" t="s">
        <v>111</v>
      </c>
      <c r="H3963" t="s">
        <v>23</v>
      </c>
      <c r="I3963" t="s">
        <v>24</v>
      </c>
      <c r="J3963" t="s">
        <v>94</v>
      </c>
      <c r="K3963">
        <v>4</v>
      </c>
      <c r="L3963">
        <v>60600</v>
      </c>
      <c r="M3963">
        <v>242400</v>
      </c>
      <c r="N3963" t="s">
        <v>108</v>
      </c>
      <c r="O3963" t="s">
        <v>96</v>
      </c>
    </row>
    <row r="3964" spans="1:15" x14ac:dyDescent="0.25">
      <c r="A3964">
        <v>920</v>
      </c>
      <c r="B3964" s="10">
        <v>45776</v>
      </c>
      <c r="C3964">
        <v>29</v>
      </c>
      <c r="D3964" t="s">
        <v>105</v>
      </c>
      <c r="E3964" t="s">
        <v>98</v>
      </c>
      <c r="F3964" t="s">
        <v>36</v>
      </c>
      <c r="G3964" t="s">
        <v>100</v>
      </c>
      <c r="H3964" t="s">
        <v>23</v>
      </c>
      <c r="I3964" t="s">
        <v>24</v>
      </c>
      <c r="J3964" t="s">
        <v>94</v>
      </c>
      <c r="K3964">
        <v>2</v>
      </c>
      <c r="L3964">
        <v>60600</v>
      </c>
      <c r="M3964">
        <v>121200</v>
      </c>
      <c r="N3964" t="s">
        <v>108</v>
      </c>
      <c r="O3964" t="s">
        <v>96</v>
      </c>
    </row>
    <row r="3965" spans="1:15" x14ac:dyDescent="0.25">
      <c r="A3965">
        <v>1749</v>
      </c>
      <c r="B3965" s="10">
        <v>45977</v>
      </c>
      <c r="C3965">
        <v>16</v>
      </c>
      <c r="D3965" t="s">
        <v>90</v>
      </c>
      <c r="E3965" t="s">
        <v>121</v>
      </c>
      <c r="F3965" t="s">
        <v>134</v>
      </c>
      <c r="G3965" t="s">
        <v>100</v>
      </c>
      <c r="H3965" t="s">
        <v>23</v>
      </c>
      <c r="I3965" t="s">
        <v>24</v>
      </c>
      <c r="J3965" t="s">
        <v>94</v>
      </c>
      <c r="K3965">
        <v>6</v>
      </c>
      <c r="L3965">
        <v>60600</v>
      </c>
      <c r="M3965">
        <v>363600</v>
      </c>
      <c r="N3965" t="s">
        <v>108</v>
      </c>
      <c r="O3965" t="s">
        <v>104</v>
      </c>
    </row>
    <row r="3966" spans="1:15" x14ac:dyDescent="0.25">
      <c r="A3966">
        <v>1199</v>
      </c>
      <c r="B3966" s="10">
        <v>45661</v>
      </c>
      <c r="C3966">
        <v>4</v>
      </c>
      <c r="D3966" t="s">
        <v>130</v>
      </c>
      <c r="E3966" t="s">
        <v>98</v>
      </c>
      <c r="F3966" t="s">
        <v>148</v>
      </c>
      <c r="G3966" t="s">
        <v>118</v>
      </c>
      <c r="H3966" t="s">
        <v>23</v>
      </c>
      <c r="I3966" t="s">
        <v>24</v>
      </c>
      <c r="J3966" t="s">
        <v>94</v>
      </c>
      <c r="K3966">
        <v>9</v>
      </c>
      <c r="L3966">
        <v>60700</v>
      </c>
      <c r="M3966">
        <v>546300</v>
      </c>
      <c r="N3966" t="s">
        <v>95</v>
      </c>
      <c r="O3966" t="s">
        <v>115</v>
      </c>
    </row>
    <row r="3967" spans="1:15" x14ac:dyDescent="0.25">
      <c r="A3967">
        <v>3835</v>
      </c>
      <c r="B3967" s="10">
        <v>45853</v>
      </c>
      <c r="C3967">
        <v>15</v>
      </c>
      <c r="D3967" t="s">
        <v>145</v>
      </c>
      <c r="E3967" t="s">
        <v>142</v>
      </c>
      <c r="F3967" t="s">
        <v>107</v>
      </c>
      <c r="G3967" t="s">
        <v>100</v>
      </c>
      <c r="H3967" t="s">
        <v>23</v>
      </c>
      <c r="I3967" t="s">
        <v>157</v>
      </c>
      <c r="J3967" t="s">
        <v>103</v>
      </c>
      <c r="K3967">
        <v>32</v>
      </c>
      <c r="L3967">
        <v>60700</v>
      </c>
      <c r="M3967">
        <v>1942400</v>
      </c>
      <c r="N3967" t="s">
        <v>95</v>
      </c>
      <c r="O3967" t="s">
        <v>104</v>
      </c>
    </row>
    <row r="3968" spans="1:15" x14ac:dyDescent="0.25">
      <c r="A3968">
        <v>1962</v>
      </c>
      <c r="B3968" s="10">
        <v>45785</v>
      </c>
      <c r="C3968">
        <v>8</v>
      </c>
      <c r="D3968" t="s">
        <v>120</v>
      </c>
      <c r="E3968" t="s">
        <v>31</v>
      </c>
      <c r="F3968" t="s">
        <v>148</v>
      </c>
      <c r="G3968" t="s">
        <v>118</v>
      </c>
      <c r="H3968" t="s">
        <v>23</v>
      </c>
      <c r="I3968" t="s">
        <v>24</v>
      </c>
      <c r="J3968" t="s">
        <v>94</v>
      </c>
      <c r="K3968">
        <v>10</v>
      </c>
      <c r="L3968">
        <v>60900</v>
      </c>
      <c r="M3968">
        <v>609000</v>
      </c>
      <c r="N3968" t="s">
        <v>95</v>
      </c>
      <c r="O3968" t="s">
        <v>104</v>
      </c>
    </row>
    <row r="3969" spans="1:15" x14ac:dyDescent="0.25">
      <c r="A3969">
        <v>2651</v>
      </c>
      <c r="B3969" s="10">
        <v>45949</v>
      </c>
      <c r="C3969">
        <v>19</v>
      </c>
      <c r="D3969" t="s">
        <v>136</v>
      </c>
      <c r="E3969" t="s">
        <v>128</v>
      </c>
      <c r="F3969" t="s">
        <v>122</v>
      </c>
      <c r="G3969" t="s">
        <v>114</v>
      </c>
      <c r="H3969" t="s">
        <v>23</v>
      </c>
      <c r="I3969" t="s">
        <v>157</v>
      </c>
      <c r="J3969" t="s">
        <v>103</v>
      </c>
      <c r="K3969">
        <v>42</v>
      </c>
      <c r="L3969">
        <v>60900</v>
      </c>
      <c r="M3969">
        <v>2557800</v>
      </c>
      <c r="N3969" t="s">
        <v>95</v>
      </c>
      <c r="O3969" t="s">
        <v>96</v>
      </c>
    </row>
    <row r="3970" spans="1:15" x14ac:dyDescent="0.25">
      <c r="A3970">
        <v>3263</v>
      </c>
      <c r="B3970" s="10">
        <v>45909</v>
      </c>
      <c r="C3970">
        <v>9</v>
      </c>
      <c r="D3970" t="s">
        <v>147</v>
      </c>
      <c r="E3970" t="s">
        <v>116</v>
      </c>
      <c r="F3970" t="s">
        <v>107</v>
      </c>
      <c r="G3970" t="s">
        <v>100</v>
      </c>
      <c r="H3970" t="s">
        <v>23</v>
      </c>
      <c r="I3970" t="s">
        <v>157</v>
      </c>
      <c r="J3970" t="s">
        <v>103</v>
      </c>
      <c r="K3970">
        <v>36</v>
      </c>
      <c r="L3970">
        <v>60900</v>
      </c>
      <c r="M3970">
        <v>2192400</v>
      </c>
      <c r="N3970" t="s">
        <v>95</v>
      </c>
      <c r="O3970" t="s">
        <v>96</v>
      </c>
    </row>
    <row r="3971" spans="1:15" x14ac:dyDescent="0.25">
      <c r="A3971">
        <v>3658</v>
      </c>
      <c r="B3971" s="10">
        <v>45729</v>
      </c>
      <c r="C3971">
        <v>13</v>
      </c>
      <c r="D3971" t="s">
        <v>140</v>
      </c>
      <c r="E3971" t="s">
        <v>106</v>
      </c>
      <c r="F3971" t="s">
        <v>122</v>
      </c>
      <c r="G3971" t="s">
        <v>114</v>
      </c>
      <c r="H3971" t="s">
        <v>92</v>
      </c>
      <c r="I3971" t="s">
        <v>93</v>
      </c>
      <c r="J3971" t="s">
        <v>103</v>
      </c>
      <c r="K3971">
        <v>9</v>
      </c>
      <c r="L3971">
        <v>60900</v>
      </c>
      <c r="M3971">
        <v>548100</v>
      </c>
      <c r="N3971" t="s">
        <v>108</v>
      </c>
      <c r="O3971" t="s">
        <v>115</v>
      </c>
    </row>
    <row r="3972" spans="1:15" x14ac:dyDescent="0.25">
      <c r="A3972">
        <v>2626</v>
      </c>
      <c r="B3972" s="10">
        <v>45757</v>
      </c>
      <c r="C3972">
        <v>10</v>
      </c>
      <c r="D3972" t="s">
        <v>105</v>
      </c>
      <c r="E3972" t="s">
        <v>31</v>
      </c>
      <c r="F3972" t="s">
        <v>134</v>
      </c>
      <c r="G3972" t="s">
        <v>100</v>
      </c>
      <c r="H3972" t="s">
        <v>23</v>
      </c>
      <c r="I3972" t="s">
        <v>157</v>
      </c>
      <c r="J3972" t="s">
        <v>103</v>
      </c>
      <c r="K3972">
        <v>19</v>
      </c>
      <c r="L3972">
        <v>61000</v>
      </c>
      <c r="M3972">
        <v>1159000</v>
      </c>
      <c r="N3972" t="s">
        <v>95</v>
      </c>
      <c r="O3972" t="s">
        <v>104</v>
      </c>
    </row>
    <row r="3973" spans="1:15" x14ac:dyDescent="0.25">
      <c r="A3973">
        <v>3995</v>
      </c>
      <c r="B3973" s="10">
        <v>45908</v>
      </c>
      <c r="C3973">
        <v>8</v>
      </c>
      <c r="D3973" t="s">
        <v>147</v>
      </c>
      <c r="E3973" t="s">
        <v>106</v>
      </c>
      <c r="F3973" t="s">
        <v>141</v>
      </c>
      <c r="G3973" t="s">
        <v>100</v>
      </c>
      <c r="H3973" t="s">
        <v>92</v>
      </c>
      <c r="I3973" t="s">
        <v>93</v>
      </c>
      <c r="J3973" t="s">
        <v>103</v>
      </c>
      <c r="K3973">
        <v>21</v>
      </c>
      <c r="L3973">
        <v>61000</v>
      </c>
      <c r="M3973">
        <v>1281000</v>
      </c>
      <c r="N3973" t="s">
        <v>95</v>
      </c>
      <c r="O3973" t="s">
        <v>96</v>
      </c>
    </row>
    <row r="3974" spans="1:15" x14ac:dyDescent="0.25">
      <c r="A3974">
        <v>4471</v>
      </c>
      <c r="B3974" s="10">
        <v>45818</v>
      </c>
      <c r="C3974">
        <v>10</v>
      </c>
      <c r="D3974" t="s">
        <v>153</v>
      </c>
      <c r="E3974" t="s">
        <v>150</v>
      </c>
      <c r="F3974" t="s">
        <v>99</v>
      </c>
      <c r="G3974" t="s">
        <v>100</v>
      </c>
      <c r="H3974" t="s">
        <v>23</v>
      </c>
      <c r="I3974" t="s">
        <v>24</v>
      </c>
      <c r="J3974" t="s">
        <v>94</v>
      </c>
      <c r="K3974">
        <v>10</v>
      </c>
      <c r="L3974">
        <v>61000</v>
      </c>
      <c r="M3974">
        <v>610000</v>
      </c>
      <c r="N3974" t="s">
        <v>108</v>
      </c>
      <c r="O3974" t="s">
        <v>115</v>
      </c>
    </row>
    <row r="3975" spans="1:15" x14ac:dyDescent="0.25">
      <c r="A3975">
        <v>4625</v>
      </c>
      <c r="B3975" s="10">
        <v>45812</v>
      </c>
      <c r="C3975">
        <v>4</v>
      </c>
      <c r="D3975" t="s">
        <v>153</v>
      </c>
      <c r="E3975" t="s">
        <v>137</v>
      </c>
      <c r="F3975" t="s">
        <v>141</v>
      </c>
      <c r="G3975" t="s">
        <v>100</v>
      </c>
      <c r="H3975" t="s">
        <v>23</v>
      </c>
      <c r="I3975" t="s">
        <v>24</v>
      </c>
      <c r="J3975" t="s">
        <v>94</v>
      </c>
      <c r="K3975">
        <v>1</v>
      </c>
      <c r="L3975">
        <v>61100</v>
      </c>
      <c r="M3975">
        <v>61100</v>
      </c>
      <c r="N3975" t="s">
        <v>108</v>
      </c>
      <c r="O3975" t="s">
        <v>115</v>
      </c>
    </row>
    <row r="3976" spans="1:15" x14ac:dyDescent="0.25">
      <c r="A3976">
        <v>605</v>
      </c>
      <c r="B3976" s="10">
        <v>45958</v>
      </c>
      <c r="C3976">
        <v>28</v>
      </c>
      <c r="D3976" t="s">
        <v>136</v>
      </c>
      <c r="E3976" t="s">
        <v>106</v>
      </c>
      <c r="F3976" t="s">
        <v>107</v>
      </c>
      <c r="G3976" t="s">
        <v>100</v>
      </c>
      <c r="H3976" t="s">
        <v>23</v>
      </c>
      <c r="I3976" t="s">
        <v>24</v>
      </c>
      <c r="J3976" t="s">
        <v>94</v>
      </c>
      <c r="K3976">
        <v>9</v>
      </c>
      <c r="L3976">
        <v>61200</v>
      </c>
      <c r="M3976">
        <v>550800</v>
      </c>
      <c r="N3976" t="s">
        <v>108</v>
      </c>
      <c r="O3976" t="s">
        <v>96</v>
      </c>
    </row>
    <row r="3977" spans="1:15" x14ac:dyDescent="0.25">
      <c r="A3977">
        <v>2865</v>
      </c>
      <c r="B3977" s="10">
        <v>45795</v>
      </c>
      <c r="C3977">
        <v>18</v>
      </c>
      <c r="D3977" t="s">
        <v>120</v>
      </c>
      <c r="E3977" t="s">
        <v>112</v>
      </c>
      <c r="F3977" t="s">
        <v>44</v>
      </c>
      <c r="G3977" t="s">
        <v>111</v>
      </c>
      <c r="H3977" t="s">
        <v>23</v>
      </c>
      <c r="I3977" t="s">
        <v>24</v>
      </c>
      <c r="J3977" t="s">
        <v>94</v>
      </c>
      <c r="K3977">
        <v>8</v>
      </c>
      <c r="L3977">
        <v>61200</v>
      </c>
      <c r="M3977">
        <v>489600</v>
      </c>
      <c r="N3977" t="s">
        <v>108</v>
      </c>
      <c r="O3977" t="s">
        <v>104</v>
      </c>
    </row>
    <row r="3978" spans="1:15" x14ac:dyDescent="0.25">
      <c r="A3978">
        <v>3423</v>
      </c>
      <c r="B3978" s="10">
        <v>45848</v>
      </c>
      <c r="C3978">
        <v>10</v>
      </c>
      <c r="D3978" t="s">
        <v>145</v>
      </c>
      <c r="E3978" t="s">
        <v>128</v>
      </c>
      <c r="F3978" t="s">
        <v>117</v>
      </c>
      <c r="G3978" t="s">
        <v>118</v>
      </c>
      <c r="H3978" t="s">
        <v>23</v>
      </c>
      <c r="I3978" t="s">
        <v>24</v>
      </c>
      <c r="J3978" t="s">
        <v>94</v>
      </c>
      <c r="K3978">
        <v>6</v>
      </c>
      <c r="L3978">
        <v>61300</v>
      </c>
      <c r="M3978">
        <v>367800</v>
      </c>
      <c r="N3978" t="s">
        <v>95</v>
      </c>
      <c r="O3978" t="s">
        <v>115</v>
      </c>
    </row>
    <row r="3979" spans="1:15" x14ac:dyDescent="0.25">
      <c r="A3979">
        <v>3709</v>
      </c>
      <c r="B3979" s="10">
        <v>45749</v>
      </c>
      <c r="C3979">
        <v>2</v>
      </c>
      <c r="D3979" t="s">
        <v>105</v>
      </c>
      <c r="E3979" t="s">
        <v>142</v>
      </c>
      <c r="F3979" t="s">
        <v>141</v>
      </c>
      <c r="G3979" t="s">
        <v>100</v>
      </c>
      <c r="H3979" t="s">
        <v>23</v>
      </c>
      <c r="I3979" t="s">
        <v>24</v>
      </c>
      <c r="J3979" t="s">
        <v>94</v>
      </c>
      <c r="K3979">
        <v>4</v>
      </c>
      <c r="L3979">
        <v>61300</v>
      </c>
      <c r="M3979">
        <v>245200</v>
      </c>
      <c r="N3979" t="s">
        <v>108</v>
      </c>
      <c r="O3979" t="s">
        <v>115</v>
      </c>
    </row>
    <row r="3980" spans="1:15" x14ac:dyDescent="0.25">
      <c r="A3980">
        <v>158</v>
      </c>
      <c r="B3980" s="10">
        <v>45916</v>
      </c>
      <c r="C3980">
        <v>16</v>
      </c>
      <c r="D3980" t="s">
        <v>147</v>
      </c>
      <c r="E3980" t="s">
        <v>110</v>
      </c>
      <c r="F3980" t="s">
        <v>134</v>
      </c>
      <c r="G3980" t="s">
        <v>100</v>
      </c>
      <c r="H3980" t="s">
        <v>23</v>
      </c>
      <c r="I3980" t="s">
        <v>24</v>
      </c>
      <c r="J3980" t="s">
        <v>94</v>
      </c>
      <c r="K3980">
        <v>7</v>
      </c>
      <c r="L3980">
        <v>61400</v>
      </c>
      <c r="M3980">
        <v>429800</v>
      </c>
      <c r="N3980" t="s">
        <v>108</v>
      </c>
      <c r="O3980" t="s">
        <v>104</v>
      </c>
    </row>
    <row r="3981" spans="1:15" x14ac:dyDescent="0.25">
      <c r="A3981">
        <v>1618</v>
      </c>
      <c r="B3981" s="10">
        <v>45787</v>
      </c>
      <c r="C3981">
        <v>10</v>
      </c>
      <c r="D3981" t="s">
        <v>120</v>
      </c>
      <c r="E3981" t="s">
        <v>137</v>
      </c>
      <c r="F3981" t="s">
        <v>144</v>
      </c>
      <c r="G3981" t="s">
        <v>91</v>
      </c>
      <c r="H3981" t="s">
        <v>23</v>
      </c>
      <c r="I3981" t="s">
        <v>157</v>
      </c>
      <c r="J3981" t="s">
        <v>103</v>
      </c>
      <c r="K3981">
        <v>7</v>
      </c>
      <c r="L3981">
        <v>61400</v>
      </c>
      <c r="M3981">
        <v>429800</v>
      </c>
      <c r="N3981" t="s">
        <v>108</v>
      </c>
      <c r="O3981" t="s">
        <v>96</v>
      </c>
    </row>
    <row r="3982" spans="1:15" x14ac:dyDescent="0.25">
      <c r="A3982">
        <v>3210</v>
      </c>
      <c r="B3982" s="10">
        <v>45793</v>
      </c>
      <c r="C3982">
        <v>16</v>
      </c>
      <c r="D3982" t="s">
        <v>120</v>
      </c>
      <c r="E3982" t="s">
        <v>106</v>
      </c>
      <c r="F3982" t="s">
        <v>141</v>
      </c>
      <c r="G3982" t="s">
        <v>100</v>
      </c>
      <c r="H3982" t="s">
        <v>23</v>
      </c>
      <c r="I3982" t="s">
        <v>24</v>
      </c>
      <c r="J3982" t="s">
        <v>94</v>
      </c>
      <c r="K3982">
        <v>3</v>
      </c>
      <c r="L3982">
        <v>61400</v>
      </c>
      <c r="M3982">
        <v>184200</v>
      </c>
      <c r="N3982" t="s">
        <v>95</v>
      </c>
      <c r="O3982" t="s">
        <v>96</v>
      </c>
    </row>
    <row r="3983" spans="1:15" x14ac:dyDescent="0.25">
      <c r="A3983">
        <v>3640</v>
      </c>
      <c r="B3983" s="10">
        <v>45875</v>
      </c>
      <c r="C3983">
        <v>6</v>
      </c>
      <c r="D3983" t="s">
        <v>109</v>
      </c>
      <c r="E3983" t="s">
        <v>137</v>
      </c>
      <c r="F3983" t="s">
        <v>107</v>
      </c>
      <c r="G3983" t="s">
        <v>100</v>
      </c>
      <c r="H3983" t="s">
        <v>23</v>
      </c>
      <c r="I3983" t="s">
        <v>24</v>
      </c>
      <c r="J3983" t="s">
        <v>94</v>
      </c>
      <c r="K3983">
        <v>4</v>
      </c>
      <c r="L3983">
        <v>61400</v>
      </c>
      <c r="M3983">
        <v>245600</v>
      </c>
      <c r="N3983" t="s">
        <v>95</v>
      </c>
      <c r="O3983" t="s">
        <v>115</v>
      </c>
    </row>
    <row r="3984" spans="1:15" x14ac:dyDescent="0.25">
      <c r="A3984">
        <v>3206</v>
      </c>
      <c r="B3984" s="10">
        <v>45951</v>
      </c>
      <c r="C3984">
        <v>21</v>
      </c>
      <c r="D3984" t="s">
        <v>136</v>
      </c>
      <c r="E3984" t="s">
        <v>128</v>
      </c>
      <c r="F3984" t="s">
        <v>99</v>
      </c>
      <c r="G3984" t="s">
        <v>100</v>
      </c>
      <c r="H3984" t="s">
        <v>23</v>
      </c>
      <c r="I3984" t="s">
        <v>157</v>
      </c>
      <c r="J3984" t="s">
        <v>103</v>
      </c>
      <c r="K3984">
        <v>32</v>
      </c>
      <c r="L3984">
        <v>61600</v>
      </c>
      <c r="M3984">
        <v>1971200</v>
      </c>
      <c r="N3984" t="s">
        <v>108</v>
      </c>
      <c r="O3984" t="s">
        <v>96</v>
      </c>
    </row>
    <row r="3985" spans="1:15" x14ac:dyDescent="0.25">
      <c r="A3985">
        <v>4369</v>
      </c>
      <c r="B3985" s="10">
        <v>45661</v>
      </c>
      <c r="C3985">
        <v>4</v>
      </c>
      <c r="D3985" t="s">
        <v>130</v>
      </c>
      <c r="E3985" t="s">
        <v>121</v>
      </c>
      <c r="F3985" t="s">
        <v>28</v>
      </c>
      <c r="G3985" t="s">
        <v>126</v>
      </c>
      <c r="H3985" t="s">
        <v>23</v>
      </c>
      <c r="I3985" t="s">
        <v>157</v>
      </c>
      <c r="J3985" t="s">
        <v>103</v>
      </c>
      <c r="K3985">
        <v>46</v>
      </c>
      <c r="L3985">
        <v>61600</v>
      </c>
      <c r="M3985">
        <v>2833600</v>
      </c>
      <c r="N3985" t="s">
        <v>95</v>
      </c>
      <c r="O3985" t="s">
        <v>104</v>
      </c>
    </row>
    <row r="3986" spans="1:15" x14ac:dyDescent="0.25">
      <c r="A3986">
        <v>1603</v>
      </c>
      <c r="B3986" s="10">
        <v>45754</v>
      </c>
      <c r="C3986">
        <v>7</v>
      </c>
      <c r="D3986" t="s">
        <v>105</v>
      </c>
      <c r="E3986" t="s">
        <v>106</v>
      </c>
      <c r="F3986" t="s">
        <v>99</v>
      </c>
      <c r="G3986" t="s">
        <v>100</v>
      </c>
      <c r="H3986" t="s">
        <v>23</v>
      </c>
      <c r="I3986" t="s">
        <v>157</v>
      </c>
      <c r="J3986" t="s">
        <v>103</v>
      </c>
      <c r="K3986">
        <v>26</v>
      </c>
      <c r="L3986">
        <v>61700</v>
      </c>
      <c r="M3986">
        <v>1604200</v>
      </c>
      <c r="N3986" t="s">
        <v>95</v>
      </c>
      <c r="O3986" t="s">
        <v>104</v>
      </c>
    </row>
    <row r="3987" spans="1:15" x14ac:dyDescent="0.25">
      <c r="A3987">
        <v>4443</v>
      </c>
      <c r="B3987" s="10">
        <v>45920</v>
      </c>
      <c r="C3987">
        <v>20</v>
      </c>
      <c r="D3987" t="s">
        <v>147</v>
      </c>
      <c r="E3987" t="s">
        <v>133</v>
      </c>
      <c r="F3987" t="s">
        <v>49</v>
      </c>
      <c r="G3987" t="s">
        <v>118</v>
      </c>
      <c r="H3987" t="s">
        <v>23</v>
      </c>
      <c r="I3987" t="s">
        <v>24</v>
      </c>
      <c r="J3987" t="s">
        <v>94</v>
      </c>
      <c r="K3987">
        <v>2</v>
      </c>
      <c r="L3987">
        <v>61700</v>
      </c>
      <c r="M3987">
        <v>123400</v>
      </c>
      <c r="N3987" t="s">
        <v>95</v>
      </c>
      <c r="O3987" t="s">
        <v>96</v>
      </c>
    </row>
    <row r="3988" spans="1:15" x14ac:dyDescent="0.25">
      <c r="A3988">
        <v>4667</v>
      </c>
      <c r="B3988" s="10">
        <v>45991</v>
      </c>
      <c r="C3988">
        <v>30</v>
      </c>
      <c r="D3988" t="s">
        <v>90</v>
      </c>
      <c r="E3988" t="s">
        <v>150</v>
      </c>
      <c r="F3988" t="s">
        <v>107</v>
      </c>
      <c r="G3988" t="s">
        <v>100</v>
      </c>
      <c r="H3988" t="s">
        <v>23</v>
      </c>
      <c r="I3988" t="s">
        <v>157</v>
      </c>
      <c r="J3988" t="s">
        <v>103</v>
      </c>
      <c r="K3988">
        <v>33</v>
      </c>
      <c r="L3988">
        <v>61700</v>
      </c>
      <c r="M3988">
        <v>2036100</v>
      </c>
      <c r="N3988" t="s">
        <v>108</v>
      </c>
      <c r="O3988" t="s">
        <v>115</v>
      </c>
    </row>
    <row r="3989" spans="1:15" x14ac:dyDescent="0.25">
      <c r="A3989">
        <v>2190</v>
      </c>
      <c r="B3989" s="10">
        <v>45799</v>
      </c>
      <c r="C3989">
        <v>22</v>
      </c>
      <c r="D3989" t="s">
        <v>120</v>
      </c>
      <c r="E3989" t="s">
        <v>121</v>
      </c>
      <c r="F3989" t="s">
        <v>113</v>
      </c>
      <c r="G3989" t="s">
        <v>114</v>
      </c>
      <c r="H3989" t="s">
        <v>23</v>
      </c>
      <c r="I3989" t="s">
        <v>24</v>
      </c>
      <c r="J3989" t="s">
        <v>94</v>
      </c>
      <c r="K3989">
        <v>1</v>
      </c>
      <c r="L3989">
        <v>61800</v>
      </c>
      <c r="M3989">
        <v>61800</v>
      </c>
      <c r="N3989" t="s">
        <v>95</v>
      </c>
      <c r="O3989" t="s">
        <v>96</v>
      </c>
    </row>
    <row r="3990" spans="1:15" x14ac:dyDescent="0.25">
      <c r="A3990">
        <v>302</v>
      </c>
      <c r="B3990" s="10">
        <v>45731</v>
      </c>
      <c r="C3990">
        <v>15</v>
      </c>
      <c r="D3990" t="s">
        <v>140</v>
      </c>
      <c r="E3990" t="s">
        <v>112</v>
      </c>
      <c r="F3990" t="s">
        <v>151</v>
      </c>
      <c r="G3990" t="s">
        <v>111</v>
      </c>
      <c r="H3990" t="s">
        <v>23</v>
      </c>
      <c r="I3990" t="s">
        <v>157</v>
      </c>
      <c r="J3990" t="s">
        <v>103</v>
      </c>
      <c r="K3990">
        <v>31</v>
      </c>
      <c r="L3990">
        <v>62000</v>
      </c>
      <c r="M3990">
        <v>1922000</v>
      </c>
      <c r="N3990" t="s">
        <v>95</v>
      </c>
      <c r="O3990" t="s">
        <v>115</v>
      </c>
    </row>
    <row r="3991" spans="1:15" x14ac:dyDescent="0.25">
      <c r="A3991">
        <v>798</v>
      </c>
      <c r="B3991" s="10">
        <v>45986</v>
      </c>
      <c r="C3991">
        <v>25</v>
      </c>
      <c r="D3991" t="s">
        <v>90</v>
      </c>
      <c r="E3991" t="s">
        <v>116</v>
      </c>
      <c r="F3991" t="s">
        <v>117</v>
      </c>
      <c r="G3991" t="s">
        <v>118</v>
      </c>
      <c r="H3991" t="s">
        <v>23</v>
      </c>
      <c r="I3991" t="s">
        <v>24</v>
      </c>
      <c r="J3991" t="s">
        <v>94</v>
      </c>
      <c r="K3991">
        <v>8</v>
      </c>
      <c r="L3991">
        <v>62000</v>
      </c>
      <c r="M3991">
        <v>496000</v>
      </c>
      <c r="N3991" t="s">
        <v>108</v>
      </c>
      <c r="O3991" t="s">
        <v>115</v>
      </c>
    </row>
    <row r="3992" spans="1:15" x14ac:dyDescent="0.25">
      <c r="A3992">
        <v>3425</v>
      </c>
      <c r="B3992" s="10">
        <v>45881</v>
      </c>
      <c r="C3992">
        <v>12</v>
      </c>
      <c r="D3992" t="s">
        <v>109</v>
      </c>
      <c r="E3992" t="s">
        <v>116</v>
      </c>
      <c r="F3992" t="s">
        <v>28</v>
      </c>
      <c r="G3992" t="s">
        <v>126</v>
      </c>
      <c r="H3992" t="s">
        <v>92</v>
      </c>
      <c r="I3992" t="s">
        <v>93</v>
      </c>
      <c r="J3992" t="s">
        <v>103</v>
      </c>
      <c r="K3992">
        <v>40</v>
      </c>
      <c r="L3992">
        <v>62000</v>
      </c>
      <c r="M3992">
        <v>2480000</v>
      </c>
      <c r="N3992" t="s">
        <v>95</v>
      </c>
      <c r="O3992" t="s">
        <v>96</v>
      </c>
    </row>
    <row r="3993" spans="1:15" x14ac:dyDescent="0.25">
      <c r="A3993">
        <v>4372</v>
      </c>
      <c r="B3993" s="10">
        <v>45846</v>
      </c>
      <c r="C3993">
        <v>8</v>
      </c>
      <c r="D3993" t="s">
        <v>145</v>
      </c>
      <c r="E3993" t="s">
        <v>98</v>
      </c>
      <c r="F3993" t="s">
        <v>117</v>
      </c>
      <c r="G3993" t="s">
        <v>118</v>
      </c>
      <c r="H3993" t="s">
        <v>23</v>
      </c>
      <c r="I3993" t="s">
        <v>157</v>
      </c>
      <c r="J3993" t="s">
        <v>103</v>
      </c>
      <c r="K3993">
        <v>48</v>
      </c>
      <c r="L3993">
        <v>62000</v>
      </c>
      <c r="M3993">
        <v>2976000</v>
      </c>
      <c r="N3993" t="s">
        <v>108</v>
      </c>
      <c r="O3993" t="s">
        <v>104</v>
      </c>
    </row>
    <row r="3994" spans="1:15" x14ac:dyDescent="0.25">
      <c r="A3994">
        <v>4632</v>
      </c>
      <c r="B3994" s="10">
        <v>45685</v>
      </c>
      <c r="C3994">
        <v>28</v>
      </c>
      <c r="D3994" t="s">
        <v>130</v>
      </c>
      <c r="E3994" t="s">
        <v>128</v>
      </c>
      <c r="F3994" t="s">
        <v>107</v>
      </c>
      <c r="G3994" t="s">
        <v>100</v>
      </c>
      <c r="H3994" t="s">
        <v>23</v>
      </c>
      <c r="I3994" t="s">
        <v>157</v>
      </c>
      <c r="J3994" t="s">
        <v>103</v>
      </c>
      <c r="K3994">
        <v>44</v>
      </c>
      <c r="L3994">
        <v>62000</v>
      </c>
      <c r="M3994">
        <v>2728000</v>
      </c>
      <c r="N3994" t="s">
        <v>108</v>
      </c>
      <c r="O3994" t="s">
        <v>115</v>
      </c>
    </row>
    <row r="3995" spans="1:15" x14ac:dyDescent="0.25">
      <c r="A3995">
        <v>683</v>
      </c>
      <c r="B3995" s="10">
        <v>45789</v>
      </c>
      <c r="C3995">
        <v>12</v>
      </c>
      <c r="D3995" t="s">
        <v>120</v>
      </c>
      <c r="E3995" t="s">
        <v>112</v>
      </c>
      <c r="F3995" t="s">
        <v>44</v>
      </c>
      <c r="G3995" t="s">
        <v>111</v>
      </c>
      <c r="H3995" t="s">
        <v>23</v>
      </c>
      <c r="I3995" t="s">
        <v>157</v>
      </c>
      <c r="J3995" t="s">
        <v>103</v>
      </c>
      <c r="K3995">
        <v>41</v>
      </c>
      <c r="L3995">
        <v>62100</v>
      </c>
      <c r="M3995">
        <v>2546100</v>
      </c>
      <c r="N3995" t="s">
        <v>95</v>
      </c>
      <c r="O3995" t="s">
        <v>96</v>
      </c>
    </row>
    <row r="3996" spans="1:15" x14ac:dyDescent="0.25">
      <c r="A3996">
        <v>1093</v>
      </c>
      <c r="B3996" s="10">
        <v>45978</v>
      </c>
      <c r="C3996">
        <v>17</v>
      </c>
      <c r="D3996" t="s">
        <v>90</v>
      </c>
      <c r="E3996" t="s">
        <v>133</v>
      </c>
      <c r="F3996" t="s">
        <v>148</v>
      </c>
      <c r="G3996" t="s">
        <v>118</v>
      </c>
      <c r="H3996" t="s">
        <v>23</v>
      </c>
      <c r="I3996" t="s">
        <v>24</v>
      </c>
      <c r="J3996" t="s">
        <v>94</v>
      </c>
      <c r="K3996">
        <v>1</v>
      </c>
      <c r="L3996">
        <v>62200</v>
      </c>
      <c r="M3996">
        <v>62200</v>
      </c>
      <c r="N3996" t="s">
        <v>108</v>
      </c>
      <c r="O3996" t="s">
        <v>115</v>
      </c>
    </row>
    <row r="3997" spans="1:15" x14ac:dyDescent="0.25">
      <c r="A3997">
        <v>1095</v>
      </c>
      <c r="B3997" s="10">
        <v>45978</v>
      </c>
      <c r="C3997">
        <v>17</v>
      </c>
      <c r="D3997" t="s">
        <v>90</v>
      </c>
      <c r="E3997" t="s">
        <v>142</v>
      </c>
      <c r="F3997" t="s">
        <v>28</v>
      </c>
      <c r="G3997" t="s">
        <v>126</v>
      </c>
      <c r="H3997" t="s">
        <v>23</v>
      </c>
      <c r="I3997" t="s">
        <v>24</v>
      </c>
      <c r="J3997" t="s">
        <v>94</v>
      </c>
      <c r="K3997">
        <v>5</v>
      </c>
      <c r="L3997">
        <v>62200</v>
      </c>
      <c r="M3997">
        <v>311000</v>
      </c>
      <c r="N3997" t="s">
        <v>108</v>
      </c>
      <c r="O3997" t="s">
        <v>115</v>
      </c>
    </row>
    <row r="3998" spans="1:15" x14ac:dyDescent="0.25">
      <c r="A3998">
        <v>521</v>
      </c>
      <c r="B3998" s="10">
        <v>45975</v>
      </c>
      <c r="C3998">
        <v>14</v>
      </c>
      <c r="D3998" t="s">
        <v>90</v>
      </c>
      <c r="E3998" t="s">
        <v>110</v>
      </c>
      <c r="F3998" t="s">
        <v>151</v>
      </c>
      <c r="G3998" t="s">
        <v>111</v>
      </c>
      <c r="H3998" t="s">
        <v>92</v>
      </c>
      <c r="I3998" t="s">
        <v>93</v>
      </c>
      <c r="J3998" t="s">
        <v>103</v>
      </c>
      <c r="K3998">
        <v>12</v>
      </c>
      <c r="L3998">
        <v>62300</v>
      </c>
      <c r="M3998">
        <v>747600</v>
      </c>
      <c r="N3998" t="s">
        <v>95</v>
      </c>
      <c r="O3998" t="s">
        <v>96</v>
      </c>
    </row>
    <row r="3999" spans="1:15" x14ac:dyDescent="0.25">
      <c r="A3999">
        <v>4828</v>
      </c>
      <c r="B3999" s="10">
        <v>45938</v>
      </c>
      <c r="C3999">
        <v>8</v>
      </c>
      <c r="D3999" t="s">
        <v>136</v>
      </c>
      <c r="E3999" t="s">
        <v>150</v>
      </c>
      <c r="F3999" t="s">
        <v>99</v>
      </c>
      <c r="G3999" t="s">
        <v>100</v>
      </c>
      <c r="H3999" t="s">
        <v>23</v>
      </c>
      <c r="I3999" t="s">
        <v>24</v>
      </c>
      <c r="J3999" t="s">
        <v>94</v>
      </c>
      <c r="K3999">
        <v>3</v>
      </c>
      <c r="L3999">
        <v>62400</v>
      </c>
      <c r="M3999">
        <v>187200</v>
      </c>
      <c r="N3999" t="s">
        <v>95</v>
      </c>
      <c r="O3999" t="s">
        <v>96</v>
      </c>
    </row>
    <row r="4000" spans="1:15" x14ac:dyDescent="0.25">
      <c r="A4000">
        <v>776</v>
      </c>
      <c r="B4000" s="10">
        <v>45949</v>
      </c>
      <c r="C4000">
        <v>19</v>
      </c>
      <c r="D4000" t="s">
        <v>136</v>
      </c>
      <c r="E4000" t="s">
        <v>112</v>
      </c>
      <c r="F4000" t="s">
        <v>144</v>
      </c>
      <c r="G4000" t="s">
        <v>91</v>
      </c>
      <c r="H4000" t="s">
        <v>92</v>
      </c>
      <c r="I4000" t="s">
        <v>93</v>
      </c>
      <c r="J4000" t="s">
        <v>103</v>
      </c>
      <c r="K4000">
        <v>50</v>
      </c>
      <c r="L4000">
        <v>62700</v>
      </c>
      <c r="M4000">
        <v>3135000</v>
      </c>
      <c r="N4000" t="s">
        <v>108</v>
      </c>
      <c r="O4000" t="s">
        <v>104</v>
      </c>
    </row>
    <row r="4001" spans="1:15" x14ac:dyDescent="0.25">
      <c r="A4001">
        <v>2573</v>
      </c>
      <c r="B4001" s="10">
        <v>45706</v>
      </c>
      <c r="C4001">
        <v>18</v>
      </c>
      <c r="D4001" t="s">
        <v>97</v>
      </c>
      <c r="E4001" t="s">
        <v>142</v>
      </c>
      <c r="F4001" t="s">
        <v>28</v>
      </c>
      <c r="G4001" t="s">
        <v>126</v>
      </c>
      <c r="H4001" t="s">
        <v>23</v>
      </c>
      <c r="I4001" t="s">
        <v>157</v>
      </c>
      <c r="J4001" t="s">
        <v>103</v>
      </c>
      <c r="K4001">
        <v>18</v>
      </c>
      <c r="L4001">
        <v>62800</v>
      </c>
      <c r="M4001">
        <v>1130400</v>
      </c>
      <c r="N4001" t="s">
        <v>108</v>
      </c>
      <c r="O4001" t="s">
        <v>115</v>
      </c>
    </row>
    <row r="4002" spans="1:15" x14ac:dyDescent="0.25">
      <c r="A4002">
        <v>2905</v>
      </c>
      <c r="B4002" s="10">
        <v>45662</v>
      </c>
      <c r="C4002">
        <v>5</v>
      </c>
      <c r="D4002" t="s">
        <v>130</v>
      </c>
      <c r="E4002" t="s">
        <v>137</v>
      </c>
      <c r="F4002" t="s">
        <v>117</v>
      </c>
      <c r="G4002" t="s">
        <v>118</v>
      </c>
      <c r="H4002" t="s">
        <v>92</v>
      </c>
      <c r="I4002" t="s">
        <v>93</v>
      </c>
      <c r="J4002" t="s">
        <v>103</v>
      </c>
      <c r="K4002">
        <v>39</v>
      </c>
      <c r="L4002">
        <v>62800</v>
      </c>
      <c r="M4002">
        <v>2449200</v>
      </c>
      <c r="N4002" t="s">
        <v>95</v>
      </c>
      <c r="O4002" t="s">
        <v>96</v>
      </c>
    </row>
    <row r="4003" spans="1:15" x14ac:dyDescent="0.25">
      <c r="A4003">
        <v>2680</v>
      </c>
      <c r="B4003" s="10">
        <v>45785</v>
      </c>
      <c r="C4003">
        <v>8</v>
      </c>
      <c r="D4003" t="s">
        <v>120</v>
      </c>
      <c r="E4003" t="s">
        <v>138</v>
      </c>
      <c r="F4003" t="s">
        <v>28</v>
      </c>
      <c r="G4003" t="s">
        <v>126</v>
      </c>
      <c r="H4003" t="s">
        <v>23</v>
      </c>
      <c r="I4003" t="s">
        <v>157</v>
      </c>
      <c r="J4003" t="s">
        <v>103</v>
      </c>
      <c r="K4003">
        <v>13</v>
      </c>
      <c r="L4003">
        <v>62900</v>
      </c>
      <c r="M4003">
        <v>817700</v>
      </c>
      <c r="N4003" t="s">
        <v>95</v>
      </c>
      <c r="O4003" t="s">
        <v>96</v>
      </c>
    </row>
    <row r="4004" spans="1:15" x14ac:dyDescent="0.25">
      <c r="A4004">
        <v>185</v>
      </c>
      <c r="B4004" s="10">
        <v>45697</v>
      </c>
      <c r="C4004">
        <v>9</v>
      </c>
      <c r="D4004" t="s">
        <v>97</v>
      </c>
      <c r="E4004" t="s">
        <v>98</v>
      </c>
      <c r="F4004" t="s">
        <v>141</v>
      </c>
      <c r="G4004" t="s">
        <v>100</v>
      </c>
      <c r="H4004" t="s">
        <v>23</v>
      </c>
      <c r="I4004" t="s">
        <v>157</v>
      </c>
      <c r="J4004" t="s">
        <v>103</v>
      </c>
      <c r="K4004">
        <v>34</v>
      </c>
      <c r="L4004">
        <v>63000</v>
      </c>
      <c r="M4004">
        <v>2142000</v>
      </c>
      <c r="N4004" t="s">
        <v>95</v>
      </c>
      <c r="O4004" t="s">
        <v>115</v>
      </c>
    </row>
    <row r="4005" spans="1:15" x14ac:dyDescent="0.25">
      <c r="A4005">
        <v>989</v>
      </c>
      <c r="B4005" s="10">
        <v>45994</v>
      </c>
      <c r="C4005">
        <v>3</v>
      </c>
      <c r="D4005" t="s">
        <v>125</v>
      </c>
      <c r="E4005" t="s">
        <v>25</v>
      </c>
      <c r="F4005" t="s">
        <v>113</v>
      </c>
      <c r="G4005" t="s">
        <v>114</v>
      </c>
      <c r="H4005" t="s">
        <v>23</v>
      </c>
      <c r="I4005" t="s">
        <v>157</v>
      </c>
      <c r="J4005" t="s">
        <v>103</v>
      </c>
      <c r="K4005">
        <v>25</v>
      </c>
      <c r="L4005">
        <v>63000</v>
      </c>
      <c r="M4005">
        <v>1575000</v>
      </c>
      <c r="N4005" t="s">
        <v>95</v>
      </c>
      <c r="O4005" t="s">
        <v>104</v>
      </c>
    </row>
    <row r="4006" spans="1:15" x14ac:dyDescent="0.25">
      <c r="A4006">
        <v>115</v>
      </c>
      <c r="B4006" s="10">
        <v>45739</v>
      </c>
      <c r="C4006">
        <v>23</v>
      </c>
      <c r="D4006" t="s">
        <v>140</v>
      </c>
      <c r="E4006" t="s">
        <v>116</v>
      </c>
      <c r="F4006" t="s">
        <v>107</v>
      </c>
      <c r="G4006" t="s">
        <v>100</v>
      </c>
      <c r="H4006" t="s">
        <v>23</v>
      </c>
      <c r="I4006" t="s">
        <v>157</v>
      </c>
      <c r="J4006" t="s">
        <v>103</v>
      </c>
      <c r="K4006">
        <v>10</v>
      </c>
      <c r="L4006">
        <v>63100</v>
      </c>
      <c r="M4006">
        <v>631000</v>
      </c>
      <c r="N4006" t="s">
        <v>95</v>
      </c>
      <c r="O4006" t="s">
        <v>104</v>
      </c>
    </row>
    <row r="4007" spans="1:15" x14ac:dyDescent="0.25">
      <c r="A4007">
        <v>3271</v>
      </c>
      <c r="B4007" s="10">
        <v>45921</v>
      </c>
      <c r="C4007">
        <v>21</v>
      </c>
      <c r="D4007" t="s">
        <v>147</v>
      </c>
      <c r="E4007" t="s">
        <v>112</v>
      </c>
      <c r="F4007" t="s">
        <v>44</v>
      </c>
      <c r="G4007" t="s">
        <v>111</v>
      </c>
      <c r="H4007" t="s">
        <v>23</v>
      </c>
      <c r="I4007" t="s">
        <v>157</v>
      </c>
      <c r="J4007" t="s">
        <v>103</v>
      </c>
      <c r="K4007">
        <v>15</v>
      </c>
      <c r="L4007">
        <v>63100</v>
      </c>
      <c r="M4007">
        <v>946500</v>
      </c>
      <c r="N4007" t="s">
        <v>95</v>
      </c>
      <c r="O4007" t="s">
        <v>96</v>
      </c>
    </row>
    <row r="4008" spans="1:15" x14ac:dyDescent="0.25">
      <c r="A4008">
        <v>4109</v>
      </c>
      <c r="B4008" s="10">
        <v>45668</v>
      </c>
      <c r="C4008">
        <v>11</v>
      </c>
      <c r="D4008" t="s">
        <v>130</v>
      </c>
      <c r="E4008" t="s">
        <v>142</v>
      </c>
      <c r="F4008" t="s">
        <v>49</v>
      </c>
      <c r="G4008" t="s">
        <v>118</v>
      </c>
      <c r="H4008" t="s">
        <v>23</v>
      </c>
      <c r="I4008" t="s">
        <v>157</v>
      </c>
      <c r="J4008" t="s">
        <v>103</v>
      </c>
      <c r="K4008">
        <v>23</v>
      </c>
      <c r="L4008">
        <v>63100</v>
      </c>
      <c r="M4008">
        <v>1451300</v>
      </c>
      <c r="N4008" t="s">
        <v>95</v>
      </c>
      <c r="O4008" t="s">
        <v>115</v>
      </c>
    </row>
    <row r="4009" spans="1:15" x14ac:dyDescent="0.25">
      <c r="A4009">
        <v>726</v>
      </c>
      <c r="B4009" s="10">
        <v>45888</v>
      </c>
      <c r="C4009">
        <v>19</v>
      </c>
      <c r="D4009" t="s">
        <v>109</v>
      </c>
      <c r="E4009" t="s">
        <v>98</v>
      </c>
      <c r="F4009" t="s">
        <v>113</v>
      </c>
      <c r="G4009" t="s">
        <v>114</v>
      </c>
      <c r="H4009" t="s">
        <v>23</v>
      </c>
      <c r="I4009" t="s">
        <v>157</v>
      </c>
      <c r="J4009" t="s">
        <v>103</v>
      </c>
      <c r="K4009">
        <v>37</v>
      </c>
      <c r="L4009">
        <v>63200</v>
      </c>
      <c r="M4009">
        <v>2338400</v>
      </c>
      <c r="N4009" t="s">
        <v>95</v>
      </c>
      <c r="O4009" t="s">
        <v>115</v>
      </c>
    </row>
    <row r="4010" spans="1:15" x14ac:dyDescent="0.25">
      <c r="A4010">
        <v>1043</v>
      </c>
      <c r="B4010" s="10">
        <v>45875</v>
      </c>
      <c r="C4010">
        <v>6</v>
      </c>
      <c r="D4010" t="s">
        <v>109</v>
      </c>
      <c r="E4010" t="s">
        <v>121</v>
      </c>
      <c r="F4010" t="s">
        <v>134</v>
      </c>
      <c r="G4010" t="s">
        <v>100</v>
      </c>
      <c r="H4010" t="s">
        <v>23</v>
      </c>
      <c r="I4010" t="s">
        <v>24</v>
      </c>
      <c r="J4010" t="s">
        <v>94</v>
      </c>
      <c r="K4010">
        <v>7</v>
      </c>
      <c r="L4010">
        <v>63200</v>
      </c>
      <c r="M4010">
        <v>442400</v>
      </c>
      <c r="N4010" t="s">
        <v>95</v>
      </c>
      <c r="O4010" t="s">
        <v>115</v>
      </c>
    </row>
    <row r="4011" spans="1:15" x14ac:dyDescent="0.25">
      <c r="A4011">
        <v>3728</v>
      </c>
      <c r="B4011" s="10">
        <v>45791</v>
      </c>
      <c r="C4011">
        <v>14</v>
      </c>
      <c r="D4011" t="s">
        <v>120</v>
      </c>
      <c r="E4011" t="s">
        <v>110</v>
      </c>
      <c r="F4011" t="s">
        <v>151</v>
      </c>
      <c r="G4011" t="s">
        <v>111</v>
      </c>
      <c r="H4011" t="s">
        <v>23</v>
      </c>
      <c r="I4011" t="s">
        <v>24</v>
      </c>
      <c r="J4011" t="s">
        <v>94</v>
      </c>
      <c r="K4011">
        <v>4</v>
      </c>
      <c r="L4011">
        <v>63200</v>
      </c>
      <c r="M4011">
        <v>252800</v>
      </c>
      <c r="N4011" t="s">
        <v>108</v>
      </c>
      <c r="O4011" t="s">
        <v>96</v>
      </c>
    </row>
    <row r="4012" spans="1:15" x14ac:dyDescent="0.25">
      <c r="A4012">
        <v>287</v>
      </c>
      <c r="B4012" s="10">
        <v>45870</v>
      </c>
      <c r="C4012">
        <v>1</v>
      </c>
      <c r="D4012" t="s">
        <v>109</v>
      </c>
      <c r="E4012" t="s">
        <v>133</v>
      </c>
      <c r="F4012" t="s">
        <v>148</v>
      </c>
      <c r="G4012" t="s">
        <v>118</v>
      </c>
      <c r="H4012" t="s">
        <v>23</v>
      </c>
      <c r="I4012" t="s">
        <v>157</v>
      </c>
      <c r="J4012" t="s">
        <v>103</v>
      </c>
      <c r="K4012">
        <v>48</v>
      </c>
      <c r="L4012">
        <v>63300</v>
      </c>
      <c r="M4012">
        <v>3038400</v>
      </c>
      <c r="N4012" t="s">
        <v>108</v>
      </c>
      <c r="O4012" t="s">
        <v>96</v>
      </c>
    </row>
    <row r="4013" spans="1:15" x14ac:dyDescent="0.25">
      <c r="A4013">
        <v>3457</v>
      </c>
      <c r="B4013" s="10">
        <v>45706</v>
      </c>
      <c r="C4013">
        <v>18</v>
      </c>
      <c r="D4013" t="s">
        <v>97</v>
      </c>
      <c r="E4013" t="s">
        <v>98</v>
      </c>
      <c r="F4013" t="s">
        <v>148</v>
      </c>
      <c r="G4013" t="s">
        <v>118</v>
      </c>
      <c r="H4013" t="s">
        <v>23</v>
      </c>
      <c r="I4013" t="s">
        <v>24</v>
      </c>
      <c r="J4013" t="s">
        <v>94</v>
      </c>
      <c r="K4013">
        <v>4</v>
      </c>
      <c r="L4013">
        <v>63300</v>
      </c>
      <c r="M4013">
        <v>253200</v>
      </c>
      <c r="N4013" t="s">
        <v>95</v>
      </c>
      <c r="O4013" t="s">
        <v>115</v>
      </c>
    </row>
    <row r="4014" spans="1:15" x14ac:dyDescent="0.25">
      <c r="A4014">
        <v>3720</v>
      </c>
      <c r="B4014" s="10">
        <v>45795</v>
      </c>
      <c r="C4014">
        <v>18</v>
      </c>
      <c r="D4014" t="s">
        <v>120</v>
      </c>
      <c r="E4014" t="s">
        <v>106</v>
      </c>
      <c r="F4014" t="s">
        <v>113</v>
      </c>
      <c r="G4014" t="s">
        <v>114</v>
      </c>
      <c r="H4014" t="s">
        <v>23</v>
      </c>
      <c r="I4014" t="s">
        <v>157</v>
      </c>
      <c r="J4014" t="s">
        <v>103</v>
      </c>
      <c r="K4014">
        <v>15</v>
      </c>
      <c r="L4014">
        <v>63400</v>
      </c>
      <c r="M4014">
        <v>951000</v>
      </c>
      <c r="N4014" t="s">
        <v>108</v>
      </c>
      <c r="O4014" t="s">
        <v>96</v>
      </c>
    </row>
    <row r="4015" spans="1:15" x14ac:dyDescent="0.25">
      <c r="A4015">
        <v>4322</v>
      </c>
      <c r="B4015" s="10">
        <v>45987</v>
      </c>
      <c r="C4015">
        <v>26</v>
      </c>
      <c r="D4015" t="s">
        <v>90</v>
      </c>
      <c r="E4015" t="s">
        <v>121</v>
      </c>
      <c r="F4015" t="s">
        <v>117</v>
      </c>
      <c r="G4015" t="s">
        <v>118</v>
      </c>
      <c r="H4015" t="s">
        <v>23</v>
      </c>
      <c r="I4015" t="s">
        <v>157</v>
      </c>
      <c r="J4015" t="s">
        <v>103</v>
      </c>
      <c r="K4015">
        <v>10</v>
      </c>
      <c r="L4015">
        <v>63400</v>
      </c>
      <c r="M4015">
        <v>634000</v>
      </c>
      <c r="N4015" t="s">
        <v>95</v>
      </c>
      <c r="O4015" t="s">
        <v>96</v>
      </c>
    </row>
    <row r="4016" spans="1:15" x14ac:dyDescent="0.25">
      <c r="A4016">
        <v>2355</v>
      </c>
      <c r="B4016" s="10">
        <v>45931</v>
      </c>
      <c r="C4016">
        <v>1</v>
      </c>
      <c r="D4016" t="s">
        <v>136</v>
      </c>
      <c r="E4016" t="s">
        <v>142</v>
      </c>
      <c r="F4016" t="s">
        <v>144</v>
      </c>
      <c r="G4016" t="s">
        <v>91</v>
      </c>
      <c r="H4016" t="s">
        <v>23</v>
      </c>
      <c r="I4016" t="s">
        <v>24</v>
      </c>
      <c r="J4016" t="s">
        <v>94</v>
      </c>
      <c r="K4016">
        <v>1</v>
      </c>
      <c r="L4016">
        <v>63600</v>
      </c>
      <c r="M4016">
        <v>63600</v>
      </c>
      <c r="N4016" t="s">
        <v>108</v>
      </c>
      <c r="O4016" t="s">
        <v>115</v>
      </c>
    </row>
    <row r="4017" spans="1:15" x14ac:dyDescent="0.25">
      <c r="A4017">
        <v>3920</v>
      </c>
      <c r="B4017" s="10">
        <v>45855</v>
      </c>
      <c r="C4017">
        <v>17</v>
      </c>
      <c r="D4017" t="s">
        <v>145</v>
      </c>
      <c r="E4017" t="s">
        <v>137</v>
      </c>
      <c r="F4017" t="s">
        <v>44</v>
      </c>
      <c r="G4017" t="s">
        <v>111</v>
      </c>
      <c r="H4017" t="s">
        <v>23</v>
      </c>
      <c r="I4017" t="s">
        <v>157</v>
      </c>
      <c r="J4017" t="s">
        <v>103</v>
      </c>
      <c r="K4017">
        <v>30</v>
      </c>
      <c r="L4017">
        <v>63600</v>
      </c>
      <c r="M4017">
        <v>1908000</v>
      </c>
      <c r="N4017" t="s">
        <v>108</v>
      </c>
      <c r="O4017" t="s">
        <v>115</v>
      </c>
    </row>
    <row r="4018" spans="1:15" x14ac:dyDescent="0.25">
      <c r="A4018">
        <v>1504</v>
      </c>
      <c r="B4018" s="10">
        <v>45728</v>
      </c>
      <c r="C4018">
        <v>12</v>
      </c>
      <c r="D4018" t="s">
        <v>140</v>
      </c>
      <c r="E4018" t="s">
        <v>31</v>
      </c>
      <c r="F4018" t="s">
        <v>151</v>
      </c>
      <c r="G4018" t="s">
        <v>111</v>
      </c>
      <c r="H4018" t="s">
        <v>23</v>
      </c>
      <c r="I4018" t="s">
        <v>157</v>
      </c>
      <c r="J4018" t="s">
        <v>103</v>
      </c>
      <c r="K4018">
        <v>27</v>
      </c>
      <c r="L4018">
        <v>63700</v>
      </c>
      <c r="M4018">
        <v>1719900</v>
      </c>
      <c r="N4018" t="s">
        <v>95</v>
      </c>
      <c r="O4018" t="s">
        <v>115</v>
      </c>
    </row>
    <row r="4019" spans="1:15" x14ac:dyDescent="0.25">
      <c r="A4019">
        <v>2155</v>
      </c>
      <c r="B4019" s="10">
        <v>45772</v>
      </c>
      <c r="C4019">
        <v>25</v>
      </c>
      <c r="D4019" t="s">
        <v>105</v>
      </c>
      <c r="E4019" t="s">
        <v>133</v>
      </c>
      <c r="F4019" t="s">
        <v>49</v>
      </c>
      <c r="G4019" t="s">
        <v>118</v>
      </c>
      <c r="H4019" t="s">
        <v>92</v>
      </c>
      <c r="I4019" t="s">
        <v>93</v>
      </c>
      <c r="J4019" t="s">
        <v>103</v>
      </c>
      <c r="K4019">
        <v>29</v>
      </c>
      <c r="L4019">
        <v>63700</v>
      </c>
      <c r="M4019">
        <v>1847300</v>
      </c>
      <c r="N4019" t="s">
        <v>108</v>
      </c>
      <c r="O4019" t="s">
        <v>104</v>
      </c>
    </row>
    <row r="4020" spans="1:15" x14ac:dyDescent="0.25">
      <c r="A4020">
        <v>1342</v>
      </c>
      <c r="B4020" s="10">
        <v>45701</v>
      </c>
      <c r="C4020">
        <v>13</v>
      </c>
      <c r="D4020" t="s">
        <v>97</v>
      </c>
      <c r="E4020" t="s">
        <v>110</v>
      </c>
      <c r="F4020" t="s">
        <v>148</v>
      </c>
      <c r="G4020" t="s">
        <v>118</v>
      </c>
      <c r="H4020" t="s">
        <v>23</v>
      </c>
      <c r="I4020" t="s">
        <v>157</v>
      </c>
      <c r="J4020" t="s">
        <v>103</v>
      </c>
      <c r="K4020">
        <v>7</v>
      </c>
      <c r="L4020">
        <v>63800</v>
      </c>
      <c r="M4020">
        <v>446600</v>
      </c>
      <c r="N4020" t="s">
        <v>95</v>
      </c>
      <c r="O4020" t="s">
        <v>115</v>
      </c>
    </row>
    <row r="4021" spans="1:15" x14ac:dyDescent="0.25">
      <c r="A4021">
        <v>4723</v>
      </c>
      <c r="B4021" s="10">
        <v>45805</v>
      </c>
      <c r="C4021">
        <v>28</v>
      </c>
      <c r="D4021" t="s">
        <v>120</v>
      </c>
      <c r="E4021" t="s">
        <v>98</v>
      </c>
      <c r="F4021" t="s">
        <v>151</v>
      </c>
      <c r="G4021" t="s">
        <v>111</v>
      </c>
      <c r="H4021" t="s">
        <v>23</v>
      </c>
      <c r="I4021" t="s">
        <v>157</v>
      </c>
      <c r="J4021" t="s">
        <v>103</v>
      </c>
      <c r="K4021">
        <v>24</v>
      </c>
      <c r="L4021">
        <v>63800</v>
      </c>
      <c r="M4021">
        <v>1531200</v>
      </c>
      <c r="N4021" t="s">
        <v>95</v>
      </c>
      <c r="O4021" t="s">
        <v>115</v>
      </c>
    </row>
    <row r="4022" spans="1:15" x14ac:dyDescent="0.25">
      <c r="A4022">
        <v>3566</v>
      </c>
      <c r="B4022" s="10">
        <v>45903</v>
      </c>
      <c r="C4022">
        <v>3</v>
      </c>
      <c r="D4022" t="s">
        <v>147</v>
      </c>
      <c r="E4022" t="s">
        <v>161</v>
      </c>
      <c r="F4022" t="s">
        <v>141</v>
      </c>
      <c r="G4022" t="s">
        <v>100</v>
      </c>
      <c r="H4022" t="s">
        <v>23</v>
      </c>
      <c r="I4022" t="s">
        <v>157</v>
      </c>
      <c r="J4022" t="s">
        <v>103</v>
      </c>
      <c r="K4022">
        <v>35</v>
      </c>
      <c r="L4022">
        <v>63900</v>
      </c>
      <c r="M4022">
        <v>2236500</v>
      </c>
      <c r="N4022" t="s">
        <v>108</v>
      </c>
      <c r="O4022" t="s">
        <v>104</v>
      </c>
    </row>
    <row r="4023" spans="1:15" x14ac:dyDescent="0.25">
      <c r="A4023">
        <v>4472</v>
      </c>
      <c r="B4023" s="10">
        <v>45756</v>
      </c>
      <c r="C4023">
        <v>9</v>
      </c>
      <c r="D4023" t="s">
        <v>105</v>
      </c>
      <c r="E4023" t="s">
        <v>112</v>
      </c>
      <c r="F4023" t="s">
        <v>107</v>
      </c>
      <c r="G4023" t="s">
        <v>100</v>
      </c>
      <c r="H4023" t="s">
        <v>23</v>
      </c>
      <c r="I4023" t="s">
        <v>24</v>
      </c>
      <c r="J4023" t="s">
        <v>94</v>
      </c>
      <c r="K4023">
        <v>2</v>
      </c>
      <c r="L4023">
        <v>63900</v>
      </c>
      <c r="M4023">
        <v>127800</v>
      </c>
      <c r="N4023" t="s">
        <v>95</v>
      </c>
      <c r="O4023" t="s">
        <v>115</v>
      </c>
    </row>
    <row r="4024" spans="1:15" x14ac:dyDescent="0.25">
      <c r="A4024">
        <v>2127</v>
      </c>
      <c r="B4024" s="10">
        <v>45950</v>
      </c>
      <c r="C4024">
        <v>20</v>
      </c>
      <c r="D4024" t="s">
        <v>136</v>
      </c>
      <c r="E4024" t="s">
        <v>150</v>
      </c>
      <c r="F4024" t="s">
        <v>22</v>
      </c>
      <c r="G4024" t="s">
        <v>91</v>
      </c>
      <c r="H4024" t="s">
        <v>92</v>
      </c>
      <c r="I4024" t="s">
        <v>93</v>
      </c>
      <c r="J4024" t="s">
        <v>103</v>
      </c>
      <c r="K4024">
        <v>31</v>
      </c>
      <c r="L4024">
        <v>64000</v>
      </c>
      <c r="M4024">
        <v>1984000</v>
      </c>
      <c r="N4024" t="s">
        <v>95</v>
      </c>
      <c r="O4024" t="s">
        <v>115</v>
      </c>
    </row>
    <row r="4025" spans="1:15" x14ac:dyDescent="0.25">
      <c r="A4025">
        <v>519</v>
      </c>
      <c r="B4025" s="10">
        <v>45943</v>
      </c>
      <c r="C4025">
        <v>13</v>
      </c>
      <c r="D4025" t="s">
        <v>136</v>
      </c>
      <c r="E4025" t="s">
        <v>137</v>
      </c>
      <c r="F4025" t="s">
        <v>22</v>
      </c>
      <c r="G4025" t="s">
        <v>91</v>
      </c>
      <c r="H4025" t="s">
        <v>23</v>
      </c>
      <c r="I4025" t="s">
        <v>157</v>
      </c>
      <c r="J4025" t="s">
        <v>103</v>
      </c>
      <c r="K4025">
        <v>37</v>
      </c>
      <c r="L4025">
        <v>64100</v>
      </c>
      <c r="M4025">
        <v>2371700</v>
      </c>
      <c r="N4025" t="s">
        <v>95</v>
      </c>
      <c r="O4025" t="s">
        <v>96</v>
      </c>
    </row>
    <row r="4026" spans="1:15" x14ac:dyDescent="0.25">
      <c r="A4026">
        <v>1203</v>
      </c>
      <c r="B4026" s="10">
        <v>45729</v>
      </c>
      <c r="C4026">
        <v>13</v>
      </c>
      <c r="D4026" t="s">
        <v>140</v>
      </c>
      <c r="E4026" t="s">
        <v>25</v>
      </c>
      <c r="F4026" t="s">
        <v>148</v>
      </c>
      <c r="G4026" t="s">
        <v>118</v>
      </c>
      <c r="H4026" t="s">
        <v>23</v>
      </c>
      <c r="I4026" t="s">
        <v>157</v>
      </c>
      <c r="J4026" t="s">
        <v>103</v>
      </c>
      <c r="K4026">
        <v>49</v>
      </c>
      <c r="L4026">
        <v>64100</v>
      </c>
      <c r="M4026">
        <v>3140900</v>
      </c>
      <c r="N4026" t="s">
        <v>95</v>
      </c>
      <c r="O4026" t="s">
        <v>115</v>
      </c>
    </row>
    <row r="4027" spans="1:15" x14ac:dyDescent="0.25">
      <c r="A4027">
        <v>3153</v>
      </c>
      <c r="B4027" s="10">
        <v>45956</v>
      </c>
      <c r="C4027">
        <v>26</v>
      </c>
      <c r="D4027" t="s">
        <v>136</v>
      </c>
      <c r="E4027" t="s">
        <v>110</v>
      </c>
      <c r="F4027" t="s">
        <v>99</v>
      </c>
      <c r="G4027" t="s">
        <v>100</v>
      </c>
      <c r="H4027" t="s">
        <v>23</v>
      </c>
      <c r="I4027" t="s">
        <v>157</v>
      </c>
      <c r="J4027" t="s">
        <v>94</v>
      </c>
      <c r="K4027">
        <v>9</v>
      </c>
      <c r="L4027">
        <v>64100</v>
      </c>
      <c r="M4027">
        <v>576900</v>
      </c>
      <c r="N4027" t="s">
        <v>108</v>
      </c>
      <c r="O4027" t="s">
        <v>104</v>
      </c>
    </row>
    <row r="4028" spans="1:15" x14ac:dyDescent="0.25">
      <c r="A4028">
        <v>2624</v>
      </c>
      <c r="B4028" s="10">
        <v>45990</v>
      </c>
      <c r="C4028">
        <v>29</v>
      </c>
      <c r="D4028" t="s">
        <v>90</v>
      </c>
      <c r="E4028" t="s">
        <v>137</v>
      </c>
      <c r="F4028" t="s">
        <v>122</v>
      </c>
      <c r="G4028" t="s">
        <v>114</v>
      </c>
      <c r="H4028" t="s">
        <v>23</v>
      </c>
      <c r="I4028" t="s">
        <v>24</v>
      </c>
      <c r="J4028" t="s">
        <v>94</v>
      </c>
      <c r="K4028">
        <v>3</v>
      </c>
      <c r="L4028">
        <v>64200</v>
      </c>
      <c r="M4028">
        <v>192600</v>
      </c>
      <c r="N4028" t="s">
        <v>108</v>
      </c>
      <c r="O4028" t="s">
        <v>96</v>
      </c>
    </row>
    <row r="4029" spans="1:15" x14ac:dyDescent="0.25">
      <c r="A4029">
        <v>3256</v>
      </c>
      <c r="B4029" s="10">
        <v>45783</v>
      </c>
      <c r="C4029">
        <v>6</v>
      </c>
      <c r="D4029" t="s">
        <v>120</v>
      </c>
      <c r="E4029" t="s">
        <v>142</v>
      </c>
      <c r="F4029" t="s">
        <v>49</v>
      </c>
      <c r="G4029" t="s">
        <v>118</v>
      </c>
      <c r="H4029" t="s">
        <v>23</v>
      </c>
      <c r="I4029" t="s">
        <v>157</v>
      </c>
      <c r="J4029" t="s">
        <v>103</v>
      </c>
      <c r="K4029">
        <v>22</v>
      </c>
      <c r="L4029">
        <v>64200</v>
      </c>
      <c r="M4029">
        <v>1412400</v>
      </c>
      <c r="N4029" t="s">
        <v>95</v>
      </c>
      <c r="O4029" t="s">
        <v>104</v>
      </c>
    </row>
    <row r="4030" spans="1:15" x14ac:dyDescent="0.25">
      <c r="A4030">
        <v>1265</v>
      </c>
      <c r="B4030" s="10">
        <v>45808</v>
      </c>
      <c r="C4030">
        <v>31</v>
      </c>
      <c r="D4030" t="s">
        <v>120</v>
      </c>
      <c r="E4030" t="s">
        <v>116</v>
      </c>
      <c r="F4030" t="s">
        <v>49</v>
      </c>
      <c r="G4030" t="s">
        <v>118</v>
      </c>
      <c r="H4030" t="s">
        <v>23</v>
      </c>
      <c r="I4030" t="s">
        <v>157</v>
      </c>
      <c r="J4030" t="s">
        <v>103</v>
      </c>
      <c r="K4030">
        <v>18</v>
      </c>
      <c r="L4030">
        <v>64300</v>
      </c>
      <c r="M4030">
        <v>1157400</v>
      </c>
      <c r="N4030" t="s">
        <v>108</v>
      </c>
      <c r="O4030" t="s">
        <v>96</v>
      </c>
    </row>
    <row r="4031" spans="1:15" x14ac:dyDescent="0.25">
      <c r="A4031">
        <v>4596</v>
      </c>
      <c r="B4031" s="10">
        <v>45962</v>
      </c>
      <c r="C4031">
        <v>1</v>
      </c>
      <c r="D4031" t="s">
        <v>90</v>
      </c>
      <c r="E4031" t="s">
        <v>138</v>
      </c>
      <c r="F4031" t="s">
        <v>117</v>
      </c>
      <c r="G4031" t="s">
        <v>118</v>
      </c>
      <c r="H4031" t="s">
        <v>23</v>
      </c>
      <c r="I4031" t="s">
        <v>157</v>
      </c>
      <c r="J4031" t="s">
        <v>103</v>
      </c>
      <c r="K4031">
        <v>9</v>
      </c>
      <c r="L4031">
        <v>64300</v>
      </c>
      <c r="M4031">
        <v>578700</v>
      </c>
      <c r="N4031" t="s">
        <v>95</v>
      </c>
      <c r="O4031" t="s">
        <v>104</v>
      </c>
    </row>
    <row r="4032" spans="1:15" x14ac:dyDescent="0.25">
      <c r="A4032">
        <v>4034</v>
      </c>
      <c r="B4032" s="10">
        <v>45785</v>
      </c>
      <c r="C4032">
        <v>8</v>
      </c>
      <c r="D4032" t="s">
        <v>120</v>
      </c>
      <c r="E4032" t="s">
        <v>128</v>
      </c>
      <c r="F4032" t="s">
        <v>117</v>
      </c>
      <c r="G4032" t="s">
        <v>118</v>
      </c>
      <c r="H4032" t="s">
        <v>23</v>
      </c>
      <c r="I4032" t="s">
        <v>157</v>
      </c>
      <c r="J4032" t="s">
        <v>94</v>
      </c>
      <c r="K4032">
        <v>8</v>
      </c>
      <c r="L4032">
        <v>64400</v>
      </c>
      <c r="M4032">
        <v>515200</v>
      </c>
      <c r="N4032" t="s">
        <v>95</v>
      </c>
      <c r="O4032" t="s">
        <v>96</v>
      </c>
    </row>
    <row r="4033" spans="1:15" x14ac:dyDescent="0.25">
      <c r="A4033">
        <v>577</v>
      </c>
      <c r="B4033" s="10">
        <v>45958</v>
      </c>
      <c r="C4033">
        <v>28</v>
      </c>
      <c r="D4033" t="s">
        <v>136</v>
      </c>
      <c r="E4033" t="s">
        <v>98</v>
      </c>
      <c r="F4033" t="s">
        <v>144</v>
      </c>
      <c r="G4033" t="s">
        <v>91</v>
      </c>
      <c r="H4033" t="s">
        <v>23</v>
      </c>
      <c r="I4033" t="s">
        <v>157</v>
      </c>
      <c r="J4033" t="s">
        <v>103</v>
      </c>
      <c r="K4033">
        <v>29</v>
      </c>
      <c r="L4033">
        <v>64500</v>
      </c>
      <c r="M4033">
        <v>1870500</v>
      </c>
      <c r="N4033" t="s">
        <v>95</v>
      </c>
      <c r="O4033" t="s">
        <v>96</v>
      </c>
    </row>
    <row r="4034" spans="1:15" x14ac:dyDescent="0.25">
      <c r="A4034">
        <v>3304</v>
      </c>
      <c r="B4034" s="10">
        <v>45776</v>
      </c>
      <c r="C4034">
        <v>29</v>
      </c>
      <c r="D4034" t="s">
        <v>105</v>
      </c>
      <c r="E4034" t="s">
        <v>98</v>
      </c>
      <c r="F4034" t="s">
        <v>44</v>
      </c>
      <c r="G4034" t="s">
        <v>111</v>
      </c>
      <c r="H4034" t="s">
        <v>92</v>
      </c>
      <c r="I4034" t="s">
        <v>93</v>
      </c>
      <c r="J4034" t="s">
        <v>103</v>
      </c>
      <c r="K4034">
        <v>32</v>
      </c>
      <c r="L4034">
        <v>64500</v>
      </c>
      <c r="M4034">
        <v>2064000</v>
      </c>
      <c r="N4034" t="s">
        <v>108</v>
      </c>
      <c r="O4034" t="s">
        <v>115</v>
      </c>
    </row>
    <row r="4035" spans="1:15" x14ac:dyDescent="0.25">
      <c r="A4035">
        <v>833</v>
      </c>
      <c r="B4035" s="10">
        <v>45722</v>
      </c>
      <c r="C4035">
        <v>6</v>
      </c>
      <c r="D4035" t="s">
        <v>140</v>
      </c>
      <c r="E4035" t="s">
        <v>106</v>
      </c>
      <c r="F4035" t="s">
        <v>36</v>
      </c>
      <c r="G4035" t="s">
        <v>100</v>
      </c>
      <c r="H4035" t="s">
        <v>92</v>
      </c>
      <c r="I4035" t="s">
        <v>93</v>
      </c>
      <c r="J4035" t="s">
        <v>103</v>
      </c>
      <c r="K4035">
        <v>31</v>
      </c>
      <c r="L4035">
        <v>64600</v>
      </c>
      <c r="M4035">
        <v>2002600</v>
      </c>
      <c r="N4035" t="s">
        <v>95</v>
      </c>
      <c r="O4035" t="s">
        <v>104</v>
      </c>
    </row>
    <row r="4036" spans="1:15" x14ac:dyDescent="0.25">
      <c r="A4036">
        <v>1172</v>
      </c>
      <c r="B4036" s="10">
        <v>45820</v>
      </c>
      <c r="C4036">
        <v>12</v>
      </c>
      <c r="D4036" t="s">
        <v>153</v>
      </c>
      <c r="E4036" t="s">
        <v>98</v>
      </c>
      <c r="F4036" t="s">
        <v>117</v>
      </c>
      <c r="G4036" t="s">
        <v>118</v>
      </c>
      <c r="H4036" t="s">
        <v>23</v>
      </c>
      <c r="I4036" t="s">
        <v>157</v>
      </c>
      <c r="J4036" t="s">
        <v>103</v>
      </c>
      <c r="K4036">
        <v>46</v>
      </c>
      <c r="L4036">
        <v>64600</v>
      </c>
      <c r="M4036">
        <v>2971600</v>
      </c>
      <c r="N4036" t="s">
        <v>108</v>
      </c>
      <c r="O4036" t="s">
        <v>104</v>
      </c>
    </row>
    <row r="4037" spans="1:15" x14ac:dyDescent="0.25">
      <c r="A4037">
        <v>1689</v>
      </c>
      <c r="B4037" s="10">
        <v>45970</v>
      </c>
      <c r="C4037">
        <v>9</v>
      </c>
      <c r="D4037" t="s">
        <v>90</v>
      </c>
      <c r="E4037" t="s">
        <v>110</v>
      </c>
      <c r="F4037" t="s">
        <v>107</v>
      </c>
      <c r="G4037" t="s">
        <v>100</v>
      </c>
      <c r="H4037" t="s">
        <v>23</v>
      </c>
      <c r="I4037" t="s">
        <v>157</v>
      </c>
      <c r="J4037" t="s">
        <v>103</v>
      </c>
      <c r="K4037">
        <v>6</v>
      </c>
      <c r="L4037">
        <v>64700</v>
      </c>
      <c r="M4037">
        <v>388200</v>
      </c>
      <c r="N4037" t="s">
        <v>108</v>
      </c>
      <c r="O4037" t="s">
        <v>96</v>
      </c>
    </row>
    <row r="4038" spans="1:15" x14ac:dyDescent="0.25">
      <c r="A4038">
        <v>2634</v>
      </c>
      <c r="B4038" s="10">
        <v>45898</v>
      </c>
      <c r="C4038">
        <v>29</v>
      </c>
      <c r="D4038" t="s">
        <v>109</v>
      </c>
      <c r="E4038" t="s">
        <v>142</v>
      </c>
      <c r="F4038" t="s">
        <v>28</v>
      </c>
      <c r="G4038" t="s">
        <v>126</v>
      </c>
      <c r="H4038" t="s">
        <v>23</v>
      </c>
      <c r="I4038" t="s">
        <v>157</v>
      </c>
      <c r="J4038" t="s">
        <v>103</v>
      </c>
      <c r="K4038">
        <v>7</v>
      </c>
      <c r="L4038">
        <v>64700</v>
      </c>
      <c r="M4038">
        <v>452900</v>
      </c>
      <c r="N4038" t="s">
        <v>95</v>
      </c>
      <c r="O4038" t="s">
        <v>115</v>
      </c>
    </row>
    <row r="4039" spans="1:15" x14ac:dyDescent="0.25">
      <c r="A4039">
        <v>1836</v>
      </c>
      <c r="B4039" s="10">
        <v>45825</v>
      </c>
      <c r="C4039">
        <v>17</v>
      </c>
      <c r="D4039" t="s">
        <v>153</v>
      </c>
      <c r="E4039" t="s">
        <v>142</v>
      </c>
      <c r="F4039" t="s">
        <v>44</v>
      </c>
      <c r="G4039" t="s">
        <v>111</v>
      </c>
      <c r="H4039" t="s">
        <v>23</v>
      </c>
      <c r="I4039" t="s">
        <v>157</v>
      </c>
      <c r="J4039" t="s">
        <v>103</v>
      </c>
      <c r="K4039">
        <v>9</v>
      </c>
      <c r="L4039">
        <v>64900</v>
      </c>
      <c r="M4039">
        <v>584100</v>
      </c>
      <c r="N4039" t="s">
        <v>95</v>
      </c>
      <c r="O4039" t="s">
        <v>104</v>
      </c>
    </row>
    <row r="4040" spans="1:15" x14ac:dyDescent="0.25">
      <c r="A4040">
        <v>2419</v>
      </c>
      <c r="B4040" s="10">
        <v>45718</v>
      </c>
      <c r="C4040">
        <v>2</v>
      </c>
      <c r="D4040" t="s">
        <v>140</v>
      </c>
      <c r="E4040" t="s">
        <v>116</v>
      </c>
      <c r="F4040" t="s">
        <v>144</v>
      </c>
      <c r="G4040" t="s">
        <v>91</v>
      </c>
      <c r="H4040" t="s">
        <v>23</v>
      </c>
      <c r="I4040" t="s">
        <v>157</v>
      </c>
      <c r="J4040" t="s">
        <v>103</v>
      </c>
      <c r="K4040">
        <v>12</v>
      </c>
      <c r="L4040">
        <v>65000</v>
      </c>
      <c r="M4040">
        <v>780000</v>
      </c>
      <c r="N4040" t="s">
        <v>108</v>
      </c>
      <c r="O4040" t="s">
        <v>115</v>
      </c>
    </row>
    <row r="4041" spans="1:15" x14ac:dyDescent="0.25">
      <c r="A4041">
        <v>733</v>
      </c>
      <c r="B4041" s="10">
        <v>45836</v>
      </c>
      <c r="C4041">
        <v>28</v>
      </c>
      <c r="D4041" t="s">
        <v>153</v>
      </c>
      <c r="E4041" t="s">
        <v>25</v>
      </c>
      <c r="F4041" t="s">
        <v>36</v>
      </c>
      <c r="G4041" t="s">
        <v>100</v>
      </c>
      <c r="H4041" t="s">
        <v>23</v>
      </c>
      <c r="I4041" t="s">
        <v>157</v>
      </c>
      <c r="J4041" t="s">
        <v>103</v>
      </c>
      <c r="K4041">
        <v>26</v>
      </c>
      <c r="L4041">
        <v>65100</v>
      </c>
      <c r="M4041">
        <v>1692600</v>
      </c>
      <c r="N4041" t="s">
        <v>95</v>
      </c>
      <c r="O4041" t="s">
        <v>104</v>
      </c>
    </row>
    <row r="4042" spans="1:15" x14ac:dyDescent="0.25">
      <c r="A4042">
        <v>4630</v>
      </c>
      <c r="B4042" s="10">
        <v>45958</v>
      </c>
      <c r="C4042">
        <v>28</v>
      </c>
      <c r="D4042" t="s">
        <v>136</v>
      </c>
      <c r="E4042" t="s">
        <v>150</v>
      </c>
      <c r="F4042" t="s">
        <v>141</v>
      </c>
      <c r="G4042" t="s">
        <v>100</v>
      </c>
      <c r="H4042" t="s">
        <v>23</v>
      </c>
      <c r="I4042" t="s">
        <v>157</v>
      </c>
      <c r="J4042" t="s">
        <v>103</v>
      </c>
      <c r="K4042">
        <v>16</v>
      </c>
      <c r="L4042">
        <v>65100</v>
      </c>
      <c r="M4042">
        <v>1041600</v>
      </c>
      <c r="N4042" t="s">
        <v>108</v>
      </c>
      <c r="O4042" t="s">
        <v>115</v>
      </c>
    </row>
    <row r="4043" spans="1:15" x14ac:dyDescent="0.25">
      <c r="A4043">
        <v>3763</v>
      </c>
      <c r="B4043" s="10">
        <v>45876</v>
      </c>
      <c r="C4043">
        <v>7</v>
      </c>
      <c r="D4043" t="s">
        <v>109</v>
      </c>
      <c r="E4043" t="s">
        <v>31</v>
      </c>
      <c r="F4043" t="s">
        <v>44</v>
      </c>
      <c r="G4043" t="s">
        <v>111</v>
      </c>
      <c r="H4043" t="s">
        <v>92</v>
      </c>
      <c r="I4043" t="s">
        <v>93</v>
      </c>
      <c r="J4043" t="s">
        <v>103</v>
      </c>
      <c r="K4043">
        <v>33</v>
      </c>
      <c r="L4043">
        <v>65200</v>
      </c>
      <c r="M4043">
        <v>2151600</v>
      </c>
      <c r="N4043" t="s">
        <v>108</v>
      </c>
      <c r="O4043" t="s">
        <v>104</v>
      </c>
    </row>
    <row r="4044" spans="1:15" x14ac:dyDescent="0.25">
      <c r="A4044">
        <v>1917</v>
      </c>
      <c r="B4044" s="10">
        <v>45958</v>
      </c>
      <c r="C4044">
        <v>28</v>
      </c>
      <c r="D4044" t="s">
        <v>136</v>
      </c>
      <c r="E4044" t="s">
        <v>138</v>
      </c>
      <c r="F4044" t="s">
        <v>22</v>
      </c>
      <c r="G4044" t="s">
        <v>91</v>
      </c>
      <c r="H4044" t="s">
        <v>92</v>
      </c>
      <c r="I4044" t="s">
        <v>93</v>
      </c>
      <c r="J4044" t="s">
        <v>103</v>
      </c>
      <c r="K4044">
        <v>34</v>
      </c>
      <c r="L4044">
        <v>65300</v>
      </c>
      <c r="M4044">
        <v>2220200</v>
      </c>
      <c r="N4044" t="s">
        <v>108</v>
      </c>
      <c r="O4044" t="s">
        <v>115</v>
      </c>
    </row>
    <row r="4045" spans="1:15" x14ac:dyDescent="0.25">
      <c r="A4045">
        <v>4734</v>
      </c>
      <c r="B4045" s="10">
        <v>45724</v>
      </c>
      <c r="C4045">
        <v>8</v>
      </c>
      <c r="D4045" t="s">
        <v>140</v>
      </c>
      <c r="E4045" t="s">
        <v>128</v>
      </c>
      <c r="F4045" t="s">
        <v>28</v>
      </c>
      <c r="G4045" t="s">
        <v>126</v>
      </c>
      <c r="H4045" t="s">
        <v>23</v>
      </c>
      <c r="I4045" t="s">
        <v>157</v>
      </c>
      <c r="J4045" t="s">
        <v>103</v>
      </c>
      <c r="K4045">
        <v>32</v>
      </c>
      <c r="L4045">
        <v>65300</v>
      </c>
      <c r="M4045">
        <v>2089600</v>
      </c>
      <c r="N4045" t="s">
        <v>108</v>
      </c>
      <c r="O4045" t="s">
        <v>115</v>
      </c>
    </row>
    <row r="4046" spans="1:15" x14ac:dyDescent="0.25">
      <c r="A4046">
        <v>3180</v>
      </c>
      <c r="B4046" s="10">
        <v>45806</v>
      </c>
      <c r="C4046">
        <v>29</v>
      </c>
      <c r="D4046" t="s">
        <v>120</v>
      </c>
      <c r="E4046" t="s">
        <v>142</v>
      </c>
      <c r="F4046" t="s">
        <v>99</v>
      </c>
      <c r="G4046" t="s">
        <v>100</v>
      </c>
      <c r="H4046" t="s">
        <v>23</v>
      </c>
      <c r="I4046" t="s">
        <v>157</v>
      </c>
      <c r="J4046" t="s">
        <v>103</v>
      </c>
      <c r="K4046">
        <v>20</v>
      </c>
      <c r="L4046">
        <v>65400</v>
      </c>
      <c r="M4046">
        <v>1308000</v>
      </c>
      <c r="N4046" t="s">
        <v>108</v>
      </c>
      <c r="O4046" t="s">
        <v>115</v>
      </c>
    </row>
    <row r="4047" spans="1:15" x14ac:dyDescent="0.25">
      <c r="A4047">
        <v>3951</v>
      </c>
      <c r="B4047" s="10">
        <v>45675</v>
      </c>
      <c r="C4047">
        <v>18</v>
      </c>
      <c r="D4047" t="s">
        <v>130</v>
      </c>
      <c r="E4047" t="s">
        <v>128</v>
      </c>
      <c r="F4047" t="s">
        <v>144</v>
      </c>
      <c r="G4047" t="s">
        <v>91</v>
      </c>
      <c r="H4047" t="s">
        <v>23</v>
      </c>
      <c r="I4047" t="s">
        <v>157</v>
      </c>
      <c r="J4047" t="s">
        <v>103</v>
      </c>
      <c r="K4047">
        <v>40</v>
      </c>
      <c r="L4047">
        <v>65400</v>
      </c>
      <c r="M4047">
        <v>2616000</v>
      </c>
      <c r="N4047" t="s">
        <v>108</v>
      </c>
      <c r="O4047" t="s">
        <v>115</v>
      </c>
    </row>
    <row r="4048" spans="1:15" x14ac:dyDescent="0.25">
      <c r="A4048">
        <v>416</v>
      </c>
      <c r="B4048" s="10">
        <v>45860</v>
      </c>
      <c r="C4048">
        <v>22</v>
      </c>
      <c r="D4048" t="s">
        <v>145</v>
      </c>
      <c r="E4048" t="s">
        <v>137</v>
      </c>
      <c r="F4048" t="s">
        <v>22</v>
      </c>
      <c r="G4048" t="s">
        <v>91</v>
      </c>
      <c r="H4048" t="s">
        <v>92</v>
      </c>
      <c r="I4048" t="s">
        <v>93</v>
      </c>
      <c r="J4048" t="s">
        <v>103</v>
      </c>
      <c r="K4048">
        <v>16</v>
      </c>
      <c r="L4048">
        <v>65500</v>
      </c>
      <c r="M4048">
        <v>1048000</v>
      </c>
      <c r="N4048" t="s">
        <v>95</v>
      </c>
      <c r="O4048" t="s">
        <v>115</v>
      </c>
    </row>
    <row r="4049" spans="1:15" x14ac:dyDescent="0.25">
      <c r="A4049">
        <v>504</v>
      </c>
      <c r="B4049" s="10">
        <v>46001</v>
      </c>
      <c r="C4049">
        <v>10</v>
      </c>
      <c r="D4049" t="s">
        <v>125</v>
      </c>
      <c r="E4049" t="s">
        <v>31</v>
      </c>
      <c r="F4049" t="s">
        <v>144</v>
      </c>
      <c r="G4049" t="s">
        <v>91</v>
      </c>
      <c r="H4049" t="s">
        <v>23</v>
      </c>
      <c r="I4049" t="s">
        <v>157</v>
      </c>
      <c r="J4049" t="s">
        <v>103</v>
      </c>
      <c r="K4049">
        <v>14</v>
      </c>
      <c r="L4049">
        <v>65500</v>
      </c>
      <c r="M4049">
        <v>917000</v>
      </c>
      <c r="N4049" t="s">
        <v>95</v>
      </c>
      <c r="O4049" t="s">
        <v>96</v>
      </c>
    </row>
    <row r="4050" spans="1:15" x14ac:dyDescent="0.25">
      <c r="A4050">
        <v>1780</v>
      </c>
      <c r="B4050" s="10">
        <v>45891</v>
      </c>
      <c r="C4050">
        <v>22</v>
      </c>
      <c r="D4050" t="s">
        <v>109</v>
      </c>
      <c r="E4050" t="s">
        <v>98</v>
      </c>
      <c r="F4050" t="s">
        <v>28</v>
      </c>
      <c r="G4050" t="s">
        <v>126</v>
      </c>
      <c r="H4050" t="s">
        <v>92</v>
      </c>
      <c r="I4050" t="s">
        <v>93</v>
      </c>
      <c r="J4050" t="s">
        <v>103</v>
      </c>
      <c r="K4050">
        <v>9</v>
      </c>
      <c r="L4050">
        <v>65600</v>
      </c>
      <c r="M4050">
        <v>590400</v>
      </c>
      <c r="N4050" t="s">
        <v>108</v>
      </c>
      <c r="O4050" t="s">
        <v>115</v>
      </c>
    </row>
    <row r="4051" spans="1:15" x14ac:dyDescent="0.25">
      <c r="A4051">
        <v>3098</v>
      </c>
      <c r="B4051" s="10">
        <v>45892</v>
      </c>
      <c r="C4051">
        <v>23</v>
      </c>
      <c r="D4051" t="s">
        <v>109</v>
      </c>
      <c r="E4051" t="s">
        <v>161</v>
      </c>
      <c r="F4051" t="s">
        <v>144</v>
      </c>
      <c r="G4051" t="s">
        <v>91</v>
      </c>
      <c r="H4051" t="s">
        <v>23</v>
      </c>
      <c r="I4051" t="s">
        <v>157</v>
      </c>
      <c r="J4051" t="s">
        <v>103</v>
      </c>
      <c r="K4051">
        <v>24</v>
      </c>
      <c r="L4051">
        <v>65600</v>
      </c>
      <c r="M4051">
        <v>1574400</v>
      </c>
      <c r="N4051" t="s">
        <v>108</v>
      </c>
      <c r="O4051" t="s">
        <v>104</v>
      </c>
    </row>
    <row r="4052" spans="1:15" x14ac:dyDescent="0.25">
      <c r="A4052">
        <v>107</v>
      </c>
      <c r="B4052" s="10">
        <v>45823</v>
      </c>
      <c r="C4052">
        <v>15</v>
      </c>
      <c r="D4052" t="s">
        <v>153</v>
      </c>
      <c r="E4052" t="s">
        <v>110</v>
      </c>
      <c r="F4052" t="s">
        <v>44</v>
      </c>
      <c r="G4052" t="s">
        <v>111</v>
      </c>
      <c r="H4052" t="s">
        <v>23</v>
      </c>
      <c r="I4052" t="s">
        <v>24</v>
      </c>
      <c r="J4052" t="s">
        <v>94</v>
      </c>
      <c r="K4052">
        <v>10</v>
      </c>
      <c r="L4052">
        <v>65700</v>
      </c>
      <c r="M4052">
        <v>657000</v>
      </c>
      <c r="N4052" t="s">
        <v>95</v>
      </c>
      <c r="O4052" t="s">
        <v>96</v>
      </c>
    </row>
    <row r="4053" spans="1:15" x14ac:dyDescent="0.25">
      <c r="A4053">
        <v>1014</v>
      </c>
      <c r="B4053" s="10">
        <v>45717</v>
      </c>
      <c r="C4053">
        <v>1</v>
      </c>
      <c r="D4053" t="s">
        <v>140</v>
      </c>
      <c r="E4053" t="s">
        <v>133</v>
      </c>
      <c r="F4053" t="s">
        <v>148</v>
      </c>
      <c r="G4053" t="s">
        <v>118</v>
      </c>
      <c r="H4053" t="s">
        <v>92</v>
      </c>
      <c r="I4053" t="s">
        <v>93</v>
      </c>
      <c r="J4053" t="s">
        <v>103</v>
      </c>
      <c r="K4053">
        <v>49</v>
      </c>
      <c r="L4053">
        <v>65700</v>
      </c>
      <c r="M4053">
        <v>3219300</v>
      </c>
      <c r="N4053" t="s">
        <v>108</v>
      </c>
      <c r="O4053" t="s">
        <v>104</v>
      </c>
    </row>
    <row r="4054" spans="1:15" x14ac:dyDescent="0.25">
      <c r="A4054">
        <v>2760</v>
      </c>
      <c r="B4054" s="10">
        <v>45965</v>
      </c>
      <c r="C4054">
        <v>4</v>
      </c>
      <c r="D4054" t="s">
        <v>90</v>
      </c>
      <c r="E4054" t="s">
        <v>161</v>
      </c>
      <c r="F4054" t="s">
        <v>141</v>
      </c>
      <c r="G4054" t="s">
        <v>100</v>
      </c>
      <c r="H4054" t="s">
        <v>23</v>
      </c>
      <c r="I4054" t="s">
        <v>157</v>
      </c>
      <c r="J4054" t="s">
        <v>103</v>
      </c>
      <c r="K4054">
        <v>25</v>
      </c>
      <c r="L4054">
        <v>65700</v>
      </c>
      <c r="M4054">
        <v>1642500</v>
      </c>
      <c r="N4054" t="s">
        <v>95</v>
      </c>
      <c r="O4054" t="s">
        <v>115</v>
      </c>
    </row>
    <row r="4055" spans="1:15" x14ac:dyDescent="0.25">
      <c r="A4055">
        <v>1017</v>
      </c>
      <c r="B4055" s="10">
        <v>46022</v>
      </c>
      <c r="C4055">
        <v>31</v>
      </c>
      <c r="D4055" t="s">
        <v>125</v>
      </c>
      <c r="E4055" t="s">
        <v>142</v>
      </c>
      <c r="F4055" t="s">
        <v>134</v>
      </c>
      <c r="G4055" t="s">
        <v>100</v>
      </c>
      <c r="H4055" t="s">
        <v>92</v>
      </c>
      <c r="I4055" t="s">
        <v>93</v>
      </c>
      <c r="J4055" t="s">
        <v>103</v>
      </c>
      <c r="K4055">
        <v>15</v>
      </c>
      <c r="L4055">
        <v>65800</v>
      </c>
      <c r="M4055">
        <v>987000</v>
      </c>
      <c r="N4055" t="s">
        <v>95</v>
      </c>
      <c r="O4055" t="s">
        <v>115</v>
      </c>
    </row>
    <row r="4056" spans="1:15" x14ac:dyDescent="0.25">
      <c r="A4056">
        <v>1973</v>
      </c>
      <c r="B4056" s="10">
        <v>45682</v>
      </c>
      <c r="C4056">
        <v>25</v>
      </c>
      <c r="D4056" t="s">
        <v>130</v>
      </c>
      <c r="E4056" t="s">
        <v>116</v>
      </c>
      <c r="F4056" t="s">
        <v>113</v>
      </c>
      <c r="G4056" t="s">
        <v>114</v>
      </c>
      <c r="H4056" t="s">
        <v>23</v>
      </c>
      <c r="I4056" t="s">
        <v>157</v>
      </c>
      <c r="J4056" t="s">
        <v>103</v>
      </c>
      <c r="K4056">
        <v>34</v>
      </c>
      <c r="L4056">
        <v>65800</v>
      </c>
      <c r="M4056">
        <v>2237200</v>
      </c>
      <c r="N4056" t="s">
        <v>108</v>
      </c>
      <c r="O4056" t="s">
        <v>96</v>
      </c>
    </row>
    <row r="4057" spans="1:15" x14ac:dyDescent="0.25">
      <c r="A4057">
        <v>4509</v>
      </c>
      <c r="B4057" s="10">
        <v>45857</v>
      </c>
      <c r="C4057">
        <v>19</v>
      </c>
      <c r="D4057" t="s">
        <v>145</v>
      </c>
      <c r="E4057" t="s">
        <v>121</v>
      </c>
      <c r="F4057" t="s">
        <v>22</v>
      </c>
      <c r="G4057" t="s">
        <v>91</v>
      </c>
      <c r="H4057" t="s">
        <v>23</v>
      </c>
      <c r="I4057" t="s">
        <v>157</v>
      </c>
      <c r="J4057" t="s">
        <v>103</v>
      </c>
      <c r="K4057">
        <v>38</v>
      </c>
      <c r="L4057">
        <v>65800</v>
      </c>
      <c r="M4057">
        <v>2500400</v>
      </c>
      <c r="N4057" t="s">
        <v>108</v>
      </c>
      <c r="O4057" t="s">
        <v>96</v>
      </c>
    </row>
    <row r="4058" spans="1:15" x14ac:dyDescent="0.25">
      <c r="A4058">
        <v>461</v>
      </c>
      <c r="B4058" s="10">
        <v>45948</v>
      </c>
      <c r="C4058">
        <v>18</v>
      </c>
      <c r="D4058" t="s">
        <v>136</v>
      </c>
      <c r="E4058" t="s">
        <v>110</v>
      </c>
      <c r="F4058" t="s">
        <v>148</v>
      </c>
      <c r="G4058" t="s">
        <v>118</v>
      </c>
      <c r="H4058" t="s">
        <v>23</v>
      </c>
      <c r="I4058" t="s">
        <v>24</v>
      </c>
      <c r="J4058" t="s">
        <v>94</v>
      </c>
      <c r="K4058">
        <v>5</v>
      </c>
      <c r="L4058">
        <v>65900</v>
      </c>
      <c r="M4058">
        <v>329500</v>
      </c>
      <c r="N4058" t="s">
        <v>108</v>
      </c>
      <c r="O4058" t="s">
        <v>115</v>
      </c>
    </row>
    <row r="4059" spans="1:15" x14ac:dyDescent="0.25">
      <c r="A4059">
        <v>1441</v>
      </c>
      <c r="B4059" s="10">
        <v>46005</v>
      </c>
      <c r="C4059">
        <v>14</v>
      </c>
      <c r="D4059" t="s">
        <v>125</v>
      </c>
      <c r="E4059" t="s">
        <v>112</v>
      </c>
      <c r="F4059" t="s">
        <v>141</v>
      </c>
      <c r="G4059" t="s">
        <v>100</v>
      </c>
      <c r="H4059" t="s">
        <v>23</v>
      </c>
      <c r="I4059" t="s">
        <v>157</v>
      </c>
      <c r="J4059" t="s">
        <v>103</v>
      </c>
      <c r="K4059">
        <v>35</v>
      </c>
      <c r="L4059">
        <v>65900</v>
      </c>
      <c r="M4059">
        <v>2306500</v>
      </c>
      <c r="N4059" t="s">
        <v>95</v>
      </c>
      <c r="O4059" t="s">
        <v>115</v>
      </c>
    </row>
    <row r="4060" spans="1:15" x14ac:dyDescent="0.25">
      <c r="A4060">
        <v>4008</v>
      </c>
      <c r="B4060" s="10">
        <v>45735</v>
      </c>
      <c r="C4060">
        <v>19</v>
      </c>
      <c r="D4060" t="s">
        <v>140</v>
      </c>
      <c r="E4060" t="s">
        <v>138</v>
      </c>
      <c r="F4060" t="s">
        <v>144</v>
      </c>
      <c r="G4060" t="s">
        <v>91</v>
      </c>
      <c r="H4060" t="s">
        <v>92</v>
      </c>
      <c r="I4060" t="s">
        <v>93</v>
      </c>
      <c r="J4060" t="s">
        <v>103</v>
      </c>
      <c r="K4060">
        <v>30</v>
      </c>
      <c r="L4060">
        <v>65900</v>
      </c>
      <c r="M4060">
        <v>1977000</v>
      </c>
      <c r="N4060" t="s">
        <v>108</v>
      </c>
      <c r="O4060" t="s">
        <v>104</v>
      </c>
    </row>
    <row r="4061" spans="1:15" x14ac:dyDescent="0.25">
      <c r="A4061">
        <v>4843</v>
      </c>
      <c r="B4061" s="10">
        <v>45677</v>
      </c>
      <c r="C4061">
        <v>20</v>
      </c>
      <c r="D4061" t="s">
        <v>130</v>
      </c>
      <c r="E4061" t="s">
        <v>116</v>
      </c>
      <c r="F4061" t="s">
        <v>113</v>
      </c>
      <c r="G4061" t="s">
        <v>114</v>
      </c>
      <c r="H4061" t="s">
        <v>23</v>
      </c>
      <c r="I4061" t="s">
        <v>157</v>
      </c>
      <c r="J4061" t="s">
        <v>103</v>
      </c>
      <c r="K4061">
        <v>25</v>
      </c>
      <c r="L4061">
        <v>65900</v>
      </c>
      <c r="M4061">
        <v>1647500</v>
      </c>
      <c r="N4061" t="s">
        <v>108</v>
      </c>
      <c r="O4061" t="s">
        <v>96</v>
      </c>
    </row>
    <row r="4062" spans="1:15" x14ac:dyDescent="0.25">
      <c r="A4062">
        <v>4875</v>
      </c>
      <c r="B4062" s="10">
        <v>45723</v>
      </c>
      <c r="C4062">
        <v>7</v>
      </c>
      <c r="D4062" t="s">
        <v>140</v>
      </c>
      <c r="E4062" t="s">
        <v>138</v>
      </c>
      <c r="F4062" t="s">
        <v>28</v>
      </c>
      <c r="G4062" t="s">
        <v>126</v>
      </c>
      <c r="H4062" t="s">
        <v>92</v>
      </c>
      <c r="I4062" t="s">
        <v>93</v>
      </c>
      <c r="J4062" t="s">
        <v>103</v>
      </c>
      <c r="K4062">
        <v>15</v>
      </c>
      <c r="L4062">
        <v>65900</v>
      </c>
      <c r="M4062">
        <v>988500</v>
      </c>
      <c r="N4062" t="s">
        <v>108</v>
      </c>
      <c r="O4062" t="s">
        <v>115</v>
      </c>
    </row>
    <row r="4063" spans="1:15" x14ac:dyDescent="0.25">
      <c r="A4063">
        <v>402</v>
      </c>
      <c r="B4063" s="10">
        <v>45822</v>
      </c>
      <c r="C4063">
        <v>14</v>
      </c>
      <c r="D4063" t="s">
        <v>153</v>
      </c>
      <c r="E4063" t="s">
        <v>106</v>
      </c>
      <c r="F4063" t="s">
        <v>134</v>
      </c>
      <c r="G4063" t="s">
        <v>100</v>
      </c>
      <c r="H4063" t="s">
        <v>92</v>
      </c>
      <c r="I4063" t="s">
        <v>93</v>
      </c>
      <c r="J4063" t="s">
        <v>103</v>
      </c>
      <c r="K4063">
        <v>9</v>
      </c>
      <c r="L4063">
        <v>66000</v>
      </c>
      <c r="M4063">
        <v>594000</v>
      </c>
      <c r="N4063" t="s">
        <v>108</v>
      </c>
      <c r="O4063" t="s">
        <v>104</v>
      </c>
    </row>
    <row r="4064" spans="1:15" x14ac:dyDescent="0.25">
      <c r="A4064">
        <v>661</v>
      </c>
      <c r="B4064" s="10">
        <v>45820</v>
      </c>
      <c r="C4064">
        <v>12</v>
      </c>
      <c r="D4064" t="s">
        <v>153</v>
      </c>
      <c r="E4064" t="s">
        <v>137</v>
      </c>
      <c r="F4064" t="s">
        <v>117</v>
      </c>
      <c r="G4064" t="s">
        <v>118</v>
      </c>
      <c r="H4064" t="s">
        <v>92</v>
      </c>
      <c r="I4064" t="s">
        <v>93</v>
      </c>
      <c r="J4064" t="s">
        <v>103</v>
      </c>
      <c r="K4064">
        <v>17</v>
      </c>
      <c r="L4064">
        <v>66000</v>
      </c>
      <c r="M4064">
        <v>1122000</v>
      </c>
      <c r="N4064" t="s">
        <v>95</v>
      </c>
      <c r="O4064" t="s">
        <v>96</v>
      </c>
    </row>
    <row r="4065" spans="1:15" x14ac:dyDescent="0.25">
      <c r="A4065">
        <v>4365</v>
      </c>
      <c r="B4065" s="10">
        <v>45832</v>
      </c>
      <c r="C4065">
        <v>24</v>
      </c>
      <c r="D4065" t="s">
        <v>153</v>
      </c>
      <c r="E4065" t="s">
        <v>150</v>
      </c>
      <c r="F4065" t="s">
        <v>99</v>
      </c>
      <c r="G4065" t="s">
        <v>100</v>
      </c>
      <c r="H4065" t="s">
        <v>92</v>
      </c>
      <c r="I4065" t="s">
        <v>93</v>
      </c>
      <c r="J4065" t="s">
        <v>103</v>
      </c>
      <c r="K4065">
        <v>27</v>
      </c>
      <c r="L4065">
        <v>66000</v>
      </c>
      <c r="M4065">
        <v>1782000</v>
      </c>
      <c r="N4065" t="s">
        <v>108</v>
      </c>
      <c r="O4065" t="s">
        <v>104</v>
      </c>
    </row>
    <row r="4066" spans="1:15" x14ac:dyDescent="0.25">
      <c r="A4066">
        <v>701</v>
      </c>
      <c r="B4066" s="10">
        <v>45662</v>
      </c>
      <c r="C4066">
        <v>5</v>
      </c>
      <c r="D4066" t="s">
        <v>130</v>
      </c>
      <c r="E4066" t="s">
        <v>31</v>
      </c>
      <c r="F4066" t="s">
        <v>134</v>
      </c>
      <c r="G4066" t="s">
        <v>100</v>
      </c>
      <c r="H4066" t="s">
        <v>92</v>
      </c>
      <c r="I4066" t="s">
        <v>93</v>
      </c>
      <c r="J4066" t="s">
        <v>103</v>
      </c>
      <c r="K4066">
        <v>11</v>
      </c>
      <c r="L4066">
        <v>66200</v>
      </c>
      <c r="M4066">
        <v>728200</v>
      </c>
      <c r="N4066" t="s">
        <v>95</v>
      </c>
      <c r="O4066" t="s">
        <v>115</v>
      </c>
    </row>
    <row r="4067" spans="1:15" x14ac:dyDescent="0.25">
      <c r="A4067">
        <v>1619</v>
      </c>
      <c r="B4067" s="10">
        <v>45903</v>
      </c>
      <c r="C4067">
        <v>3</v>
      </c>
      <c r="D4067" t="s">
        <v>147</v>
      </c>
      <c r="E4067" t="s">
        <v>142</v>
      </c>
      <c r="F4067" t="s">
        <v>22</v>
      </c>
      <c r="G4067" t="s">
        <v>91</v>
      </c>
      <c r="H4067" t="s">
        <v>92</v>
      </c>
      <c r="I4067" t="s">
        <v>93</v>
      </c>
      <c r="J4067" t="s">
        <v>103</v>
      </c>
      <c r="K4067">
        <v>45</v>
      </c>
      <c r="L4067">
        <v>66600</v>
      </c>
      <c r="M4067">
        <v>2997000</v>
      </c>
      <c r="N4067" t="s">
        <v>95</v>
      </c>
      <c r="O4067" t="s">
        <v>96</v>
      </c>
    </row>
    <row r="4068" spans="1:15" x14ac:dyDescent="0.25">
      <c r="A4068">
        <v>3610</v>
      </c>
      <c r="B4068" s="10">
        <v>45706</v>
      </c>
      <c r="C4068">
        <v>18</v>
      </c>
      <c r="D4068" t="s">
        <v>97</v>
      </c>
      <c r="E4068" t="s">
        <v>31</v>
      </c>
      <c r="F4068" t="s">
        <v>151</v>
      </c>
      <c r="G4068" t="s">
        <v>111</v>
      </c>
      <c r="H4068" t="s">
        <v>92</v>
      </c>
      <c r="I4068" t="s">
        <v>93</v>
      </c>
      <c r="J4068" t="s">
        <v>103</v>
      </c>
      <c r="K4068">
        <v>27</v>
      </c>
      <c r="L4068">
        <v>66600</v>
      </c>
      <c r="M4068">
        <v>1798200</v>
      </c>
      <c r="N4068" t="s">
        <v>108</v>
      </c>
      <c r="O4068" t="s">
        <v>96</v>
      </c>
    </row>
    <row r="4069" spans="1:15" x14ac:dyDescent="0.25">
      <c r="A4069">
        <v>1673</v>
      </c>
      <c r="B4069" s="10">
        <v>45862</v>
      </c>
      <c r="C4069">
        <v>24</v>
      </c>
      <c r="D4069" t="s">
        <v>145</v>
      </c>
      <c r="E4069" t="s">
        <v>128</v>
      </c>
      <c r="F4069" t="s">
        <v>36</v>
      </c>
      <c r="G4069" t="s">
        <v>100</v>
      </c>
      <c r="H4069" t="s">
        <v>92</v>
      </c>
      <c r="I4069" t="s">
        <v>93</v>
      </c>
      <c r="J4069" t="s">
        <v>103</v>
      </c>
      <c r="K4069">
        <v>5</v>
      </c>
      <c r="L4069">
        <v>66700</v>
      </c>
      <c r="M4069">
        <v>333500</v>
      </c>
      <c r="N4069" t="s">
        <v>108</v>
      </c>
      <c r="O4069" t="s">
        <v>104</v>
      </c>
    </row>
    <row r="4070" spans="1:15" x14ac:dyDescent="0.25">
      <c r="A4070">
        <v>1075</v>
      </c>
      <c r="B4070" s="10">
        <v>46012</v>
      </c>
      <c r="C4070">
        <v>21</v>
      </c>
      <c r="D4070" t="s">
        <v>125</v>
      </c>
      <c r="E4070" t="s">
        <v>138</v>
      </c>
      <c r="F4070" t="s">
        <v>122</v>
      </c>
      <c r="G4070" t="s">
        <v>114</v>
      </c>
      <c r="H4070" t="s">
        <v>23</v>
      </c>
      <c r="I4070" t="s">
        <v>157</v>
      </c>
      <c r="J4070" t="s">
        <v>103</v>
      </c>
      <c r="K4070">
        <v>5</v>
      </c>
      <c r="L4070">
        <v>66900</v>
      </c>
      <c r="M4070">
        <v>334500</v>
      </c>
      <c r="N4070" t="s">
        <v>95</v>
      </c>
      <c r="O4070" t="s">
        <v>96</v>
      </c>
    </row>
    <row r="4071" spans="1:15" x14ac:dyDescent="0.25">
      <c r="A4071">
        <v>4724</v>
      </c>
      <c r="B4071" s="10">
        <v>45837</v>
      </c>
      <c r="C4071">
        <v>29</v>
      </c>
      <c r="D4071" t="s">
        <v>153</v>
      </c>
      <c r="E4071" t="s">
        <v>161</v>
      </c>
      <c r="F4071" t="s">
        <v>99</v>
      </c>
      <c r="G4071" t="s">
        <v>100</v>
      </c>
      <c r="H4071" t="s">
        <v>92</v>
      </c>
      <c r="I4071" t="s">
        <v>93</v>
      </c>
      <c r="J4071" t="s">
        <v>103</v>
      </c>
      <c r="K4071">
        <v>14</v>
      </c>
      <c r="L4071">
        <v>67000</v>
      </c>
      <c r="M4071">
        <v>938000</v>
      </c>
      <c r="N4071" t="s">
        <v>108</v>
      </c>
      <c r="O4071" t="s">
        <v>96</v>
      </c>
    </row>
    <row r="4072" spans="1:15" x14ac:dyDescent="0.25">
      <c r="A4072">
        <v>265</v>
      </c>
      <c r="B4072" s="10">
        <v>45836</v>
      </c>
      <c r="C4072">
        <v>28</v>
      </c>
      <c r="D4072" t="s">
        <v>153</v>
      </c>
      <c r="E4072" t="s">
        <v>137</v>
      </c>
      <c r="F4072" t="s">
        <v>144</v>
      </c>
      <c r="G4072" t="s">
        <v>91</v>
      </c>
      <c r="H4072" t="s">
        <v>92</v>
      </c>
      <c r="I4072" t="s">
        <v>93</v>
      </c>
      <c r="J4072" t="s">
        <v>103</v>
      </c>
      <c r="K4072">
        <v>12</v>
      </c>
      <c r="L4072">
        <v>67100</v>
      </c>
      <c r="M4072">
        <v>805200</v>
      </c>
      <c r="N4072" t="s">
        <v>108</v>
      </c>
      <c r="O4072" t="s">
        <v>115</v>
      </c>
    </row>
    <row r="4073" spans="1:15" x14ac:dyDescent="0.25">
      <c r="A4073">
        <v>615</v>
      </c>
      <c r="B4073" s="10">
        <v>45974</v>
      </c>
      <c r="C4073">
        <v>13</v>
      </c>
      <c r="D4073" t="s">
        <v>90</v>
      </c>
      <c r="E4073" t="s">
        <v>150</v>
      </c>
      <c r="F4073" t="s">
        <v>36</v>
      </c>
      <c r="G4073" t="s">
        <v>100</v>
      </c>
      <c r="H4073" t="s">
        <v>23</v>
      </c>
      <c r="I4073" t="s">
        <v>24</v>
      </c>
      <c r="J4073" t="s">
        <v>94</v>
      </c>
      <c r="K4073">
        <v>8</v>
      </c>
      <c r="L4073">
        <v>67300</v>
      </c>
      <c r="M4073">
        <v>538400</v>
      </c>
      <c r="N4073" t="s">
        <v>95</v>
      </c>
      <c r="O4073" t="s">
        <v>96</v>
      </c>
    </row>
    <row r="4074" spans="1:15" x14ac:dyDescent="0.25">
      <c r="A4074">
        <v>1253</v>
      </c>
      <c r="B4074" s="10">
        <v>45961</v>
      </c>
      <c r="C4074">
        <v>31</v>
      </c>
      <c r="D4074" t="s">
        <v>136</v>
      </c>
      <c r="E4074" t="s">
        <v>138</v>
      </c>
      <c r="F4074" t="s">
        <v>44</v>
      </c>
      <c r="G4074" t="s">
        <v>111</v>
      </c>
      <c r="H4074" t="s">
        <v>23</v>
      </c>
      <c r="I4074" t="s">
        <v>157</v>
      </c>
      <c r="J4074" t="s">
        <v>94</v>
      </c>
      <c r="K4074">
        <v>3</v>
      </c>
      <c r="L4074">
        <v>67500</v>
      </c>
      <c r="M4074">
        <v>202500</v>
      </c>
      <c r="N4074" t="s">
        <v>95</v>
      </c>
      <c r="O4074" t="s">
        <v>115</v>
      </c>
    </row>
    <row r="4075" spans="1:15" x14ac:dyDescent="0.25">
      <c r="A4075">
        <v>1461</v>
      </c>
      <c r="B4075" s="10">
        <v>45728</v>
      </c>
      <c r="C4075">
        <v>12</v>
      </c>
      <c r="D4075" t="s">
        <v>140</v>
      </c>
      <c r="E4075" t="s">
        <v>137</v>
      </c>
      <c r="F4075" t="s">
        <v>151</v>
      </c>
      <c r="G4075" t="s">
        <v>111</v>
      </c>
      <c r="H4075" t="s">
        <v>92</v>
      </c>
      <c r="I4075" t="s">
        <v>93</v>
      </c>
      <c r="J4075" t="s">
        <v>103</v>
      </c>
      <c r="K4075">
        <v>34</v>
      </c>
      <c r="L4075">
        <v>67500</v>
      </c>
      <c r="M4075">
        <v>2295000</v>
      </c>
      <c r="N4075" t="s">
        <v>108</v>
      </c>
      <c r="O4075" t="s">
        <v>115</v>
      </c>
    </row>
    <row r="4076" spans="1:15" x14ac:dyDescent="0.25">
      <c r="A4076">
        <v>2840</v>
      </c>
      <c r="B4076" s="10">
        <v>45883</v>
      </c>
      <c r="C4076">
        <v>14</v>
      </c>
      <c r="D4076" t="s">
        <v>109</v>
      </c>
      <c r="E4076" t="s">
        <v>31</v>
      </c>
      <c r="F4076" t="s">
        <v>49</v>
      </c>
      <c r="G4076" t="s">
        <v>118</v>
      </c>
      <c r="H4076" t="s">
        <v>92</v>
      </c>
      <c r="I4076" t="s">
        <v>93</v>
      </c>
      <c r="J4076" t="s">
        <v>103</v>
      </c>
      <c r="K4076">
        <v>41</v>
      </c>
      <c r="L4076">
        <v>67500</v>
      </c>
      <c r="M4076">
        <v>2767500</v>
      </c>
      <c r="N4076" t="s">
        <v>95</v>
      </c>
      <c r="O4076" t="s">
        <v>104</v>
      </c>
    </row>
    <row r="4077" spans="1:15" x14ac:dyDescent="0.25">
      <c r="A4077">
        <v>2859</v>
      </c>
      <c r="B4077" s="10">
        <v>45915</v>
      </c>
      <c r="C4077">
        <v>15</v>
      </c>
      <c r="D4077" t="s">
        <v>147</v>
      </c>
      <c r="E4077" t="s">
        <v>112</v>
      </c>
      <c r="F4077" t="s">
        <v>107</v>
      </c>
      <c r="G4077" t="s">
        <v>100</v>
      </c>
      <c r="H4077" t="s">
        <v>23</v>
      </c>
      <c r="I4077" t="s">
        <v>157</v>
      </c>
      <c r="J4077" t="s">
        <v>103</v>
      </c>
      <c r="K4077">
        <v>18</v>
      </c>
      <c r="L4077">
        <v>67500</v>
      </c>
      <c r="M4077">
        <v>1215000</v>
      </c>
      <c r="N4077" t="s">
        <v>108</v>
      </c>
      <c r="O4077" t="s">
        <v>115</v>
      </c>
    </row>
    <row r="4078" spans="1:15" x14ac:dyDescent="0.25">
      <c r="A4078">
        <v>4122</v>
      </c>
      <c r="B4078" s="10">
        <v>45735</v>
      </c>
      <c r="C4078">
        <v>19</v>
      </c>
      <c r="D4078" t="s">
        <v>140</v>
      </c>
      <c r="E4078" t="s">
        <v>25</v>
      </c>
      <c r="F4078" t="s">
        <v>99</v>
      </c>
      <c r="G4078" t="s">
        <v>100</v>
      </c>
      <c r="H4078" t="s">
        <v>92</v>
      </c>
      <c r="I4078" t="s">
        <v>93</v>
      </c>
      <c r="J4078" t="s">
        <v>103</v>
      </c>
      <c r="K4078">
        <v>20</v>
      </c>
      <c r="L4078">
        <v>67500</v>
      </c>
      <c r="M4078">
        <v>1350000</v>
      </c>
      <c r="N4078" t="s">
        <v>108</v>
      </c>
      <c r="O4078" t="s">
        <v>104</v>
      </c>
    </row>
    <row r="4079" spans="1:15" x14ac:dyDescent="0.25">
      <c r="A4079">
        <v>2233</v>
      </c>
      <c r="B4079" s="10">
        <v>45667</v>
      </c>
      <c r="C4079">
        <v>10</v>
      </c>
      <c r="D4079" t="s">
        <v>130</v>
      </c>
      <c r="E4079" t="s">
        <v>25</v>
      </c>
      <c r="F4079" t="s">
        <v>49</v>
      </c>
      <c r="G4079" t="s">
        <v>118</v>
      </c>
      <c r="H4079" t="s">
        <v>23</v>
      </c>
      <c r="I4079" t="s">
        <v>157</v>
      </c>
      <c r="J4079" t="s">
        <v>94</v>
      </c>
      <c r="K4079">
        <v>6</v>
      </c>
      <c r="L4079">
        <v>67600</v>
      </c>
      <c r="M4079">
        <v>405600</v>
      </c>
      <c r="N4079" t="s">
        <v>108</v>
      </c>
      <c r="O4079" t="s">
        <v>115</v>
      </c>
    </row>
    <row r="4080" spans="1:15" x14ac:dyDescent="0.25">
      <c r="A4080">
        <v>4015</v>
      </c>
      <c r="B4080" s="10">
        <v>46000</v>
      </c>
      <c r="C4080">
        <v>9</v>
      </c>
      <c r="D4080" t="s">
        <v>125</v>
      </c>
      <c r="E4080" t="s">
        <v>121</v>
      </c>
      <c r="F4080" t="s">
        <v>107</v>
      </c>
      <c r="G4080" t="s">
        <v>100</v>
      </c>
      <c r="H4080" t="s">
        <v>92</v>
      </c>
      <c r="I4080" t="s">
        <v>93</v>
      </c>
      <c r="J4080" t="s">
        <v>103</v>
      </c>
      <c r="K4080">
        <v>20</v>
      </c>
      <c r="L4080">
        <v>67700</v>
      </c>
      <c r="M4080">
        <v>1354000</v>
      </c>
      <c r="N4080" t="s">
        <v>108</v>
      </c>
      <c r="O4080" t="s">
        <v>104</v>
      </c>
    </row>
    <row r="4081" spans="1:15" x14ac:dyDescent="0.25">
      <c r="A4081">
        <v>315</v>
      </c>
      <c r="B4081" s="10">
        <v>45916</v>
      </c>
      <c r="C4081">
        <v>16</v>
      </c>
      <c r="D4081" t="s">
        <v>147</v>
      </c>
      <c r="E4081" t="s">
        <v>133</v>
      </c>
      <c r="F4081" t="s">
        <v>113</v>
      </c>
      <c r="G4081" t="s">
        <v>114</v>
      </c>
      <c r="H4081" t="s">
        <v>23</v>
      </c>
      <c r="I4081" t="s">
        <v>157</v>
      </c>
      <c r="J4081" t="s">
        <v>103</v>
      </c>
      <c r="K4081">
        <v>47</v>
      </c>
      <c r="L4081">
        <v>67900</v>
      </c>
      <c r="M4081">
        <v>3191300</v>
      </c>
      <c r="N4081" t="s">
        <v>108</v>
      </c>
      <c r="O4081" t="s">
        <v>104</v>
      </c>
    </row>
    <row r="4082" spans="1:15" x14ac:dyDescent="0.25">
      <c r="A4082">
        <v>3790</v>
      </c>
      <c r="B4082" s="10">
        <v>46022</v>
      </c>
      <c r="C4082">
        <v>31</v>
      </c>
      <c r="D4082" t="s">
        <v>125</v>
      </c>
      <c r="E4082" t="s">
        <v>31</v>
      </c>
      <c r="F4082" t="s">
        <v>144</v>
      </c>
      <c r="G4082" t="s">
        <v>91</v>
      </c>
      <c r="H4082" t="s">
        <v>23</v>
      </c>
      <c r="I4082" t="s">
        <v>157</v>
      </c>
      <c r="J4082" t="s">
        <v>103</v>
      </c>
      <c r="K4082">
        <v>28</v>
      </c>
      <c r="L4082">
        <v>67900</v>
      </c>
      <c r="M4082">
        <v>1901200</v>
      </c>
      <c r="N4082" t="s">
        <v>108</v>
      </c>
      <c r="O4082" t="s">
        <v>96</v>
      </c>
    </row>
    <row r="4083" spans="1:15" x14ac:dyDescent="0.25">
      <c r="A4083">
        <v>2184</v>
      </c>
      <c r="B4083" s="10">
        <v>46016</v>
      </c>
      <c r="C4083">
        <v>25</v>
      </c>
      <c r="D4083" t="s">
        <v>125</v>
      </c>
      <c r="E4083" t="s">
        <v>137</v>
      </c>
      <c r="F4083" t="s">
        <v>141</v>
      </c>
      <c r="G4083" t="s">
        <v>100</v>
      </c>
      <c r="H4083" t="s">
        <v>23</v>
      </c>
      <c r="I4083" t="s">
        <v>157</v>
      </c>
      <c r="J4083" t="s">
        <v>103</v>
      </c>
      <c r="K4083">
        <v>30</v>
      </c>
      <c r="L4083">
        <v>68100</v>
      </c>
      <c r="M4083">
        <v>2043000</v>
      </c>
      <c r="N4083" t="s">
        <v>95</v>
      </c>
      <c r="O4083" t="s">
        <v>104</v>
      </c>
    </row>
    <row r="4084" spans="1:15" x14ac:dyDescent="0.25">
      <c r="A4084">
        <v>2993</v>
      </c>
      <c r="B4084" s="10">
        <v>45818</v>
      </c>
      <c r="C4084">
        <v>10</v>
      </c>
      <c r="D4084" t="s">
        <v>153</v>
      </c>
      <c r="E4084" t="s">
        <v>106</v>
      </c>
      <c r="F4084" t="s">
        <v>122</v>
      </c>
      <c r="G4084" t="s">
        <v>114</v>
      </c>
      <c r="H4084" t="s">
        <v>92</v>
      </c>
      <c r="I4084" t="s">
        <v>93</v>
      </c>
      <c r="J4084" t="s">
        <v>103</v>
      </c>
      <c r="K4084">
        <v>33</v>
      </c>
      <c r="L4084">
        <v>68200</v>
      </c>
      <c r="M4084">
        <v>2250600</v>
      </c>
      <c r="N4084" t="s">
        <v>95</v>
      </c>
      <c r="O4084" t="s">
        <v>96</v>
      </c>
    </row>
    <row r="4085" spans="1:15" x14ac:dyDescent="0.25">
      <c r="A4085">
        <v>3676</v>
      </c>
      <c r="B4085" s="10">
        <v>45910</v>
      </c>
      <c r="C4085">
        <v>10</v>
      </c>
      <c r="D4085" t="s">
        <v>147</v>
      </c>
      <c r="E4085" t="s">
        <v>106</v>
      </c>
      <c r="F4085" t="s">
        <v>122</v>
      </c>
      <c r="G4085" t="s">
        <v>114</v>
      </c>
      <c r="H4085" t="s">
        <v>92</v>
      </c>
      <c r="I4085" t="s">
        <v>93</v>
      </c>
      <c r="J4085" t="s">
        <v>103</v>
      </c>
      <c r="K4085">
        <v>20</v>
      </c>
      <c r="L4085">
        <v>68200</v>
      </c>
      <c r="M4085">
        <v>1364000</v>
      </c>
      <c r="N4085" t="s">
        <v>95</v>
      </c>
      <c r="O4085" t="s">
        <v>115</v>
      </c>
    </row>
    <row r="4086" spans="1:15" x14ac:dyDescent="0.25">
      <c r="A4086">
        <v>1073</v>
      </c>
      <c r="B4086" s="10">
        <v>45916</v>
      </c>
      <c r="C4086">
        <v>16</v>
      </c>
      <c r="D4086" t="s">
        <v>147</v>
      </c>
      <c r="E4086" t="s">
        <v>112</v>
      </c>
      <c r="F4086" t="s">
        <v>113</v>
      </c>
      <c r="G4086" t="s">
        <v>114</v>
      </c>
      <c r="H4086" t="s">
        <v>92</v>
      </c>
      <c r="I4086" t="s">
        <v>93</v>
      </c>
      <c r="J4086" t="s">
        <v>103</v>
      </c>
      <c r="K4086">
        <v>50</v>
      </c>
      <c r="L4086">
        <v>68300</v>
      </c>
      <c r="M4086">
        <v>3415000</v>
      </c>
      <c r="N4086" t="s">
        <v>108</v>
      </c>
      <c r="O4086" t="s">
        <v>115</v>
      </c>
    </row>
    <row r="4087" spans="1:15" x14ac:dyDescent="0.25">
      <c r="A4087">
        <v>1590</v>
      </c>
      <c r="B4087" s="10">
        <v>45902</v>
      </c>
      <c r="C4087">
        <v>2</v>
      </c>
      <c r="D4087" t="s">
        <v>147</v>
      </c>
      <c r="E4087" t="s">
        <v>110</v>
      </c>
      <c r="F4087" t="s">
        <v>28</v>
      </c>
      <c r="G4087" t="s">
        <v>126</v>
      </c>
      <c r="H4087" t="s">
        <v>92</v>
      </c>
      <c r="I4087" t="s">
        <v>93</v>
      </c>
      <c r="J4087" t="s">
        <v>103</v>
      </c>
      <c r="K4087">
        <v>14</v>
      </c>
      <c r="L4087">
        <v>68300</v>
      </c>
      <c r="M4087">
        <v>956200</v>
      </c>
      <c r="N4087" t="s">
        <v>95</v>
      </c>
      <c r="O4087" t="s">
        <v>104</v>
      </c>
    </row>
    <row r="4088" spans="1:15" x14ac:dyDescent="0.25">
      <c r="A4088">
        <v>1763</v>
      </c>
      <c r="B4088" s="10">
        <v>45963</v>
      </c>
      <c r="C4088">
        <v>2</v>
      </c>
      <c r="D4088" t="s">
        <v>90</v>
      </c>
      <c r="E4088" t="s">
        <v>112</v>
      </c>
      <c r="F4088" t="s">
        <v>49</v>
      </c>
      <c r="G4088" t="s">
        <v>118</v>
      </c>
      <c r="H4088" t="s">
        <v>92</v>
      </c>
      <c r="I4088" t="s">
        <v>93</v>
      </c>
      <c r="J4088" t="s">
        <v>103</v>
      </c>
      <c r="K4088">
        <v>44</v>
      </c>
      <c r="L4088">
        <v>68300</v>
      </c>
      <c r="M4088">
        <v>3005200</v>
      </c>
      <c r="N4088" t="s">
        <v>108</v>
      </c>
      <c r="O4088" t="s">
        <v>104</v>
      </c>
    </row>
    <row r="4089" spans="1:15" x14ac:dyDescent="0.25">
      <c r="A4089">
        <v>3814</v>
      </c>
      <c r="B4089" s="10">
        <v>45826</v>
      </c>
      <c r="C4089">
        <v>18</v>
      </c>
      <c r="D4089" t="s">
        <v>153</v>
      </c>
      <c r="E4089" t="s">
        <v>31</v>
      </c>
      <c r="F4089" t="s">
        <v>117</v>
      </c>
      <c r="G4089" t="s">
        <v>118</v>
      </c>
      <c r="H4089" t="s">
        <v>92</v>
      </c>
      <c r="I4089" t="s">
        <v>93</v>
      </c>
      <c r="J4089" t="s">
        <v>103</v>
      </c>
      <c r="K4089">
        <v>20</v>
      </c>
      <c r="L4089">
        <v>68300</v>
      </c>
      <c r="M4089">
        <v>1366000</v>
      </c>
      <c r="N4089" t="s">
        <v>95</v>
      </c>
      <c r="O4089" t="s">
        <v>96</v>
      </c>
    </row>
    <row r="4090" spans="1:15" x14ac:dyDescent="0.25">
      <c r="A4090">
        <v>2281</v>
      </c>
      <c r="B4090" s="10">
        <v>45934</v>
      </c>
      <c r="C4090">
        <v>4</v>
      </c>
      <c r="D4090" t="s">
        <v>136</v>
      </c>
      <c r="E4090" t="s">
        <v>106</v>
      </c>
      <c r="F4090" t="s">
        <v>144</v>
      </c>
      <c r="G4090" t="s">
        <v>91</v>
      </c>
      <c r="H4090" t="s">
        <v>23</v>
      </c>
      <c r="I4090" t="s">
        <v>157</v>
      </c>
      <c r="J4090" t="s">
        <v>94</v>
      </c>
      <c r="K4090">
        <v>9</v>
      </c>
      <c r="L4090">
        <v>68500</v>
      </c>
      <c r="M4090">
        <v>616500</v>
      </c>
      <c r="N4090" t="s">
        <v>108</v>
      </c>
      <c r="O4090" t="s">
        <v>115</v>
      </c>
    </row>
    <row r="4091" spans="1:15" x14ac:dyDescent="0.25">
      <c r="A4091">
        <v>3398</v>
      </c>
      <c r="B4091" s="10">
        <v>45727</v>
      </c>
      <c r="C4091">
        <v>11</v>
      </c>
      <c r="D4091" t="s">
        <v>140</v>
      </c>
      <c r="E4091" t="s">
        <v>112</v>
      </c>
      <c r="F4091" t="s">
        <v>99</v>
      </c>
      <c r="G4091" t="s">
        <v>100</v>
      </c>
      <c r="H4091" t="s">
        <v>23</v>
      </c>
      <c r="I4091" t="s">
        <v>157</v>
      </c>
      <c r="J4091" t="s">
        <v>103</v>
      </c>
      <c r="K4091">
        <v>6</v>
      </c>
      <c r="L4091">
        <v>68500</v>
      </c>
      <c r="M4091">
        <v>411000</v>
      </c>
      <c r="N4091" t="s">
        <v>95</v>
      </c>
      <c r="O4091" t="s">
        <v>115</v>
      </c>
    </row>
    <row r="4092" spans="1:15" x14ac:dyDescent="0.25">
      <c r="A4092">
        <v>1443</v>
      </c>
      <c r="B4092" s="10">
        <v>45706</v>
      </c>
      <c r="C4092">
        <v>18</v>
      </c>
      <c r="D4092" t="s">
        <v>97</v>
      </c>
      <c r="E4092" t="s">
        <v>31</v>
      </c>
      <c r="F4092" t="s">
        <v>44</v>
      </c>
      <c r="G4092" t="s">
        <v>111</v>
      </c>
      <c r="H4092" t="s">
        <v>92</v>
      </c>
      <c r="I4092" t="s">
        <v>93</v>
      </c>
      <c r="J4092" t="s">
        <v>103</v>
      </c>
      <c r="K4092">
        <v>36</v>
      </c>
      <c r="L4092">
        <v>68600</v>
      </c>
      <c r="M4092">
        <v>2469600</v>
      </c>
      <c r="N4092" t="s">
        <v>108</v>
      </c>
      <c r="O4092" t="s">
        <v>96</v>
      </c>
    </row>
    <row r="4093" spans="1:15" x14ac:dyDescent="0.25">
      <c r="A4093">
        <v>1825</v>
      </c>
      <c r="B4093" s="10">
        <v>46007</v>
      </c>
      <c r="C4093">
        <v>16</v>
      </c>
      <c r="D4093" t="s">
        <v>125</v>
      </c>
      <c r="E4093" t="s">
        <v>150</v>
      </c>
      <c r="F4093" t="s">
        <v>28</v>
      </c>
      <c r="G4093" t="s">
        <v>126</v>
      </c>
      <c r="H4093" t="s">
        <v>92</v>
      </c>
      <c r="I4093" t="s">
        <v>93</v>
      </c>
      <c r="J4093" t="s">
        <v>103</v>
      </c>
      <c r="K4093">
        <v>6</v>
      </c>
      <c r="L4093">
        <v>68600</v>
      </c>
      <c r="M4093">
        <v>411600</v>
      </c>
      <c r="N4093" t="s">
        <v>108</v>
      </c>
      <c r="O4093" t="s">
        <v>115</v>
      </c>
    </row>
    <row r="4094" spans="1:15" x14ac:dyDescent="0.25">
      <c r="A4094">
        <v>4971</v>
      </c>
      <c r="B4094" s="10">
        <v>45743</v>
      </c>
      <c r="C4094">
        <v>27</v>
      </c>
      <c r="D4094" t="s">
        <v>140</v>
      </c>
      <c r="E4094" t="s">
        <v>25</v>
      </c>
      <c r="F4094" t="s">
        <v>134</v>
      </c>
      <c r="G4094" t="s">
        <v>100</v>
      </c>
      <c r="H4094" t="s">
        <v>23</v>
      </c>
      <c r="I4094" t="s">
        <v>157</v>
      </c>
      <c r="J4094" t="s">
        <v>103</v>
      </c>
      <c r="K4094">
        <v>49</v>
      </c>
      <c r="L4094">
        <v>68600</v>
      </c>
      <c r="M4094">
        <v>3361400</v>
      </c>
      <c r="N4094" t="s">
        <v>95</v>
      </c>
      <c r="O4094" t="s">
        <v>115</v>
      </c>
    </row>
    <row r="4095" spans="1:15" x14ac:dyDescent="0.25">
      <c r="A4095">
        <v>1016</v>
      </c>
      <c r="B4095" s="10">
        <v>45770</v>
      </c>
      <c r="C4095">
        <v>23</v>
      </c>
      <c r="D4095" t="s">
        <v>105</v>
      </c>
      <c r="E4095" t="s">
        <v>110</v>
      </c>
      <c r="F4095" t="s">
        <v>144</v>
      </c>
      <c r="G4095" t="s">
        <v>91</v>
      </c>
      <c r="H4095" t="s">
        <v>92</v>
      </c>
      <c r="I4095" t="s">
        <v>93</v>
      </c>
      <c r="J4095" t="s">
        <v>103</v>
      </c>
      <c r="K4095">
        <v>13</v>
      </c>
      <c r="L4095">
        <v>68700</v>
      </c>
      <c r="M4095">
        <v>893100</v>
      </c>
      <c r="N4095" t="s">
        <v>108</v>
      </c>
      <c r="O4095" t="s">
        <v>96</v>
      </c>
    </row>
    <row r="4096" spans="1:15" x14ac:dyDescent="0.25">
      <c r="A4096">
        <v>3798</v>
      </c>
      <c r="B4096" s="10">
        <v>45673</v>
      </c>
      <c r="C4096">
        <v>16</v>
      </c>
      <c r="D4096" t="s">
        <v>130</v>
      </c>
      <c r="E4096" t="s">
        <v>137</v>
      </c>
      <c r="F4096" t="s">
        <v>49</v>
      </c>
      <c r="G4096" t="s">
        <v>118</v>
      </c>
      <c r="H4096" t="s">
        <v>92</v>
      </c>
      <c r="I4096" t="s">
        <v>93</v>
      </c>
      <c r="J4096" t="s">
        <v>103</v>
      </c>
      <c r="K4096">
        <v>41</v>
      </c>
      <c r="L4096">
        <v>68700</v>
      </c>
      <c r="M4096">
        <v>2816700</v>
      </c>
      <c r="N4096" t="s">
        <v>95</v>
      </c>
      <c r="O4096" t="s">
        <v>96</v>
      </c>
    </row>
    <row r="4097" spans="1:15" x14ac:dyDescent="0.25">
      <c r="A4097">
        <v>3723</v>
      </c>
      <c r="B4097" s="10">
        <v>45680</v>
      </c>
      <c r="C4097">
        <v>23</v>
      </c>
      <c r="D4097" t="s">
        <v>130</v>
      </c>
      <c r="E4097" t="s">
        <v>116</v>
      </c>
      <c r="F4097" t="s">
        <v>151</v>
      </c>
      <c r="G4097" t="s">
        <v>111</v>
      </c>
      <c r="H4097" t="s">
        <v>23</v>
      </c>
      <c r="I4097" t="s">
        <v>157</v>
      </c>
      <c r="J4097" t="s">
        <v>94</v>
      </c>
      <c r="K4097">
        <v>1</v>
      </c>
      <c r="L4097">
        <v>68900</v>
      </c>
      <c r="M4097">
        <v>68900</v>
      </c>
      <c r="N4097" t="s">
        <v>95</v>
      </c>
      <c r="O4097" t="s">
        <v>96</v>
      </c>
    </row>
    <row r="4098" spans="1:15" x14ac:dyDescent="0.25">
      <c r="A4098">
        <v>867</v>
      </c>
      <c r="B4098" s="10">
        <v>45776</v>
      </c>
      <c r="C4098">
        <v>29</v>
      </c>
      <c r="D4098" t="s">
        <v>105</v>
      </c>
      <c r="E4098" t="s">
        <v>121</v>
      </c>
      <c r="F4098" t="s">
        <v>107</v>
      </c>
      <c r="G4098" t="s">
        <v>100</v>
      </c>
      <c r="H4098" t="s">
        <v>92</v>
      </c>
      <c r="I4098" t="s">
        <v>93</v>
      </c>
      <c r="J4098" t="s">
        <v>103</v>
      </c>
      <c r="K4098">
        <v>42</v>
      </c>
      <c r="L4098">
        <v>69000</v>
      </c>
      <c r="M4098">
        <v>2898000</v>
      </c>
      <c r="N4098" t="s">
        <v>108</v>
      </c>
      <c r="O4098" t="s">
        <v>96</v>
      </c>
    </row>
    <row r="4099" spans="1:15" x14ac:dyDescent="0.25">
      <c r="A4099">
        <v>4178</v>
      </c>
      <c r="B4099" s="10">
        <v>46008</v>
      </c>
      <c r="C4099">
        <v>17</v>
      </c>
      <c r="D4099" t="s">
        <v>125</v>
      </c>
      <c r="E4099" t="s">
        <v>128</v>
      </c>
      <c r="F4099" t="s">
        <v>122</v>
      </c>
      <c r="G4099" t="s">
        <v>114</v>
      </c>
      <c r="H4099" t="s">
        <v>92</v>
      </c>
      <c r="I4099" t="s">
        <v>93</v>
      </c>
      <c r="J4099" t="s">
        <v>103</v>
      </c>
      <c r="K4099">
        <v>22</v>
      </c>
      <c r="L4099">
        <v>69000</v>
      </c>
      <c r="M4099">
        <v>1518000</v>
      </c>
      <c r="N4099" t="s">
        <v>95</v>
      </c>
      <c r="O4099" t="s">
        <v>104</v>
      </c>
    </row>
    <row r="4100" spans="1:15" x14ac:dyDescent="0.25">
      <c r="A4100">
        <v>4361</v>
      </c>
      <c r="B4100" s="10">
        <v>45920</v>
      </c>
      <c r="C4100">
        <v>20</v>
      </c>
      <c r="D4100" t="s">
        <v>147</v>
      </c>
      <c r="E4100" t="s">
        <v>31</v>
      </c>
      <c r="F4100" t="s">
        <v>28</v>
      </c>
      <c r="G4100" t="s">
        <v>126</v>
      </c>
      <c r="H4100" t="s">
        <v>92</v>
      </c>
      <c r="I4100" t="s">
        <v>93</v>
      </c>
      <c r="J4100" t="s">
        <v>103</v>
      </c>
      <c r="K4100">
        <v>10</v>
      </c>
      <c r="L4100">
        <v>69000</v>
      </c>
      <c r="M4100">
        <v>690000</v>
      </c>
      <c r="N4100" t="s">
        <v>108</v>
      </c>
      <c r="O4100" t="s">
        <v>115</v>
      </c>
    </row>
    <row r="4101" spans="1:15" x14ac:dyDescent="0.25">
      <c r="A4101">
        <v>478</v>
      </c>
      <c r="B4101" s="10">
        <v>45690</v>
      </c>
      <c r="C4101">
        <v>2</v>
      </c>
      <c r="D4101" t="s">
        <v>97</v>
      </c>
      <c r="E4101" t="s">
        <v>150</v>
      </c>
      <c r="F4101" t="s">
        <v>44</v>
      </c>
      <c r="G4101" t="s">
        <v>111</v>
      </c>
      <c r="H4101" t="s">
        <v>92</v>
      </c>
      <c r="I4101" t="s">
        <v>93</v>
      </c>
      <c r="J4101" t="s">
        <v>103</v>
      </c>
      <c r="K4101">
        <v>21</v>
      </c>
      <c r="L4101">
        <v>69100</v>
      </c>
      <c r="M4101">
        <v>1451100</v>
      </c>
      <c r="N4101" t="s">
        <v>108</v>
      </c>
      <c r="O4101" t="s">
        <v>104</v>
      </c>
    </row>
    <row r="4102" spans="1:15" x14ac:dyDescent="0.25">
      <c r="A4102">
        <v>4138</v>
      </c>
      <c r="B4102" s="10">
        <v>45738</v>
      </c>
      <c r="C4102">
        <v>22</v>
      </c>
      <c r="D4102" t="s">
        <v>140</v>
      </c>
      <c r="E4102" t="s">
        <v>110</v>
      </c>
      <c r="F4102" t="s">
        <v>99</v>
      </c>
      <c r="G4102" t="s">
        <v>100</v>
      </c>
      <c r="H4102" t="s">
        <v>92</v>
      </c>
      <c r="I4102" t="s">
        <v>93</v>
      </c>
      <c r="J4102" t="s">
        <v>103</v>
      </c>
      <c r="K4102">
        <v>26</v>
      </c>
      <c r="L4102">
        <v>69100</v>
      </c>
      <c r="M4102">
        <v>1796600</v>
      </c>
      <c r="N4102" t="s">
        <v>95</v>
      </c>
      <c r="O4102" t="s">
        <v>96</v>
      </c>
    </row>
    <row r="4103" spans="1:15" x14ac:dyDescent="0.25">
      <c r="A4103">
        <v>49</v>
      </c>
      <c r="B4103" s="10">
        <v>45869</v>
      </c>
      <c r="C4103">
        <v>31</v>
      </c>
      <c r="D4103" t="s">
        <v>145</v>
      </c>
      <c r="E4103" t="s">
        <v>25</v>
      </c>
      <c r="F4103" t="s">
        <v>36</v>
      </c>
      <c r="G4103" t="s">
        <v>100</v>
      </c>
      <c r="H4103" t="s">
        <v>92</v>
      </c>
      <c r="I4103" t="s">
        <v>93</v>
      </c>
      <c r="J4103" t="s">
        <v>103</v>
      </c>
      <c r="K4103">
        <v>47</v>
      </c>
      <c r="L4103">
        <v>69200</v>
      </c>
      <c r="M4103">
        <v>3252400</v>
      </c>
      <c r="N4103" t="s">
        <v>95</v>
      </c>
      <c r="O4103" t="s">
        <v>115</v>
      </c>
    </row>
    <row r="4104" spans="1:15" x14ac:dyDescent="0.25">
      <c r="A4104">
        <v>4714</v>
      </c>
      <c r="B4104" s="10">
        <v>45661</v>
      </c>
      <c r="C4104">
        <v>4</v>
      </c>
      <c r="D4104" t="s">
        <v>130</v>
      </c>
      <c r="E4104" t="s">
        <v>150</v>
      </c>
      <c r="F4104" t="s">
        <v>151</v>
      </c>
      <c r="G4104" t="s">
        <v>111</v>
      </c>
      <c r="H4104" t="s">
        <v>92</v>
      </c>
      <c r="I4104" t="s">
        <v>93</v>
      </c>
      <c r="J4104" t="s">
        <v>103</v>
      </c>
      <c r="K4104">
        <v>17</v>
      </c>
      <c r="L4104">
        <v>69200</v>
      </c>
      <c r="M4104">
        <v>1176400</v>
      </c>
      <c r="N4104" t="s">
        <v>108</v>
      </c>
      <c r="O4104" t="s">
        <v>96</v>
      </c>
    </row>
    <row r="4105" spans="1:15" x14ac:dyDescent="0.25">
      <c r="A4105">
        <v>3067</v>
      </c>
      <c r="B4105" s="10">
        <v>45825</v>
      </c>
      <c r="C4105">
        <v>17</v>
      </c>
      <c r="D4105" t="s">
        <v>153</v>
      </c>
      <c r="E4105" t="s">
        <v>121</v>
      </c>
      <c r="F4105" t="s">
        <v>113</v>
      </c>
      <c r="G4105" t="s">
        <v>114</v>
      </c>
      <c r="H4105" t="s">
        <v>23</v>
      </c>
      <c r="I4105" t="s">
        <v>157</v>
      </c>
      <c r="J4105" t="s">
        <v>103</v>
      </c>
      <c r="K4105">
        <v>6</v>
      </c>
      <c r="L4105">
        <v>69300</v>
      </c>
      <c r="M4105">
        <v>415800</v>
      </c>
      <c r="N4105" t="s">
        <v>95</v>
      </c>
      <c r="O4105" t="s">
        <v>115</v>
      </c>
    </row>
    <row r="4106" spans="1:15" x14ac:dyDescent="0.25">
      <c r="A4106">
        <v>968</v>
      </c>
      <c r="B4106" s="10">
        <v>45745</v>
      </c>
      <c r="C4106">
        <v>29</v>
      </c>
      <c r="D4106" t="s">
        <v>140</v>
      </c>
      <c r="E4106" t="s">
        <v>110</v>
      </c>
      <c r="F4106" t="s">
        <v>28</v>
      </c>
      <c r="G4106" t="s">
        <v>126</v>
      </c>
      <c r="H4106" t="s">
        <v>23</v>
      </c>
      <c r="I4106" t="s">
        <v>157</v>
      </c>
      <c r="J4106" t="s">
        <v>103</v>
      </c>
      <c r="K4106">
        <v>34</v>
      </c>
      <c r="L4106">
        <v>69500</v>
      </c>
      <c r="M4106">
        <v>2363000</v>
      </c>
      <c r="N4106" t="s">
        <v>108</v>
      </c>
      <c r="O4106" t="s">
        <v>104</v>
      </c>
    </row>
    <row r="4107" spans="1:15" x14ac:dyDescent="0.25">
      <c r="A4107">
        <v>2131</v>
      </c>
      <c r="B4107" s="10">
        <v>45811</v>
      </c>
      <c r="C4107">
        <v>3</v>
      </c>
      <c r="D4107" t="s">
        <v>153</v>
      </c>
      <c r="E4107" t="s">
        <v>98</v>
      </c>
      <c r="F4107" t="s">
        <v>36</v>
      </c>
      <c r="G4107" t="s">
        <v>100</v>
      </c>
      <c r="H4107" t="s">
        <v>92</v>
      </c>
      <c r="I4107" t="s">
        <v>93</v>
      </c>
      <c r="J4107" t="s">
        <v>103</v>
      </c>
      <c r="K4107">
        <v>14</v>
      </c>
      <c r="L4107">
        <v>69500</v>
      </c>
      <c r="M4107">
        <v>973000</v>
      </c>
      <c r="N4107" t="s">
        <v>108</v>
      </c>
      <c r="O4107" t="s">
        <v>115</v>
      </c>
    </row>
    <row r="4108" spans="1:15" x14ac:dyDescent="0.25">
      <c r="A4108">
        <v>268</v>
      </c>
      <c r="B4108" s="10">
        <v>46014</v>
      </c>
      <c r="C4108">
        <v>23</v>
      </c>
      <c r="D4108" t="s">
        <v>125</v>
      </c>
      <c r="E4108" t="s">
        <v>116</v>
      </c>
      <c r="F4108" t="s">
        <v>36</v>
      </c>
      <c r="G4108" t="s">
        <v>100</v>
      </c>
      <c r="H4108" t="s">
        <v>23</v>
      </c>
      <c r="I4108" t="s">
        <v>157</v>
      </c>
      <c r="J4108" t="s">
        <v>94</v>
      </c>
      <c r="K4108">
        <v>4</v>
      </c>
      <c r="L4108">
        <v>69600</v>
      </c>
      <c r="M4108">
        <v>278400</v>
      </c>
      <c r="N4108" t="s">
        <v>95</v>
      </c>
      <c r="O4108" t="s">
        <v>96</v>
      </c>
    </row>
    <row r="4109" spans="1:15" x14ac:dyDescent="0.25">
      <c r="A4109">
        <v>2323</v>
      </c>
      <c r="B4109" s="10">
        <v>45830</v>
      </c>
      <c r="C4109">
        <v>22</v>
      </c>
      <c r="D4109" t="s">
        <v>153</v>
      </c>
      <c r="E4109" t="s">
        <v>161</v>
      </c>
      <c r="F4109" t="s">
        <v>144</v>
      </c>
      <c r="G4109" t="s">
        <v>91</v>
      </c>
      <c r="H4109" t="s">
        <v>92</v>
      </c>
      <c r="I4109" t="s">
        <v>93</v>
      </c>
      <c r="J4109" t="s">
        <v>103</v>
      </c>
      <c r="K4109">
        <v>42</v>
      </c>
      <c r="L4109">
        <v>69600</v>
      </c>
      <c r="M4109">
        <v>2923200</v>
      </c>
      <c r="N4109" t="s">
        <v>108</v>
      </c>
      <c r="O4109" t="s">
        <v>115</v>
      </c>
    </row>
    <row r="4110" spans="1:15" x14ac:dyDescent="0.25">
      <c r="A4110">
        <v>243</v>
      </c>
      <c r="B4110" s="10">
        <v>45731</v>
      </c>
      <c r="C4110">
        <v>15</v>
      </c>
      <c r="D4110" t="s">
        <v>140</v>
      </c>
      <c r="E4110" t="s">
        <v>150</v>
      </c>
      <c r="F4110" t="s">
        <v>141</v>
      </c>
      <c r="G4110" t="s">
        <v>100</v>
      </c>
      <c r="H4110" t="s">
        <v>92</v>
      </c>
      <c r="I4110" t="s">
        <v>93</v>
      </c>
      <c r="J4110" t="s">
        <v>103</v>
      </c>
      <c r="K4110">
        <v>30</v>
      </c>
      <c r="L4110">
        <v>69700</v>
      </c>
      <c r="M4110">
        <v>2091000</v>
      </c>
      <c r="N4110" t="s">
        <v>95</v>
      </c>
      <c r="O4110" t="s">
        <v>115</v>
      </c>
    </row>
    <row r="4111" spans="1:15" x14ac:dyDescent="0.25">
      <c r="A4111">
        <v>1402</v>
      </c>
      <c r="B4111" s="10">
        <v>45886</v>
      </c>
      <c r="C4111">
        <v>17</v>
      </c>
      <c r="D4111" t="s">
        <v>109</v>
      </c>
      <c r="E4111" t="s">
        <v>142</v>
      </c>
      <c r="F4111" t="s">
        <v>148</v>
      </c>
      <c r="G4111" t="s">
        <v>118</v>
      </c>
      <c r="H4111" t="s">
        <v>92</v>
      </c>
      <c r="I4111" t="s">
        <v>93</v>
      </c>
      <c r="J4111" t="s">
        <v>103</v>
      </c>
      <c r="K4111">
        <v>44</v>
      </c>
      <c r="L4111">
        <v>69800</v>
      </c>
      <c r="M4111">
        <v>3071200</v>
      </c>
      <c r="N4111" t="s">
        <v>95</v>
      </c>
      <c r="O4111" t="s">
        <v>96</v>
      </c>
    </row>
    <row r="4112" spans="1:15" x14ac:dyDescent="0.25">
      <c r="A4112">
        <v>1899</v>
      </c>
      <c r="B4112" s="10">
        <v>45852</v>
      </c>
      <c r="C4112">
        <v>14</v>
      </c>
      <c r="D4112" t="s">
        <v>145</v>
      </c>
      <c r="E4112" t="s">
        <v>142</v>
      </c>
      <c r="F4112" t="s">
        <v>22</v>
      </c>
      <c r="G4112" t="s">
        <v>91</v>
      </c>
      <c r="H4112" t="s">
        <v>92</v>
      </c>
      <c r="I4112" t="s">
        <v>93</v>
      </c>
      <c r="J4112" t="s">
        <v>103</v>
      </c>
      <c r="K4112">
        <v>26</v>
      </c>
      <c r="L4112">
        <v>69900</v>
      </c>
      <c r="M4112">
        <v>1817400</v>
      </c>
      <c r="N4112" t="s">
        <v>108</v>
      </c>
      <c r="O4112" t="s">
        <v>96</v>
      </c>
    </row>
    <row r="4113" spans="1:15" x14ac:dyDescent="0.25">
      <c r="A4113">
        <v>1154</v>
      </c>
      <c r="B4113" s="10">
        <v>45740</v>
      </c>
      <c r="C4113">
        <v>24</v>
      </c>
      <c r="D4113" t="s">
        <v>140</v>
      </c>
      <c r="E4113" t="s">
        <v>138</v>
      </c>
      <c r="F4113" t="s">
        <v>141</v>
      </c>
      <c r="G4113" t="s">
        <v>100</v>
      </c>
      <c r="H4113" t="s">
        <v>23</v>
      </c>
      <c r="I4113" t="s">
        <v>157</v>
      </c>
      <c r="J4113" t="s">
        <v>94</v>
      </c>
      <c r="K4113">
        <v>3</v>
      </c>
      <c r="L4113">
        <v>70000</v>
      </c>
      <c r="M4113">
        <v>210000</v>
      </c>
      <c r="N4113" t="s">
        <v>108</v>
      </c>
      <c r="O4113" t="s">
        <v>104</v>
      </c>
    </row>
    <row r="4114" spans="1:15" x14ac:dyDescent="0.25">
      <c r="A4114">
        <v>445</v>
      </c>
      <c r="B4114" s="10">
        <v>45850</v>
      </c>
      <c r="C4114">
        <v>12</v>
      </c>
      <c r="D4114" t="s">
        <v>145</v>
      </c>
      <c r="E4114" t="s">
        <v>138</v>
      </c>
      <c r="F4114" t="s">
        <v>99</v>
      </c>
      <c r="G4114" t="s">
        <v>100</v>
      </c>
      <c r="H4114" t="s">
        <v>23</v>
      </c>
      <c r="I4114" t="s">
        <v>157</v>
      </c>
      <c r="J4114" t="s">
        <v>94</v>
      </c>
      <c r="K4114">
        <v>6</v>
      </c>
      <c r="L4114">
        <v>70100</v>
      </c>
      <c r="M4114">
        <v>420600</v>
      </c>
      <c r="N4114" t="s">
        <v>108</v>
      </c>
      <c r="O4114" t="s">
        <v>96</v>
      </c>
    </row>
    <row r="4115" spans="1:15" x14ac:dyDescent="0.25">
      <c r="A4115">
        <v>1067</v>
      </c>
      <c r="B4115" s="10">
        <v>45948</v>
      </c>
      <c r="C4115">
        <v>18</v>
      </c>
      <c r="D4115" t="s">
        <v>136</v>
      </c>
      <c r="E4115" t="s">
        <v>142</v>
      </c>
      <c r="F4115" t="s">
        <v>151</v>
      </c>
      <c r="G4115" t="s">
        <v>111</v>
      </c>
      <c r="H4115" t="s">
        <v>23</v>
      </c>
      <c r="I4115" t="s">
        <v>157</v>
      </c>
      <c r="J4115" t="s">
        <v>94</v>
      </c>
      <c r="K4115">
        <v>3</v>
      </c>
      <c r="L4115">
        <v>70100</v>
      </c>
      <c r="M4115">
        <v>210300</v>
      </c>
      <c r="N4115" t="s">
        <v>108</v>
      </c>
      <c r="O4115" t="s">
        <v>96</v>
      </c>
    </row>
    <row r="4116" spans="1:15" x14ac:dyDescent="0.25">
      <c r="A4116">
        <v>2077</v>
      </c>
      <c r="B4116" s="10">
        <v>45943</v>
      </c>
      <c r="C4116">
        <v>13</v>
      </c>
      <c r="D4116" t="s">
        <v>136</v>
      </c>
      <c r="E4116" t="s">
        <v>137</v>
      </c>
      <c r="F4116" t="s">
        <v>144</v>
      </c>
      <c r="G4116" t="s">
        <v>91</v>
      </c>
      <c r="H4116" t="s">
        <v>92</v>
      </c>
      <c r="I4116" t="s">
        <v>93</v>
      </c>
      <c r="J4116" t="s">
        <v>103</v>
      </c>
      <c r="K4116">
        <v>38</v>
      </c>
      <c r="L4116">
        <v>70100</v>
      </c>
      <c r="M4116">
        <v>2663800</v>
      </c>
      <c r="N4116" t="s">
        <v>95</v>
      </c>
      <c r="O4116" t="s">
        <v>96</v>
      </c>
    </row>
    <row r="4117" spans="1:15" x14ac:dyDescent="0.25">
      <c r="A4117">
        <v>2483</v>
      </c>
      <c r="B4117" s="10">
        <v>45850</v>
      </c>
      <c r="C4117">
        <v>12</v>
      </c>
      <c r="D4117" t="s">
        <v>145</v>
      </c>
      <c r="E4117" t="s">
        <v>106</v>
      </c>
      <c r="F4117" t="s">
        <v>22</v>
      </c>
      <c r="G4117" t="s">
        <v>91</v>
      </c>
      <c r="H4117" t="s">
        <v>23</v>
      </c>
      <c r="I4117" t="s">
        <v>157</v>
      </c>
      <c r="J4117" t="s">
        <v>103</v>
      </c>
      <c r="K4117">
        <v>50</v>
      </c>
      <c r="L4117">
        <v>70100</v>
      </c>
      <c r="M4117">
        <v>3505000</v>
      </c>
      <c r="N4117" t="s">
        <v>108</v>
      </c>
      <c r="O4117" t="s">
        <v>104</v>
      </c>
    </row>
    <row r="4118" spans="1:15" x14ac:dyDescent="0.25">
      <c r="A4118">
        <v>3685</v>
      </c>
      <c r="B4118" s="10">
        <v>45741</v>
      </c>
      <c r="C4118">
        <v>25</v>
      </c>
      <c r="D4118" t="s">
        <v>140</v>
      </c>
      <c r="E4118" t="s">
        <v>110</v>
      </c>
      <c r="F4118" t="s">
        <v>113</v>
      </c>
      <c r="G4118" t="s">
        <v>114</v>
      </c>
      <c r="H4118" t="s">
        <v>92</v>
      </c>
      <c r="I4118" t="s">
        <v>93</v>
      </c>
      <c r="J4118" t="s">
        <v>103</v>
      </c>
      <c r="K4118">
        <v>38</v>
      </c>
      <c r="L4118">
        <v>70100</v>
      </c>
      <c r="M4118">
        <v>2663800</v>
      </c>
      <c r="N4118" t="s">
        <v>108</v>
      </c>
      <c r="O4118" t="s">
        <v>96</v>
      </c>
    </row>
    <row r="4119" spans="1:15" x14ac:dyDescent="0.25">
      <c r="A4119">
        <v>794</v>
      </c>
      <c r="B4119" s="10">
        <v>45789</v>
      </c>
      <c r="C4119">
        <v>12</v>
      </c>
      <c r="D4119" t="s">
        <v>120</v>
      </c>
      <c r="E4119" t="s">
        <v>25</v>
      </c>
      <c r="F4119" t="s">
        <v>99</v>
      </c>
      <c r="G4119" t="s">
        <v>100</v>
      </c>
      <c r="H4119" t="s">
        <v>23</v>
      </c>
      <c r="I4119" t="s">
        <v>157</v>
      </c>
      <c r="J4119" t="s">
        <v>94</v>
      </c>
      <c r="K4119">
        <v>10</v>
      </c>
      <c r="L4119">
        <v>70200</v>
      </c>
      <c r="M4119">
        <v>702000</v>
      </c>
      <c r="N4119" t="s">
        <v>95</v>
      </c>
      <c r="O4119" t="s">
        <v>96</v>
      </c>
    </row>
    <row r="4120" spans="1:15" x14ac:dyDescent="0.25">
      <c r="A4120">
        <v>1381</v>
      </c>
      <c r="B4120" s="10">
        <v>45803</v>
      </c>
      <c r="C4120">
        <v>26</v>
      </c>
      <c r="D4120" t="s">
        <v>120</v>
      </c>
      <c r="E4120" t="s">
        <v>116</v>
      </c>
      <c r="F4120" t="s">
        <v>144</v>
      </c>
      <c r="G4120" t="s">
        <v>91</v>
      </c>
      <c r="H4120" t="s">
        <v>92</v>
      </c>
      <c r="I4120" t="s">
        <v>93</v>
      </c>
      <c r="J4120" t="s">
        <v>103</v>
      </c>
      <c r="K4120">
        <v>31</v>
      </c>
      <c r="L4120">
        <v>70300</v>
      </c>
      <c r="M4120">
        <v>2179300</v>
      </c>
      <c r="N4120" t="s">
        <v>95</v>
      </c>
      <c r="O4120" t="s">
        <v>104</v>
      </c>
    </row>
    <row r="4121" spans="1:15" x14ac:dyDescent="0.25">
      <c r="A4121">
        <v>2864</v>
      </c>
      <c r="B4121" s="10">
        <v>45701</v>
      </c>
      <c r="C4121">
        <v>13</v>
      </c>
      <c r="D4121" t="s">
        <v>97</v>
      </c>
      <c r="E4121" t="s">
        <v>110</v>
      </c>
      <c r="F4121" t="s">
        <v>22</v>
      </c>
      <c r="G4121" t="s">
        <v>91</v>
      </c>
      <c r="H4121" t="s">
        <v>92</v>
      </c>
      <c r="I4121" t="s">
        <v>93</v>
      </c>
      <c r="J4121" t="s">
        <v>103</v>
      </c>
      <c r="K4121">
        <v>34</v>
      </c>
      <c r="L4121">
        <v>70300</v>
      </c>
      <c r="M4121">
        <v>2390200</v>
      </c>
      <c r="N4121" t="s">
        <v>95</v>
      </c>
      <c r="O4121" t="s">
        <v>104</v>
      </c>
    </row>
    <row r="4122" spans="1:15" x14ac:dyDescent="0.25">
      <c r="A4122">
        <v>3815</v>
      </c>
      <c r="B4122" s="10">
        <v>45949</v>
      </c>
      <c r="C4122">
        <v>19</v>
      </c>
      <c r="D4122" t="s">
        <v>136</v>
      </c>
      <c r="E4122" t="s">
        <v>116</v>
      </c>
      <c r="F4122" t="s">
        <v>44</v>
      </c>
      <c r="G4122" t="s">
        <v>111</v>
      </c>
      <c r="H4122" t="s">
        <v>23</v>
      </c>
      <c r="I4122" t="s">
        <v>157</v>
      </c>
      <c r="J4122" t="s">
        <v>94</v>
      </c>
      <c r="K4122">
        <v>5</v>
      </c>
      <c r="L4122">
        <v>70300</v>
      </c>
      <c r="M4122">
        <v>351500</v>
      </c>
      <c r="N4122" t="s">
        <v>108</v>
      </c>
      <c r="O4122" t="s">
        <v>96</v>
      </c>
    </row>
    <row r="4123" spans="1:15" x14ac:dyDescent="0.25">
      <c r="A4123">
        <v>1469</v>
      </c>
      <c r="B4123" s="10">
        <v>45736</v>
      </c>
      <c r="C4123">
        <v>20</v>
      </c>
      <c r="D4123" t="s">
        <v>140</v>
      </c>
      <c r="E4123" t="s">
        <v>110</v>
      </c>
      <c r="F4123" t="s">
        <v>144</v>
      </c>
      <c r="G4123" t="s">
        <v>91</v>
      </c>
      <c r="H4123" t="s">
        <v>23</v>
      </c>
      <c r="I4123" t="s">
        <v>157</v>
      </c>
      <c r="J4123" t="s">
        <v>94</v>
      </c>
      <c r="K4123">
        <v>4</v>
      </c>
      <c r="L4123">
        <v>70500</v>
      </c>
      <c r="M4123">
        <v>282000</v>
      </c>
      <c r="N4123" t="s">
        <v>95</v>
      </c>
      <c r="O4123" t="s">
        <v>104</v>
      </c>
    </row>
    <row r="4124" spans="1:15" x14ac:dyDescent="0.25">
      <c r="A4124">
        <v>3187</v>
      </c>
      <c r="B4124" s="10">
        <v>45982</v>
      </c>
      <c r="C4124">
        <v>21</v>
      </c>
      <c r="D4124" t="s">
        <v>90</v>
      </c>
      <c r="E4124" t="s">
        <v>142</v>
      </c>
      <c r="F4124" t="s">
        <v>44</v>
      </c>
      <c r="G4124" t="s">
        <v>111</v>
      </c>
      <c r="H4124" t="s">
        <v>23</v>
      </c>
      <c r="I4124" t="s">
        <v>157</v>
      </c>
      <c r="J4124" t="s">
        <v>94</v>
      </c>
      <c r="K4124">
        <v>1</v>
      </c>
      <c r="L4124">
        <v>70500</v>
      </c>
      <c r="M4124">
        <v>70500</v>
      </c>
      <c r="N4124" t="s">
        <v>95</v>
      </c>
      <c r="O4124" t="s">
        <v>96</v>
      </c>
    </row>
    <row r="4125" spans="1:15" x14ac:dyDescent="0.25">
      <c r="A4125">
        <v>3994</v>
      </c>
      <c r="B4125" s="10">
        <v>45890</v>
      </c>
      <c r="C4125">
        <v>21</v>
      </c>
      <c r="D4125" t="s">
        <v>109</v>
      </c>
      <c r="E4125" t="s">
        <v>142</v>
      </c>
      <c r="F4125" t="s">
        <v>28</v>
      </c>
      <c r="G4125" t="s">
        <v>126</v>
      </c>
      <c r="H4125" t="s">
        <v>92</v>
      </c>
      <c r="I4125" t="s">
        <v>93</v>
      </c>
      <c r="J4125" t="s">
        <v>103</v>
      </c>
      <c r="K4125">
        <v>14</v>
      </c>
      <c r="L4125">
        <v>70600</v>
      </c>
      <c r="M4125">
        <v>988400</v>
      </c>
      <c r="N4125" t="s">
        <v>108</v>
      </c>
      <c r="O4125" t="s">
        <v>96</v>
      </c>
    </row>
    <row r="4126" spans="1:15" x14ac:dyDescent="0.25">
      <c r="A4126">
        <v>2908</v>
      </c>
      <c r="B4126" s="10">
        <v>45783</v>
      </c>
      <c r="C4126">
        <v>6</v>
      </c>
      <c r="D4126" t="s">
        <v>120</v>
      </c>
      <c r="E4126" t="s">
        <v>133</v>
      </c>
      <c r="F4126" t="s">
        <v>28</v>
      </c>
      <c r="G4126" t="s">
        <v>126</v>
      </c>
      <c r="H4126" t="s">
        <v>23</v>
      </c>
      <c r="I4126" t="s">
        <v>157</v>
      </c>
      <c r="J4126" t="s">
        <v>94</v>
      </c>
      <c r="K4126">
        <v>6</v>
      </c>
      <c r="L4126">
        <v>70800</v>
      </c>
      <c r="M4126">
        <v>424800</v>
      </c>
      <c r="N4126" t="s">
        <v>95</v>
      </c>
      <c r="O4126" t="s">
        <v>96</v>
      </c>
    </row>
    <row r="4127" spans="1:15" x14ac:dyDescent="0.25">
      <c r="A4127">
        <v>4373</v>
      </c>
      <c r="B4127" s="10">
        <v>45957</v>
      </c>
      <c r="C4127">
        <v>27</v>
      </c>
      <c r="D4127" t="s">
        <v>136</v>
      </c>
      <c r="E4127" t="s">
        <v>106</v>
      </c>
      <c r="F4127" t="s">
        <v>44</v>
      </c>
      <c r="G4127" t="s">
        <v>111</v>
      </c>
      <c r="H4127" t="s">
        <v>23</v>
      </c>
      <c r="I4127" t="s">
        <v>157</v>
      </c>
      <c r="J4127" t="s">
        <v>94</v>
      </c>
      <c r="K4127">
        <v>7</v>
      </c>
      <c r="L4127">
        <v>70900</v>
      </c>
      <c r="M4127">
        <v>496300</v>
      </c>
      <c r="N4127" t="s">
        <v>108</v>
      </c>
      <c r="O4127" t="s">
        <v>104</v>
      </c>
    </row>
    <row r="4128" spans="1:15" x14ac:dyDescent="0.25">
      <c r="A4128">
        <v>34</v>
      </c>
      <c r="B4128" s="10">
        <v>45755</v>
      </c>
      <c r="C4128">
        <v>8</v>
      </c>
      <c r="D4128" t="s">
        <v>105</v>
      </c>
      <c r="E4128" t="s">
        <v>116</v>
      </c>
      <c r="F4128" t="s">
        <v>49</v>
      </c>
      <c r="G4128" t="s">
        <v>118</v>
      </c>
      <c r="H4128" t="s">
        <v>23</v>
      </c>
      <c r="I4128" t="s">
        <v>157</v>
      </c>
      <c r="J4128" t="s">
        <v>94</v>
      </c>
      <c r="K4128">
        <v>6</v>
      </c>
      <c r="L4128">
        <v>71000</v>
      </c>
      <c r="M4128">
        <v>426000</v>
      </c>
      <c r="N4128" t="s">
        <v>95</v>
      </c>
      <c r="O4128" t="s">
        <v>104</v>
      </c>
    </row>
    <row r="4129" spans="1:15" x14ac:dyDescent="0.25">
      <c r="A4129">
        <v>2638</v>
      </c>
      <c r="B4129" s="10">
        <v>45980</v>
      </c>
      <c r="C4129">
        <v>19</v>
      </c>
      <c r="D4129" t="s">
        <v>90</v>
      </c>
      <c r="E4129" t="s">
        <v>142</v>
      </c>
      <c r="F4129" t="s">
        <v>144</v>
      </c>
      <c r="G4129" t="s">
        <v>91</v>
      </c>
      <c r="H4129" t="s">
        <v>92</v>
      </c>
      <c r="I4129" t="s">
        <v>93</v>
      </c>
      <c r="J4129" t="s">
        <v>103</v>
      </c>
      <c r="K4129">
        <v>30</v>
      </c>
      <c r="L4129">
        <v>71200</v>
      </c>
      <c r="M4129">
        <v>2136000</v>
      </c>
      <c r="N4129" t="s">
        <v>108</v>
      </c>
      <c r="O4129" t="s">
        <v>104</v>
      </c>
    </row>
    <row r="4130" spans="1:15" x14ac:dyDescent="0.25">
      <c r="A4130">
        <v>738</v>
      </c>
      <c r="B4130" s="10">
        <v>46010</v>
      </c>
      <c r="C4130">
        <v>19</v>
      </c>
      <c r="D4130" t="s">
        <v>125</v>
      </c>
      <c r="E4130" t="s">
        <v>110</v>
      </c>
      <c r="F4130" t="s">
        <v>144</v>
      </c>
      <c r="G4130" t="s">
        <v>91</v>
      </c>
      <c r="H4130" t="s">
        <v>92</v>
      </c>
      <c r="I4130" t="s">
        <v>93</v>
      </c>
      <c r="J4130" t="s">
        <v>103</v>
      </c>
      <c r="K4130">
        <v>43</v>
      </c>
      <c r="L4130">
        <v>71300</v>
      </c>
      <c r="M4130">
        <v>3065900</v>
      </c>
      <c r="N4130" t="s">
        <v>108</v>
      </c>
      <c r="O4130" t="s">
        <v>115</v>
      </c>
    </row>
    <row r="4131" spans="1:15" x14ac:dyDescent="0.25">
      <c r="A4131">
        <v>1101</v>
      </c>
      <c r="B4131" s="10">
        <v>45957</v>
      </c>
      <c r="C4131">
        <v>27</v>
      </c>
      <c r="D4131" t="s">
        <v>136</v>
      </c>
      <c r="E4131" t="s">
        <v>142</v>
      </c>
      <c r="F4131" t="s">
        <v>107</v>
      </c>
      <c r="G4131" t="s">
        <v>100</v>
      </c>
      <c r="H4131" t="s">
        <v>92</v>
      </c>
      <c r="I4131" t="s">
        <v>93</v>
      </c>
      <c r="J4131" t="s">
        <v>103</v>
      </c>
      <c r="K4131">
        <v>42</v>
      </c>
      <c r="L4131">
        <v>71400</v>
      </c>
      <c r="M4131">
        <v>2998800</v>
      </c>
      <c r="N4131" t="s">
        <v>95</v>
      </c>
      <c r="O4131" t="s">
        <v>104</v>
      </c>
    </row>
    <row r="4132" spans="1:15" x14ac:dyDescent="0.25">
      <c r="A4132">
        <v>4721</v>
      </c>
      <c r="B4132" s="10">
        <v>46017</v>
      </c>
      <c r="C4132">
        <v>26</v>
      </c>
      <c r="D4132" t="s">
        <v>125</v>
      </c>
      <c r="E4132" t="s">
        <v>31</v>
      </c>
      <c r="F4132" t="s">
        <v>22</v>
      </c>
      <c r="G4132" t="s">
        <v>91</v>
      </c>
      <c r="H4132" t="s">
        <v>92</v>
      </c>
      <c r="I4132" t="s">
        <v>93</v>
      </c>
      <c r="J4132" t="s">
        <v>103</v>
      </c>
      <c r="K4132">
        <v>42</v>
      </c>
      <c r="L4132">
        <v>71400</v>
      </c>
      <c r="M4132">
        <v>2998800</v>
      </c>
      <c r="N4132" t="s">
        <v>95</v>
      </c>
      <c r="O4132" t="s">
        <v>115</v>
      </c>
    </row>
    <row r="4133" spans="1:15" x14ac:dyDescent="0.25">
      <c r="A4133">
        <v>3478</v>
      </c>
      <c r="B4133" s="10">
        <v>45903</v>
      </c>
      <c r="C4133">
        <v>3</v>
      </c>
      <c r="D4133" t="s">
        <v>147</v>
      </c>
      <c r="E4133" t="s">
        <v>112</v>
      </c>
      <c r="F4133" t="s">
        <v>107</v>
      </c>
      <c r="G4133" t="s">
        <v>100</v>
      </c>
      <c r="H4133" t="s">
        <v>92</v>
      </c>
      <c r="I4133" t="s">
        <v>93</v>
      </c>
      <c r="J4133" t="s">
        <v>94</v>
      </c>
      <c r="K4133">
        <v>8</v>
      </c>
      <c r="L4133">
        <v>71600</v>
      </c>
      <c r="M4133">
        <v>572800</v>
      </c>
      <c r="N4133" t="s">
        <v>95</v>
      </c>
      <c r="O4133" t="s">
        <v>96</v>
      </c>
    </row>
    <row r="4134" spans="1:15" x14ac:dyDescent="0.25">
      <c r="A4134">
        <v>3608</v>
      </c>
      <c r="B4134" s="10">
        <v>45756</v>
      </c>
      <c r="C4134">
        <v>9</v>
      </c>
      <c r="D4134" t="s">
        <v>105</v>
      </c>
      <c r="E4134" t="s">
        <v>137</v>
      </c>
      <c r="F4134" t="s">
        <v>99</v>
      </c>
      <c r="G4134" t="s">
        <v>100</v>
      </c>
      <c r="H4134" t="s">
        <v>92</v>
      </c>
      <c r="I4134" t="s">
        <v>93</v>
      </c>
      <c r="J4134" t="s">
        <v>103</v>
      </c>
      <c r="K4134">
        <v>23</v>
      </c>
      <c r="L4134">
        <v>71700</v>
      </c>
      <c r="M4134">
        <v>1649100</v>
      </c>
      <c r="N4134" t="s">
        <v>108</v>
      </c>
      <c r="O4134" t="s">
        <v>104</v>
      </c>
    </row>
    <row r="4135" spans="1:15" x14ac:dyDescent="0.25">
      <c r="A4135">
        <v>3046</v>
      </c>
      <c r="B4135" s="10">
        <v>45984</v>
      </c>
      <c r="C4135">
        <v>23</v>
      </c>
      <c r="D4135" t="s">
        <v>90</v>
      </c>
      <c r="E4135" t="s">
        <v>121</v>
      </c>
      <c r="F4135" t="s">
        <v>113</v>
      </c>
      <c r="G4135" t="s">
        <v>114</v>
      </c>
      <c r="H4135" t="s">
        <v>92</v>
      </c>
      <c r="I4135" t="s">
        <v>93</v>
      </c>
      <c r="J4135" t="s">
        <v>94</v>
      </c>
      <c r="K4135">
        <v>10</v>
      </c>
      <c r="L4135">
        <v>71800</v>
      </c>
      <c r="M4135">
        <v>718000</v>
      </c>
      <c r="N4135" t="s">
        <v>108</v>
      </c>
      <c r="O4135" t="s">
        <v>104</v>
      </c>
    </row>
    <row r="4136" spans="1:15" x14ac:dyDescent="0.25">
      <c r="A4136">
        <v>3813</v>
      </c>
      <c r="B4136" s="10">
        <v>45886</v>
      </c>
      <c r="C4136">
        <v>17</v>
      </c>
      <c r="D4136" t="s">
        <v>109</v>
      </c>
      <c r="E4136" t="s">
        <v>128</v>
      </c>
      <c r="F4136" t="s">
        <v>144</v>
      </c>
      <c r="G4136" t="s">
        <v>91</v>
      </c>
      <c r="H4136" t="s">
        <v>23</v>
      </c>
      <c r="I4136" t="s">
        <v>157</v>
      </c>
      <c r="J4136" t="s">
        <v>94</v>
      </c>
      <c r="K4136">
        <v>4</v>
      </c>
      <c r="L4136">
        <v>71800</v>
      </c>
      <c r="M4136">
        <v>287200</v>
      </c>
      <c r="N4136" t="s">
        <v>95</v>
      </c>
      <c r="O4136" t="s">
        <v>104</v>
      </c>
    </row>
    <row r="4137" spans="1:15" x14ac:dyDescent="0.25">
      <c r="A4137">
        <v>4678</v>
      </c>
      <c r="B4137" s="10">
        <v>45888</v>
      </c>
      <c r="C4137">
        <v>19</v>
      </c>
      <c r="D4137" t="s">
        <v>109</v>
      </c>
      <c r="E4137" t="s">
        <v>98</v>
      </c>
      <c r="F4137" t="s">
        <v>134</v>
      </c>
      <c r="G4137" t="s">
        <v>100</v>
      </c>
      <c r="H4137" t="s">
        <v>92</v>
      </c>
      <c r="I4137" t="s">
        <v>93</v>
      </c>
      <c r="J4137" t="s">
        <v>103</v>
      </c>
      <c r="K4137">
        <v>37</v>
      </c>
      <c r="L4137">
        <v>71800</v>
      </c>
      <c r="M4137">
        <v>2656600</v>
      </c>
      <c r="N4137" t="s">
        <v>108</v>
      </c>
      <c r="O4137" t="s">
        <v>96</v>
      </c>
    </row>
    <row r="4138" spans="1:15" x14ac:dyDescent="0.25">
      <c r="A4138">
        <v>237</v>
      </c>
      <c r="B4138" s="10">
        <v>45940</v>
      </c>
      <c r="C4138">
        <v>10</v>
      </c>
      <c r="D4138" t="s">
        <v>136</v>
      </c>
      <c r="E4138" t="s">
        <v>116</v>
      </c>
      <c r="F4138" t="s">
        <v>36</v>
      </c>
      <c r="G4138" t="s">
        <v>100</v>
      </c>
      <c r="H4138" t="s">
        <v>92</v>
      </c>
      <c r="I4138" t="s">
        <v>93</v>
      </c>
      <c r="J4138" t="s">
        <v>94</v>
      </c>
      <c r="K4138">
        <v>9</v>
      </c>
      <c r="L4138">
        <v>71900</v>
      </c>
      <c r="M4138">
        <v>647100</v>
      </c>
      <c r="N4138" t="s">
        <v>95</v>
      </c>
      <c r="O4138" t="s">
        <v>96</v>
      </c>
    </row>
    <row r="4139" spans="1:15" x14ac:dyDescent="0.25">
      <c r="A4139">
        <v>4617</v>
      </c>
      <c r="B4139" s="10">
        <v>45978</v>
      </c>
      <c r="C4139">
        <v>17</v>
      </c>
      <c r="D4139" t="s">
        <v>90</v>
      </c>
      <c r="E4139" t="s">
        <v>25</v>
      </c>
      <c r="F4139" t="s">
        <v>151</v>
      </c>
      <c r="G4139" t="s">
        <v>111</v>
      </c>
      <c r="H4139" t="s">
        <v>92</v>
      </c>
      <c r="I4139" t="s">
        <v>93</v>
      </c>
      <c r="J4139" t="s">
        <v>103</v>
      </c>
      <c r="K4139">
        <v>5</v>
      </c>
      <c r="L4139">
        <v>71900</v>
      </c>
      <c r="M4139">
        <v>359500</v>
      </c>
      <c r="N4139" t="s">
        <v>108</v>
      </c>
      <c r="O4139" t="s">
        <v>104</v>
      </c>
    </row>
    <row r="4140" spans="1:15" x14ac:dyDescent="0.25">
      <c r="A4140">
        <v>1887</v>
      </c>
      <c r="B4140" s="10">
        <v>45747</v>
      </c>
      <c r="C4140">
        <v>31</v>
      </c>
      <c r="D4140" t="s">
        <v>140</v>
      </c>
      <c r="E4140" t="s">
        <v>116</v>
      </c>
      <c r="F4140" t="s">
        <v>44</v>
      </c>
      <c r="G4140" t="s">
        <v>111</v>
      </c>
      <c r="H4140" t="s">
        <v>23</v>
      </c>
      <c r="I4140" t="s">
        <v>157</v>
      </c>
      <c r="J4140" t="s">
        <v>94</v>
      </c>
      <c r="K4140">
        <v>3</v>
      </c>
      <c r="L4140">
        <v>72000</v>
      </c>
      <c r="M4140">
        <v>216000</v>
      </c>
      <c r="N4140" t="s">
        <v>95</v>
      </c>
      <c r="O4140" t="s">
        <v>115</v>
      </c>
    </row>
    <row r="4141" spans="1:15" x14ac:dyDescent="0.25">
      <c r="A4141">
        <v>3538</v>
      </c>
      <c r="B4141" s="10">
        <v>45751</v>
      </c>
      <c r="C4141">
        <v>4</v>
      </c>
      <c r="D4141" t="s">
        <v>105</v>
      </c>
      <c r="E4141" t="s">
        <v>138</v>
      </c>
      <c r="F4141" t="s">
        <v>141</v>
      </c>
      <c r="G4141" t="s">
        <v>100</v>
      </c>
      <c r="H4141" t="s">
        <v>23</v>
      </c>
      <c r="I4141" t="s">
        <v>157</v>
      </c>
      <c r="J4141" t="s">
        <v>94</v>
      </c>
      <c r="K4141">
        <v>5</v>
      </c>
      <c r="L4141">
        <v>72000</v>
      </c>
      <c r="M4141">
        <v>360000</v>
      </c>
      <c r="N4141" t="s">
        <v>95</v>
      </c>
      <c r="O4141" t="s">
        <v>96</v>
      </c>
    </row>
    <row r="4142" spans="1:15" x14ac:dyDescent="0.25">
      <c r="A4142">
        <v>756</v>
      </c>
      <c r="B4142" s="10">
        <v>45995</v>
      </c>
      <c r="C4142">
        <v>4</v>
      </c>
      <c r="D4142" t="s">
        <v>125</v>
      </c>
      <c r="E4142" t="s">
        <v>161</v>
      </c>
      <c r="F4142" t="s">
        <v>44</v>
      </c>
      <c r="G4142" t="s">
        <v>111</v>
      </c>
      <c r="H4142" t="s">
        <v>23</v>
      </c>
      <c r="I4142" t="s">
        <v>157</v>
      </c>
      <c r="J4142" t="s">
        <v>103</v>
      </c>
      <c r="K4142">
        <v>45</v>
      </c>
      <c r="L4142">
        <v>72100</v>
      </c>
      <c r="M4142">
        <v>3244500</v>
      </c>
      <c r="N4142" t="s">
        <v>95</v>
      </c>
      <c r="O4142" t="s">
        <v>115</v>
      </c>
    </row>
    <row r="4143" spans="1:15" x14ac:dyDescent="0.25">
      <c r="A4143">
        <v>3021</v>
      </c>
      <c r="B4143" s="10">
        <v>45736</v>
      </c>
      <c r="C4143">
        <v>20</v>
      </c>
      <c r="D4143" t="s">
        <v>140</v>
      </c>
      <c r="E4143" t="s">
        <v>112</v>
      </c>
      <c r="F4143" t="s">
        <v>113</v>
      </c>
      <c r="G4143" t="s">
        <v>114</v>
      </c>
      <c r="H4143" t="s">
        <v>92</v>
      </c>
      <c r="I4143" t="s">
        <v>93</v>
      </c>
      <c r="J4143" t="s">
        <v>103</v>
      </c>
      <c r="K4143">
        <v>8</v>
      </c>
      <c r="L4143">
        <v>72100</v>
      </c>
      <c r="M4143">
        <v>576800</v>
      </c>
      <c r="N4143" t="s">
        <v>95</v>
      </c>
      <c r="O4143" t="s">
        <v>96</v>
      </c>
    </row>
    <row r="4144" spans="1:15" x14ac:dyDescent="0.25">
      <c r="A4144">
        <v>3054</v>
      </c>
      <c r="B4144" s="10">
        <v>45696</v>
      </c>
      <c r="C4144">
        <v>8</v>
      </c>
      <c r="D4144" t="s">
        <v>97</v>
      </c>
      <c r="E4144" t="s">
        <v>25</v>
      </c>
      <c r="F4144" t="s">
        <v>99</v>
      </c>
      <c r="G4144" t="s">
        <v>100</v>
      </c>
      <c r="H4144" t="s">
        <v>23</v>
      </c>
      <c r="I4144" t="s">
        <v>157</v>
      </c>
      <c r="J4144" t="s">
        <v>94</v>
      </c>
      <c r="K4144">
        <v>4</v>
      </c>
      <c r="L4144">
        <v>72100</v>
      </c>
      <c r="M4144">
        <v>288400</v>
      </c>
      <c r="N4144" t="s">
        <v>108</v>
      </c>
      <c r="O4144" t="s">
        <v>104</v>
      </c>
    </row>
    <row r="4145" spans="1:15" x14ac:dyDescent="0.25">
      <c r="A4145">
        <v>2386</v>
      </c>
      <c r="B4145" s="10">
        <v>45740</v>
      </c>
      <c r="C4145">
        <v>24</v>
      </c>
      <c r="D4145" t="s">
        <v>140</v>
      </c>
      <c r="E4145" t="s">
        <v>142</v>
      </c>
      <c r="F4145" t="s">
        <v>107</v>
      </c>
      <c r="G4145" t="s">
        <v>100</v>
      </c>
      <c r="H4145" t="s">
        <v>23</v>
      </c>
      <c r="I4145" t="s">
        <v>157</v>
      </c>
      <c r="J4145" t="s">
        <v>94</v>
      </c>
      <c r="K4145">
        <v>9</v>
      </c>
      <c r="L4145">
        <v>72200</v>
      </c>
      <c r="M4145">
        <v>649800</v>
      </c>
      <c r="N4145" t="s">
        <v>95</v>
      </c>
      <c r="O4145" t="s">
        <v>96</v>
      </c>
    </row>
    <row r="4146" spans="1:15" x14ac:dyDescent="0.25">
      <c r="A4146">
        <v>3755</v>
      </c>
      <c r="B4146" s="10">
        <v>45991</v>
      </c>
      <c r="C4146">
        <v>30</v>
      </c>
      <c r="D4146" t="s">
        <v>90</v>
      </c>
      <c r="E4146" t="s">
        <v>112</v>
      </c>
      <c r="F4146" t="s">
        <v>49</v>
      </c>
      <c r="G4146" t="s">
        <v>118</v>
      </c>
      <c r="H4146" t="s">
        <v>23</v>
      </c>
      <c r="I4146" t="s">
        <v>157</v>
      </c>
      <c r="J4146" t="s">
        <v>94</v>
      </c>
      <c r="K4146">
        <v>1</v>
      </c>
      <c r="L4146">
        <v>72400</v>
      </c>
      <c r="M4146">
        <v>72400</v>
      </c>
      <c r="N4146" t="s">
        <v>95</v>
      </c>
      <c r="O4146" t="s">
        <v>96</v>
      </c>
    </row>
    <row r="4147" spans="1:15" x14ac:dyDescent="0.25">
      <c r="A4147">
        <v>974</v>
      </c>
      <c r="B4147" s="10">
        <v>45963</v>
      </c>
      <c r="C4147">
        <v>2</v>
      </c>
      <c r="D4147" t="s">
        <v>90</v>
      </c>
      <c r="E4147" t="s">
        <v>116</v>
      </c>
      <c r="F4147" t="s">
        <v>28</v>
      </c>
      <c r="G4147" t="s">
        <v>126</v>
      </c>
      <c r="H4147" t="s">
        <v>23</v>
      </c>
      <c r="I4147" t="s">
        <v>157</v>
      </c>
      <c r="J4147" t="s">
        <v>94</v>
      </c>
      <c r="K4147">
        <v>1</v>
      </c>
      <c r="L4147">
        <v>72600</v>
      </c>
      <c r="M4147">
        <v>72600</v>
      </c>
      <c r="N4147" t="s">
        <v>108</v>
      </c>
      <c r="O4147" t="s">
        <v>104</v>
      </c>
    </row>
    <row r="4148" spans="1:15" x14ac:dyDescent="0.25">
      <c r="A4148">
        <v>1956</v>
      </c>
      <c r="B4148" s="10">
        <v>45791</v>
      </c>
      <c r="C4148">
        <v>14</v>
      </c>
      <c r="D4148" t="s">
        <v>120</v>
      </c>
      <c r="E4148" t="s">
        <v>142</v>
      </c>
      <c r="F4148" t="s">
        <v>28</v>
      </c>
      <c r="G4148" t="s">
        <v>126</v>
      </c>
      <c r="H4148" t="s">
        <v>92</v>
      </c>
      <c r="I4148" t="s">
        <v>93</v>
      </c>
      <c r="J4148" t="s">
        <v>103</v>
      </c>
      <c r="K4148">
        <v>6</v>
      </c>
      <c r="L4148">
        <v>72700</v>
      </c>
      <c r="M4148">
        <v>436200</v>
      </c>
      <c r="N4148" t="s">
        <v>108</v>
      </c>
      <c r="O4148" t="s">
        <v>96</v>
      </c>
    </row>
    <row r="4149" spans="1:15" x14ac:dyDescent="0.25">
      <c r="A4149">
        <v>3194</v>
      </c>
      <c r="B4149" s="10">
        <v>45773</v>
      </c>
      <c r="C4149">
        <v>26</v>
      </c>
      <c r="D4149" t="s">
        <v>105</v>
      </c>
      <c r="E4149" t="s">
        <v>137</v>
      </c>
      <c r="F4149" t="s">
        <v>28</v>
      </c>
      <c r="G4149" t="s">
        <v>126</v>
      </c>
      <c r="H4149" t="s">
        <v>23</v>
      </c>
      <c r="I4149" t="s">
        <v>157</v>
      </c>
      <c r="J4149" t="s">
        <v>94</v>
      </c>
      <c r="K4149">
        <v>9</v>
      </c>
      <c r="L4149">
        <v>72700</v>
      </c>
      <c r="M4149">
        <v>654300</v>
      </c>
      <c r="N4149" t="s">
        <v>95</v>
      </c>
      <c r="O4149" t="s">
        <v>96</v>
      </c>
    </row>
    <row r="4150" spans="1:15" x14ac:dyDescent="0.25">
      <c r="A4150">
        <v>1001</v>
      </c>
      <c r="B4150" s="10">
        <v>45700</v>
      </c>
      <c r="C4150">
        <v>12</v>
      </c>
      <c r="D4150" t="s">
        <v>97</v>
      </c>
      <c r="E4150" t="s">
        <v>142</v>
      </c>
      <c r="F4150" t="s">
        <v>144</v>
      </c>
      <c r="G4150" t="s">
        <v>91</v>
      </c>
      <c r="H4150" t="s">
        <v>92</v>
      </c>
      <c r="I4150" t="s">
        <v>93</v>
      </c>
      <c r="J4150" t="s">
        <v>103</v>
      </c>
      <c r="K4150">
        <v>42</v>
      </c>
      <c r="L4150">
        <v>72800</v>
      </c>
      <c r="M4150">
        <v>3057600</v>
      </c>
      <c r="N4150" t="s">
        <v>108</v>
      </c>
      <c r="O4150" t="s">
        <v>96</v>
      </c>
    </row>
    <row r="4151" spans="1:15" x14ac:dyDescent="0.25">
      <c r="A4151">
        <v>936</v>
      </c>
      <c r="B4151" s="10">
        <v>45983</v>
      </c>
      <c r="C4151">
        <v>22</v>
      </c>
      <c r="D4151" t="s">
        <v>90</v>
      </c>
      <c r="E4151" t="s">
        <v>121</v>
      </c>
      <c r="F4151" t="s">
        <v>117</v>
      </c>
      <c r="G4151" t="s">
        <v>118</v>
      </c>
      <c r="H4151" t="s">
        <v>23</v>
      </c>
      <c r="I4151" t="s">
        <v>157</v>
      </c>
      <c r="J4151" t="s">
        <v>94</v>
      </c>
      <c r="K4151">
        <v>5</v>
      </c>
      <c r="L4151">
        <v>73100</v>
      </c>
      <c r="M4151">
        <v>365500</v>
      </c>
      <c r="N4151" t="s">
        <v>108</v>
      </c>
      <c r="O4151" t="s">
        <v>104</v>
      </c>
    </row>
    <row r="4152" spans="1:15" x14ac:dyDescent="0.25">
      <c r="A4152">
        <v>4019</v>
      </c>
      <c r="B4152" s="10">
        <v>45768</v>
      </c>
      <c r="C4152">
        <v>21</v>
      </c>
      <c r="D4152" t="s">
        <v>105</v>
      </c>
      <c r="E4152" t="s">
        <v>161</v>
      </c>
      <c r="F4152" t="s">
        <v>134</v>
      </c>
      <c r="G4152" t="s">
        <v>100</v>
      </c>
      <c r="H4152" t="s">
        <v>23</v>
      </c>
      <c r="I4152" t="s">
        <v>157</v>
      </c>
      <c r="J4152" t="s">
        <v>94</v>
      </c>
      <c r="K4152">
        <v>10</v>
      </c>
      <c r="L4152">
        <v>73100</v>
      </c>
      <c r="M4152">
        <v>731000</v>
      </c>
      <c r="N4152" t="s">
        <v>95</v>
      </c>
      <c r="O4152" t="s">
        <v>104</v>
      </c>
    </row>
    <row r="4153" spans="1:15" x14ac:dyDescent="0.25">
      <c r="A4153">
        <v>741</v>
      </c>
      <c r="B4153" s="10">
        <v>45896</v>
      </c>
      <c r="C4153">
        <v>27</v>
      </c>
      <c r="D4153" t="s">
        <v>109</v>
      </c>
      <c r="E4153" t="s">
        <v>98</v>
      </c>
      <c r="F4153" t="s">
        <v>117</v>
      </c>
      <c r="G4153" t="s">
        <v>118</v>
      </c>
      <c r="H4153" t="s">
        <v>23</v>
      </c>
      <c r="I4153" t="s">
        <v>34</v>
      </c>
      <c r="J4153" t="s">
        <v>103</v>
      </c>
      <c r="K4153">
        <v>31</v>
      </c>
      <c r="L4153">
        <v>73300</v>
      </c>
      <c r="M4153">
        <v>2272300</v>
      </c>
      <c r="N4153" t="s">
        <v>95</v>
      </c>
      <c r="O4153" t="s">
        <v>115</v>
      </c>
    </row>
    <row r="4154" spans="1:15" x14ac:dyDescent="0.25">
      <c r="A4154">
        <v>4477</v>
      </c>
      <c r="B4154" s="10">
        <v>45910</v>
      </c>
      <c r="C4154">
        <v>10</v>
      </c>
      <c r="D4154" t="s">
        <v>147</v>
      </c>
      <c r="E4154" t="s">
        <v>31</v>
      </c>
      <c r="F4154" t="s">
        <v>151</v>
      </c>
      <c r="G4154" t="s">
        <v>111</v>
      </c>
      <c r="H4154" t="s">
        <v>23</v>
      </c>
      <c r="I4154" t="s">
        <v>157</v>
      </c>
      <c r="J4154" t="s">
        <v>94</v>
      </c>
      <c r="K4154">
        <v>5</v>
      </c>
      <c r="L4154">
        <v>73300</v>
      </c>
      <c r="M4154">
        <v>366500</v>
      </c>
      <c r="N4154" t="s">
        <v>95</v>
      </c>
      <c r="O4154" t="s">
        <v>96</v>
      </c>
    </row>
    <row r="4155" spans="1:15" x14ac:dyDescent="0.25">
      <c r="A4155">
        <v>2328</v>
      </c>
      <c r="B4155" s="10">
        <v>45823</v>
      </c>
      <c r="C4155">
        <v>15</v>
      </c>
      <c r="D4155" t="s">
        <v>153</v>
      </c>
      <c r="E4155" t="s">
        <v>150</v>
      </c>
      <c r="F4155" t="s">
        <v>151</v>
      </c>
      <c r="G4155" t="s">
        <v>111</v>
      </c>
      <c r="H4155" t="s">
        <v>23</v>
      </c>
      <c r="I4155" t="s">
        <v>157</v>
      </c>
      <c r="J4155" t="s">
        <v>94</v>
      </c>
      <c r="K4155">
        <v>7</v>
      </c>
      <c r="L4155">
        <v>73500</v>
      </c>
      <c r="M4155">
        <v>514500</v>
      </c>
      <c r="N4155" t="s">
        <v>95</v>
      </c>
      <c r="O4155" t="s">
        <v>96</v>
      </c>
    </row>
    <row r="4156" spans="1:15" x14ac:dyDescent="0.25">
      <c r="A4156">
        <v>3821</v>
      </c>
      <c r="B4156" s="10">
        <v>45932</v>
      </c>
      <c r="C4156">
        <v>2</v>
      </c>
      <c r="D4156" t="s">
        <v>136</v>
      </c>
      <c r="E4156" t="s">
        <v>128</v>
      </c>
      <c r="F4156" t="s">
        <v>22</v>
      </c>
      <c r="G4156" t="s">
        <v>91</v>
      </c>
      <c r="H4156" t="s">
        <v>23</v>
      </c>
      <c r="I4156" t="s">
        <v>157</v>
      </c>
      <c r="J4156" t="s">
        <v>94</v>
      </c>
      <c r="K4156">
        <v>3</v>
      </c>
      <c r="L4156">
        <v>73500</v>
      </c>
      <c r="M4156">
        <v>220500</v>
      </c>
      <c r="N4156" t="s">
        <v>95</v>
      </c>
      <c r="O4156" t="s">
        <v>115</v>
      </c>
    </row>
    <row r="4157" spans="1:15" x14ac:dyDescent="0.25">
      <c r="A4157">
        <v>475</v>
      </c>
      <c r="B4157" s="10">
        <v>45814</v>
      </c>
      <c r="C4157">
        <v>6</v>
      </c>
      <c r="D4157" t="s">
        <v>153</v>
      </c>
      <c r="E4157" t="s">
        <v>161</v>
      </c>
      <c r="F4157" t="s">
        <v>99</v>
      </c>
      <c r="G4157" t="s">
        <v>100</v>
      </c>
      <c r="H4157" t="s">
        <v>92</v>
      </c>
      <c r="I4157" t="s">
        <v>93</v>
      </c>
      <c r="J4157" t="s">
        <v>103</v>
      </c>
      <c r="K4157">
        <v>29</v>
      </c>
      <c r="L4157">
        <v>73600</v>
      </c>
      <c r="M4157">
        <v>2134400</v>
      </c>
      <c r="N4157" t="s">
        <v>108</v>
      </c>
      <c r="O4157" t="s">
        <v>115</v>
      </c>
    </row>
    <row r="4158" spans="1:15" x14ac:dyDescent="0.25">
      <c r="A4158">
        <v>483</v>
      </c>
      <c r="B4158" s="10">
        <v>45707</v>
      </c>
      <c r="C4158">
        <v>19</v>
      </c>
      <c r="D4158" t="s">
        <v>97</v>
      </c>
      <c r="E4158" t="s">
        <v>133</v>
      </c>
      <c r="F4158" t="s">
        <v>36</v>
      </c>
      <c r="G4158" t="s">
        <v>100</v>
      </c>
      <c r="H4158" t="s">
        <v>92</v>
      </c>
      <c r="I4158" t="s">
        <v>93</v>
      </c>
      <c r="J4158" t="s">
        <v>94</v>
      </c>
      <c r="K4158">
        <v>6</v>
      </c>
      <c r="L4158">
        <v>73600</v>
      </c>
      <c r="M4158">
        <v>441600</v>
      </c>
      <c r="N4158" t="s">
        <v>95</v>
      </c>
      <c r="O4158" t="s">
        <v>104</v>
      </c>
    </row>
    <row r="4159" spans="1:15" x14ac:dyDescent="0.25">
      <c r="A4159">
        <v>2011</v>
      </c>
      <c r="B4159" s="10">
        <v>45978</v>
      </c>
      <c r="C4159">
        <v>17</v>
      </c>
      <c r="D4159" t="s">
        <v>90</v>
      </c>
      <c r="E4159" t="s">
        <v>112</v>
      </c>
      <c r="F4159" t="s">
        <v>134</v>
      </c>
      <c r="G4159" t="s">
        <v>100</v>
      </c>
      <c r="H4159" t="s">
        <v>92</v>
      </c>
      <c r="I4159" t="s">
        <v>93</v>
      </c>
      <c r="J4159" t="s">
        <v>94</v>
      </c>
      <c r="K4159">
        <v>5</v>
      </c>
      <c r="L4159">
        <v>73600</v>
      </c>
      <c r="M4159">
        <v>368000</v>
      </c>
      <c r="N4159" t="s">
        <v>108</v>
      </c>
      <c r="O4159" t="s">
        <v>104</v>
      </c>
    </row>
    <row r="4160" spans="1:15" x14ac:dyDescent="0.25">
      <c r="A4160">
        <v>4918</v>
      </c>
      <c r="B4160" s="10">
        <v>45936</v>
      </c>
      <c r="C4160">
        <v>6</v>
      </c>
      <c r="D4160" t="s">
        <v>136</v>
      </c>
      <c r="E4160" t="s">
        <v>161</v>
      </c>
      <c r="F4160" t="s">
        <v>22</v>
      </c>
      <c r="G4160" t="s">
        <v>91</v>
      </c>
      <c r="H4160" t="s">
        <v>23</v>
      </c>
      <c r="I4160" t="s">
        <v>157</v>
      </c>
      <c r="J4160" t="s">
        <v>94</v>
      </c>
      <c r="K4160">
        <v>8</v>
      </c>
      <c r="L4160">
        <v>73600</v>
      </c>
      <c r="M4160">
        <v>588800</v>
      </c>
      <c r="N4160" t="s">
        <v>95</v>
      </c>
      <c r="O4160" t="s">
        <v>104</v>
      </c>
    </row>
    <row r="4161" spans="1:15" x14ac:dyDescent="0.25">
      <c r="A4161">
        <v>2430</v>
      </c>
      <c r="B4161" s="10">
        <v>45811</v>
      </c>
      <c r="C4161">
        <v>3</v>
      </c>
      <c r="D4161" t="s">
        <v>153</v>
      </c>
      <c r="E4161" t="s">
        <v>31</v>
      </c>
      <c r="F4161" t="s">
        <v>49</v>
      </c>
      <c r="G4161" t="s">
        <v>118</v>
      </c>
      <c r="H4161" t="s">
        <v>23</v>
      </c>
      <c r="I4161" t="s">
        <v>157</v>
      </c>
      <c r="J4161" t="s">
        <v>94</v>
      </c>
      <c r="K4161">
        <v>6</v>
      </c>
      <c r="L4161">
        <v>73700</v>
      </c>
      <c r="M4161">
        <v>442200</v>
      </c>
      <c r="N4161" t="s">
        <v>95</v>
      </c>
      <c r="O4161" t="s">
        <v>104</v>
      </c>
    </row>
    <row r="4162" spans="1:15" x14ac:dyDescent="0.25">
      <c r="A4162">
        <v>806</v>
      </c>
      <c r="B4162" s="10">
        <v>45670</v>
      </c>
      <c r="C4162">
        <v>13</v>
      </c>
      <c r="D4162" t="s">
        <v>130</v>
      </c>
      <c r="E4162" t="s">
        <v>110</v>
      </c>
      <c r="F4162" t="s">
        <v>28</v>
      </c>
      <c r="G4162" t="s">
        <v>126</v>
      </c>
      <c r="H4162" t="s">
        <v>23</v>
      </c>
      <c r="I4162" t="s">
        <v>157</v>
      </c>
      <c r="J4162" t="s">
        <v>94</v>
      </c>
      <c r="K4162">
        <v>10</v>
      </c>
      <c r="L4162">
        <v>73800</v>
      </c>
      <c r="M4162">
        <v>738000</v>
      </c>
      <c r="N4162" t="s">
        <v>95</v>
      </c>
      <c r="O4162" t="s">
        <v>96</v>
      </c>
    </row>
    <row r="4163" spans="1:15" x14ac:dyDescent="0.25">
      <c r="A4163">
        <v>1740</v>
      </c>
      <c r="B4163" s="10">
        <v>45692</v>
      </c>
      <c r="C4163">
        <v>4</v>
      </c>
      <c r="D4163" t="s">
        <v>97</v>
      </c>
      <c r="E4163" t="s">
        <v>121</v>
      </c>
      <c r="F4163" t="s">
        <v>117</v>
      </c>
      <c r="G4163" t="s">
        <v>118</v>
      </c>
      <c r="H4163" t="s">
        <v>92</v>
      </c>
      <c r="I4163" t="s">
        <v>93</v>
      </c>
      <c r="J4163" t="s">
        <v>103</v>
      </c>
      <c r="K4163">
        <v>33</v>
      </c>
      <c r="L4163">
        <v>73800</v>
      </c>
      <c r="M4163">
        <v>2435400</v>
      </c>
      <c r="N4163" t="s">
        <v>95</v>
      </c>
      <c r="O4163" t="s">
        <v>104</v>
      </c>
    </row>
    <row r="4164" spans="1:15" x14ac:dyDescent="0.25">
      <c r="A4164">
        <v>2049</v>
      </c>
      <c r="B4164" s="10">
        <v>45692</v>
      </c>
      <c r="C4164">
        <v>4</v>
      </c>
      <c r="D4164" t="s">
        <v>97</v>
      </c>
      <c r="E4164" t="s">
        <v>106</v>
      </c>
      <c r="F4164" t="s">
        <v>141</v>
      </c>
      <c r="G4164" t="s">
        <v>100</v>
      </c>
      <c r="H4164" t="s">
        <v>23</v>
      </c>
      <c r="I4164" t="s">
        <v>157</v>
      </c>
      <c r="J4164" t="s">
        <v>94</v>
      </c>
      <c r="K4164">
        <v>10</v>
      </c>
      <c r="L4164">
        <v>73800</v>
      </c>
      <c r="M4164">
        <v>738000</v>
      </c>
      <c r="N4164" t="s">
        <v>95</v>
      </c>
      <c r="O4164" t="s">
        <v>115</v>
      </c>
    </row>
    <row r="4165" spans="1:15" x14ac:dyDescent="0.25">
      <c r="A4165">
        <v>3782</v>
      </c>
      <c r="B4165" s="10">
        <v>45933</v>
      </c>
      <c r="C4165">
        <v>3</v>
      </c>
      <c r="D4165" t="s">
        <v>136</v>
      </c>
      <c r="E4165" t="s">
        <v>106</v>
      </c>
      <c r="F4165" t="s">
        <v>141</v>
      </c>
      <c r="G4165" t="s">
        <v>100</v>
      </c>
      <c r="H4165" t="s">
        <v>23</v>
      </c>
      <c r="I4165" t="s">
        <v>157</v>
      </c>
      <c r="J4165" t="s">
        <v>94</v>
      </c>
      <c r="K4165">
        <v>5</v>
      </c>
      <c r="L4165">
        <v>73800</v>
      </c>
      <c r="M4165">
        <v>369000</v>
      </c>
      <c r="N4165" t="s">
        <v>95</v>
      </c>
      <c r="O4165" t="s">
        <v>96</v>
      </c>
    </row>
    <row r="4166" spans="1:15" x14ac:dyDescent="0.25">
      <c r="A4166">
        <v>4459</v>
      </c>
      <c r="B4166" s="10">
        <v>45678</v>
      </c>
      <c r="C4166">
        <v>21</v>
      </c>
      <c r="D4166" t="s">
        <v>130</v>
      </c>
      <c r="E4166" t="s">
        <v>142</v>
      </c>
      <c r="F4166" t="s">
        <v>36</v>
      </c>
      <c r="G4166" t="s">
        <v>100</v>
      </c>
      <c r="H4166" t="s">
        <v>92</v>
      </c>
      <c r="I4166" t="s">
        <v>93</v>
      </c>
      <c r="J4166" t="s">
        <v>94</v>
      </c>
      <c r="K4166">
        <v>3</v>
      </c>
      <c r="L4166">
        <v>73800</v>
      </c>
      <c r="M4166">
        <v>221400</v>
      </c>
      <c r="N4166" t="s">
        <v>95</v>
      </c>
      <c r="O4166" t="s">
        <v>104</v>
      </c>
    </row>
    <row r="4167" spans="1:15" x14ac:dyDescent="0.25">
      <c r="A4167">
        <v>78</v>
      </c>
      <c r="B4167" s="10">
        <v>45722</v>
      </c>
      <c r="C4167">
        <v>6</v>
      </c>
      <c r="D4167" t="s">
        <v>140</v>
      </c>
      <c r="E4167" t="s">
        <v>133</v>
      </c>
      <c r="F4167" t="s">
        <v>122</v>
      </c>
      <c r="G4167" t="s">
        <v>114</v>
      </c>
      <c r="H4167" t="s">
        <v>23</v>
      </c>
      <c r="I4167" t="s">
        <v>157</v>
      </c>
      <c r="J4167" t="s">
        <v>94</v>
      </c>
      <c r="K4167">
        <v>8</v>
      </c>
      <c r="L4167">
        <v>73900</v>
      </c>
      <c r="M4167">
        <v>591200</v>
      </c>
      <c r="N4167" t="s">
        <v>108</v>
      </c>
      <c r="O4167" t="s">
        <v>115</v>
      </c>
    </row>
    <row r="4168" spans="1:15" x14ac:dyDescent="0.25">
      <c r="A4168">
        <v>1298</v>
      </c>
      <c r="B4168" s="10">
        <v>45718</v>
      </c>
      <c r="C4168">
        <v>2</v>
      </c>
      <c r="D4168" t="s">
        <v>140</v>
      </c>
      <c r="E4168" t="s">
        <v>138</v>
      </c>
      <c r="F4168" t="s">
        <v>49</v>
      </c>
      <c r="G4168" t="s">
        <v>118</v>
      </c>
      <c r="H4168" t="s">
        <v>23</v>
      </c>
      <c r="I4168" t="s">
        <v>157</v>
      </c>
      <c r="J4168" t="s">
        <v>94</v>
      </c>
      <c r="K4168">
        <v>5</v>
      </c>
      <c r="L4168">
        <v>73900</v>
      </c>
      <c r="M4168">
        <v>369500</v>
      </c>
      <c r="N4168" t="s">
        <v>95</v>
      </c>
      <c r="O4168" t="s">
        <v>96</v>
      </c>
    </row>
    <row r="4169" spans="1:15" x14ac:dyDescent="0.25">
      <c r="A4169">
        <v>2836</v>
      </c>
      <c r="B4169" s="10">
        <v>45782</v>
      </c>
      <c r="C4169">
        <v>5</v>
      </c>
      <c r="D4169" t="s">
        <v>120</v>
      </c>
      <c r="E4169" t="s">
        <v>161</v>
      </c>
      <c r="F4169" t="s">
        <v>134</v>
      </c>
      <c r="G4169" t="s">
        <v>100</v>
      </c>
      <c r="H4169" t="s">
        <v>23</v>
      </c>
      <c r="I4169" t="s">
        <v>157</v>
      </c>
      <c r="J4169" t="s">
        <v>94</v>
      </c>
      <c r="K4169">
        <v>9</v>
      </c>
      <c r="L4169">
        <v>73900</v>
      </c>
      <c r="M4169">
        <v>665100</v>
      </c>
      <c r="N4169" t="s">
        <v>108</v>
      </c>
      <c r="O4169" t="s">
        <v>96</v>
      </c>
    </row>
    <row r="4170" spans="1:15" x14ac:dyDescent="0.25">
      <c r="A4170">
        <v>179</v>
      </c>
      <c r="B4170" s="10">
        <v>45828</v>
      </c>
      <c r="C4170">
        <v>20</v>
      </c>
      <c r="D4170" t="s">
        <v>153</v>
      </c>
      <c r="E4170" t="s">
        <v>112</v>
      </c>
      <c r="F4170" t="s">
        <v>36</v>
      </c>
      <c r="G4170" t="s">
        <v>100</v>
      </c>
      <c r="H4170" t="s">
        <v>23</v>
      </c>
      <c r="I4170" t="s">
        <v>157</v>
      </c>
      <c r="J4170" t="s">
        <v>94</v>
      </c>
      <c r="K4170">
        <v>9</v>
      </c>
      <c r="L4170">
        <v>74000</v>
      </c>
      <c r="M4170">
        <v>666000</v>
      </c>
      <c r="N4170" t="s">
        <v>95</v>
      </c>
      <c r="O4170" t="s">
        <v>115</v>
      </c>
    </row>
    <row r="4171" spans="1:15" x14ac:dyDescent="0.25">
      <c r="A4171">
        <v>2188</v>
      </c>
      <c r="B4171" s="10">
        <v>45770</v>
      </c>
      <c r="C4171">
        <v>23</v>
      </c>
      <c r="D4171" t="s">
        <v>105</v>
      </c>
      <c r="E4171" t="s">
        <v>161</v>
      </c>
      <c r="F4171" t="s">
        <v>122</v>
      </c>
      <c r="G4171" t="s">
        <v>114</v>
      </c>
      <c r="H4171" t="s">
        <v>23</v>
      </c>
      <c r="I4171" t="s">
        <v>157</v>
      </c>
      <c r="J4171" t="s">
        <v>94</v>
      </c>
      <c r="K4171">
        <v>10</v>
      </c>
      <c r="L4171">
        <v>74000</v>
      </c>
      <c r="M4171">
        <v>740000</v>
      </c>
      <c r="N4171" t="s">
        <v>108</v>
      </c>
      <c r="O4171" t="s">
        <v>104</v>
      </c>
    </row>
    <row r="4172" spans="1:15" x14ac:dyDescent="0.25">
      <c r="A4172">
        <v>513</v>
      </c>
      <c r="B4172" s="10">
        <v>45791</v>
      </c>
      <c r="C4172">
        <v>14</v>
      </c>
      <c r="D4172" t="s">
        <v>120</v>
      </c>
      <c r="E4172" t="s">
        <v>98</v>
      </c>
      <c r="F4172" t="s">
        <v>113</v>
      </c>
      <c r="G4172" t="s">
        <v>114</v>
      </c>
      <c r="H4172" t="s">
        <v>23</v>
      </c>
      <c r="I4172" t="s">
        <v>157</v>
      </c>
      <c r="J4172" t="s">
        <v>94</v>
      </c>
      <c r="K4172">
        <v>6</v>
      </c>
      <c r="L4172">
        <v>74100</v>
      </c>
      <c r="M4172">
        <v>444600</v>
      </c>
      <c r="N4172" t="s">
        <v>95</v>
      </c>
      <c r="O4172" t="s">
        <v>115</v>
      </c>
    </row>
    <row r="4173" spans="1:15" x14ac:dyDescent="0.25">
      <c r="A4173">
        <v>3750</v>
      </c>
      <c r="B4173" s="10">
        <v>45849</v>
      </c>
      <c r="C4173">
        <v>11</v>
      </c>
      <c r="D4173" t="s">
        <v>145</v>
      </c>
      <c r="E4173" t="s">
        <v>110</v>
      </c>
      <c r="F4173" t="s">
        <v>44</v>
      </c>
      <c r="G4173" t="s">
        <v>111</v>
      </c>
      <c r="H4173" t="s">
        <v>92</v>
      </c>
      <c r="I4173" t="s">
        <v>93</v>
      </c>
      <c r="J4173" t="s">
        <v>94</v>
      </c>
      <c r="K4173">
        <v>5</v>
      </c>
      <c r="L4173">
        <v>74100</v>
      </c>
      <c r="M4173">
        <v>370500</v>
      </c>
      <c r="N4173" t="s">
        <v>108</v>
      </c>
      <c r="O4173" t="s">
        <v>104</v>
      </c>
    </row>
    <row r="4174" spans="1:15" x14ac:dyDescent="0.25">
      <c r="A4174">
        <v>4043</v>
      </c>
      <c r="B4174" s="10">
        <v>45707</v>
      </c>
      <c r="C4174">
        <v>19</v>
      </c>
      <c r="D4174" t="s">
        <v>97</v>
      </c>
      <c r="E4174" t="s">
        <v>142</v>
      </c>
      <c r="F4174" t="s">
        <v>49</v>
      </c>
      <c r="G4174" t="s">
        <v>118</v>
      </c>
      <c r="H4174" t="s">
        <v>23</v>
      </c>
      <c r="I4174" t="s">
        <v>34</v>
      </c>
      <c r="J4174" t="s">
        <v>103</v>
      </c>
      <c r="K4174">
        <v>20</v>
      </c>
      <c r="L4174">
        <v>74200</v>
      </c>
      <c r="M4174">
        <v>1484000</v>
      </c>
      <c r="N4174" t="s">
        <v>95</v>
      </c>
      <c r="O4174" t="s">
        <v>96</v>
      </c>
    </row>
    <row r="4175" spans="1:15" x14ac:dyDescent="0.25">
      <c r="A4175">
        <v>4702</v>
      </c>
      <c r="B4175" s="10">
        <v>45687</v>
      </c>
      <c r="C4175">
        <v>30</v>
      </c>
      <c r="D4175" t="s">
        <v>130</v>
      </c>
      <c r="E4175" t="s">
        <v>138</v>
      </c>
      <c r="F4175" t="s">
        <v>151</v>
      </c>
      <c r="G4175" t="s">
        <v>111</v>
      </c>
      <c r="H4175" t="s">
        <v>92</v>
      </c>
      <c r="I4175" t="s">
        <v>93</v>
      </c>
      <c r="J4175" t="s">
        <v>94</v>
      </c>
      <c r="K4175">
        <v>1</v>
      </c>
      <c r="L4175">
        <v>74200</v>
      </c>
      <c r="M4175">
        <v>74200</v>
      </c>
      <c r="N4175" t="s">
        <v>95</v>
      </c>
      <c r="O4175" t="s">
        <v>115</v>
      </c>
    </row>
    <row r="4176" spans="1:15" x14ac:dyDescent="0.25">
      <c r="A4176">
        <v>1520</v>
      </c>
      <c r="B4176" s="10">
        <v>45856</v>
      </c>
      <c r="C4176">
        <v>18</v>
      </c>
      <c r="D4176" t="s">
        <v>145</v>
      </c>
      <c r="E4176" t="s">
        <v>161</v>
      </c>
      <c r="F4176" t="s">
        <v>144</v>
      </c>
      <c r="G4176" t="s">
        <v>91</v>
      </c>
      <c r="H4176" t="s">
        <v>92</v>
      </c>
      <c r="I4176" t="s">
        <v>93</v>
      </c>
      <c r="J4176" t="s">
        <v>103</v>
      </c>
      <c r="K4176">
        <v>32</v>
      </c>
      <c r="L4176">
        <v>74300</v>
      </c>
      <c r="M4176">
        <v>2377600</v>
      </c>
      <c r="N4176" t="s">
        <v>108</v>
      </c>
      <c r="O4176" t="s">
        <v>104</v>
      </c>
    </row>
    <row r="4177" spans="1:15" x14ac:dyDescent="0.25">
      <c r="A4177">
        <v>2177</v>
      </c>
      <c r="B4177" s="10">
        <v>45879</v>
      </c>
      <c r="C4177">
        <v>10</v>
      </c>
      <c r="D4177" t="s">
        <v>109</v>
      </c>
      <c r="E4177" t="s">
        <v>138</v>
      </c>
      <c r="F4177" t="s">
        <v>99</v>
      </c>
      <c r="G4177" t="s">
        <v>100</v>
      </c>
      <c r="H4177" t="s">
        <v>23</v>
      </c>
      <c r="I4177" t="s">
        <v>34</v>
      </c>
      <c r="J4177" t="s">
        <v>103</v>
      </c>
      <c r="K4177">
        <v>29</v>
      </c>
      <c r="L4177">
        <v>74300</v>
      </c>
      <c r="M4177">
        <v>2154700</v>
      </c>
      <c r="N4177" t="s">
        <v>95</v>
      </c>
      <c r="O4177" t="s">
        <v>104</v>
      </c>
    </row>
    <row r="4178" spans="1:15" x14ac:dyDescent="0.25">
      <c r="A4178">
        <v>2183</v>
      </c>
      <c r="B4178" s="10">
        <v>45932</v>
      </c>
      <c r="C4178">
        <v>2</v>
      </c>
      <c r="D4178" t="s">
        <v>136</v>
      </c>
      <c r="E4178" t="s">
        <v>133</v>
      </c>
      <c r="F4178" t="s">
        <v>144</v>
      </c>
      <c r="G4178" t="s">
        <v>91</v>
      </c>
      <c r="H4178" t="s">
        <v>23</v>
      </c>
      <c r="I4178" t="s">
        <v>157</v>
      </c>
      <c r="J4178" t="s">
        <v>94</v>
      </c>
      <c r="K4178">
        <v>3</v>
      </c>
      <c r="L4178">
        <v>74300</v>
      </c>
      <c r="M4178">
        <v>222900</v>
      </c>
      <c r="N4178" t="s">
        <v>95</v>
      </c>
      <c r="O4178" t="s">
        <v>104</v>
      </c>
    </row>
    <row r="4179" spans="1:15" x14ac:dyDescent="0.25">
      <c r="A4179">
        <v>1435</v>
      </c>
      <c r="B4179" s="10">
        <v>45952</v>
      </c>
      <c r="C4179">
        <v>22</v>
      </c>
      <c r="D4179" t="s">
        <v>136</v>
      </c>
      <c r="E4179" t="s">
        <v>116</v>
      </c>
      <c r="F4179" t="s">
        <v>49</v>
      </c>
      <c r="G4179" t="s">
        <v>118</v>
      </c>
      <c r="H4179" t="s">
        <v>23</v>
      </c>
      <c r="I4179" t="s">
        <v>157</v>
      </c>
      <c r="J4179" t="s">
        <v>94</v>
      </c>
      <c r="K4179">
        <v>5</v>
      </c>
      <c r="L4179">
        <v>74400</v>
      </c>
      <c r="M4179">
        <v>372000</v>
      </c>
      <c r="N4179" t="s">
        <v>95</v>
      </c>
      <c r="O4179" t="s">
        <v>96</v>
      </c>
    </row>
    <row r="4180" spans="1:15" x14ac:dyDescent="0.25">
      <c r="A4180">
        <v>1250</v>
      </c>
      <c r="B4180" s="10">
        <v>45771</v>
      </c>
      <c r="C4180">
        <v>24</v>
      </c>
      <c r="D4180" t="s">
        <v>105</v>
      </c>
      <c r="E4180" t="s">
        <v>142</v>
      </c>
      <c r="F4180" t="s">
        <v>28</v>
      </c>
      <c r="G4180" t="s">
        <v>126</v>
      </c>
      <c r="H4180" t="s">
        <v>23</v>
      </c>
      <c r="I4180" t="s">
        <v>34</v>
      </c>
      <c r="J4180" t="s">
        <v>103</v>
      </c>
      <c r="K4180">
        <v>42</v>
      </c>
      <c r="L4180">
        <v>74500</v>
      </c>
      <c r="M4180">
        <v>3129000</v>
      </c>
      <c r="N4180" t="s">
        <v>108</v>
      </c>
      <c r="O4180" t="s">
        <v>104</v>
      </c>
    </row>
    <row r="4181" spans="1:15" x14ac:dyDescent="0.25">
      <c r="A4181">
        <v>363</v>
      </c>
      <c r="B4181" s="10">
        <v>45911</v>
      </c>
      <c r="C4181">
        <v>11</v>
      </c>
      <c r="D4181" t="s">
        <v>147</v>
      </c>
      <c r="E4181" t="s">
        <v>137</v>
      </c>
      <c r="F4181" t="s">
        <v>107</v>
      </c>
      <c r="G4181" t="s">
        <v>100</v>
      </c>
      <c r="H4181" t="s">
        <v>23</v>
      </c>
      <c r="I4181" t="s">
        <v>157</v>
      </c>
      <c r="J4181" t="s">
        <v>94</v>
      </c>
      <c r="K4181">
        <v>5</v>
      </c>
      <c r="L4181">
        <v>74600</v>
      </c>
      <c r="M4181">
        <v>373000</v>
      </c>
      <c r="N4181" t="s">
        <v>108</v>
      </c>
      <c r="O4181" t="s">
        <v>96</v>
      </c>
    </row>
    <row r="4182" spans="1:15" x14ac:dyDescent="0.25">
      <c r="A4182">
        <v>1905</v>
      </c>
      <c r="B4182" s="10">
        <v>45827</v>
      </c>
      <c r="C4182">
        <v>19</v>
      </c>
      <c r="D4182" t="s">
        <v>153</v>
      </c>
      <c r="E4182" t="s">
        <v>112</v>
      </c>
      <c r="F4182" t="s">
        <v>122</v>
      </c>
      <c r="G4182" t="s">
        <v>114</v>
      </c>
      <c r="H4182" t="s">
        <v>23</v>
      </c>
      <c r="I4182" t="s">
        <v>157</v>
      </c>
      <c r="J4182" t="s">
        <v>94</v>
      </c>
      <c r="K4182">
        <v>1</v>
      </c>
      <c r="L4182">
        <v>74600</v>
      </c>
      <c r="M4182">
        <v>74600</v>
      </c>
      <c r="N4182" t="s">
        <v>95</v>
      </c>
      <c r="O4182" t="s">
        <v>104</v>
      </c>
    </row>
    <row r="4183" spans="1:15" x14ac:dyDescent="0.25">
      <c r="A4183">
        <v>3143</v>
      </c>
      <c r="B4183" s="10">
        <v>46021</v>
      </c>
      <c r="C4183">
        <v>30</v>
      </c>
      <c r="D4183" t="s">
        <v>125</v>
      </c>
      <c r="E4183" t="s">
        <v>98</v>
      </c>
      <c r="F4183" t="s">
        <v>36</v>
      </c>
      <c r="G4183" t="s">
        <v>100</v>
      </c>
      <c r="H4183" t="s">
        <v>23</v>
      </c>
      <c r="I4183" t="s">
        <v>157</v>
      </c>
      <c r="J4183" t="s">
        <v>94</v>
      </c>
      <c r="K4183">
        <v>4</v>
      </c>
      <c r="L4183">
        <v>74600</v>
      </c>
      <c r="M4183">
        <v>298400</v>
      </c>
      <c r="N4183" t="s">
        <v>108</v>
      </c>
      <c r="O4183" t="s">
        <v>104</v>
      </c>
    </row>
    <row r="4184" spans="1:15" x14ac:dyDescent="0.25">
      <c r="A4184">
        <v>2395</v>
      </c>
      <c r="B4184" s="10">
        <v>45698</v>
      </c>
      <c r="C4184">
        <v>10</v>
      </c>
      <c r="D4184" t="s">
        <v>97</v>
      </c>
      <c r="E4184" t="s">
        <v>150</v>
      </c>
      <c r="F4184" t="s">
        <v>148</v>
      </c>
      <c r="G4184" t="s">
        <v>118</v>
      </c>
      <c r="H4184" t="s">
        <v>23</v>
      </c>
      <c r="I4184" t="s">
        <v>157</v>
      </c>
      <c r="J4184" t="s">
        <v>94</v>
      </c>
      <c r="K4184">
        <v>3</v>
      </c>
      <c r="L4184">
        <v>74700</v>
      </c>
      <c r="M4184">
        <v>224100</v>
      </c>
      <c r="N4184" t="s">
        <v>108</v>
      </c>
      <c r="O4184" t="s">
        <v>104</v>
      </c>
    </row>
    <row r="4185" spans="1:15" x14ac:dyDescent="0.25">
      <c r="A4185">
        <v>2218</v>
      </c>
      <c r="B4185" s="10">
        <v>45896</v>
      </c>
      <c r="C4185">
        <v>27</v>
      </c>
      <c r="D4185" t="s">
        <v>109</v>
      </c>
      <c r="E4185" t="s">
        <v>161</v>
      </c>
      <c r="F4185" t="s">
        <v>144</v>
      </c>
      <c r="G4185" t="s">
        <v>91</v>
      </c>
      <c r="H4185" t="s">
        <v>23</v>
      </c>
      <c r="I4185" t="s">
        <v>157</v>
      </c>
      <c r="J4185" t="s">
        <v>94</v>
      </c>
      <c r="K4185">
        <v>10</v>
      </c>
      <c r="L4185">
        <v>74800</v>
      </c>
      <c r="M4185">
        <v>748000</v>
      </c>
      <c r="N4185" t="s">
        <v>95</v>
      </c>
      <c r="O4185" t="s">
        <v>104</v>
      </c>
    </row>
    <row r="4186" spans="1:15" x14ac:dyDescent="0.25">
      <c r="A4186">
        <v>2384</v>
      </c>
      <c r="B4186" s="10">
        <v>45680</v>
      </c>
      <c r="C4186">
        <v>23</v>
      </c>
      <c r="D4186" t="s">
        <v>130</v>
      </c>
      <c r="E4186" t="s">
        <v>137</v>
      </c>
      <c r="F4186" t="s">
        <v>22</v>
      </c>
      <c r="G4186" t="s">
        <v>91</v>
      </c>
      <c r="H4186" t="s">
        <v>23</v>
      </c>
      <c r="I4186" t="s">
        <v>157</v>
      </c>
      <c r="J4186" t="s">
        <v>94</v>
      </c>
      <c r="K4186">
        <v>1</v>
      </c>
      <c r="L4186">
        <v>74800</v>
      </c>
      <c r="M4186">
        <v>74800</v>
      </c>
      <c r="N4186" t="s">
        <v>95</v>
      </c>
      <c r="O4186" t="s">
        <v>104</v>
      </c>
    </row>
    <row r="4187" spans="1:15" x14ac:dyDescent="0.25">
      <c r="A4187">
        <v>2823</v>
      </c>
      <c r="B4187" s="10">
        <v>45722</v>
      </c>
      <c r="C4187">
        <v>6</v>
      </c>
      <c r="D4187" t="s">
        <v>140</v>
      </c>
      <c r="E4187" t="s">
        <v>137</v>
      </c>
      <c r="F4187" t="s">
        <v>99</v>
      </c>
      <c r="G4187" t="s">
        <v>100</v>
      </c>
      <c r="H4187" t="s">
        <v>23</v>
      </c>
      <c r="I4187" t="s">
        <v>157</v>
      </c>
      <c r="J4187" t="s">
        <v>94</v>
      </c>
      <c r="K4187">
        <v>3</v>
      </c>
      <c r="L4187">
        <v>74800</v>
      </c>
      <c r="M4187">
        <v>224400</v>
      </c>
      <c r="N4187" t="s">
        <v>95</v>
      </c>
      <c r="O4187" t="s">
        <v>104</v>
      </c>
    </row>
    <row r="4188" spans="1:15" x14ac:dyDescent="0.25">
      <c r="A4188">
        <v>3586</v>
      </c>
      <c r="B4188" s="10">
        <v>45780</v>
      </c>
      <c r="C4188">
        <v>3</v>
      </c>
      <c r="D4188" t="s">
        <v>120</v>
      </c>
      <c r="E4188" t="s">
        <v>133</v>
      </c>
      <c r="F4188" t="s">
        <v>117</v>
      </c>
      <c r="G4188" t="s">
        <v>118</v>
      </c>
      <c r="H4188" t="s">
        <v>92</v>
      </c>
      <c r="I4188" t="s">
        <v>93</v>
      </c>
      <c r="J4188" t="s">
        <v>94</v>
      </c>
      <c r="K4188">
        <v>6</v>
      </c>
      <c r="L4188">
        <v>74800</v>
      </c>
      <c r="M4188">
        <v>448800</v>
      </c>
      <c r="N4188" t="s">
        <v>108</v>
      </c>
      <c r="O4188" t="s">
        <v>96</v>
      </c>
    </row>
    <row r="4189" spans="1:15" x14ac:dyDescent="0.25">
      <c r="A4189">
        <v>835</v>
      </c>
      <c r="B4189" s="10">
        <v>45812</v>
      </c>
      <c r="C4189">
        <v>4</v>
      </c>
      <c r="D4189" t="s">
        <v>153</v>
      </c>
      <c r="E4189" t="s">
        <v>150</v>
      </c>
      <c r="F4189" t="s">
        <v>134</v>
      </c>
      <c r="G4189" t="s">
        <v>100</v>
      </c>
      <c r="H4189" t="s">
        <v>23</v>
      </c>
      <c r="I4189" t="s">
        <v>157</v>
      </c>
      <c r="J4189" t="s">
        <v>94</v>
      </c>
      <c r="K4189">
        <v>4</v>
      </c>
      <c r="L4189">
        <v>74900</v>
      </c>
      <c r="M4189">
        <v>299600</v>
      </c>
      <c r="N4189" t="s">
        <v>95</v>
      </c>
      <c r="O4189" t="s">
        <v>96</v>
      </c>
    </row>
    <row r="4190" spans="1:15" x14ac:dyDescent="0.25">
      <c r="A4190">
        <v>1057</v>
      </c>
      <c r="B4190" s="10">
        <v>45915</v>
      </c>
      <c r="C4190">
        <v>15</v>
      </c>
      <c r="D4190" t="s">
        <v>147</v>
      </c>
      <c r="E4190" t="s">
        <v>128</v>
      </c>
      <c r="F4190" t="s">
        <v>22</v>
      </c>
      <c r="G4190" t="s">
        <v>91</v>
      </c>
      <c r="H4190" t="s">
        <v>23</v>
      </c>
      <c r="I4190" t="s">
        <v>157</v>
      </c>
      <c r="J4190" t="s">
        <v>94</v>
      </c>
      <c r="K4190">
        <v>1</v>
      </c>
      <c r="L4190">
        <v>74900</v>
      </c>
      <c r="M4190">
        <v>74900</v>
      </c>
      <c r="N4190" t="s">
        <v>108</v>
      </c>
      <c r="O4190" t="s">
        <v>104</v>
      </c>
    </row>
    <row r="4191" spans="1:15" x14ac:dyDescent="0.25">
      <c r="A4191">
        <v>3575</v>
      </c>
      <c r="B4191" s="10">
        <v>45673</v>
      </c>
      <c r="C4191">
        <v>16</v>
      </c>
      <c r="D4191" t="s">
        <v>130</v>
      </c>
      <c r="E4191" t="s">
        <v>128</v>
      </c>
      <c r="F4191" t="s">
        <v>28</v>
      </c>
      <c r="G4191" t="s">
        <v>126</v>
      </c>
      <c r="H4191" t="s">
        <v>92</v>
      </c>
      <c r="I4191" t="s">
        <v>93</v>
      </c>
      <c r="J4191" t="s">
        <v>94</v>
      </c>
      <c r="K4191">
        <v>8</v>
      </c>
      <c r="L4191">
        <v>74900</v>
      </c>
      <c r="M4191">
        <v>599200</v>
      </c>
      <c r="N4191" t="s">
        <v>95</v>
      </c>
      <c r="O4191" t="s">
        <v>115</v>
      </c>
    </row>
    <row r="4192" spans="1:15" x14ac:dyDescent="0.25">
      <c r="A4192">
        <v>1853</v>
      </c>
      <c r="B4192" s="10">
        <v>45660</v>
      </c>
      <c r="C4192">
        <v>3</v>
      </c>
      <c r="D4192" t="s">
        <v>130</v>
      </c>
      <c r="E4192" t="s">
        <v>128</v>
      </c>
      <c r="F4192" t="s">
        <v>49</v>
      </c>
      <c r="G4192" t="s">
        <v>118</v>
      </c>
      <c r="H4192" t="s">
        <v>92</v>
      </c>
      <c r="I4192" t="s">
        <v>93</v>
      </c>
      <c r="J4192" t="s">
        <v>94</v>
      </c>
      <c r="K4192">
        <v>7</v>
      </c>
      <c r="L4192">
        <v>75200</v>
      </c>
      <c r="M4192">
        <v>526400</v>
      </c>
      <c r="N4192" t="s">
        <v>95</v>
      </c>
      <c r="O4192" t="s">
        <v>115</v>
      </c>
    </row>
    <row r="4193" spans="1:15" x14ac:dyDescent="0.25">
      <c r="A4193">
        <v>3059</v>
      </c>
      <c r="B4193" s="10">
        <v>45769</v>
      </c>
      <c r="C4193">
        <v>22</v>
      </c>
      <c r="D4193" t="s">
        <v>105</v>
      </c>
      <c r="E4193" t="s">
        <v>161</v>
      </c>
      <c r="F4193" t="s">
        <v>107</v>
      </c>
      <c r="G4193" t="s">
        <v>100</v>
      </c>
      <c r="H4193" t="s">
        <v>92</v>
      </c>
      <c r="I4193" t="s">
        <v>93</v>
      </c>
      <c r="J4193" t="s">
        <v>94</v>
      </c>
      <c r="K4193">
        <v>1</v>
      </c>
      <c r="L4193">
        <v>75200</v>
      </c>
      <c r="M4193">
        <v>75200</v>
      </c>
      <c r="N4193" t="s">
        <v>108</v>
      </c>
      <c r="O4193" t="s">
        <v>104</v>
      </c>
    </row>
    <row r="4194" spans="1:15" x14ac:dyDescent="0.25">
      <c r="A4194">
        <v>3504</v>
      </c>
      <c r="B4194" s="10">
        <v>45847</v>
      </c>
      <c r="C4194">
        <v>9</v>
      </c>
      <c r="D4194" t="s">
        <v>145</v>
      </c>
      <c r="E4194" t="s">
        <v>112</v>
      </c>
      <c r="F4194" t="s">
        <v>141</v>
      </c>
      <c r="G4194" t="s">
        <v>100</v>
      </c>
      <c r="H4194" t="s">
        <v>23</v>
      </c>
      <c r="I4194" t="s">
        <v>157</v>
      </c>
      <c r="J4194" t="s">
        <v>94</v>
      </c>
      <c r="K4194">
        <v>6</v>
      </c>
      <c r="L4194">
        <v>75200</v>
      </c>
      <c r="M4194">
        <v>451200</v>
      </c>
      <c r="N4194" t="s">
        <v>95</v>
      </c>
      <c r="O4194" t="s">
        <v>96</v>
      </c>
    </row>
    <row r="4195" spans="1:15" x14ac:dyDescent="0.25">
      <c r="A4195">
        <v>3311</v>
      </c>
      <c r="B4195" s="10">
        <v>45811</v>
      </c>
      <c r="C4195">
        <v>3</v>
      </c>
      <c r="D4195" t="s">
        <v>153</v>
      </c>
      <c r="E4195" t="s">
        <v>31</v>
      </c>
      <c r="F4195" t="s">
        <v>134</v>
      </c>
      <c r="G4195" t="s">
        <v>100</v>
      </c>
      <c r="H4195" t="s">
        <v>92</v>
      </c>
      <c r="I4195" t="s">
        <v>93</v>
      </c>
      <c r="J4195" t="s">
        <v>94</v>
      </c>
      <c r="K4195">
        <v>9</v>
      </c>
      <c r="L4195">
        <v>75300</v>
      </c>
      <c r="M4195">
        <v>677700</v>
      </c>
      <c r="N4195" t="s">
        <v>108</v>
      </c>
      <c r="O4195" t="s">
        <v>96</v>
      </c>
    </row>
    <row r="4196" spans="1:15" x14ac:dyDescent="0.25">
      <c r="A4196">
        <v>782</v>
      </c>
      <c r="B4196" s="10">
        <v>45663</v>
      </c>
      <c r="C4196">
        <v>6</v>
      </c>
      <c r="D4196" t="s">
        <v>130</v>
      </c>
      <c r="E4196" t="s">
        <v>31</v>
      </c>
      <c r="F4196" t="s">
        <v>122</v>
      </c>
      <c r="G4196" t="s">
        <v>114</v>
      </c>
      <c r="H4196" t="s">
        <v>23</v>
      </c>
      <c r="I4196" t="s">
        <v>34</v>
      </c>
      <c r="J4196" t="s">
        <v>103</v>
      </c>
      <c r="K4196">
        <v>47</v>
      </c>
      <c r="L4196">
        <v>75400</v>
      </c>
      <c r="M4196">
        <v>3543800</v>
      </c>
      <c r="N4196" t="s">
        <v>108</v>
      </c>
      <c r="O4196" t="s">
        <v>104</v>
      </c>
    </row>
    <row r="4197" spans="1:15" x14ac:dyDescent="0.25">
      <c r="A4197">
        <v>1530</v>
      </c>
      <c r="B4197" s="10">
        <v>45790</v>
      </c>
      <c r="C4197">
        <v>13</v>
      </c>
      <c r="D4197" t="s">
        <v>120</v>
      </c>
      <c r="E4197" t="s">
        <v>116</v>
      </c>
      <c r="F4197" t="s">
        <v>22</v>
      </c>
      <c r="G4197" t="s">
        <v>91</v>
      </c>
      <c r="H4197" t="s">
        <v>92</v>
      </c>
      <c r="I4197" t="s">
        <v>93</v>
      </c>
      <c r="J4197" t="s">
        <v>94</v>
      </c>
      <c r="K4197">
        <v>10</v>
      </c>
      <c r="L4197">
        <v>75500</v>
      </c>
      <c r="M4197">
        <v>755000</v>
      </c>
      <c r="N4197" t="s">
        <v>95</v>
      </c>
      <c r="O4197" t="s">
        <v>115</v>
      </c>
    </row>
    <row r="4198" spans="1:15" x14ac:dyDescent="0.25">
      <c r="A4198">
        <v>3468</v>
      </c>
      <c r="B4198" s="10">
        <v>45872</v>
      </c>
      <c r="C4198">
        <v>3</v>
      </c>
      <c r="D4198" t="s">
        <v>109</v>
      </c>
      <c r="E4198" t="s">
        <v>31</v>
      </c>
      <c r="F4198" t="s">
        <v>36</v>
      </c>
      <c r="G4198" t="s">
        <v>100</v>
      </c>
      <c r="H4198" t="s">
        <v>23</v>
      </c>
      <c r="I4198" t="s">
        <v>157</v>
      </c>
      <c r="J4198" t="s">
        <v>94</v>
      </c>
      <c r="K4198">
        <v>9</v>
      </c>
      <c r="L4198">
        <v>75500</v>
      </c>
      <c r="M4198">
        <v>679500</v>
      </c>
      <c r="N4198" t="s">
        <v>95</v>
      </c>
      <c r="O4198" t="s">
        <v>96</v>
      </c>
    </row>
    <row r="4199" spans="1:15" x14ac:dyDescent="0.25">
      <c r="A4199">
        <v>3869</v>
      </c>
      <c r="B4199" s="10">
        <v>45821</v>
      </c>
      <c r="C4199">
        <v>13</v>
      </c>
      <c r="D4199" t="s">
        <v>153</v>
      </c>
      <c r="E4199" t="s">
        <v>110</v>
      </c>
      <c r="F4199" t="s">
        <v>113</v>
      </c>
      <c r="G4199" t="s">
        <v>114</v>
      </c>
      <c r="H4199" t="s">
        <v>23</v>
      </c>
      <c r="I4199" t="s">
        <v>157</v>
      </c>
      <c r="J4199" t="s">
        <v>94</v>
      </c>
      <c r="K4199">
        <v>8</v>
      </c>
      <c r="L4199">
        <v>75500</v>
      </c>
      <c r="M4199">
        <v>604000</v>
      </c>
      <c r="N4199" t="s">
        <v>108</v>
      </c>
      <c r="O4199" t="s">
        <v>115</v>
      </c>
    </row>
    <row r="4200" spans="1:15" x14ac:dyDescent="0.25">
      <c r="A4200">
        <v>195</v>
      </c>
      <c r="B4200" s="10">
        <v>45737</v>
      </c>
      <c r="C4200">
        <v>21</v>
      </c>
      <c r="D4200" t="s">
        <v>140</v>
      </c>
      <c r="E4200" t="s">
        <v>31</v>
      </c>
      <c r="F4200" t="s">
        <v>44</v>
      </c>
      <c r="G4200" t="s">
        <v>111</v>
      </c>
      <c r="H4200" t="s">
        <v>23</v>
      </c>
      <c r="I4200" t="s">
        <v>157</v>
      </c>
      <c r="J4200" t="s">
        <v>94</v>
      </c>
      <c r="K4200">
        <v>6</v>
      </c>
      <c r="L4200">
        <v>75600</v>
      </c>
      <c r="M4200">
        <v>453600</v>
      </c>
      <c r="N4200" t="s">
        <v>95</v>
      </c>
      <c r="O4200" t="s">
        <v>96</v>
      </c>
    </row>
    <row r="4201" spans="1:15" x14ac:dyDescent="0.25">
      <c r="A4201">
        <v>1583</v>
      </c>
      <c r="B4201" s="10">
        <v>45993</v>
      </c>
      <c r="C4201">
        <v>2</v>
      </c>
      <c r="D4201" t="s">
        <v>125</v>
      </c>
      <c r="E4201" t="s">
        <v>142</v>
      </c>
      <c r="F4201" t="s">
        <v>36</v>
      </c>
      <c r="G4201" t="s">
        <v>100</v>
      </c>
      <c r="H4201" t="s">
        <v>92</v>
      </c>
      <c r="I4201" t="s">
        <v>93</v>
      </c>
      <c r="J4201" t="s">
        <v>94</v>
      </c>
      <c r="K4201">
        <v>2</v>
      </c>
      <c r="L4201">
        <v>75900</v>
      </c>
      <c r="M4201">
        <v>151800</v>
      </c>
      <c r="N4201" t="s">
        <v>95</v>
      </c>
      <c r="O4201" t="s">
        <v>96</v>
      </c>
    </row>
    <row r="4202" spans="1:15" x14ac:dyDescent="0.25">
      <c r="A4202">
        <v>356</v>
      </c>
      <c r="B4202" s="10">
        <v>45746</v>
      </c>
      <c r="C4202">
        <v>30</v>
      </c>
      <c r="D4202" t="s">
        <v>140</v>
      </c>
      <c r="E4202" t="s">
        <v>121</v>
      </c>
      <c r="F4202" t="s">
        <v>122</v>
      </c>
      <c r="G4202" t="s">
        <v>114</v>
      </c>
      <c r="H4202" t="s">
        <v>92</v>
      </c>
      <c r="I4202" t="s">
        <v>93</v>
      </c>
      <c r="J4202" t="s">
        <v>94</v>
      </c>
      <c r="K4202">
        <v>3</v>
      </c>
      <c r="L4202">
        <v>76000</v>
      </c>
      <c r="M4202">
        <v>228000</v>
      </c>
      <c r="N4202" t="s">
        <v>108</v>
      </c>
      <c r="O4202" t="s">
        <v>104</v>
      </c>
    </row>
    <row r="4203" spans="1:15" x14ac:dyDescent="0.25">
      <c r="A4203">
        <v>161</v>
      </c>
      <c r="B4203" s="10">
        <v>45705</v>
      </c>
      <c r="C4203">
        <v>17</v>
      </c>
      <c r="D4203" t="s">
        <v>97</v>
      </c>
      <c r="E4203" t="s">
        <v>142</v>
      </c>
      <c r="F4203" t="s">
        <v>28</v>
      </c>
      <c r="G4203" t="s">
        <v>126</v>
      </c>
      <c r="H4203" t="s">
        <v>92</v>
      </c>
      <c r="I4203" t="s">
        <v>93</v>
      </c>
      <c r="J4203" t="s">
        <v>94</v>
      </c>
      <c r="K4203">
        <v>9</v>
      </c>
      <c r="L4203">
        <v>76100</v>
      </c>
      <c r="M4203">
        <v>684900</v>
      </c>
      <c r="N4203" t="s">
        <v>95</v>
      </c>
      <c r="O4203" t="s">
        <v>96</v>
      </c>
    </row>
    <row r="4204" spans="1:15" x14ac:dyDescent="0.25">
      <c r="A4204">
        <v>986</v>
      </c>
      <c r="B4204" s="10">
        <v>45950</v>
      </c>
      <c r="C4204">
        <v>20</v>
      </c>
      <c r="D4204" t="s">
        <v>136</v>
      </c>
      <c r="E4204" t="s">
        <v>138</v>
      </c>
      <c r="F4204" t="s">
        <v>134</v>
      </c>
      <c r="G4204" t="s">
        <v>100</v>
      </c>
      <c r="H4204" t="s">
        <v>23</v>
      </c>
      <c r="I4204" t="s">
        <v>34</v>
      </c>
      <c r="J4204" t="s">
        <v>103</v>
      </c>
      <c r="K4204">
        <v>48</v>
      </c>
      <c r="L4204">
        <v>76100</v>
      </c>
      <c r="M4204">
        <v>3652800</v>
      </c>
      <c r="N4204" t="s">
        <v>95</v>
      </c>
      <c r="O4204" t="s">
        <v>115</v>
      </c>
    </row>
    <row r="4205" spans="1:15" x14ac:dyDescent="0.25">
      <c r="A4205">
        <v>4267</v>
      </c>
      <c r="B4205" s="10">
        <v>45778</v>
      </c>
      <c r="C4205">
        <v>1</v>
      </c>
      <c r="D4205" t="s">
        <v>120</v>
      </c>
      <c r="E4205" t="s">
        <v>116</v>
      </c>
      <c r="F4205" t="s">
        <v>22</v>
      </c>
      <c r="G4205" t="s">
        <v>91</v>
      </c>
      <c r="H4205" t="s">
        <v>23</v>
      </c>
      <c r="I4205" t="s">
        <v>157</v>
      </c>
      <c r="J4205" t="s">
        <v>94</v>
      </c>
      <c r="K4205">
        <v>10</v>
      </c>
      <c r="L4205">
        <v>76100</v>
      </c>
      <c r="M4205">
        <v>761000</v>
      </c>
      <c r="N4205" t="s">
        <v>95</v>
      </c>
      <c r="O4205" t="s">
        <v>115</v>
      </c>
    </row>
    <row r="4206" spans="1:15" x14ac:dyDescent="0.25">
      <c r="A4206">
        <v>542</v>
      </c>
      <c r="B4206" s="10">
        <v>46021</v>
      </c>
      <c r="C4206">
        <v>30</v>
      </c>
      <c r="D4206" t="s">
        <v>125</v>
      </c>
      <c r="E4206" t="s">
        <v>128</v>
      </c>
      <c r="F4206" t="s">
        <v>36</v>
      </c>
      <c r="G4206" t="s">
        <v>100</v>
      </c>
      <c r="H4206" t="s">
        <v>23</v>
      </c>
      <c r="I4206" t="s">
        <v>34</v>
      </c>
      <c r="J4206" t="s">
        <v>103</v>
      </c>
      <c r="K4206">
        <v>43</v>
      </c>
      <c r="L4206">
        <v>76200</v>
      </c>
      <c r="M4206">
        <v>3276600</v>
      </c>
      <c r="N4206" t="s">
        <v>95</v>
      </c>
      <c r="O4206" t="s">
        <v>96</v>
      </c>
    </row>
    <row r="4207" spans="1:15" x14ac:dyDescent="0.25">
      <c r="A4207">
        <v>3160</v>
      </c>
      <c r="B4207" s="10">
        <v>45854</v>
      </c>
      <c r="C4207">
        <v>16</v>
      </c>
      <c r="D4207" t="s">
        <v>145</v>
      </c>
      <c r="E4207" t="s">
        <v>106</v>
      </c>
      <c r="F4207" t="s">
        <v>44</v>
      </c>
      <c r="G4207" t="s">
        <v>111</v>
      </c>
      <c r="H4207" t="s">
        <v>23</v>
      </c>
      <c r="I4207" t="s">
        <v>157</v>
      </c>
      <c r="J4207" t="s">
        <v>94</v>
      </c>
      <c r="K4207">
        <v>9</v>
      </c>
      <c r="L4207">
        <v>76200</v>
      </c>
      <c r="M4207">
        <v>685800</v>
      </c>
      <c r="N4207" t="s">
        <v>108</v>
      </c>
      <c r="O4207" t="s">
        <v>96</v>
      </c>
    </row>
    <row r="4208" spans="1:15" x14ac:dyDescent="0.25">
      <c r="A4208">
        <v>654</v>
      </c>
      <c r="B4208" s="10">
        <v>45884</v>
      </c>
      <c r="C4208">
        <v>15</v>
      </c>
      <c r="D4208" t="s">
        <v>109</v>
      </c>
      <c r="E4208" t="s">
        <v>106</v>
      </c>
      <c r="F4208" t="s">
        <v>99</v>
      </c>
      <c r="G4208" t="s">
        <v>100</v>
      </c>
      <c r="H4208" t="s">
        <v>23</v>
      </c>
      <c r="I4208" t="s">
        <v>34</v>
      </c>
      <c r="J4208" t="s">
        <v>103</v>
      </c>
      <c r="K4208">
        <v>11</v>
      </c>
      <c r="L4208">
        <v>76300</v>
      </c>
      <c r="M4208">
        <v>839300</v>
      </c>
      <c r="N4208" t="s">
        <v>95</v>
      </c>
      <c r="O4208" t="s">
        <v>115</v>
      </c>
    </row>
    <row r="4209" spans="1:15" x14ac:dyDescent="0.25">
      <c r="A4209">
        <v>2271</v>
      </c>
      <c r="B4209" s="10">
        <v>45742</v>
      </c>
      <c r="C4209">
        <v>26</v>
      </c>
      <c r="D4209" t="s">
        <v>140</v>
      </c>
      <c r="E4209" t="s">
        <v>98</v>
      </c>
      <c r="F4209" t="s">
        <v>28</v>
      </c>
      <c r="G4209" t="s">
        <v>126</v>
      </c>
      <c r="H4209" t="s">
        <v>23</v>
      </c>
      <c r="I4209" t="s">
        <v>157</v>
      </c>
      <c r="J4209" t="s">
        <v>94</v>
      </c>
      <c r="K4209">
        <v>1</v>
      </c>
      <c r="L4209">
        <v>76300</v>
      </c>
      <c r="M4209">
        <v>76300</v>
      </c>
      <c r="N4209" t="s">
        <v>108</v>
      </c>
      <c r="O4209" t="s">
        <v>104</v>
      </c>
    </row>
    <row r="4210" spans="1:15" x14ac:dyDescent="0.25">
      <c r="A4210">
        <v>4425</v>
      </c>
      <c r="B4210" s="10">
        <v>45926</v>
      </c>
      <c r="C4210">
        <v>26</v>
      </c>
      <c r="D4210" t="s">
        <v>147</v>
      </c>
      <c r="E4210" t="s">
        <v>112</v>
      </c>
      <c r="F4210" t="s">
        <v>99</v>
      </c>
      <c r="G4210" t="s">
        <v>100</v>
      </c>
      <c r="H4210" t="s">
        <v>92</v>
      </c>
      <c r="I4210" t="s">
        <v>93</v>
      </c>
      <c r="J4210" t="s">
        <v>94</v>
      </c>
      <c r="K4210">
        <v>8</v>
      </c>
      <c r="L4210">
        <v>76400</v>
      </c>
      <c r="M4210">
        <v>611200</v>
      </c>
      <c r="N4210" t="s">
        <v>108</v>
      </c>
      <c r="O4210" t="s">
        <v>96</v>
      </c>
    </row>
    <row r="4211" spans="1:15" x14ac:dyDescent="0.25">
      <c r="A4211">
        <v>133</v>
      </c>
      <c r="B4211" s="10">
        <v>45854</v>
      </c>
      <c r="C4211">
        <v>16</v>
      </c>
      <c r="D4211" t="s">
        <v>145</v>
      </c>
      <c r="E4211" t="s">
        <v>121</v>
      </c>
      <c r="F4211" t="s">
        <v>151</v>
      </c>
      <c r="G4211" t="s">
        <v>111</v>
      </c>
      <c r="H4211" t="s">
        <v>23</v>
      </c>
      <c r="I4211" t="s">
        <v>34</v>
      </c>
      <c r="J4211" t="s">
        <v>103</v>
      </c>
      <c r="K4211">
        <v>41</v>
      </c>
      <c r="L4211">
        <v>76500</v>
      </c>
      <c r="M4211">
        <v>3136500</v>
      </c>
      <c r="N4211" t="s">
        <v>108</v>
      </c>
      <c r="O4211" t="s">
        <v>96</v>
      </c>
    </row>
    <row r="4212" spans="1:15" x14ac:dyDescent="0.25">
      <c r="A4212">
        <v>1980</v>
      </c>
      <c r="B4212" s="10">
        <v>45936</v>
      </c>
      <c r="C4212">
        <v>6</v>
      </c>
      <c r="D4212" t="s">
        <v>136</v>
      </c>
      <c r="E4212" t="s">
        <v>25</v>
      </c>
      <c r="F4212" t="s">
        <v>107</v>
      </c>
      <c r="G4212" t="s">
        <v>100</v>
      </c>
      <c r="H4212" t="s">
        <v>23</v>
      </c>
      <c r="I4212" t="s">
        <v>157</v>
      </c>
      <c r="J4212" t="s">
        <v>94</v>
      </c>
      <c r="K4212">
        <v>5</v>
      </c>
      <c r="L4212">
        <v>76500</v>
      </c>
      <c r="M4212">
        <v>382500</v>
      </c>
      <c r="N4212" t="s">
        <v>95</v>
      </c>
      <c r="O4212" t="s">
        <v>96</v>
      </c>
    </row>
    <row r="4213" spans="1:15" x14ac:dyDescent="0.25">
      <c r="A4213">
        <v>3115</v>
      </c>
      <c r="B4213" s="10">
        <v>45865</v>
      </c>
      <c r="C4213">
        <v>27</v>
      </c>
      <c r="D4213" t="s">
        <v>145</v>
      </c>
      <c r="E4213" t="s">
        <v>142</v>
      </c>
      <c r="F4213" t="s">
        <v>36</v>
      </c>
      <c r="G4213" t="s">
        <v>100</v>
      </c>
      <c r="H4213" t="s">
        <v>23</v>
      </c>
      <c r="I4213" t="s">
        <v>157</v>
      </c>
      <c r="J4213" t="s">
        <v>94</v>
      </c>
      <c r="K4213">
        <v>9</v>
      </c>
      <c r="L4213">
        <v>76500</v>
      </c>
      <c r="M4213">
        <v>688500</v>
      </c>
      <c r="N4213" t="s">
        <v>95</v>
      </c>
      <c r="O4213" t="s">
        <v>104</v>
      </c>
    </row>
    <row r="4214" spans="1:15" x14ac:dyDescent="0.25">
      <c r="A4214">
        <v>3980</v>
      </c>
      <c r="B4214" s="10">
        <v>45972</v>
      </c>
      <c r="C4214">
        <v>11</v>
      </c>
      <c r="D4214" t="s">
        <v>90</v>
      </c>
      <c r="E4214" t="s">
        <v>128</v>
      </c>
      <c r="F4214" t="s">
        <v>148</v>
      </c>
      <c r="G4214" t="s">
        <v>118</v>
      </c>
      <c r="H4214" t="s">
        <v>23</v>
      </c>
      <c r="I4214" t="s">
        <v>34</v>
      </c>
      <c r="J4214" t="s">
        <v>103</v>
      </c>
      <c r="K4214">
        <v>39</v>
      </c>
      <c r="L4214">
        <v>76500</v>
      </c>
      <c r="M4214">
        <v>2983500</v>
      </c>
      <c r="N4214" t="s">
        <v>95</v>
      </c>
      <c r="O4214" t="s">
        <v>96</v>
      </c>
    </row>
    <row r="4215" spans="1:15" x14ac:dyDescent="0.25">
      <c r="A4215">
        <v>4674</v>
      </c>
      <c r="B4215" s="10">
        <v>45909</v>
      </c>
      <c r="C4215">
        <v>9</v>
      </c>
      <c r="D4215" t="s">
        <v>147</v>
      </c>
      <c r="E4215" t="s">
        <v>138</v>
      </c>
      <c r="F4215" t="s">
        <v>36</v>
      </c>
      <c r="G4215" t="s">
        <v>100</v>
      </c>
      <c r="H4215" t="s">
        <v>23</v>
      </c>
      <c r="I4215" t="s">
        <v>34</v>
      </c>
      <c r="J4215" t="s">
        <v>103</v>
      </c>
      <c r="K4215">
        <v>18</v>
      </c>
      <c r="L4215">
        <v>76500</v>
      </c>
      <c r="M4215">
        <v>1377000</v>
      </c>
      <c r="N4215" t="s">
        <v>95</v>
      </c>
      <c r="O4215" t="s">
        <v>115</v>
      </c>
    </row>
    <row r="4216" spans="1:15" x14ac:dyDescent="0.25">
      <c r="A4216">
        <v>57</v>
      </c>
      <c r="B4216" s="10">
        <v>45867</v>
      </c>
      <c r="C4216">
        <v>29</v>
      </c>
      <c r="D4216" t="s">
        <v>145</v>
      </c>
      <c r="E4216" t="s">
        <v>150</v>
      </c>
      <c r="F4216" t="s">
        <v>134</v>
      </c>
      <c r="G4216" t="s">
        <v>100</v>
      </c>
      <c r="H4216" t="s">
        <v>92</v>
      </c>
      <c r="I4216" t="s">
        <v>93</v>
      </c>
      <c r="J4216" t="s">
        <v>94</v>
      </c>
      <c r="K4216">
        <v>4</v>
      </c>
      <c r="L4216">
        <v>76600</v>
      </c>
      <c r="M4216">
        <v>306400</v>
      </c>
      <c r="N4216" t="s">
        <v>108</v>
      </c>
      <c r="O4216" t="s">
        <v>96</v>
      </c>
    </row>
    <row r="4217" spans="1:15" x14ac:dyDescent="0.25">
      <c r="A4217">
        <v>759</v>
      </c>
      <c r="B4217" s="10">
        <v>45821</v>
      </c>
      <c r="C4217">
        <v>13</v>
      </c>
      <c r="D4217" t="s">
        <v>153</v>
      </c>
      <c r="E4217" t="s">
        <v>116</v>
      </c>
      <c r="F4217" t="s">
        <v>36</v>
      </c>
      <c r="G4217" t="s">
        <v>100</v>
      </c>
      <c r="H4217" t="s">
        <v>92</v>
      </c>
      <c r="I4217" t="s">
        <v>93</v>
      </c>
      <c r="J4217" t="s">
        <v>94</v>
      </c>
      <c r="K4217">
        <v>3</v>
      </c>
      <c r="L4217">
        <v>76600</v>
      </c>
      <c r="M4217">
        <v>229800</v>
      </c>
      <c r="N4217" t="s">
        <v>95</v>
      </c>
      <c r="O4217" t="s">
        <v>115</v>
      </c>
    </row>
    <row r="4218" spans="1:15" x14ac:dyDescent="0.25">
      <c r="A4218">
        <v>323</v>
      </c>
      <c r="B4218" s="10">
        <v>45681</v>
      </c>
      <c r="C4218">
        <v>24</v>
      </c>
      <c r="D4218" t="s">
        <v>130</v>
      </c>
      <c r="E4218" t="s">
        <v>128</v>
      </c>
      <c r="F4218" t="s">
        <v>28</v>
      </c>
      <c r="G4218" t="s">
        <v>126</v>
      </c>
      <c r="H4218" t="s">
        <v>92</v>
      </c>
      <c r="I4218" t="s">
        <v>93</v>
      </c>
      <c r="J4218" t="s">
        <v>94</v>
      </c>
      <c r="K4218">
        <v>3</v>
      </c>
      <c r="L4218">
        <v>76700</v>
      </c>
      <c r="M4218">
        <v>230100</v>
      </c>
      <c r="N4218" t="s">
        <v>108</v>
      </c>
      <c r="O4218" t="s">
        <v>104</v>
      </c>
    </row>
    <row r="4219" spans="1:15" x14ac:dyDescent="0.25">
      <c r="A4219">
        <v>4058</v>
      </c>
      <c r="B4219" s="10">
        <v>45679</v>
      </c>
      <c r="C4219">
        <v>22</v>
      </c>
      <c r="D4219" t="s">
        <v>130</v>
      </c>
      <c r="E4219" t="s">
        <v>106</v>
      </c>
      <c r="F4219" t="s">
        <v>28</v>
      </c>
      <c r="G4219" t="s">
        <v>126</v>
      </c>
      <c r="H4219" t="s">
        <v>23</v>
      </c>
      <c r="I4219" t="s">
        <v>157</v>
      </c>
      <c r="J4219" t="s">
        <v>94</v>
      </c>
      <c r="K4219">
        <v>3</v>
      </c>
      <c r="L4219">
        <v>76700</v>
      </c>
      <c r="M4219">
        <v>230100</v>
      </c>
      <c r="N4219" t="s">
        <v>108</v>
      </c>
      <c r="O4219" t="s">
        <v>96</v>
      </c>
    </row>
    <row r="4220" spans="1:15" x14ac:dyDescent="0.25">
      <c r="A4220">
        <v>4362</v>
      </c>
      <c r="B4220" s="10">
        <v>45749</v>
      </c>
      <c r="C4220">
        <v>2</v>
      </c>
      <c r="D4220" t="s">
        <v>105</v>
      </c>
      <c r="E4220" t="s">
        <v>137</v>
      </c>
      <c r="F4220" t="s">
        <v>28</v>
      </c>
      <c r="G4220" t="s">
        <v>126</v>
      </c>
      <c r="H4220" t="s">
        <v>92</v>
      </c>
      <c r="I4220" t="s">
        <v>93</v>
      </c>
      <c r="J4220" t="s">
        <v>94</v>
      </c>
      <c r="K4220">
        <v>7</v>
      </c>
      <c r="L4220">
        <v>76700</v>
      </c>
      <c r="M4220">
        <v>536900</v>
      </c>
      <c r="N4220" t="s">
        <v>95</v>
      </c>
      <c r="O4220" t="s">
        <v>104</v>
      </c>
    </row>
    <row r="4221" spans="1:15" x14ac:dyDescent="0.25">
      <c r="A4221">
        <v>4852</v>
      </c>
      <c r="B4221" s="10">
        <v>45835</v>
      </c>
      <c r="C4221">
        <v>27</v>
      </c>
      <c r="D4221" t="s">
        <v>153</v>
      </c>
      <c r="E4221" t="s">
        <v>150</v>
      </c>
      <c r="F4221" t="s">
        <v>122</v>
      </c>
      <c r="G4221" t="s">
        <v>114</v>
      </c>
      <c r="H4221" t="s">
        <v>92</v>
      </c>
      <c r="I4221" t="s">
        <v>93</v>
      </c>
      <c r="J4221" t="s">
        <v>103</v>
      </c>
      <c r="K4221">
        <v>19</v>
      </c>
      <c r="L4221">
        <v>76700</v>
      </c>
      <c r="M4221">
        <v>1457300</v>
      </c>
      <c r="N4221" t="s">
        <v>108</v>
      </c>
      <c r="O4221" t="s">
        <v>115</v>
      </c>
    </row>
    <row r="4222" spans="1:15" x14ac:dyDescent="0.25">
      <c r="A4222">
        <v>4862</v>
      </c>
      <c r="B4222" s="10">
        <v>45682</v>
      </c>
      <c r="C4222">
        <v>25</v>
      </c>
      <c r="D4222" t="s">
        <v>130</v>
      </c>
      <c r="E4222" t="s">
        <v>161</v>
      </c>
      <c r="F4222" t="s">
        <v>44</v>
      </c>
      <c r="G4222" t="s">
        <v>111</v>
      </c>
      <c r="H4222" t="s">
        <v>92</v>
      </c>
      <c r="I4222" t="s">
        <v>93</v>
      </c>
      <c r="J4222" t="s">
        <v>94</v>
      </c>
      <c r="K4222">
        <v>1</v>
      </c>
      <c r="L4222">
        <v>76700</v>
      </c>
      <c r="M4222">
        <v>76700</v>
      </c>
      <c r="N4222" t="s">
        <v>108</v>
      </c>
      <c r="O4222" t="s">
        <v>104</v>
      </c>
    </row>
    <row r="4223" spans="1:15" x14ac:dyDescent="0.25">
      <c r="A4223">
        <v>593</v>
      </c>
      <c r="B4223" s="10">
        <v>45661</v>
      </c>
      <c r="C4223">
        <v>4</v>
      </c>
      <c r="D4223" t="s">
        <v>130</v>
      </c>
      <c r="E4223" t="s">
        <v>110</v>
      </c>
      <c r="F4223" t="s">
        <v>107</v>
      </c>
      <c r="G4223" t="s">
        <v>100</v>
      </c>
      <c r="H4223" t="s">
        <v>23</v>
      </c>
      <c r="I4223" t="s">
        <v>157</v>
      </c>
      <c r="J4223" t="s">
        <v>94</v>
      </c>
      <c r="K4223">
        <v>7</v>
      </c>
      <c r="L4223">
        <v>76800</v>
      </c>
      <c r="M4223">
        <v>537600</v>
      </c>
      <c r="N4223" t="s">
        <v>95</v>
      </c>
      <c r="O4223" t="s">
        <v>96</v>
      </c>
    </row>
    <row r="4224" spans="1:15" x14ac:dyDescent="0.25">
      <c r="A4224">
        <v>1820</v>
      </c>
      <c r="B4224" s="10">
        <v>45821</v>
      </c>
      <c r="C4224">
        <v>13</v>
      </c>
      <c r="D4224" t="s">
        <v>153</v>
      </c>
      <c r="E4224" t="s">
        <v>137</v>
      </c>
      <c r="F4224" t="s">
        <v>113</v>
      </c>
      <c r="G4224" t="s">
        <v>114</v>
      </c>
      <c r="H4224" t="s">
        <v>23</v>
      </c>
      <c r="I4224" t="s">
        <v>34</v>
      </c>
      <c r="J4224" t="s">
        <v>103</v>
      </c>
      <c r="K4224">
        <v>49</v>
      </c>
      <c r="L4224">
        <v>76800</v>
      </c>
      <c r="M4224">
        <v>3763200</v>
      </c>
      <c r="N4224" t="s">
        <v>95</v>
      </c>
      <c r="O4224" t="s">
        <v>96</v>
      </c>
    </row>
    <row r="4225" spans="1:15" x14ac:dyDescent="0.25">
      <c r="A4225">
        <v>496</v>
      </c>
      <c r="B4225" s="10">
        <v>45725</v>
      </c>
      <c r="C4225">
        <v>9</v>
      </c>
      <c r="D4225" t="s">
        <v>140</v>
      </c>
      <c r="E4225" t="s">
        <v>106</v>
      </c>
      <c r="F4225" t="s">
        <v>99</v>
      </c>
      <c r="G4225" t="s">
        <v>100</v>
      </c>
      <c r="H4225" t="s">
        <v>23</v>
      </c>
      <c r="I4225" t="s">
        <v>157</v>
      </c>
      <c r="J4225" t="s">
        <v>94</v>
      </c>
      <c r="K4225">
        <v>2</v>
      </c>
      <c r="L4225">
        <v>77000</v>
      </c>
      <c r="M4225">
        <v>154000</v>
      </c>
      <c r="N4225" t="s">
        <v>108</v>
      </c>
      <c r="O4225" t="s">
        <v>96</v>
      </c>
    </row>
    <row r="4226" spans="1:15" x14ac:dyDescent="0.25">
      <c r="A4226">
        <v>1412</v>
      </c>
      <c r="B4226" s="10">
        <v>45953</v>
      </c>
      <c r="C4226">
        <v>23</v>
      </c>
      <c r="D4226" t="s">
        <v>136</v>
      </c>
      <c r="E4226" t="s">
        <v>25</v>
      </c>
      <c r="F4226" t="s">
        <v>44</v>
      </c>
      <c r="G4226" t="s">
        <v>111</v>
      </c>
      <c r="H4226" t="s">
        <v>23</v>
      </c>
      <c r="I4226" t="s">
        <v>157</v>
      </c>
      <c r="J4226" t="s">
        <v>94</v>
      </c>
      <c r="K4226">
        <v>8</v>
      </c>
      <c r="L4226">
        <v>77100</v>
      </c>
      <c r="M4226">
        <v>616800</v>
      </c>
      <c r="N4226" t="s">
        <v>108</v>
      </c>
      <c r="O4226" t="s">
        <v>104</v>
      </c>
    </row>
    <row r="4227" spans="1:15" x14ac:dyDescent="0.25">
      <c r="A4227">
        <v>4397</v>
      </c>
      <c r="B4227" s="10">
        <v>45944</v>
      </c>
      <c r="C4227">
        <v>14</v>
      </c>
      <c r="D4227" t="s">
        <v>136</v>
      </c>
      <c r="E4227" t="s">
        <v>137</v>
      </c>
      <c r="F4227" t="s">
        <v>144</v>
      </c>
      <c r="G4227" t="s">
        <v>91</v>
      </c>
      <c r="H4227" t="s">
        <v>23</v>
      </c>
      <c r="I4227" t="s">
        <v>34</v>
      </c>
      <c r="J4227" t="s">
        <v>103</v>
      </c>
      <c r="K4227">
        <v>20</v>
      </c>
      <c r="L4227">
        <v>77100</v>
      </c>
      <c r="M4227">
        <v>1542000</v>
      </c>
      <c r="N4227" t="s">
        <v>95</v>
      </c>
      <c r="O4227" t="s">
        <v>115</v>
      </c>
    </row>
    <row r="4228" spans="1:15" x14ac:dyDescent="0.25">
      <c r="A4228">
        <v>3148</v>
      </c>
      <c r="B4228" s="10">
        <v>45828</v>
      </c>
      <c r="C4228">
        <v>20</v>
      </c>
      <c r="D4228" t="s">
        <v>153</v>
      </c>
      <c r="E4228" t="s">
        <v>133</v>
      </c>
      <c r="F4228" t="s">
        <v>36</v>
      </c>
      <c r="G4228" t="s">
        <v>100</v>
      </c>
      <c r="H4228" t="s">
        <v>92</v>
      </c>
      <c r="I4228" t="s">
        <v>93</v>
      </c>
      <c r="J4228" t="s">
        <v>94</v>
      </c>
      <c r="K4228">
        <v>5</v>
      </c>
      <c r="L4228">
        <v>77200</v>
      </c>
      <c r="M4228">
        <v>386000</v>
      </c>
      <c r="N4228" t="s">
        <v>95</v>
      </c>
      <c r="O4228" t="s">
        <v>115</v>
      </c>
    </row>
    <row r="4229" spans="1:15" x14ac:dyDescent="0.25">
      <c r="A4229">
        <v>1424</v>
      </c>
      <c r="B4229" s="10">
        <v>45911</v>
      </c>
      <c r="C4229">
        <v>11</v>
      </c>
      <c r="D4229" t="s">
        <v>147</v>
      </c>
      <c r="E4229" t="s">
        <v>25</v>
      </c>
      <c r="F4229" t="s">
        <v>49</v>
      </c>
      <c r="G4229" t="s">
        <v>118</v>
      </c>
      <c r="H4229" t="s">
        <v>23</v>
      </c>
      <c r="I4229" t="s">
        <v>34</v>
      </c>
      <c r="J4229" t="s">
        <v>103</v>
      </c>
      <c r="K4229">
        <v>29</v>
      </c>
      <c r="L4229">
        <v>77400</v>
      </c>
      <c r="M4229">
        <v>2244600</v>
      </c>
      <c r="N4229" t="s">
        <v>95</v>
      </c>
      <c r="O4229" t="s">
        <v>115</v>
      </c>
    </row>
    <row r="4230" spans="1:15" x14ac:dyDescent="0.25">
      <c r="A4230">
        <v>4910</v>
      </c>
      <c r="B4230" s="10">
        <v>45834</v>
      </c>
      <c r="C4230">
        <v>26</v>
      </c>
      <c r="D4230" t="s">
        <v>153</v>
      </c>
      <c r="E4230" t="s">
        <v>31</v>
      </c>
      <c r="F4230" t="s">
        <v>22</v>
      </c>
      <c r="G4230" t="s">
        <v>91</v>
      </c>
      <c r="H4230" t="s">
        <v>23</v>
      </c>
      <c r="I4230" t="s">
        <v>34</v>
      </c>
      <c r="J4230" t="s">
        <v>103</v>
      </c>
      <c r="K4230">
        <v>5</v>
      </c>
      <c r="L4230">
        <v>77400</v>
      </c>
      <c r="M4230">
        <v>387000</v>
      </c>
      <c r="N4230" t="s">
        <v>108</v>
      </c>
      <c r="O4230" t="s">
        <v>115</v>
      </c>
    </row>
    <row r="4231" spans="1:15" x14ac:dyDescent="0.25">
      <c r="A4231">
        <v>1752</v>
      </c>
      <c r="B4231" s="10">
        <v>45815</v>
      </c>
      <c r="C4231">
        <v>7</v>
      </c>
      <c r="D4231" t="s">
        <v>153</v>
      </c>
      <c r="E4231" t="s">
        <v>138</v>
      </c>
      <c r="F4231" t="s">
        <v>28</v>
      </c>
      <c r="G4231" t="s">
        <v>126</v>
      </c>
      <c r="H4231" t="s">
        <v>23</v>
      </c>
      <c r="I4231" t="s">
        <v>157</v>
      </c>
      <c r="J4231" t="s">
        <v>94</v>
      </c>
      <c r="K4231">
        <v>3</v>
      </c>
      <c r="L4231">
        <v>77500</v>
      </c>
      <c r="M4231">
        <v>232500</v>
      </c>
      <c r="N4231" t="s">
        <v>108</v>
      </c>
      <c r="O4231" t="s">
        <v>104</v>
      </c>
    </row>
    <row r="4232" spans="1:15" x14ac:dyDescent="0.25">
      <c r="A4232">
        <v>4035</v>
      </c>
      <c r="B4232" s="10">
        <v>45733</v>
      </c>
      <c r="C4232">
        <v>17</v>
      </c>
      <c r="D4232" t="s">
        <v>140</v>
      </c>
      <c r="E4232" t="s">
        <v>25</v>
      </c>
      <c r="F4232" t="s">
        <v>99</v>
      </c>
      <c r="G4232" t="s">
        <v>100</v>
      </c>
      <c r="H4232" t="s">
        <v>23</v>
      </c>
      <c r="I4232" t="s">
        <v>34</v>
      </c>
      <c r="J4232" t="s">
        <v>103</v>
      </c>
      <c r="K4232">
        <v>38</v>
      </c>
      <c r="L4232">
        <v>77500</v>
      </c>
      <c r="M4232">
        <v>2945000</v>
      </c>
      <c r="N4232" t="s">
        <v>108</v>
      </c>
      <c r="O4232" t="s">
        <v>115</v>
      </c>
    </row>
    <row r="4233" spans="1:15" x14ac:dyDescent="0.25">
      <c r="A4233">
        <v>2289</v>
      </c>
      <c r="B4233" s="10">
        <v>45960</v>
      </c>
      <c r="C4233">
        <v>30</v>
      </c>
      <c r="D4233" t="s">
        <v>136</v>
      </c>
      <c r="E4233" t="s">
        <v>137</v>
      </c>
      <c r="F4233" t="s">
        <v>117</v>
      </c>
      <c r="G4233" t="s">
        <v>118</v>
      </c>
      <c r="H4233" t="s">
        <v>92</v>
      </c>
      <c r="I4233" t="s">
        <v>93</v>
      </c>
      <c r="J4233" t="s">
        <v>94</v>
      </c>
      <c r="K4233">
        <v>7</v>
      </c>
      <c r="L4233">
        <v>77600</v>
      </c>
      <c r="M4233">
        <v>543200</v>
      </c>
      <c r="N4233" t="s">
        <v>108</v>
      </c>
      <c r="O4233" t="s">
        <v>96</v>
      </c>
    </row>
    <row r="4234" spans="1:15" x14ac:dyDescent="0.25">
      <c r="A4234">
        <v>2646</v>
      </c>
      <c r="B4234" s="10">
        <v>45664</v>
      </c>
      <c r="C4234">
        <v>7</v>
      </c>
      <c r="D4234" t="s">
        <v>130</v>
      </c>
      <c r="E4234" t="s">
        <v>128</v>
      </c>
      <c r="F4234" t="s">
        <v>122</v>
      </c>
      <c r="G4234" t="s">
        <v>114</v>
      </c>
      <c r="H4234" t="s">
        <v>23</v>
      </c>
      <c r="I4234" t="s">
        <v>34</v>
      </c>
      <c r="J4234" t="s">
        <v>103</v>
      </c>
      <c r="K4234">
        <v>16</v>
      </c>
      <c r="L4234">
        <v>77600</v>
      </c>
      <c r="M4234">
        <v>1241600</v>
      </c>
      <c r="N4234" t="s">
        <v>108</v>
      </c>
      <c r="O4234" t="s">
        <v>96</v>
      </c>
    </row>
    <row r="4235" spans="1:15" x14ac:dyDescent="0.25">
      <c r="A4235">
        <v>3773</v>
      </c>
      <c r="B4235" s="10">
        <v>45812</v>
      </c>
      <c r="C4235">
        <v>4</v>
      </c>
      <c r="D4235" t="s">
        <v>153</v>
      </c>
      <c r="E4235" t="s">
        <v>121</v>
      </c>
      <c r="F4235" t="s">
        <v>36</v>
      </c>
      <c r="G4235" t="s">
        <v>100</v>
      </c>
      <c r="H4235" t="s">
        <v>23</v>
      </c>
      <c r="I4235" t="s">
        <v>34</v>
      </c>
      <c r="J4235" t="s">
        <v>103</v>
      </c>
      <c r="K4235">
        <v>43</v>
      </c>
      <c r="L4235">
        <v>77600</v>
      </c>
      <c r="M4235">
        <v>3336800</v>
      </c>
      <c r="N4235" t="s">
        <v>108</v>
      </c>
      <c r="O4235" t="s">
        <v>115</v>
      </c>
    </row>
    <row r="4236" spans="1:15" x14ac:dyDescent="0.25">
      <c r="A4236">
        <v>3891</v>
      </c>
      <c r="B4236" s="10">
        <v>45989</v>
      </c>
      <c r="C4236">
        <v>28</v>
      </c>
      <c r="D4236" t="s">
        <v>90</v>
      </c>
      <c r="E4236" t="s">
        <v>98</v>
      </c>
      <c r="F4236" t="s">
        <v>107</v>
      </c>
      <c r="G4236" t="s">
        <v>100</v>
      </c>
      <c r="H4236" t="s">
        <v>23</v>
      </c>
      <c r="I4236" t="s">
        <v>157</v>
      </c>
      <c r="J4236" t="s">
        <v>94</v>
      </c>
      <c r="K4236">
        <v>8</v>
      </c>
      <c r="L4236">
        <v>77600</v>
      </c>
      <c r="M4236">
        <v>620800</v>
      </c>
      <c r="N4236" t="s">
        <v>108</v>
      </c>
      <c r="O4236" t="s">
        <v>96</v>
      </c>
    </row>
    <row r="4237" spans="1:15" x14ac:dyDescent="0.25">
      <c r="A4237">
        <v>2403</v>
      </c>
      <c r="B4237" s="10">
        <v>45853</v>
      </c>
      <c r="C4237">
        <v>15</v>
      </c>
      <c r="D4237" t="s">
        <v>145</v>
      </c>
      <c r="E4237" t="s">
        <v>110</v>
      </c>
      <c r="F4237" t="s">
        <v>107</v>
      </c>
      <c r="G4237" t="s">
        <v>100</v>
      </c>
      <c r="H4237" t="s">
        <v>92</v>
      </c>
      <c r="I4237" t="s">
        <v>93</v>
      </c>
      <c r="J4237" t="s">
        <v>94</v>
      </c>
      <c r="K4237">
        <v>7</v>
      </c>
      <c r="L4237">
        <v>77800</v>
      </c>
      <c r="M4237">
        <v>544600</v>
      </c>
      <c r="N4237" t="s">
        <v>108</v>
      </c>
      <c r="O4237" t="s">
        <v>104</v>
      </c>
    </row>
    <row r="4238" spans="1:15" x14ac:dyDescent="0.25">
      <c r="A4238">
        <v>4333</v>
      </c>
      <c r="B4238" s="10">
        <v>45842</v>
      </c>
      <c r="C4238">
        <v>4</v>
      </c>
      <c r="D4238" t="s">
        <v>145</v>
      </c>
      <c r="E4238" t="s">
        <v>138</v>
      </c>
      <c r="F4238" t="s">
        <v>49</v>
      </c>
      <c r="G4238" t="s">
        <v>118</v>
      </c>
      <c r="H4238" t="s">
        <v>23</v>
      </c>
      <c r="I4238" t="s">
        <v>157</v>
      </c>
      <c r="J4238" t="s">
        <v>94</v>
      </c>
      <c r="K4238">
        <v>10</v>
      </c>
      <c r="L4238">
        <v>77800</v>
      </c>
      <c r="M4238">
        <v>778000</v>
      </c>
      <c r="N4238" t="s">
        <v>95</v>
      </c>
      <c r="O4238" t="s">
        <v>96</v>
      </c>
    </row>
    <row r="4239" spans="1:15" x14ac:dyDescent="0.25">
      <c r="A4239">
        <v>1212</v>
      </c>
      <c r="B4239" s="10">
        <v>45901</v>
      </c>
      <c r="C4239">
        <v>1</v>
      </c>
      <c r="D4239" t="s">
        <v>147</v>
      </c>
      <c r="E4239" t="s">
        <v>128</v>
      </c>
      <c r="F4239" t="s">
        <v>122</v>
      </c>
      <c r="G4239" t="s">
        <v>114</v>
      </c>
      <c r="H4239" t="s">
        <v>23</v>
      </c>
      <c r="I4239" t="s">
        <v>34</v>
      </c>
      <c r="J4239" t="s">
        <v>103</v>
      </c>
      <c r="K4239">
        <v>10</v>
      </c>
      <c r="L4239">
        <v>78000</v>
      </c>
      <c r="M4239">
        <v>780000</v>
      </c>
      <c r="N4239" t="s">
        <v>108</v>
      </c>
      <c r="O4239" t="s">
        <v>104</v>
      </c>
    </row>
    <row r="4240" spans="1:15" x14ac:dyDescent="0.25">
      <c r="A4240">
        <v>1863</v>
      </c>
      <c r="B4240" s="10">
        <v>45731</v>
      </c>
      <c r="C4240">
        <v>15</v>
      </c>
      <c r="D4240" t="s">
        <v>140</v>
      </c>
      <c r="E4240" t="s">
        <v>133</v>
      </c>
      <c r="F4240" t="s">
        <v>148</v>
      </c>
      <c r="G4240" t="s">
        <v>118</v>
      </c>
      <c r="H4240" t="s">
        <v>23</v>
      </c>
      <c r="I4240" t="s">
        <v>157</v>
      </c>
      <c r="J4240" t="s">
        <v>94</v>
      </c>
      <c r="K4240">
        <v>4</v>
      </c>
      <c r="L4240">
        <v>78000</v>
      </c>
      <c r="M4240">
        <v>312000</v>
      </c>
      <c r="N4240" t="s">
        <v>108</v>
      </c>
      <c r="O4240" t="s">
        <v>104</v>
      </c>
    </row>
    <row r="4241" spans="1:15" x14ac:dyDescent="0.25">
      <c r="A4241">
        <v>3825</v>
      </c>
      <c r="B4241" s="10">
        <v>45901</v>
      </c>
      <c r="C4241">
        <v>1</v>
      </c>
      <c r="D4241" t="s">
        <v>147</v>
      </c>
      <c r="E4241" t="s">
        <v>150</v>
      </c>
      <c r="F4241" t="s">
        <v>36</v>
      </c>
      <c r="G4241" t="s">
        <v>100</v>
      </c>
      <c r="H4241" t="s">
        <v>23</v>
      </c>
      <c r="I4241" t="s">
        <v>34</v>
      </c>
      <c r="J4241" t="s">
        <v>103</v>
      </c>
      <c r="K4241">
        <v>45</v>
      </c>
      <c r="L4241">
        <v>78000</v>
      </c>
      <c r="M4241">
        <v>3510000</v>
      </c>
      <c r="N4241" t="s">
        <v>95</v>
      </c>
      <c r="O4241" t="s">
        <v>104</v>
      </c>
    </row>
    <row r="4242" spans="1:15" x14ac:dyDescent="0.25">
      <c r="A4242">
        <v>70</v>
      </c>
      <c r="B4242" s="10">
        <v>45935</v>
      </c>
      <c r="C4242">
        <v>5</v>
      </c>
      <c r="D4242" t="s">
        <v>136</v>
      </c>
      <c r="E4242" t="s">
        <v>133</v>
      </c>
      <c r="F4242" t="s">
        <v>134</v>
      </c>
      <c r="G4242" t="s">
        <v>100</v>
      </c>
      <c r="H4242" t="s">
        <v>23</v>
      </c>
      <c r="I4242" t="s">
        <v>34</v>
      </c>
      <c r="J4242" t="s">
        <v>103</v>
      </c>
      <c r="K4242">
        <v>29</v>
      </c>
      <c r="L4242">
        <v>78100</v>
      </c>
      <c r="M4242">
        <v>2264900</v>
      </c>
      <c r="N4242" t="s">
        <v>95</v>
      </c>
      <c r="O4242" t="s">
        <v>96</v>
      </c>
    </row>
    <row r="4243" spans="1:15" x14ac:dyDescent="0.25">
      <c r="A4243">
        <v>1446</v>
      </c>
      <c r="B4243" s="10">
        <v>45923</v>
      </c>
      <c r="C4243">
        <v>23</v>
      </c>
      <c r="D4243" t="s">
        <v>147</v>
      </c>
      <c r="E4243" t="s">
        <v>161</v>
      </c>
      <c r="F4243" t="s">
        <v>122</v>
      </c>
      <c r="G4243" t="s">
        <v>114</v>
      </c>
      <c r="H4243" t="s">
        <v>23</v>
      </c>
      <c r="I4243" t="s">
        <v>34</v>
      </c>
      <c r="J4243" t="s">
        <v>103</v>
      </c>
      <c r="K4243">
        <v>19</v>
      </c>
      <c r="L4243">
        <v>78100</v>
      </c>
      <c r="M4243">
        <v>1483900</v>
      </c>
      <c r="N4243" t="s">
        <v>95</v>
      </c>
      <c r="O4243" t="s">
        <v>115</v>
      </c>
    </row>
    <row r="4244" spans="1:15" x14ac:dyDescent="0.25">
      <c r="A4244">
        <v>2015</v>
      </c>
      <c r="B4244" s="10">
        <v>45965</v>
      </c>
      <c r="C4244">
        <v>4</v>
      </c>
      <c r="D4244" t="s">
        <v>90</v>
      </c>
      <c r="E4244" t="s">
        <v>25</v>
      </c>
      <c r="F4244" t="s">
        <v>134</v>
      </c>
      <c r="G4244" t="s">
        <v>100</v>
      </c>
      <c r="H4244" t="s">
        <v>23</v>
      </c>
      <c r="I4244" t="s">
        <v>157</v>
      </c>
      <c r="J4244" t="s">
        <v>94</v>
      </c>
      <c r="K4244">
        <v>3</v>
      </c>
      <c r="L4244">
        <v>78100</v>
      </c>
      <c r="M4244">
        <v>234300</v>
      </c>
      <c r="N4244" t="s">
        <v>95</v>
      </c>
      <c r="O4244" t="s">
        <v>115</v>
      </c>
    </row>
    <row r="4245" spans="1:15" x14ac:dyDescent="0.25">
      <c r="A4245">
        <v>3692</v>
      </c>
      <c r="B4245" s="10">
        <v>45818</v>
      </c>
      <c r="C4245">
        <v>10</v>
      </c>
      <c r="D4245" t="s">
        <v>153</v>
      </c>
      <c r="E4245" t="s">
        <v>142</v>
      </c>
      <c r="F4245" t="s">
        <v>49</v>
      </c>
      <c r="G4245" t="s">
        <v>118</v>
      </c>
      <c r="H4245" t="s">
        <v>23</v>
      </c>
      <c r="I4245" t="s">
        <v>157</v>
      </c>
      <c r="J4245" t="s">
        <v>94</v>
      </c>
      <c r="K4245">
        <v>1</v>
      </c>
      <c r="L4245">
        <v>78100</v>
      </c>
      <c r="M4245">
        <v>78100</v>
      </c>
      <c r="N4245" t="s">
        <v>108</v>
      </c>
      <c r="O4245" t="s">
        <v>96</v>
      </c>
    </row>
    <row r="4246" spans="1:15" x14ac:dyDescent="0.25">
      <c r="A4246">
        <v>4173</v>
      </c>
      <c r="B4246" s="10">
        <v>45934</v>
      </c>
      <c r="C4246">
        <v>4</v>
      </c>
      <c r="D4246" t="s">
        <v>136</v>
      </c>
      <c r="E4246" t="s">
        <v>128</v>
      </c>
      <c r="F4246" t="s">
        <v>107</v>
      </c>
      <c r="G4246" t="s">
        <v>100</v>
      </c>
      <c r="H4246" t="s">
        <v>92</v>
      </c>
      <c r="I4246" t="s">
        <v>93</v>
      </c>
      <c r="J4246" t="s">
        <v>94</v>
      </c>
      <c r="K4246">
        <v>9</v>
      </c>
      <c r="L4246">
        <v>78100</v>
      </c>
      <c r="M4246">
        <v>702900</v>
      </c>
      <c r="N4246" t="s">
        <v>108</v>
      </c>
      <c r="O4246" t="s">
        <v>96</v>
      </c>
    </row>
    <row r="4247" spans="1:15" x14ac:dyDescent="0.25">
      <c r="A4247">
        <v>4913</v>
      </c>
      <c r="B4247" s="10">
        <v>45671</v>
      </c>
      <c r="C4247">
        <v>14</v>
      </c>
      <c r="D4247" t="s">
        <v>130</v>
      </c>
      <c r="E4247" t="s">
        <v>150</v>
      </c>
      <c r="F4247" t="s">
        <v>36</v>
      </c>
      <c r="G4247" t="s">
        <v>100</v>
      </c>
      <c r="H4247" t="s">
        <v>23</v>
      </c>
      <c r="I4247" t="s">
        <v>157</v>
      </c>
      <c r="J4247" t="s">
        <v>94</v>
      </c>
      <c r="K4247">
        <v>2</v>
      </c>
      <c r="L4247">
        <v>78100</v>
      </c>
      <c r="M4247">
        <v>156200</v>
      </c>
      <c r="N4247" t="s">
        <v>108</v>
      </c>
      <c r="O4247" t="s">
        <v>104</v>
      </c>
    </row>
    <row r="4248" spans="1:15" x14ac:dyDescent="0.25">
      <c r="A4248">
        <v>2089</v>
      </c>
      <c r="B4248" s="10">
        <v>45845</v>
      </c>
      <c r="C4248">
        <v>7</v>
      </c>
      <c r="D4248" t="s">
        <v>145</v>
      </c>
      <c r="E4248" t="s">
        <v>98</v>
      </c>
      <c r="F4248" t="s">
        <v>122</v>
      </c>
      <c r="G4248" t="s">
        <v>114</v>
      </c>
      <c r="H4248" t="s">
        <v>92</v>
      </c>
      <c r="I4248" t="s">
        <v>93</v>
      </c>
      <c r="J4248" t="s">
        <v>94</v>
      </c>
      <c r="K4248">
        <v>1</v>
      </c>
      <c r="L4248">
        <v>78200</v>
      </c>
      <c r="M4248">
        <v>78200</v>
      </c>
      <c r="N4248" t="s">
        <v>95</v>
      </c>
      <c r="O4248" t="s">
        <v>115</v>
      </c>
    </row>
    <row r="4249" spans="1:15" x14ac:dyDescent="0.25">
      <c r="A4249">
        <v>1337</v>
      </c>
      <c r="B4249" s="10">
        <v>45766</v>
      </c>
      <c r="C4249">
        <v>19</v>
      </c>
      <c r="D4249" t="s">
        <v>105</v>
      </c>
      <c r="E4249" t="s">
        <v>142</v>
      </c>
      <c r="F4249" t="s">
        <v>148</v>
      </c>
      <c r="G4249" t="s">
        <v>118</v>
      </c>
      <c r="H4249" t="s">
        <v>23</v>
      </c>
      <c r="I4249" t="s">
        <v>34</v>
      </c>
      <c r="J4249" t="s">
        <v>103</v>
      </c>
      <c r="K4249">
        <v>16</v>
      </c>
      <c r="L4249">
        <v>78300</v>
      </c>
      <c r="M4249">
        <v>1252800</v>
      </c>
      <c r="N4249" t="s">
        <v>95</v>
      </c>
      <c r="O4249" t="s">
        <v>96</v>
      </c>
    </row>
    <row r="4250" spans="1:15" x14ac:dyDescent="0.25">
      <c r="A4250">
        <v>556</v>
      </c>
      <c r="B4250" s="10">
        <v>45712</v>
      </c>
      <c r="C4250">
        <v>24</v>
      </c>
      <c r="D4250" t="s">
        <v>97</v>
      </c>
      <c r="E4250" t="s">
        <v>116</v>
      </c>
      <c r="F4250" t="s">
        <v>117</v>
      </c>
      <c r="G4250" t="s">
        <v>118</v>
      </c>
      <c r="H4250" t="s">
        <v>92</v>
      </c>
      <c r="I4250" t="s">
        <v>93</v>
      </c>
      <c r="J4250" t="s">
        <v>94</v>
      </c>
      <c r="K4250">
        <v>5</v>
      </c>
      <c r="L4250">
        <v>78400</v>
      </c>
      <c r="M4250">
        <v>392000</v>
      </c>
      <c r="N4250" t="s">
        <v>108</v>
      </c>
      <c r="O4250" t="s">
        <v>115</v>
      </c>
    </row>
    <row r="4251" spans="1:15" x14ac:dyDescent="0.25">
      <c r="A4251">
        <v>2350</v>
      </c>
      <c r="B4251" s="10">
        <v>45715</v>
      </c>
      <c r="C4251">
        <v>27</v>
      </c>
      <c r="D4251" t="s">
        <v>97</v>
      </c>
      <c r="E4251" t="s">
        <v>106</v>
      </c>
      <c r="F4251" t="s">
        <v>151</v>
      </c>
      <c r="G4251" t="s">
        <v>111</v>
      </c>
      <c r="H4251" t="s">
        <v>92</v>
      </c>
      <c r="I4251" t="s">
        <v>93</v>
      </c>
      <c r="J4251" t="s">
        <v>94</v>
      </c>
      <c r="K4251">
        <v>10</v>
      </c>
      <c r="L4251">
        <v>78400</v>
      </c>
      <c r="M4251">
        <v>784000</v>
      </c>
      <c r="N4251" t="s">
        <v>95</v>
      </c>
      <c r="O4251" t="s">
        <v>104</v>
      </c>
    </row>
    <row r="4252" spans="1:15" x14ac:dyDescent="0.25">
      <c r="A4252">
        <v>1502</v>
      </c>
      <c r="B4252" s="10">
        <v>45668</v>
      </c>
      <c r="C4252">
        <v>11</v>
      </c>
      <c r="D4252" t="s">
        <v>130</v>
      </c>
      <c r="E4252" t="s">
        <v>128</v>
      </c>
      <c r="F4252" t="s">
        <v>22</v>
      </c>
      <c r="G4252" t="s">
        <v>91</v>
      </c>
      <c r="H4252" t="s">
        <v>23</v>
      </c>
      <c r="I4252" t="s">
        <v>34</v>
      </c>
      <c r="J4252" t="s">
        <v>103</v>
      </c>
      <c r="K4252">
        <v>48</v>
      </c>
      <c r="L4252">
        <v>78500</v>
      </c>
      <c r="M4252">
        <v>3768000</v>
      </c>
      <c r="N4252" t="s">
        <v>95</v>
      </c>
      <c r="O4252" t="s">
        <v>96</v>
      </c>
    </row>
    <row r="4253" spans="1:15" x14ac:dyDescent="0.25">
      <c r="A4253">
        <v>1715</v>
      </c>
      <c r="B4253" s="10">
        <v>45755</v>
      </c>
      <c r="C4253">
        <v>8</v>
      </c>
      <c r="D4253" t="s">
        <v>105</v>
      </c>
      <c r="E4253" t="s">
        <v>161</v>
      </c>
      <c r="F4253" t="s">
        <v>141</v>
      </c>
      <c r="G4253" t="s">
        <v>100</v>
      </c>
      <c r="H4253" t="s">
        <v>23</v>
      </c>
      <c r="I4253" t="s">
        <v>34</v>
      </c>
      <c r="J4253" t="s">
        <v>103</v>
      </c>
      <c r="K4253">
        <v>8</v>
      </c>
      <c r="L4253">
        <v>78600</v>
      </c>
      <c r="M4253">
        <v>628800</v>
      </c>
      <c r="N4253" t="s">
        <v>95</v>
      </c>
      <c r="O4253" t="s">
        <v>104</v>
      </c>
    </row>
    <row r="4254" spans="1:15" x14ac:dyDescent="0.25">
      <c r="A4254">
        <v>2829</v>
      </c>
      <c r="B4254" s="10">
        <v>45932</v>
      </c>
      <c r="C4254">
        <v>2</v>
      </c>
      <c r="D4254" t="s">
        <v>136</v>
      </c>
      <c r="E4254" t="s">
        <v>31</v>
      </c>
      <c r="F4254" t="s">
        <v>117</v>
      </c>
      <c r="G4254" t="s">
        <v>118</v>
      </c>
      <c r="H4254" t="s">
        <v>23</v>
      </c>
      <c r="I4254" t="s">
        <v>157</v>
      </c>
      <c r="J4254" t="s">
        <v>94</v>
      </c>
      <c r="K4254">
        <v>10</v>
      </c>
      <c r="L4254">
        <v>78600</v>
      </c>
      <c r="M4254">
        <v>786000</v>
      </c>
      <c r="N4254" t="s">
        <v>108</v>
      </c>
      <c r="O4254" t="s">
        <v>96</v>
      </c>
    </row>
    <row r="4255" spans="1:15" x14ac:dyDescent="0.25">
      <c r="A4255">
        <v>4880</v>
      </c>
      <c r="B4255" s="10">
        <v>45986</v>
      </c>
      <c r="C4255">
        <v>25</v>
      </c>
      <c r="D4255" t="s">
        <v>90</v>
      </c>
      <c r="E4255" t="s">
        <v>110</v>
      </c>
      <c r="F4255" t="s">
        <v>113</v>
      </c>
      <c r="G4255" t="s">
        <v>114</v>
      </c>
      <c r="H4255" t="s">
        <v>23</v>
      </c>
      <c r="I4255" t="s">
        <v>157</v>
      </c>
      <c r="J4255" t="s">
        <v>94</v>
      </c>
      <c r="K4255">
        <v>5</v>
      </c>
      <c r="L4255">
        <v>78600</v>
      </c>
      <c r="M4255">
        <v>393000</v>
      </c>
      <c r="N4255" t="s">
        <v>108</v>
      </c>
      <c r="O4255" t="s">
        <v>104</v>
      </c>
    </row>
    <row r="4256" spans="1:15" x14ac:dyDescent="0.25">
      <c r="A4256">
        <v>1274</v>
      </c>
      <c r="B4256" s="10">
        <v>45999</v>
      </c>
      <c r="C4256">
        <v>8</v>
      </c>
      <c r="D4256" t="s">
        <v>125</v>
      </c>
      <c r="E4256" t="s">
        <v>106</v>
      </c>
      <c r="F4256" t="s">
        <v>151</v>
      </c>
      <c r="G4256" t="s">
        <v>111</v>
      </c>
      <c r="H4256" t="s">
        <v>92</v>
      </c>
      <c r="I4256" t="s">
        <v>93</v>
      </c>
      <c r="J4256" t="s">
        <v>94</v>
      </c>
      <c r="K4256">
        <v>7</v>
      </c>
      <c r="L4256">
        <v>78700</v>
      </c>
      <c r="M4256">
        <v>550900</v>
      </c>
      <c r="N4256" t="s">
        <v>108</v>
      </c>
      <c r="O4256" t="s">
        <v>96</v>
      </c>
    </row>
    <row r="4257" spans="1:15" x14ac:dyDescent="0.25">
      <c r="A4257">
        <v>1679</v>
      </c>
      <c r="B4257" s="10">
        <v>45857</v>
      </c>
      <c r="C4257">
        <v>19</v>
      </c>
      <c r="D4257" t="s">
        <v>145</v>
      </c>
      <c r="E4257" t="s">
        <v>116</v>
      </c>
      <c r="F4257" t="s">
        <v>134</v>
      </c>
      <c r="G4257" t="s">
        <v>100</v>
      </c>
      <c r="H4257" t="s">
        <v>23</v>
      </c>
      <c r="I4257" t="s">
        <v>157</v>
      </c>
      <c r="J4257" t="s">
        <v>94</v>
      </c>
      <c r="K4257">
        <v>8</v>
      </c>
      <c r="L4257">
        <v>78700</v>
      </c>
      <c r="M4257">
        <v>629600</v>
      </c>
      <c r="N4257" t="s">
        <v>108</v>
      </c>
      <c r="O4257" t="s">
        <v>104</v>
      </c>
    </row>
    <row r="4258" spans="1:15" x14ac:dyDescent="0.25">
      <c r="A4258">
        <v>2087</v>
      </c>
      <c r="B4258" s="10">
        <v>45700</v>
      </c>
      <c r="C4258">
        <v>12</v>
      </c>
      <c r="D4258" t="s">
        <v>97</v>
      </c>
      <c r="E4258" t="s">
        <v>112</v>
      </c>
      <c r="F4258" t="s">
        <v>99</v>
      </c>
      <c r="G4258" t="s">
        <v>100</v>
      </c>
      <c r="H4258" t="s">
        <v>23</v>
      </c>
      <c r="I4258" t="s">
        <v>34</v>
      </c>
      <c r="J4258" t="s">
        <v>103</v>
      </c>
      <c r="K4258">
        <v>36</v>
      </c>
      <c r="L4258">
        <v>78700</v>
      </c>
      <c r="M4258">
        <v>2833200</v>
      </c>
      <c r="N4258" t="s">
        <v>95</v>
      </c>
      <c r="O4258" t="s">
        <v>96</v>
      </c>
    </row>
    <row r="4259" spans="1:15" x14ac:dyDescent="0.25">
      <c r="A4259">
        <v>1382</v>
      </c>
      <c r="B4259" s="10">
        <v>45870</v>
      </c>
      <c r="C4259">
        <v>1</v>
      </c>
      <c r="D4259" t="s">
        <v>109</v>
      </c>
      <c r="E4259" t="s">
        <v>25</v>
      </c>
      <c r="F4259" t="s">
        <v>22</v>
      </c>
      <c r="G4259" t="s">
        <v>91</v>
      </c>
      <c r="H4259" t="s">
        <v>23</v>
      </c>
      <c r="I4259" t="s">
        <v>34</v>
      </c>
      <c r="J4259" t="s">
        <v>103</v>
      </c>
      <c r="K4259">
        <v>38</v>
      </c>
      <c r="L4259">
        <v>78800</v>
      </c>
      <c r="M4259">
        <v>2994400</v>
      </c>
      <c r="N4259" t="s">
        <v>108</v>
      </c>
      <c r="O4259" t="s">
        <v>115</v>
      </c>
    </row>
    <row r="4260" spans="1:15" x14ac:dyDescent="0.25">
      <c r="A4260">
        <v>4316</v>
      </c>
      <c r="B4260" s="10">
        <v>45818</v>
      </c>
      <c r="C4260">
        <v>10</v>
      </c>
      <c r="D4260" t="s">
        <v>153</v>
      </c>
      <c r="E4260" t="s">
        <v>31</v>
      </c>
      <c r="F4260" t="s">
        <v>141</v>
      </c>
      <c r="G4260" t="s">
        <v>100</v>
      </c>
      <c r="H4260" t="s">
        <v>23</v>
      </c>
      <c r="I4260" t="s">
        <v>157</v>
      </c>
      <c r="J4260" t="s">
        <v>94</v>
      </c>
      <c r="K4260">
        <v>2</v>
      </c>
      <c r="L4260">
        <v>78800</v>
      </c>
      <c r="M4260">
        <v>157600</v>
      </c>
      <c r="N4260" t="s">
        <v>108</v>
      </c>
      <c r="O4260" t="s">
        <v>115</v>
      </c>
    </row>
    <row r="4261" spans="1:15" x14ac:dyDescent="0.25">
      <c r="A4261">
        <v>55</v>
      </c>
      <c r="B4261" s="10">
        <v>45680</v>
      </c>
      <c r="C4261">
        <v>23</v>
      </c>
      <c r="D4261" t="s">
        <v>130</v>
      </c>
      <c r="E4261" t="s">
        <v>161</v>
      </c>
      <c r="F4261" t="s">
        <v>134</v>
      </c>
      <c r="G4261" t="s">
        <v>100</v>
      </c>
      <c r="H4261" t="s">
        <v>23</v>
      </c>
      <c r="I4261" t="s">
        <v>157</v>
      </c>
      <c r="J4261" t="s">
        <v>94</v>
      </c>
      <c r="K4261">
        <v>6</v>
      </c>
      <c r="L4261">
        <v>78900</v>
      </c>
      <c r="M4261">
        <v>473400</v>
      </c>
      <c r="N4261" t="s">
        <v>108</v>
      </c>
      <c r="O4261" t="s">
        <v>104</v>
      </c>
    </row>
    <row r="4262" spans="1:15" x14ac:dyDescent="0.25">
      <c r="A4262">
        <v>599</v>
      </c>
      <c r="B4262" s="10">
        <v>45857</v>
      </c>
      <c r="C4262">
        <v>19</v>
      </c>
      <c r="D4262" t="s">
        <v>145</v>
      </c>
      <c r="E4262" t="s">
        <v>98</v>
      </c>
      <c r="F4262" t="s">
        <v>22</v>
      </c>
      <c r="G4262" t="s">
        <v>91</v>
      </c>
      <c r="H4262" t="s">
        <v>23</v>
      </c>
      <c r="I4262" t="s">
        <v>34</v>
      </c>
      <c r="J4262" t="s">
        <v>103</v>
      </c>
      <c r="K4262">
        <v>43</v>
      </c>
      <c r="L4262">
        <v>79000</v>
      </c>
      <c r="M4262">
        <v>3397000</v>
      </c>
      <c r="N4262" t="s">
        <v>108</v>
      </c>
      <c r="O4262" t="s">
        <v>104</v>
      </c>
    </row>
    <row r="4263" spans="1:15" x14ac:dyDescent="0.25">
      <c r="A4263">
        <v>4816</v>
      </c>
      <c r="B4263" s="10">
        <v>45955</v>
      </c>
      <c r="C4263">
        <v>25</v>
      </c>
      <c r="D4263" t="s">
        <v>136</v>
      </c>
      <c r="E4263" t="s">
        <v>142</v>
      </c>
      <c r="F4263" t="s">
        <v>49</v>
      </c>
      <c r="G4263" t="s">
        <v>118</v>
      </c>
      <c r="H4263" t="s">
        <v>92</v>
      </c>
      <c r="I4263" t="s">
        <v>93</v>
      </c>
      <c r="J4263" t="s">
        <v>94</v>
      </c>
      <c r="K4263">
        <v>2</v>
      </c>
      <c r="L4263">
        <v>79000</v>
      </c>
      <c r="M4263">
        <v>158000</v>
      </c>
      <c r="N4263" t="s">
        <v>95</v>
      </c>
      <c r="O4263" t="s">
        <v>96</v>
      </c>
    </row>
    <row r="4264" spans="1:15" x14ac:dyDescent="0.25">
      <c r="A4264">
        <v>548</v>
      </c>
      <c r="B4264" s="10">
        <v>45855</v>
      </c>
      <c r="C4264">
        <v>17</v>
      </c>
      <c r="D4264" t="s">
        <v>145</v>
      </c>
      <c r="E4264" t="s">
        <v>116</v>
      </c>
      <c r="F4264" t="s">
        <v>107</v>
      </c>
      <c r="G4264" t="s">
        <v>100</v>
      </c>
      <c r="H4264" t="s">
        <v>92</v>
      </c>
      <c r="I4264" t="s">
        <v>93</v>
      </c>
      <c r="J4264" t="s">
        <v>94</v>
      </c>
      <c r="K4264">
        <v>9</v>
      </c>
      <c r="L4264">
        <v>79200</v>
      </c>
      <c r="M4264">
        <v>712800</v>
      </c>
      <c r="N4264" t="s">
        <v>108</v>
      </c>
      <c r="O4264" t="s">
        <v>96</v>
      </c>
    </row>
    <row r="4265" spans="1:15" x14ac:dyDescent="0.25">
      <c r="A4265">
        <v>1376</v>
      </c>
      <c r="B4265" s="10">
        <v>46010</v>
      </c>
      <c r="C4265">
        <v>19</v>
      </c>
      <c r="D4265" t="s">
        <v>125</v>
      </c>
      <c r="E4265" t="s">
        <v>98</v>
      </c>
      <c r="F4265" t="s">
        <v>134</v>
      </c>
      <c r="G4265" t="s">
        <v>100</v>
      </c>
      <c r="H4265" t="s">
        <v>92</v>
      </c>
      <c r="I4265" t="s">
        <v>93</v>
      </c>
      <c r="J4265" t="s">
        <v>94</v>
      </c>
      <c r="K4265">
        <v>2</v>
      </c>
      <c r="L4265">
        <v>79200</v>
      </c>
      <c r="M4265">
        <v>158400</v>
      </c>
      <c r="N4265" t="s">
        <v>95</v>
      </c>
      <c r="O4265" t="s">
        <v>104</v>
      </c>
    </row>
    <row r="4266" spans="1:15" x14ac:dyDescent="0.25">
      <c r="A4266">
        <v>2128</v>
      </c>
      <c r="B4266" s="10">
        <v>45895</v>
      </c>
      <c r="C4266">
        <v>26</v>
      </c>
      <c r="D4266" t="s">
        <v>109</v>
      </c>
      <c r="E4266" t="s">
        <v>31</v>
      </c>
      <c r="F4266" t="s">
        <v>36</v>
      </c>
      <c r="G4266" t="s">
        <v>100</v>
      </c>
      <c r="H4266" t="s">
        <v>23</v>
      </c>
      <c r="I4266" t="s">
        <v>157</v>
      </c>
      <c r="J4266" t="s">
        <v>94</v>
      </c>
      <c r="K4266">
        <v>10</v>
      </c>
      <c r="L4266">
        <v>79200</v>
      </c>
      <c r="M4266">
        <v>792000</v>
      </c>
      <c r="N4266" t="s">
        <v>95</v>
      </c>
      <c r="O4266" t="s">
        <v>115</v>
      </c>
    </row>
    <row r="4267" spans="1:15" x14ac:dyDescent="0.25">
      <c r="A4267">
        <v>3865</v>
      </c>
      <c r="B4267" s="10">
        <v>45792</v>
      </c>
      <c r="C4267">
        <v>15</v>
      </c>
      <c r="D4267" t="s">
        <v>120</v>
      </c>
      <c r="E4267" t="s">
        <v>98</v>
      </c>
      <c r="F4267" t="s">
        <v>122</v>
      </c>
      <c r="G4267" t="s">
        <v>114</v>
      </c>
      <c r="H4267" t="s">
        <v>23</v>
      </c>
      <c r="I4267" t="s">
        <v>34</v>
      </c>
      <c r="J4267" t="s">
        <v>103</v>
      </c>
      <c r="K4267">
        <v>15</v>
      </c>
      <c r="L4267">
        <v>79200</v>
      </c>
      <c r="M4267">
        <v>1188000</v>
      </c>
      <c r="N4267" t="s">
        <v>95</v>
      </c>
      <c r="O4267" t="s">
        <v>104</v>
      </c>
    </row>
    <row r="4268" spans="1:15" x14ac:dyDescent="0.25">
      <c r="A4268">
        <v>1896</v>
      </c>
      <c r="B4268" s="10">
        <v>45821</v>
      </c>
      <c r="C4268">
        <v>13</v>
      </c>
      <c r="D4268" t="s">
        <v>153</v>
      </c>
      <c r="E4268" t="s">
        <v>128</v>
      </c>
      <c r="F4268" t="s">
        <v>36</v>
      </c>
      <c r="G4268" t="s">
        <v>100</v>
      </c>
      <c r="H4268" t="s">
        <v>23</v>
      </c>
      <c r="I4268" t="s">
        <v>34</v>
      </c>
      <c r="J4268" t="s">
        <v>103</v>
      </c>
      <c r="K4268">
        <v>21</v>
      </c>
      <c r="L4268">
        <v>79300</v>
      </c>
      <c r="M4268">
        <v>1665300</v>
      </c>
      <c r="N4268" t="s">
        <v>108</v>
      </c>
      <c r="O4268" t="s">
        <v>115</v>
      </c>
    </row>
    <row r="4269" spans="1:15" x14ac:dyDescent="0.25">
      <c r="A4269">
        <v>3184</v>
      </c>
      <c r="B4269" s="10">
        <v>45942</v>
      </c>
      <c r="C4269">
        <v>12</v>
      </c>
      <c r="D4269" t="s">
        <v>136</v>
      </c>
      <c r="E4269" t="s">
        <v>128</v>
      </c>
      <c r="F4269" t="s">
        <v>151</v>
      </c>
      <c r="G4269" t="s">
        <v>111</v>
      </c>
      <c r="H4269" t="s">
        <v>23</v>
      </c>
      <c r="I4269" t="s">
        <v>34</v>
      </c>
      <c r="J4269" t="s">
        <v>103</v>
      </c>
      <c r="K4269">
        <v>38</v>
      </c>
      <c r="L4269">
        <v>79400</v>
      </c>
      <c r="M4269">
        <v>3017200</v>
      </c>
      <c r="N4269" t="s">
        <v>108</v>
      </c>
      <c r="O4269" t="s">
        <v>104</v>
      </c>
    </row>
    <row r="4270" spans="1:15" x14ac:dyDescent="0.25">
      <c r="A4270">
        <v>43</v>
      </c>
      <c r="B4270" s="10">
        <v>45802</v>
      </c>
      <c r="C4270">
        <v>25</v>
      </c>
      <c r="D4270" t="s">
        <v>120</v>
      </c>
      <c r="E4270" t="s">
        <v>110</v>
      </c>
      <c r="F4270" t="s">
        <v>49</v>
      </c>
      <c r="G4270" t="s">
        <v>118</v>
      </c>
      <c r="H4270" t="s">
        <v>92</v>
      </c>
      <c r="I4270" t="s">
        <v>93</v>
      </c>
      <c r="J4270" t="s">
        <v>94</v>
      </c>
      <c r="K4270">
        <v>5</v>
      </c>
      <c r="L4270">
        <v>79500</v>
      </c>
      <c r="M4270">
        <v>397500</v>
      </c>
      <c r="N4270" t="s">
        <v>108</v>
      </c>
      <c r="O4270" t="s">
        <v>115</v>
      </c>
    </row>
    <row r="4271" spans="1:15" x14ac:dyDescent="0.25">
      <c r="A4271">
        <v>712</v>
      </c>
      <c r="B4271" s="10">
        <v>45884</v>
      </c>
      <c r="C4271">
        <v>15</v>
      </c>
      <c r="D4271" t="s">
        <v>109</v>
      </c>
      <c r="E4271" t="s">
        <v>161</v>
      </c>
      <c r="F4271" t="s">
        <v>144</v>
      </c>
      <c r="G4271" t="s">
        <v>91</v>
      </c>
      <c r="H4271" t="s">
        <v>92</v>
      </c>
      <c r="I4271" t="s">
        <v>93</v>
      </c>
      <c r="J4271" t="s">
        <v>94</v>
      </c>
      <c r="K4271">
        <v>4</v>
      </c>
      <c r="L4271">
        <v>79600</v>
      </c>
      <c r="M4271">
        <v>318400</v>
      </c>
      <c r="N4271" t="s">
        <v>95</v>
      </c>
      <c r="O4271" t="s">
        <v>104</v>
      </c>
    </row>
    <row r="4272" spans="1:15" x14ac:dyDescent="0.25">
      <c r="A4272">
        <v>2370</v>
      </c>
      <c r="B4272" s="10">
        <v>45804</v>
      </c>
      <c r="C4272">
        <v>27</v>
      </c>
      <c r="D4272" t="s">
        <v>120</v>
      </c>
      <c r="E4272" t="s">
        <v>142</v>
      </c>
      <c r="F4272" t="s">
        <v>36</v>
      </c>
      <c r="G4272" t="s">
        <v>100</v>
      </c>
      <c r="H4272" t="s">
        <v>23</v>
      </c>
      <c r="I4272" t="s">
        <v>157</v>
      </c>
      <c r="J4272" t="s">
        <v>94</v>
      </c>
      <c r="K4272">
        <v>6</v>
      </c>
      <c r="L4272">
        <v>79600</v>
      </c>
      <c r="M4272">
        <v>477600</v>
      </c>
      <c r="N4272" t="s">
        <v>108</v>
      </c>
      <c r="O4272" t="s">
        <v>96</v>
      </c>
    </row>
    <row r="4273" spans="1:15" x14ac:dyDescent="0.25">
      <c r="A4273">
        <v>451</v>
      </c>
      <c r="B4273" s="10">
        <v>45899</v>
      </c>
      <c r="C4273">
        <v>30</v>
      </c>
      <c r="D4273" t="s">
        <v>109</v>
      </c>
      <c r="E4273" t="s">
        <v>133</v>
      </c>
      <c r="F4273" t="s">
        <v>144</v>
      </c>
      <c r="G4273" t="s">
        <v>91</v>
      </c>
      <c r="H4273" t="s">
        <v>92</v>
      </c>
      <c r="I4273" t="s">
        <v>93</v>
      </c>
      <c r="J4273" t="s">
        <v>94</v>
      </c>
      <c r="K4273">
        <v>9</v>
      </c>
      <c r="L4273">
        <v>79700</v>
      </c>
      <c r="M4273">
        <v>717300</v>
      </c>
      <c r="N4273" t="s">
        <v>108</v>
      </c>
      <c r="O4273" t="s">
        <v>104</v>
      </c>
    </row>
    <row r="4274" spans="1:15" x14ac:dyDescent="0.25">
      <c r="A4274">
        <v>1614</v>
      </c>
      <c r="B4274" s="10">
        <v>45944</v>
      </c>
      <c r="C4274">
        <v>14</v>
      </c>
      <c r="D4274" t="s">
        <v>136</v>
      </c>
      <c r="E4274" t="s">
        <v>133</v>
      </c>
      <c r="F4274" t="s">
        <v>151</v>
      </c>
      <c r="G4274" t="s">
        <v>111</v>
      </c>
      <c r="H4274" t="s">
        <v>92</v>
      </c>
      <c r="I4274" t="s">
        <v>93</v>
      </c>
      <c r="J4274" t="s">
        <v>94</v>
      </c>
      <c r="K4274">
        <v>9</v>
      </c>
      <c r="L4274">
        <v>79700</v>
      </c>
      <c r="M4274">
        <v>717300</v>
      </c>
      <c r="N4274" t="s">
        <v>108</v>
      </c>
      <c r="O4274" t="s">
        <v>96</v>
      </c>
    </row>
    <row r="4275" spans="1:15" x14ac:dyDescent="0.25">
      <c r="A4275">
        <v>2777</v>
      </c>
      <c r="B4275" s="10">
        <v>45718</v>
      </c>
      <c r="C4275">
        <v>2</v>
      </c>
      <c r="D4275" t="s">
        <v>140</v>
      </c>
      <c r="E4275" t="s">
        <v>121</v>
      </c>
      <c r="F4275" t="s">
        <v>144</v>
      </c>
      <c r="G4275" t="s">
        <v>91</v>
      </c>
      <c r="H4275" t="s">
        <v>23</v>
      </c>
      <c r="I4275" t="s">
        <v>34</v>
      </c>
      <c r="J4275" t="s">
        <v>103</v>
      </c>
      <c r="K4275">
        <v>13</v>
      </c>
      <c r="L4275">
        <v>79700</v>
      </c>
      <c r="M4275">
        <v>1036100</v>
      </c>
      <c r="N4275" t="s">
        <v>108</v>
      </c>
      <c r="O4275" t="s">
        <v>104</v>
      </c>
    </row>
    <row r="4276" spans="1:15" x14ac:dyDescent="0.25">
      <c r="A4276">
        <v>715</v>
      </c>
      <c r="B4276" s="10">
        <v>45967</v>
      </c>
      <c r="C4276">
        <v>6</v>
      </c>
      <c r="D4276" t="s">
        <v>90</v>
      </c>
      <c r="E4276" t="s">
        <v>133</v>
      </c>
      <c r="F4276" t="s">
        <v>99</v>
      </c>
      <c r="G4276" t="s">
        <v>100</v>
      </c>
      <c r="H4276" t="s">
        <v>92</v>
      </c>
      <c r="I4276" t="s">
        <v>93</v>
      </c>
      <c r="J4276" t="s">
        <v>94</v>
      </c>
      <c r="K4276">
        <v>7</v>
      </c>
      <c r="L4276">
        <v>79800</v>
      </c>
      <c r="M4276">
        <v>558600</v>
      </c>
      <c r="N4276" t="s">
        <v>108</v>
      </c>
      <c r="O4276" t="s">
        <v>115</v>
      </c>
    </row>
    <row r="4277" spans="1:15" x14ac:dyDescent="0.25">
      <c r="A4277">
        <v>904</v>
      </c>
      <c r="B4277" s="10">
        <v>45679</v>
      </c>
      <c r="C4277">
        <v>22</v>
      </c>
      <c r="D4277" t="s">
        <v>130</v>
      </c>
      <c r="E4277" t="s">
        <v>106</v>
      </c>
      <c r="F4277" t="s">
        <v>28</v>
      </c>
      <c r="G4277" t="s">
        <v>126</v>
      </c>
      <c r="H4277" t="s">
        <v>23</v>
      </c>
      <c r="I4277" t="s">
        <v>157</v>
      </c>
      <c r="J4277" t="s">
        <v>94</v>
      </c>
      <c r="K4277">
        <v>8</v>
      </c>
      <c r="L4277">
        <v>79800</v>
      </c>
      <c r="M4277">
        <v>638400</v>
      </c>
      <c r="N4277" t="s">
        <v>95</v>
      </c>
      <c r="O4277" t="s">
        <v>115</v>
      </c>
    </row>
    <row r="4278" spans="1:15" x14ac:dyDescent="0.25">
      <c r="A4278">
        <v>2693</v>
      </c>
      <c r="B4278" s="10">
        <v>45940</v>
      </c>
      <c r="C4278">
        <v>10</v>
      </c>
      <c r="D4278" t="s">
        <v>136</v>
      </c>
      <c r="E4278" t="s">
        <v>112</v>
      </c>
      <c r="F4278" t="s">
        <v>144</v>
      </c>
      <c r="G4278" t="s">
        <v>91</v>
      </c>
      <c r="H4278" t="s">
        <v>92</v>
      </c>
      <c r="I4278" t="s">
        <v>93</v>
      </c>
      <c r="J4278" t="s">
        <v>94</v>
      </c>
      <c r="K4278">
        <v>10</v>
      </c>
      <c r="L4278">
        <v>79800</v>
      </c>
      <c r="M4278">
        <v>798000</v>
      </c>
      <c r="N4278" t="s">
        <v>108</v>
      </c>
      <c r="O4278" t="s">
        <v>115</v>
      </c>
    </row>
    <row r="4279" spans="1:15" x14ac:dyDescent="0.25">
      <c r="A4279">
        <v>3317</v>
      </c>
      <c r="B4279" s="10">
        <v>45947</v>
      </c>
      <c r="C4279">
        <v>17</v>
      </c>
      <c r="D4279" t="s">
        <v>136</v>
      </c>
      <c r="E4279" t="s">
        <v>137</v>
      </c>
      <c r="F4279" t="s">
        <v>28</v>
      </c>
      <c r="G4279" t="s">
        <v>126</v>
      </c>
      <c r="H4279" t="s">
        <v>92</v>
      </c>
      <c r="I4279" t="s">
        <v>93</v>
      </c>
      <c r="J4279" t="s">
        <v>94</v>
      </c>
      <c r="K4279">
        <v>4</v>
      </c>
      <c r="L4279">
        <v>79800</v>
      </c>
      <c r="M4279">
        <v>319200</v>
      </c>
      <c r="N4279" t="s">
        <v>108</v>
      </c>
      <c r="O4279" t="s">
        <v>115</v>
      </c>
    </row>
    <row r="4280" spans="1:15" x14ac:dyDescent="0.25">
      <c r="A4280">
        <v>4710</v>
      </c>
      <c r="B4280" s="10">
        <v>45928</v>
      </c>
      <c r="C4280">
        <v>28</v>
      </c>
      <c r="D4280" t="s">
        <v>147</v>
      </c>
      <c r="E4280" t="s">
        <v>112</v>
      </c>
      <c r="F4280" t="s">
        <v>113</v>
      </c>
      <c r="G4280" t="s">
        <v>114</v>
      </c>
      <c r="H4280" t="s">
        <v>92</v>
      </c>
      <c r="I4280" t="s">
        <v>93</v>
      </c>
      <c r="J4280" t="s">
        <v>94</v>
      </c>
      <c r="K4280">
        <v>10</v>
      </c>
      <c r="L4280">
        <v>79800</v>
      </c>
      <c r="M4280">
        <v>798000</v>
      </c>
      <c r="N4280" t="s">
        <v>95</v>
      </c>
      <c r="O4280" t="s">
        <v>104</v>
      </c>
    </row>
    <row r="4281" spans="1:15" x14ac:dyDescent="0.25">
      <c r="A4281">
        <v>4473</v>
      </c>
      <c r="B4281" s="10">
        <v>45839</v>
      </c>
      <c r="C4281">
        <v>1</v>
      </c>
      <c r="D4281" t="s">
        <v>145</v>
      </c>
      <c r="E4281" t="s">
        <v>121</v>
      </c>
      <c r="F4281" t="s">
        <v>151</v>
      </c>
      <c r="G4281" t="s">
        <v>111</v>
      </c>
      <c r="H4281" t="s">
        <v>23</v>
      </c>
      <c r="I4281" t="s">
        <v>157</v>
      </c>
      <c r="J4281" t="s">
        <v>94</v>
      </c>
      <c r="K4281">
        <v>6</v>
      </c>
      <c r="L4281">
        <v>79900</v>
      </c>
      <c r="M4281">
        <v>479400</v>
      </c>
      <c r="N4281" t="s">
        <v>95</v>
      </c>
      <c r="O4281" t="s">
        <v>115</v>
      </c>
    </row>
    <row r="4282" spans="1:15" x14ac:dyDescent="0.25">
      <c r="A4282">
        <v>491</v>
      </c>
      <c r="B4282" s="10">
        <v>45677</v>
      </c>
      <c r="C4282">
        <v>20</v>
      </c>
      <c r="D4282" t="s">
        <v>130</v>
      </c>
      <c r="E4282" t="s">
        <v>137</v>
      </c>
      <c r="F4282" t="s">
        <v>49</v>
      </c>
      <c r="G4282" t="s">
        <v>118</v>
      </c>
      <c r="H4282" t="s">
        <v>92</v>
      </c>
      <c r="I4282" t="s">
        <v>93</v>
      </c>
      <c r="J4282" t="s">
        <v>94</v>
      </c>
      <c r="K4282">
        <v>6</v>
      </c>
      <c r="L4282">
        <v>80000</v>
      </c>
      <c r="M4282">
        <v>480000</v>
      </c>
      <c r="N4282" t="s">
        <v>95</v>
      </c>
      <c r="O4282" t="s">
        <v>104</v>
      </c>
    </row>
    <row r="4283" spans="1:15" x14ac:dyDescent="0.25">
      <c r="A4283">
        <v>2007</v>
      </c>
      <c r="B4283" s="10">
        <v>45664</v>
      </c>
      <c r="C4283">
        <v>7</v>
      </c>
      <c r="D4283" t="s">
        <v>130</v>
      </c>
      <c r="E4283" t="s">
        <v>31</v>
      </c>
      <c r="F4283" t="s">
        <v>107</v>
      </c>
      <c r="G4283" t="s">
        <v>100</v>
      </c>
      <c r="H4283" t="s">
        <v>92</v>
      </c>
      <c r="I4283" t="s">
        <v>93</v>
      </c>
      <c r="J4283" t="s">
        <v>94</v>
      </c>
      <c r="K4283">
        <v>5</v>
      </c>
      <c r="L4283">
        <v>80000</v>
      </c>
      <c r="M4283">
        <v>400000</v>
      </c>
      <c r="N4283" t="s">
        <v>95</v>
      </c>
      <c r="O4283" t="s">
        <v>115</v>
      </c>
    </row>
    <row r="4284" spans="1:15" x14ac:dyDescent="0.25">
      <c r="A4284">
        <v>3310</v>
      </c>
      <c r="B4284" s="10">
        <v>45944</v>
      </c>
      <c r="C4284">
        <v>14</v>
      </c>
      <c r="D4284" t="s">
        <v>136</v>
      </c>
      <c r="E4284" t="s">
        <v>150</v>
      </c>
      <c r="F4284" t="s">
        <v>144</v>
      </c>
      <c r="G4284" t="s">
        <v>91</v>
      </c>
      <c r="H4284" t="s">
        <v>92</v>
      </c>
      <c r="I4284" t="s">
        <v>93</v>
      </c>
      <c r="J4284" t="s">
        <v>94</v>
      </c>
      <c r="K4284">
        <v>4</v>
      </c>
      <c r="L4284">
        <v>80000</v>
      </c>
      <c r="M4284">
        <v>320000</v>
      </c>
      <c r="N4284" t="s">
        <v>95</v>
      </c>
      <c r="O4284" t="s">
        <v>104</v>
      </c>
    </row>
    <row r="4285" spans="1:15" x14ac:dyDescent="0.25">
      <c r="A4285">
        <v>3907</v>
      </c>
      <c r="B4285" s="10">
        <v>45828</v>
      </c>
      <c r="C4285">
        <v>20</v>
      </c>
      <c r="D4285" t="s">
        <v>153</v>
      </c>
      <c r="E4285" t="s">
        <v>128</v>
      </c>
      <c r="F4285" t="s">
        <v>49</v>
      </c>
      <c r="G4285" t="s">
        <v>118</v>
      </c>
      <c r="H4285" t="s">
        <v>23</v>
      </c>
      <c r="I4285" t="s">
        <v>157</v>
      </c>
      <c r="J4285" t="s">
        <v>94</v>
      </c>
      <c r="K4285">
        <v>7</v>
      </c>
      <c r="L4285">
        <v>80000</v>
      </c>
      <c r="M4285">
        <v>560000</v>
      </c>
      <c r="N4285" t="s">
        <v>95</v>
      </c>
      <c r="O4285" t="s">
        <v>115</v>
      </c>
    </row>
    <row r="4286" spans="1:15" x14ac:dyDescent="0.25">
      <c r="A4286">
        <v>1450</v>
      </c>
      <c r="B4286" s="10">
        <v>45679</v>
      </c>
      <c r="C4286">
        <v>22</v>
      </c>
      <c r="D4286" t="s">
        <v>130</v>
      </c>
      <c r="E4286" t="s">
        <v>110</v>
      </c>
      <c r="F4286" t="s">
        <v>107</v>
      </c>
      <c r="G4286" t="s">
        <v>100</v>
      </c>
      <c r="H4286" t="s">
        <v>92</v>
      </c>
      <c r="I4286" t="s">
        <v>93</v>
      </c>
      <c r="J4286" t="s">
        <v>94</v>
      </c>
      <c r="K4286">
        <v>7</v>
      </c>
      <c r="L4286">
        <v>80100</v>
      </c>
      <c r="M4286">
        <v>560700</v>
      </c>
      <c r="N4286" t="s">
        <v>108</v>
      </c>
      <c r="O4286" t="s">
        <v>96</v>
      </c>
    </row>
    <row r="4287" spans="1:15" x14ac:dyDescent="0.25">
      <c r="A4287">
        <v>3849</v>
      </c>
      <c r="B4287" s="10">
        <v>45905</v>
      </c>
      <c r="C4287">
        <v>5</v>
      </c>
      <c r="D4287" t="s">
        <v>147</v>
      </c>
      <c r="E4287" t="s">
        <v>150</v>
      </c>
      <c r="F4287" t="s">
        <v>113</v>
      </c>
      <c r="G4287" t="s">
        <v>114</v>
      </c>
      <c r="H4287" t="s">
        <v>23</v>
      </c>
      <c r="I4287" t="s">
        <v>34</v>
      </c>
      <c r="J4287" t="s">
        <v>103</v>
      </c>
      <c r="K4287">
        <v>24</v>
      </c>
      <c r="L4287">
        <v>80100</v>
      </c>
      <c r="M4287">
        <v>1922400</v>
      </c>
      <c r="N4287" t="s">
        <v>95</v>
      </c>
      <c r="O4287" t="s">
        <v>115</v>
      </c>
    </row>
    <row r="4288" spans="1:15" x14ac:dyDescent="0.25">
      <c r="A4288">
        <v>4245</v>
      </c>
      <c r="B4288" s="10">
        <v>45678</v>
      </c>
      <c r="C4288">
        <v>21</v>
      </c>
      <c r="D4288" t="s">
        <v>130</v>
      </c>
      <c r="E4288" t="s">
        <v>112</v>
      </c>
      <c r="F4288" t="s">
        <v>117</v>
      </c>
      <c r="G4288" t="s">
        <v>118</v>
      </c>
      <c r="H4288" t="s">
        <v>92</v>
      </c>
      <c r="I4288" t="s">
        <v>93</v>
      </c>
      <c r="J4288" t="s">
        <v>94</v>
      </c>
      <c r="K4288">
        <v>4</v>
      </c>
      <c r="L4288">
        <v>80100</v>
      </c>
      <c r="M4288">
        <v>320400</v>
      </c>
      <c r="N4288" t="s">
        <v>95</v>
      </c>
      <c r="O4288" t="s">
        <v>115</v>
      </c>
    </row>
    <row r="4289" spans="1:15" x14ac:dyDescent="0.25">
      <c r="A4289">
        <v>895</v>
      </c>
      <c r="B4289" s="10">
        <v>45929</v>
      </c>
      <c r="C4289">
        <v>29</v>
      </c>
      <c r="D4289" t="s">
        <v>147</v>
      </c>
      <c r="E4289" t="s">
        <v>98</v>
      </c>
      <c r="F4289" t="s">
        <v>144</v>
      </c>
      <c r="G4289" t="s">
        <v>91</v>
      </c>
      <c r="H4289" t="s">
        <v>23</v>
      </c>
      <c r="I4289" t="s">
        <v>157</v>
      </c>
      <c r="J4289" t="s">
        <v>94</v>
      </c>
      <c r="K4289">
        <v>3</v>
      </c>
      <c r="L4289">
        <v>80200</v>
      </c>
      <c r="M4289">
        <v>240600</v>
      </c>
      <c r="N4289" t="s">
        <v>95</v>
      </c>
      <c r="O4289" t="s">
        <v>96</v>
      </c>
    </row>
    <row r="4290" spans="1:15" x14ac:dyDescent="0.25">
      <c r="A4290">
        <v>2517</v>
      </c>
      <c r="B4290" s="10">
        <v>45970</v>
      </c>
      <c r="C4290">
        <v>9</v>
      </c>
      <c r="D4290" t="s">
        <v>90</v>
      </c>
      <c r="E4290" t="s">
        <v>150</v>
      </c>
      <c r="F4290" t="s">
        <v>144</v>
      </c>
      <c r="G4290" t="s">
        <v>91</v>
      </c>
      <c r="H4290" t="s">
        <v>92</v>
      </c>
      <c r="I4290" t="s">
        <v>93</v>
      </c>
      <c r="J4290" t="s">
        <v>94</v>
      </c>
      <c r="K4290">
        <v>1</v>
      </c>
      <c r="L4290">
        <v>80300</v>
      </c>
      <c r="M4290">
        <v>80300</v>
      </c>
      <c r="N4290" t="s">
        <v>95</v>
      </c>
      <c r="O4290" t="s">
        <v>115</v>
      </c>
    </row>
    <row r="4291" spans="1:15" x14ac:dyDescent="0.25">
      <c r="A4291">
        <v>2618</v>
      </c>
      <c r="B4291" s="10">
        <v>45738</v>
      </c>
      <c r="C4291">
        <v>22</v>
      </c>
      <c r="D4291" t="s">
        <v>140</v>
      </c>
      <c r="E4291" t="s">
        <v>106</v>
      </c>
      <c r="F4291" t="s">
        <v>113</v>
      </c>
      <c r="G4291" t="s">
        <v>114</v>
      </c>
      <c r="H4291" t="s">
        <v>92</v>
      </c>
      <c r="I4291" t="s">
        <v>93</v>
      </c>
      <c r="J4291" t="s">
        <v>94</v>
      </c>
      <c r="K4291">
        <v>7</v>
      </c>
      <c r="L4291">
        <v>80300</v>
      </c>
      <c r="M4291">
        <v>562100</v>
      </c>
      <c r="N4291" t="s">
        <v>108</v>
      </c>
      <c r="O4291" t="s">
        <v>115</v>
      </c>
    </row>
    <row r="4292" spans="1:15" x14ac:dyDescent="0.25">
      <c r="A4292">
        <v>3388</v>
      </c>
      <c r="B4292" s="10">
        <v>45994</v>
      </c>
      <c r="C4292">
        <v>3</v>
      </c>
      <c r="D4292" t="s">
        <v>125</v>
      </c>
      <c r="E4292" t="s">
        <v>112</v>
      </c>
      <c r="F4292" t="s">
        <v>49</v>
      </c>
      <c r="G4292" t="s">
        <v>118</v>
      </c>
      <c r="H4292" t="s">
        <v>92</v>
      </c>
      <c r="I4292" t="s">
        <v>93</v>
      </c>
      <c r="J4292" t="s">
        <v>94</v>
      </c>
      <c r="K4292">
        <v>5</v>
      </c>
      <c r="L4292">
        <v>80300</v>
      </c>
      <c r="M4292">
        <v>401500</v>
      </c>
      <c r="N4292" t="s">
        <v>95</v>
      </c>
      <c r="O4292" t="s">
        <v>96</v>
      </c>
    </row>
    <row r="4293" spans="1:15" x14ac:dyDescent="0.25">
      <c r="A4293">
        <v>3447</v>
      </c>
      <c r="B4293" s="10">
        <v>45946</v>
      </c>
      <c r="C4293">
        <v>16</v>
      </c>
      <c r="D4293" t="s">
        <v>136</v>
      </c>
      <c r="E4293" t="s">
        <v>112</v>
      </c>
      <c r="F4293" t="s">
        <v>134</v>
      </c>
      <c r="G4293" t="s">
        <v>100</v>
      </c>
      <c r="H4293" t="s">
        <v>23</v>
      </c>
      <c r="I4293" t="s">
        <v>34</v>
      </c>
      <c r="J4293" t="s">
        <v>103</v>
      </c>
      <c r="K4293">
        <v>15</v>
      </c>
      <c r="L4293">
        <v>80300</v>
      </c>
      <c r="M4293">
        <v>1204500</v>
      </c>
      <c r="N4293" t="s">
        <v>108</v>
      </c>
      <c r="O4293" t="s">
        <v>115</v>
      </c>
    </row>
    <row r="4294" spans="1:15" x14ac:dyDescent="0.25">
      <c r="A4294">
        <v>544</v>
      </c>
      <c r="B4294" s="10">
        <v>45770</v>
      </c>
      <c r="C4294">
        <v>23</v>
      </c>
      <c r="D4294" t="s">
        <v>105</v>
      </c>
      <c r="E4294" t="s">
        <v>138</v>
      </c>
      <c r="F4294" t="s">
        <v>107</v>
      </c>
      <c r="G4294" t="s">
        <v>100</v>
      </c>
      <c r="H4294" t="s">
        <v>23</v>
      </c>
      <c r="I4294" t="s">
        <v>157</v>
      </c>
      <c r="J4294" t="s">
        <v>94</v>
      </c>
      <c r="K4294">
        <v>7</v>
      </c>
      <c r="L4294">
        <v>80400</v>
      </c>
      <c r="M4294">
        <v>562800</v>
      </c>
      <c r="N4294" t="s">
        <v>108</v>
      </c>
      <c r="O4294" t="s">
        <v>104</v>
      </c>
    </row>
    <row r="4295" spans="1:15" x14ac:dyDescent="0.25">
      <c r="A4295">
        <v>281</v>
      </c>
      <c r="B4295" s="10">
        <v>45865</v>
      </c>
      <c r="C4295">
        <v>27</v>
      </c>
      <c r="D4295" t="s">
        <v>145</v>
      </c>
      <c r="E4295" t="s">
        <v>98</v>
      </c>
      <c r="F4295" t="s">
        <v>107</v>
      </c>
      <c r="G4295" t="s">
        <v>100</v>
      </c>
      <c r="H4295" t="s">
        <v>92</v>
      </c>
      <c r="I4295" t="s">
        <v>93</v>
      </c>
      <c r="J4295" t="s">
        <v>94</v>
      </c>
      <c r="K4295">
        <v>5</v>
      </c>
      <c r="L4295">
        <v>80500</v>
      </c>
      <c r="M4295">
        <v>402500</v>
      </c>
      <c r="N4295" t="s">
        <v>108</v>
      </c>
      <c r="O4295" t="s">
        <v>96</v>
      </c>
    </row>
    <row r="4296" spans="1:15" x14ac:dyDescent="0.25">
      <c r="A4296">
        <v>386</v>
      </c>
      <c r="B4296" s="10">
        <v>45671</v>
      </c>
      <c r="C4296">
        <v>14</v>
      </c>
      <c r="D4296" t="s">
        <v>130</v>
      </c>
      <c r="E4296" t="s">
        <v>121</v>
      </c>
      <c r="F4296" t="s">
        <v>141</v>
      </c>
      <c r="G4296" t="s">
        <v>100</v>
      </c>
      <c r="H4296" t="s">
        <v>92</v>
      </c>
      <c r="I4296" t="s">
        <v>93</v>
      </c>
      <c r="J4296" t="s">
        <v>94</v>
      </c>
      <c r="K4296">
        <v>9</v>
      </c>
      <c r="L4296">
        <v>80600</v>
      </c>
      <c r="M4296">
        <v>725400</v>
      </c>
      <c r="N4296" t="s">
        <v>95</v>
      </c>
      <c r="O4296" t="s">
        <v>96</v>
      </c>
    </row>
    <row r="4297" spans="1:15" x14ac:dyDescent="0.25">
      <c r="A4297">
        <v>984</v>
      </c>
      <c r="B4297" s="10">
        <v>45733</v>
      </c>
      <c r="C4297">
        <v>17</v>
      </c>
      <c r="D4297" t="s">
        <v>140</v>
      </c>
      <c r="E4297" t="s">
        <v>31</v>
      </c>
      <c r="F4297" t="s">
        <v>113</v>
      </c>
      <c r="G4297" t="s">
        <v>114</v>
      </c>
      <c r="H4297" t="s">
        <v>23</v>
      </c>
      <c r="I4297" t="s">
        <v>34</v>
      </c>
      <c r="J4297" t="s">
        <v>103</v>
      </c>
      <c r="K4297">
        <v>16</v>
      </c>
      <c r="L4297">
        <v>80600</v>
      </c>
      <c r="M4297">
        <v>1289600</v>
      </c>
      <c r="N4297" t="s">
        <v>95</v>
      </c>
      <c r="O4297" t="s">
        <v>96</v>
      </c>
    </row>
    <row r="4298" spans="1:15" x14ac:dyDescent="0.25">
      <c r="A4298">
        <v>3734</v>
      </c>
      <c r="B4298" s="10">
        <v>45681</v>
      </c>
      <c r="C4298">
        <v>24</v>
      </c>
      <c r="D4298" t="s">
        <v>130</v>
      </c>
      <c r="E4298" t="s">
        <v>138</v>
      </c>
      <c r="F4298" t="s">
        <v>141</v>
      </c>
      <c r="G4298" t="s">
        <v>100</v>
      </c>
      <c r="H4298" t="s">
        <v>92</v>
      </c>
      <c r="I4298" t="s">
        <v>93</v>
      </c>
      <c r="J4298" t="s">
        <v>94</v>
      </c>
      <c r="K4298">
        <v>9</v>
      </c>
      <c r="L4298">
        <v>80600</v>
      </c>
      <c r="M4298">
        <v>725400</v>
      </c>
      <c r="N4298" t="s">
        <v>108</v>
      </c>
      <c r="O4298" t="s">
        <v>104</v>
      </c>
    </row>
    <row r="4299" spans="1:15" x14ac:dyDescent="0.25">
      <c r="A4299">
        <v>4648</v>
      </c>
      <c r="B4299" s="10">
        <v>45802</v>
      </c>
      <c r="C4299">
        <v>25</v>
      </c>
      <c r="D4299" t="s">
        <v>120</v>
      </c>
      <c r="E4299" t="s">
        <v>121</v>
      </c>
      <c r="F4299" t="s">
        <v>113</v>
      </c>
      <c r="G4299" t="s">
        <v>114</v>
      </c>
      <c r="H4299" t="s">
        <v>23</v>
      </c>
      <c r="I4299" t="s">
        <v>34</v>
      </c>
      <c r="J4299" t="s">
        <v>103</v>
      </c>
      <c r="K4299">
        <v>11</v>
      </c>
      <c r="L4299">
        <v>80600</v>
      </c>
      <c r="M4299">
        <v>886600</v>
      </c>
      <c r="N4299" t="s">
        <v>108</v>
      </c>
      <c r="O4299" t="s">
        <v>96</v>
      </c>
    </row>
    <row r="4300" spans="1:15" x14ac:dyDescent="0.25">
      <c r="A4300">
        <v>747</v>
      </c>
      <c r="B4300" s="10">
        <v>45811</v>
      </c>
      <c r="C4300">
        <v>3</v>
      </c>
      <c r="D4300" t="s">
        <v>153</v>
      </c>
      <c r="E4300" t="s">
        <v>110</v>
      </c>
      <c r="F4300" t="s">
        <v>99</v>
      </c>
      <c r="G4300" t="s">
        <v>100</v>
      </c>
      <c r="H4300" t="s">
        <v>92</v>
      </c>
      <c r="I4300" t="s">
        <v>93</v>
      </c>
      <c r="J4300" t="s">
        <v>94</v>
      </c>
      <c r="K4300">
        <v>4</v>
      </c>
      <c r="L4300">
        <v>80700</v>
      </c>
      <c r="M4300">
        <v>322800</v>
      </c>
      <c r="N4300" t="s">
        <v>108</v>
      </c>
      <c r="O4300" t="s">
        <v>115</v>
      </c>
    </row>
    <row r="4301" spans="1:15" x14ac:dyDescent="0.25">
      <c r="A4301">
        <v>1293</v>
      </c>
      <c r="B4301" s="10">
        <v>45926</v>
      </c>
      <c r="C4301">
        <v>26</v>
      </c>
      <c r="D4301" t="s">
        <v>147</v>
      </c>
      <c r="E4301" t="s">
        <v>128</v>
      </c>
      <c r="F4301" t="s">
        <v>107</v>
      </c>
      <c r="G4301" t="s">
        <v>100</v>
      </c>
      <c r="H4301" t="s">
        <v>23</v>
      </c>
      <c r="I4301" t="s">
        <v>34</v>
      </c>
      <c r="J4301" t="s">
        <v>103</v>
      </c>
      <c r="K4301">
        <v>49</v>
      </c>
      <c r="L4301">
        <v>80700</v>
      </c>
      <c r="M4301">
        <v>3954300</v>
      </c>
      <c r="N4301" t="s">
        <v>95</v>
      </c>
      <c r="O4301" t="s">
        <v>115</v>
      </c>
    </row>
    <row r="4302" spans="1:15" x14ac:dyDescent="0.25">
      <c r="A4302">
        <v>2801</v>
      </c>
      <c r="B4302" s="10">
        <v>46000</v>
      </c>
      <c r="C4302">
        <v>9</v>
      </c>
      <c r="D4302" t="s">
        <v>125</v>
      </c>
      <c r="E4302" t="s">
        <v>116</v>
      </c>
      <c r="F4302" t="s">
        <v>36</v>
      </c>
      <c r="G4302" t="s">
        <v>100</v>
      </c>
      <c r="H4302" t="s">
        <v>92</v>
      </c>
      <c r="I4302" t="s">
        <v>93</v>
      </c>
      <c r="J4302" t="s">
        <v>94</v>
      </c>
      <c r="K4302">
        <v>6</v>
      </c>
      <c r="L4302">
        <v>80700</v>
      </c>
      <c r="M4302">
        <v>484200</v>
      </c>
      <c r="N4302" t="s">
        <v>95</v>
      </c>
      <c r="O4302" t="s">
        <v>115</v>
      </c>
    </row>
    <row r="4303" spans="1:15" x14ac:dyDescent="0.25">
      <c r="A4303">
        <v>4039</v>
      </c>
      <c r="B4303" s="10">
        <v>45736</v>
      </c>
      <c r="C4303">
        <v>20</v>
      </c>
      <c r="D4303" t="s">
        <v>140</v>
      </c>
      <c r="E4303" t="s">
        <v>25</v>
      </c>
      <c r="F4303" t="s">
        <v>141</v>
      </c>
      <c r="G4303" t="s">
        <v>100</v>
      </c>
      <c r="H4303" t="s">
        <v>23</v>
      </c>
      <c r="I4303" t="s">
        <v>34</v>
      </c>
      <c r="J4303" t="s">
        <v>103</v>
      </c>
      <c r="K4303">
        <v>47</v>
      </c>
      <c r="L4303">
        <v>80700</v>
      </c>
      <c r="M4303">
        <v>3792900</v>
      </c>
      <c r="N4303" t="s">
        <v>95</v>
      </c>
      <c r="O4303" t="s">
        <v>104</v>
      </c>
    </row>
    <row r="4304" spans="1:15" x14ac:dyDescent="0.25">
      <c r="A4304">
        <v>657</v>
      </c>
      <c r="B4304" s="10">
        <v>45982</v>
      </c>
      <c r="C4304">
        <v>21</v>
      </c>
      <c r="D4304" t="s">
        <v>90</v>
      </c>
      <c r="E4304" t="s">
        <v>142</v>
      </c>
      <c r="F4304" t="s">
        <v>113</v>
      </c>
      <c r="G4304" t="s">
        <v>114</v>
      </c>
      <c r="H4304" t="s">
        <v>23</v>
      </c>
      <c r="I4304" t="s">
        <v>34</v>
      </c>
      <c r="J4304" t="s">
        <v>103</v>
      </c>
      <c r="K4304">
        <v>42</v>
      </c>
      <c r="L4304">
        <v>80800</v>
      </c>
      <c r="M4304">
        <v>3393600</v>
      </c>
      <c r="N4304" t="s">
        <v>95</v>
      </c>
      <c r="O4304" t="s">
        <v>115</v>
      </c>
    </row>
    <row r="4305" spans="1:15" x14ac:dyDescent="0.25">
      <c r="A4305">
        <v>2165</v>
      </c>
      <c r="B4305" s="10">
        <v>45666</v>
      </c>
      <c r="C4305">
        <v>9</v>
      </c>
      <c r="D4305" t="s">
        <v>130</v>
      </c>
      <c r="E4305" t="s">
        <v>161</v>
      </c>
      <c r="F4305" t="s">
        <v>28</v>
      </c>
      <c r="G4305" t="s">
        <v>126</v>
      </c>
      <c r="H4305" t="s">
        <v>23</v>
      </c>
      <c r="I4305" t="s">
        <v>157</v>
      </c>
      <c r="J4305" t="s">
        <v>94</v>
      </c>
      <c r="K4305">
        <v>4</v>
      </c>
      <c r="L4305">
        <v>80900</v>
      </c>
      <c r="M4305">
        <v>323600</v>
      </c>
      <c r="N4305" t="s">
        <v>108</v>
      </c>
      <c r="O4305" t="s">
        <v>104</v>
      </c>
    </row>
    <row r="4306" spans="1:15" x14ac:dyDescent="0.25">
      <c r="A4306">
        <v>4442</v>
      </c>
      <c r="B4306" s="10">
        <v>45843</v>
      </c>
      <c r="C4306">
        <v>5</v>
      </c>
      <c r="D4306" t="s">
        <v>145</v>
      </c>
      <c r="E4306" t="s">
        <v>142</v>
      </c>
      <c r="F4306" t="s">
        <v>117</v>
      </c>
      <c r="G4306" t="s">
        <v>118</v>
      </c>
      <c r="H4306" t="s">
        <v>92</v>
      </c>
      <c r="I4306" t="s">
        <v>93</v>
      </c>
      <c r="J4306" t="s">
        <v>94</v>
      </c>
      <c r="K4306">
        <v>2</v>
      </c>
      <c r="L4306">
        <v>80900</v>
      </c>
      <c r="M4306">
        <v>161800</v>
      </c>
      <c r="N4306" t="s">
        <v>108</v>
      </c>
      <c r="O4306" t="s">
        <v>104</v>
      </c>
    </row>
    <row r="4307" spans="1:15" x14ac:dyDescent="0.25">
      <c r="A4307">
        <v>3427</v>
      </c>
      <c r="B4307" s="10">
        <v>45710</v>
      </c>
      <c r="C4307">
        <v>22</v>
      </c>
      <c r="D4307" t="s">
        <v>97</v>
      </c>
      <c r="E4307" t="s">
        <v>110</v>
      </c>
      <c r="F4307" t="s">
        <v>44</v>
      </c>
      <c r="G4307" t="s">
        <v>111</v>
      </c>
      <c r="H4307" t="s">
        <v>92</v>
      </c>
      <c r="I4307" t="s">
        <v>93</v>
      </c>
      <c r="J4307" t="s">
        <v>94</v>
      </c>
      <c r="K4307">
        <v>5</v>
      </c>
      <c r="L4307">
        <v>81000</v>
      </c>
      <c r="M4307">
        <v>405000</v>
      </c>
      <c r="N4307" t="s">
        <v>95</v>
      </c>
      <c r="O4307" t="s">
        <v>96</v>
      </c>
    </row>
    <row r="4308" spans="1:15" x14ac:dyDescent="0.25">
      <c r="A4308">
        <v>3985</v>
      </c>
      <c r="B4308" s="10">
        <v>45962</v>
      </c>
      <c r="C4308">
        <v>1</v>
      </c>
      <c r="D4308" t="s">
        <v>90</v>
      </c>
      <c r="E4308" t="s">
        <v>112</v>
      </c>
      <c r="F4308" t="s">
        <v>28</v>
      </c>
      <c r="G4308" t="s">
        <v>126</v>
      </c>
      <c r="H4308" t="s">
        <v>92</v>
      </c>
      <c r="I4308" t="s">
        <v>93</v>
      </c>
      <c r="J4308" t="s">
        <v>94</v>
      </c>
      <c r="K4308">
        <v>2</v>
      </c>
      <c r="L4308">
        <v>81000</v>
      </c>
      <c r="M4308">
        <v>162000</v>
      </c>
      <c r="N4308" t="s">
        <v>108</v>
      </c>
      <c r="O4308" t="s">
        <v>104</v>
      </c>
    </row>
    <row r="4309" spans="1:15" x14ac:dyDescent="0.25">
      <c r="A4309">
        <v>4729</v>
      </c>
      <c r="B4309" s="10">
        <v>45668</v>
      </c>
      <c r="C4309">
        <v>11</v>
      </c>
      <c r="D4309" t="s">
        <v>130</v>
      </c>
      <c r="E4309" t="s">
        <v>161</v>
      </c>
      <c r="F4309" t="s">
        <v>28</v>
      </c>
      <c r="G4309" t="s">
        <v>126</v>
      </c>
      <c r="H4309" t="s">
        <v>23</v>
      </c>
      <c r="I4309" t="s">
        <v>157</v>
      </c>
      <c r="J4309" t="s">
        <v>94</v>
      </c>
      <c r="K4309">
        <v>7</v>
      </c>
      <c r="L4309">
        <v>81000</v>
      </c>
      <c r="M4309">
        <v>567000</v>
      </c>
      <c r="N4309" t="s">
        <v>95</v>
      </c>
      <c r="O4309" t="s">
        <v>96</v>
      </c>
    </row>
    <row r="4310" spans="1:15" x14ac:dyDescent="0.25">
      <c r="A4310">
        <v>1418</v>
      </c>
      <c r="B4310" s="10">
        <v>45745</v>
      </c>
      <c r="C4310">
        <v>29</v>
      </c>
      <c r="D4310" t="s">
        <v>140</v>
      </c>
      <c r="E4310" t="s">
        <v>31</v>
      </c>
      <c r="F4310" t="s">
        <v>49</v>
      </c>
      <c r="G4310" t="s">
        <v>118</v>
      </c>
      <c r="H4310" t="s">
        <v>92</v>
      </c>
      <c r="I4310" t="s">
        <v>93</v>
      </c>
      <c r="J4310" t="s">
        <v>94</v>
      </c>
      <c r="K4310">
        <v>1</v>
      </c>
      <c r="L4310">
        <v>81100</v>
      </c>
      <c r="M4310">
        <v>81100</v>
      </c>
      <c r="N4310" t="s">
        <v>108</v>
      </c>
      <c r="O4310" t="s">
        <v>104</v>
      </c>
    </row>
    <row r="4311" spans="1:15" x14ac:dyDescent="0.25">
      <c r="A4311">
        <v>3455</v>
      </c>
      <c r="B4311" s="10">
        <v>45722</v>
      </c>
      <c r="C4311">
        <v>6</v>
      </c>
      <c r="D4311" t="s">
        <v>140</v>
      </c>
      <c r="E4311" t="s">
        <v>121</v>
      </c>
      <c r="F4311" t="s">
        <v>113</v>
      </c>
      <c r="G4311" t="s">
        <v>114</v>
      </c>
      <c r="H4311" t="s">
        <v>23</v>
      </c>
      <c r="I4311" t="s">
        <v>34</v>
      </c>
      <c r="J4311" t="s">
        <v>94</v>
      </c>
      <c r="K4311">
        <v>4</v>
      </c>
      <c r="L4311">
        <v>81100</v>
      </c>
      <c r="M4311">
        <v>324400</v>
      </c>
      <c r="N4311" t="s">
        <v>95</v>
      </c>
      <c r="O4311" t="s">
        <v>96</v>
      </c>
    </row>
    <row r="4312" spans="1:15" x14ac:dyDescent="0.25">
      <c r="A4312">
        <v>4943</v>
      </c>
      <c r="B4312" s="10">
        <v>45833</v>
      </c>
      <c r="C4312">
        <v>25</v>
      </c>
      <c r="D4312" t="s">
        <v>153</v>
      </c>
      <c r="E4312" t="s">
        <v>112</v>
      </c>
      <c r="F4312" t="s">
        <v>151</v>
      </c>
      <c r="G4312" t="s">
        <v>111</v>
      </c>
      <c r="H4312" t="s">
        <v>23</v>
      </c>
      <c r="I4312" t="s">
        <v>34</v>
      </c>
      <c r="J4312" t="s">
        <v>103</v>
      </c>
      <c r="K4312">
        <v>29</v>
      </c>
      <c r="L4312">
        <v>81100</v>
      </c>
      <c r="M4312">
        <v>2351900</v>
      </c>
      <c r="N4312" t="s">
        <v>108</v>
      </c>
      <c r="O4312" t="s">
        <v>104</v>
      </c>
    </row>
    <row r="4313" spans="1:15" x14ac:dyDescent="0.25">
      <c r="A4313">
        <v>409</v>
      </c>
      <c r="B4313" s="10">
        <v>46022</v>
      </c>
      <c r="C4313">
        <v>31</v>
      </c>
      <c r="D4313" t="s">
        <v>125</v>
      </c>
      <c r="E4313" t="s">
        <v>116</v>
      </c>
      <c r="F4313" t="s">
        <v>28</v>
      </c>
      <c r="G4313" t="s">
        <v>126</v>
      </c>
      <c r="H4313" t="s">
        <v>23</v>
      </c>
      <c r="I4313" t="s">
        <v>34</v>
      </c>
      <c r="J4313" t="s">
        <v>103</v>
      </c>
      <c r="K4313">
        <v>49</v>
      </c>
      <c r="L4313">
        <v>81200</v>
      </c>
      <c r="M4313">
        <v>3978800</v>
      </c>
      <c r="N4313" t="s">
        <v>108</v>
      </c>
      <c r="O4313" t="s">
        <v>115</v>
      </c>
    </row>
    <row r="4314" spans="1:15" x14ac:dyDescent="0.25">
      <c r="A4314">
        <v>4815</v>
      </c>
      <c r="B4314" s="10">
        <v>45754</v>
      </c>
      <c r="C4314">
        <v>7</v>
      </c>
      <c r="D4314" t="s">
        <v>105</v>
      </c>
      <c r="E4314" t="s">
        <v>161</v>
      </c>
      <c r="F4314" t="s">
        <v>22</v>
      </c>
      <c r="G4314" t="s">
        <v>91</v>
      </c>
      <c r="H4314" t="s">
        <v>92</v>
      </c>
      <c r="I4314" t="s">
        <v>93</v>
      </c>
      <c r="J4314" t="s">
        <v>94</v>
      </c>
      <c r="K4314">
        <v>6</v>
      </c>
      <c r="L4314">
        <v>81200</v>
      </c>
      <c r="M4314">
        <v>487200</v>
      </c>
      <c r="N4314" t="s">
        <v>108</v>
      </c>
      <c r="O4314" t="s">
        <v>104</v>
      </c>
    </row>
    <row r="4315" spans="1:15" x14ac:dyDescent="0.25">
      <c r="A4315">
        <v>642</v>
      </c>
      <c r="B4315" s="10">
        <v>45737</v>
      </c>
      <c r="C4315">
        <v>21</v>
      </c>
      <c r="D4315" t="s">
        <v>140</v>
      </c>
      <c r="E4315" t="s">
        <v>116</v>
      </c>
      <c r="F4315" t="s">
        <v>22</v>
      </c>
      <c r="G4315" t="s">
        <v>91</v>
      </c>
      <c r="H4315" t="s">
        <v>23</v>
      </c>
      <c r="I4315" t="s">
        <v>157</v>
      </c>
      <c r="J4315" t="s">
        <v>94</v>
      </c>
      <c r="K4315">
        <v>6</v>
      </c>
      <c r="L4315">
        <v>81300</v>
      </c>
      <c r="M4315">
        <v>487800</v>
      </c>
      <c r="N4315" t="s">
        <v>108</v>
      </c>
      <c r="O4315" t="s">
        <v>115</v>
      </c>
    </row>
    <row r="4316" spans="1:15" x14ac:dyDescent="0.25">
      <c r="A4316">
        <v>2635</v>
      </c>
      <c r="B4316" s="10">
        <v>45968</v>
      </c>
      <c r="C4316">
        <v>7</v>
      </c>
      <c r="D4316" t="s">
        <v>90</v>
      </c>
      <c r="E4316" t="s">
        <v>133</v>
      </c>
      <c r="F4316" t="s">
        <v>117</v>
      </c>
      <c r="G4316" t="s">
        <v>118</v>
      </c>
      <c r="H4316" t="s">
        <v>23</v>
      </c>
      <c r="I4316" t="s">
        <v>157</v>
      </c>
      <c r="J4316" t="s">
        <v>94</v>
      </c>
      <c r="K4316">
        <v>4</v>
      </c>
      <c r="L4316">
        <v>81400</v>
      </c>
      <c r="M4316">
        <v>325600</v>
      </c>
      <c r="N4316" t="s">
        <v>108</v>
      </c>
      <c r="O4316" t="s">
        <v>104</v>
      </c>
    </row>
    <row r="4317" spans="1:15" x14ac:dyDescent="0.25">
      <c r="A4317">
        <v>3655</v>
      </c>
      <c r="B4317" s="10">
        <v>45957</v>
      </c>
      <c r="C4317">
        <v>27</v>
      </c>
      <c r="D4317" t="s">
        <v>136</v>
      </c>
      <c r="E4317" t="s">
        <v>150</v>
      </c>
      <c r="F4317" t="s">
        <v>134</v>
      </c>
      <c r="G4317" t="s">
        <v>100</v>
      </c>
      <c r="H4317" t="s">
        <v>23</v>
      </c>
      <c r="I4317" t="s">
        <v>34</v>
      </c>
      <c r="J4317" t="s">
        <v>103</v>
      </c>
      <c r="K4317">
        <v>29</v>
      </c>
      <c r="L4317">
        <v>81400</v>
      </c>
      <c r="M4317">
        <v>2360600</v>
      </c>
      <c r="N4317" t="s">
        <v>108</v>
      </c>
      <c r="O4317" t="s">
        <v>96</v>
      </c>
    </row>
    <row r="4318" spans="1:15" x14ac:dyDescent="0.25">
      <c r="A4318">
        <v>2026</v>
      </c>
      <c r="B4318" s="10">
        <v>45939</v>
      </c>
      <c r="C4318">
        <v>9</v>
      </c>
      <c r="D4318" t="s">
        <v>136</v>
      </c>
      <c r="E4318" t="s">
        <v>142</v>
      </c>
      <c r="F4318" t="s">
        <v>22</v>
      </c>
      <c r="G4318" t="s">
        <v>91</v>
      </c>
      <c r="H4318" t="s">
        <v>23</v>
      </c>
      <c r="I4318" t="s">
        <v>34</v>
      </c>
      <c r="J4318" t="s">
        <v>103</v>
      </c>
      <c r="K4318">
        <v>36</v>
      </c>
      <c r="L4318">
        <v>81500</v>
      </c>
      <c r="M4318">
        <v>2934000</v>
      </c>
      <c r="N4318" t="s">
        <v>108</v>
      </c>
      <c r="O4318" t="s">
        <v>96</v>
      </c>
    </row>
    <row r="4319" spans="1:15" x14ac:dyDescent="0.25">
      <c r="A4319">
        <v>4143</v>
      </c>
      <c r="B4319" s="10">
        <v>45797</v>
      </c>
      <c r="C4319">
        <v>20</v>
      </c>
      <c r="D4319" t="s">
        <v>120</v>
      </c>
      <c r="E4319" t="s">
        <v>98</v>
      </c>
      <c r="F4319" t="s">
        <v>36</v>
      </c>
      <c r="G4319" t="s">
        <v>100</v>
      </c>
      <c r="H4319" t="s">
        <v>92</v>
      </c>
      <c r="I4319" t="s">
        <v>93</v>
      </c>
      <c r="J4319" t="s">
        <v>94</v>
      </c>
      <c r="K4319">
        <v>8</v>
      </c>
      <c r="L4319">
        <v>81500</v>
      </c>
      <c r="M4319">
        <v>652000</v>
      </c>
      <c r="N4319" t="s">
        <v>108</v>
      </c>
      <c r="O4319" t="s">
        <v>104</v>
      </c>
    </row>
    <row r="4320" spans="1:15" x14ac:dyDescent="0.25">
      <c r="A4320">
        <v>4342</v>
      </c>
      <c r="B4320" s="10">
        <v>45764</v>
      </c>
      <c r="C4320">
        <v>17</v>
      </c>
      <c r="D4320" t="s">
        <v>105</v>
      </c>
      <c r="E4320" t="s">
        <v>31</v>
      </c>
      <c r="F4320" t="s">
        <v>134</v>
      </c>
      <c r="G4320" t="s">
        <v>100</v>
      </c>
      <c r="H4320" t="s">
        <v>23</v>
      </c>
      <c r="I4320" t="s">
        <v>34</v>
      </c>
      <c r="J4320" t="s">
        <v>103</v>
      </c>
      <c r="K4320">
        <v>46</v>
      </c>
      <c r="L4320">
        <v>81500</v>
      </c>
      <c r="M4320">
        <v>3749000</v>
      </c>
      <c r="N4320" t="s">
        <v>95</v>
      </c>
      <c r="O4320" t="s">
        <v>104</v>
      </c>
    </row>
    <row r="4321" spans="1:15" x14ac:dyDescent="0.25">
      <c r="A4321">
        <v>4384</v>
      </c>
      <c r="B4321" s="10">
        <v>45664</v>
      </c>
      <c r="C4321">
        <v>7</v>
      </c>
      <c r="D4321" t="s">
        <v>130</v>
      </c>
      <c r="E4321" t="s">
        <v>133</v>
      </c>
      <c r="F4321" t="s">
        <v>107</v>
      </c>
      <c r="G4321" t="s">
        <v>100</v>
      </c>
      <c r="H4321" t="s">
        <v>23</v>
      </c>
      <c r="I4321" t="s">
        <v>34</v>
      </c>
      <c r="J4321" t="s">
        <v>103</v>
      </c>
      <c r="K4321">
        <v>45</v>
      </c>
      <c r="L4321">
        <v>81500</v>
      </c>
      <c r="M4321">
        <v>3667500</v>
      </c>
      <c r="N4321" t="s">
        <v>108</v>
      </c>
      <c r="O4321" t="s">
        <v>115</v>
      </c>
    </row>
    <row r="4322" spans="1:15" x14ac:dyDescent="0.25">
      <c r="A4322">
        <v>2819</v>
      </c>
      <c r="B4322" s="10">
        <v>45777</v>
      </c>
      <c r="C4322">
        <v>30</v>
      </c>
      <c r="D4322" t="s">
        <v>105</v>
      </c>
      <c r="E4322" t="s">
        <v>121</v>
      </c>
      <c r="F4322" t="s">
        <v>144</v>
      </c>
      <c r="G4322" t="s">
        <v>91</v>
      </c>
      <c r="H4322" t="s">
        <v>92</v>
      </c>
      <c r="I4322" t="s">
        <v>93</v>
      </c>
      <c r="J4322" t="s">
        <v>94</v>
      </c>
      <c r="K4322">
        <v>2</v>
      </c>
      <c r="L4322">
        <v>81600</v>
      </c>
      <c r="M4322">
        <v>163200</v>
      </c>
      <c r="N4322" t="s">
        <v>95</v>
      </c>
      <c r="O4322" t="s">
        <v>96</v>
      </c>
    </row>
    <row r="4323" spans="1:15" x14ac:dyDescent="0.25">
      <c r="A4323">
        <v>2845</v>
      </c>
      <c r="B4323" s="10">
        <v>45906</v>
      </c>
      <c r="C4323">
        <v>6</v>
      </c>
      <c r="D4323" t="s">
        <v>147</v>
      </c>
      <c r="E4323" t="s">
        <v>138</v>
      </c>
      <c r="F4323" t="s">
        <v>151</v>
      </c>
      <c r="G4323" t="s">
        <v>111</v>
      </c>
      <c r="H4323" t="s">
        <v>23</v>
      </c>
      <c r="I4323" t="s">
        <v>34</v>
      </c>
      <c r="J4323" t="s">
        <v>103</v>
      </c>
      <c r="K4323">
        <v>46</v>
      </c>
      <c r="L4323">
        <v>81600</v>
      </c>
      <c r="M4323">
        <v>3753600</v>
      </c>
      <c r="N4323" t="s">
        <v>108</v>
      </c>
      <c r="O4323" t="s">
        <v>115</v>
      </c>
    </row>
    <row r="4324" spans="1:15" x14ac:dyDescent="0.25">
      <c r="A4324">
        <v>4191</v>
      </c>
      <c r="B4324" s="10">
        <v>45779</v>
      </c>
      <c r="C4324">
        <v>2</v>
      </c>
      <c r="D4324" t="s">
        <v>120</v>
      </c>
      <c r="E4324" t="s">
        <v>150</v>
      </c>
      <c r="F4324" t="s">
        <v>99</v>
      </c>
      <c r="G4324" t="s">
        <v>100</v>
      </c>
      <c r="H4324" t="s">
        <v>92</v>
      </c>
      <c r="I4324" t="s">
        <v>93</v>
      </c>
      <c r="J4324" t="s">
        <v>94</v>
      </c>
      <c r="K4324">
        <v>5</v>
      </c>
      <c r="L4324">
        <v>81600</v>
      </c>
      <c r="M4324">
        <v>408000</v>
      </c>
      <c r="N4324" t="s">
        <v>108</v>
      </c>
      <c r="O4324" t="s">
        <v>104</v>
      </c>
    </row>
    <row r="4325" spans="1:15" x14ac:dyDescent="0.25">
      <c r="A4325">
        <v>1453</v>
      </c>
      <c r="B4325" s="10">
        <v>45808</v>
      </c>
      <c r="C4325">
        <v>31</v>
      </c>
      <c r="D4325" t="s">
        <v>120</v>
      </c>
      <c r="E4325" t="s">
        <v>25</v>
      </c>
      <c r="F4325" t="s">
        <v>151</v>
      </c>
      <c r="G4325" t="s">
        <v>111</v>
      </c>
      <c r="H4325" t="s">
        <v>23</v>
      </c>
      <c r="I4325" t="s">
        <v>34</v>
      </c>
      <c r="J4325" t="s">
        <v>103</v>
      </c>
      <c r="K4325">
        <v>42</v>
      </c>
      <c r="L4325">
        <v>81700</v>
      </c>
      <c r="M4325">
        <v>3431400</v>
      </c>
      <c r="N4325" t="s">
        <v>95</v>
      </c>
      <c r="O4325" t="s">
        <v>104</v>
      </c>
    </row>
    <row r="4326" spans="1:15" x14ac:dyDescent="0.25">
      <c r="A4326">
        <v>2286</v>
      </c>
      <c r="B4326" s="10">
        <v>45739</v>
      </c>
      <c r="C4326">
        <v>23</v>
      </c>
      <c r="D4326" t="s">
        <v>140</v>
      </c>
      <c r="E4326" t="s">
        <v>31</v>
      </c>
      <c r="F4326" t="s">
        <v>134</v>
      </c>
      <c r="G4326" t="s">
        <v>100</v>
      </c>
      <c r="H4326" t="s">
        <v>92</v>
      </c>
      <c r="I4326" t="s">
        <v>93</v>
      </c>
      <c r="J4326" t="s">
        <v>94</v>
      </c>
      <c r="K4326">
        <v>6</v>
      </c>
      <c r="L4326">
        <v>81800</v>
      </c>
      <c r="M4326">
        <v>490800</v>
      </c>
      <c r="N4326" t="s">
        <v>108</v>
      </c>
      <c r="O4326" t="s">
        <v>104</v>
      </c>
    </row>
    <row r="4327" spans="1:15" x14ac:dyDescent="0.25">
      <c r="A4327">
        <v>3440</v>
      </c>
      <c r="B4327" s="10">
        <v>45958</v>
      </c>
      <c r="C4327">
        <v>28</v>
      </c>
      <c r="D4327" t="s">
        <v>136</v>
      </c>
      <c r="E4327" t="s">
        <v>128</v>
      </c>
      <c r="F4327" t="s">
        <v>107</v>
      </c>
      <c r="G4327" t="s">
        <v>100</v>
      </c>
      <c r="H4327" t="s">
        <v>23</v>
      </c>
      <c r="I4327" t="s">
        <v>34</v>
      </c>
      <c r="J4327" t="s">
        <v>103</v>
      </c>
      <c r="K4327">
        <v>19</v>
      </c>
      <c r="L4327">
        <v>81900</v>
      </c>
      <c r="M4327">
        <v>1556100</v>
      </c>
      <c r="N4327" t="s">
        <v>95</v>
      </c>
      <c r="O4327" t="s">
        <v>96</v>
      </c>
    </row>
    <row r="4328" spans="1:15" x14ac:dyDescent="0.25">
      <c r="A4328">
        <v>1</v>
      </c>
      <c r="B4328" s="10">
        <v>45985</v>
      </c>
      <c r="C4328">
        <v>24</v>
      </c>
      <c r="D4328" t="s">
        <v>90</v>
      </c>
      <c r="E4328" t="s">
        <v>31</v>
      </c>
      <c r="F4328" t="s">
        <v>22</v>
      </c>
      <c r="G4328" t="s">
        <v>91</v>
      </c>
      <c r="H4328" t="s">
        <v>92</v>
      </c>
      <c r="I4328" t="s">
        <v>93</v>
      </c>
      <c r="J4328" t="s">
        <v>94</v>
      </c>
      <c r="K4328">
        <v>4</v>
      </c>
      <c r="L4328">
        <v>82000</v>
      </c>
      <c r="M4328">
        <v>328000</v>
      </c>
      <c r="N4328" t="s">
        <v>95</v>
      </c>
      <c r="O4328" t="s">
        <v>96</v>
      </c>
    </row>
    <row r="4329" spans="1:15" x14ac:dyDescent="0.25">
      <c r="A4329">
        <v>388</v>
      </c>
      <c r="B4329" s="10">
        <v>45913</v>
      </c>
      <c r="C4329">
        <v>13</v>
      </c>
      <c r="D4329" t="s">
        <v>147</v>
      </c>
      <c r="E4329" t="s">
        <v>98</v>
      </c>
      <c r="F4329" t="s">
        <v>148</v>
      </c>
      <c r="G4329" t="s">
        <v>118</v>
      </c>
      <c r="H4329" t="s">
        <v>23</v>
      </c>
      <c r="I4329" t="s">
        <v>157</v>
      </c>
      <c r="J4329" t="s">
        <v>94</v>
      </c>
      <c r="K4329">
        <v>6</v>
      </c>
      <c r="L4329">
        <v>82000</v>
      </c>
      <c r="M4329">
        <v>492000</v>
      </c>
      <c r="N4329" t="s">
        <v>108</v>
      </c>
      <c r="O4329" t="s">
        <v>104</v>
      </c>
    </row>
    <row r="4330" spans="1:15" x14ac:dyDescent="0.25">
      <c r="A4330">
        <v>1053</v>
      </c>
      <c r="B4330" s="10">
        <v>45999</v>
      </c>
      <c r="C4330">
        <v>8</v>
      </c>
      <c r="D4330" t="s">
        <v>125</v>
      </c>
      <c r="E4330" t="s">
        <v>133</v>
      </c>
      <c r="F4330" t="s">
        <v>36</v>
      </c>
      <c r="G4330" t="s">
        <v>100</v>
      </c>
      <c r="H4330" t="s">
        <v>92</v>
      </c>
      <c r="I4330" t="s">
        <v>93</v>
      </c>
      <c r="J4330" t="s">
        <v>94</v>
      </c>
      <c r="K4330">
        <v>10</v>
      </c>
      <c r="L4330">
        <v>82000</v>
      </c>
      <c r="M4330">
        <v>820000</v>
      </c>
      <c r="N4330" t="s">
        <v>108</v>
      </c>
      <c r="O4330" t="s">
        <v>115</v>
      </c>
    </row>
    <row r="4331" spans="1:15" x14ac:dyDescent="0.25">
      <c r="A4331">
        <v>3123</v>
      </c>
      <c r="B4331" s="10">
        <v>45820</v>
      </c>
      <c r="C4331">
        <v>12</v>
      </c>
      <c r="D4331" t="s">
        <v>153</v>
      </c>
      <c r="E4331" t="s">
        <v>138</v>
      </c>
      <c r="F4331" t="s">
        <v>141</v>
      </c>
      <c r="G4331" t="s">
        <v>100</v>
      </c>
      <c r="H4331" t="s">
        <v>92</v>
      </c>
      <c r="I4331" t="s">
        <v>93</v>
      </c>
      <c r="J4331" t="s">
        <v>94</v>
      </c>
      <c r="K4331">
        <v>6</v>
      </c>
      <c r="L4331">
        <v>82000</v>
      </c>
      <c r="M4331">
        <v>492000</v>
      </c>
      <c r="N4331" t="s">
        <v>108</v>
      </c>
      <c r="O4331" t="s">
        <v>104</v>
      </c>
    </row>
    <row r="4332" spans="1:15" x14ac:dyDescent="0.25">
      <c r="A4332">
        <v>3379</v>
      </c>
      <c r="B4332" s="10">
        <v>45861</v>
      </c>
      <c r="C4332">
        <v>23</v>
      </c>
      <c r="D4332" t="s">
        <v>145</v>
      </c>
      <c r="E4332" t="s">
        <v>138</v>
      </c>
      <c r="F4332" t="s">
        <v>113</v>
      </c>
      <c r="G4332" t="s">
        <v>114</v>
      </c>
      <c r="H4332" t="s">
        <v>92</v>
      </c>
      <c r="I4332" t="s">
        <v>93</v>
      </c>
      <c r="J4332" t="s">
        <v>94</v>
      </c>
      <c r="K4332">
        <v>10</v>
      </c>
      <c r="L4332">
        <v>82000</v>
      </c>
      <c r="M4332">
        <v>820000</v>
      </c>
      <c r="N4332" t="s">
        <v>95</v>
      </c>
      <c r="O4332" t="s">
        <v>115</v>
      </c>
    </row>
    <row r="4333" spans="1:15" x14ac:dyDescent="0.25">
      <c r="A4333">
        <v>3664</v>
      </c>
      <c r="B4333" s="10">
        <v>45919</v>
      </c>
      <c r="C4333">
        <v>19</v>
      </c>
      <c r="D4333" t="s">
        <v>147</v>
      </c>
      <c r="E4333" t="s">
        <v>128</v>
      </c>
      <c r="F4333" t="s">
        <v>151</v>
      </c>
      <c r="G4333" t="s">
        <v>111</v>
      </c>
      <c r="H4333" t="s">
        <v>23</v>
      </c>
      <c r="I4333" t="s">
        <v>34</v>
      </c>
      <c r="J4333" t="s">
        <v>103</v>
      </c>
      <c r="K4333">
        <v>40</v>
      </c>
      <c r="L4333">
        <v>82000</v>
      </c>
      <c r="M4333">
        <v>3280000</v>
      </c>
      <c r="N4333" t="s">
        <v>95</v>
      </c>
      <c r="O4333" t="s">
        <v>104</v>
      </c>
    </row>
    <row r="4334" spans="1:15" x14ac:dyDescent="0.25">
      <c r="A4334">
        <v>88</v>
      </c>
      <c r="B4334" s="10">
        <v>45663</v>
      </c>
      <c r="C4334">
        <v>6</v>
      </c>
      <c r="D4334" t="s">
        <v>130</v>
      </c>
      <c r="E4334" t="s">
        <v>137</v>
      </c>
      <c r="F4334" t="s">
        <v>49</v>
      </c>
      <c r="G4334" t="s">
        <v>118</v>
      </c>
      <c r="H4334" t="s">
        <v>23</v>
      </c>
      <c r="I4334" t="s">
        <v>34</v>
      </c>
      <c r="J4334" t="s">
        <v>103</v>
      </c>
      <c r="K4334">
        <v>36</v>
      </c>
      <c r="L4334">
        <v>82100</v>
      </c>
      <c r="M4334">
        <v>2955600</v>
      </c>
      <c r="N4334" t="s">
        <v>95</v>
      </c>
      <c r="O4334" t="s">
        <v>96</v>
      </c>
    </row>
    <row r="4335" spans="1:15" x14ac:dyDescent="0.25">
      <c r="A4335">
        <v>387</v>
      </c>
      <c r="B4335" s="10">
        <v>45858</v>
      </c>
      <c r="C4335">
        <v>20</v>
      </c>
      <c r="D4335" t="s">
        <v>145</v>
      </c>
      <c r="E4335" t="s">
        <v>116</v>
      </c>
      <c r="F4335" t="s">
        <v>122</v>
      </c>
      <c r="G4335" t="s">
        <v>114</v>
      </c>
      <c r="H4335" t="s">
        <v>23</v>
      </c>
      <c r="I4335" t="s">
        <v>34</v>
      </c>
      <c r="J4335" t="s">
        <v>103</v>
      </c>
      <c r="K4335">
        <v>29</v>
      </c>
      <c r="L4335">
        <v>82100</v>
      </c>
      <c r="M4335">
        <v>2380900</v>
      </c>
      <c r="N4335" t="s">
        <v>95</v>
      </c>
      <c r="O4335" t="s">
        <v>104</v>
      </c>
    </row>
    <row r="4336" spans="1:15" x14ac:dyDescent="0.25">
      <c r="A4336">
        <v>594</v>
      </c>
      <c r="B4336" s="10">
        <v>45819</v>
      </c>
      <c r="C4336">
        <v>11</v>
      </c>
      <c r="D4336" t="s">
        <v>153</v>
      </c>
      <c r="E4336" t="s">
        <v>142</v>
      </c>
      <c r="F4336" t="s">
        <v>113</v>
      </c>
      <c r="G4336" t="s">
        <v>114</v>
      </c>
      <c r="H4336" t="s">
        <v>23</v>
      </c>
      <c r="I4336" t="s">
        <v>34</v>
      </c>
      <c r="J4336" t="s">
        <v>103</v>
      </c>
      <c r="K4336">
        <v>46</v>
      </c>
      <c r="L4336">
        <v>82100</v>
      </c>
      <c r="M4336">
        <v>3776600</v>
      </c>
      <c r="N4336" t="s">
        <v>108</v>
      </c>
      <c r="O4336" t="s">
        <v>115</v>
      </c>
    </row>
    <row r="4337" spans="1:15" x14ac:dyDescent="0.25">
      <c r="A4337">
        <v>4694</v>
      </c>
      <c r="B4337" s="10">
        <v>45905</v>
      </c>
      <c r="C4337">
        <v>5</v>
      </c>
      <c r="D4337" t="s">
        <v>147</v>
      </c>
      <c r="E4337" t="s">
        <v>133</v>
      </c>
      <c r="F4337" t="s">
        <v>99</v>
      </c>
      <c r="G4337" t="s">
        <v>100</v>
      </c>
      <c r="H4337" t="s">
        <v>92</v>
      </c>
      <c r="I4337" t="s">
        <v>93</v>
      </c>
      <c r="J4337" t="s">
        <v>94</v>
      </c>
      <c r="K4337">
        <v>4</v>
      </c>
      <c r="L4337">
        <v>82100</v>
      </c>
      <c r="M4337">
        <v>328400</v>
      </c>
      <c r="N4337" t="s">
        <v>95</v>
      </c>
      <c r="O4337" t="s">
        <v>115</v>
      </c>
    </row>
    <row r="4338" spans="1:15" x14ac:dyDescent="0.25">
      <c r="A4338">
        <v>1670</v>
      </c>
      <c r="B4338" s="10">
        <v>45863</v>
      </c>
      <c r="C4338">
        <v>25</v>
      </c>
      <c r="D4338" t="s">
        <v>145</v>
      </c>
      <c r="E4338" t="s">
        <v>25</v>
      </c>
      <c r="F4338" t="s">
        <v>36</v>
      </c>
      <c r="G4338" t="s">
        <v>100</v>
      </c>
      <c r="H4338" t="s">
        <v>92</v>
      </c>
      <c r="I4338" t="s">
        <v>93</v>
      </c>
      <c r="J4338" t="s">
        <v>94</v>
      </c>
      <c r="K4338">
        <v>7</v>
      </c>
      <c r="L4338">
        <v>82200</v>
      </c>
      <c r="M4338">
        <v>575400</v>
      </c>
      <c r="N4338" t="s">
        <v>95</v>
      </c>
      <c r="O4338" t="s">
        <v>104</v>
      </c>
    </row>
    <row r="4339" spans="1:15" x14ac:dyDescent="0.25">
      <c r="A4339">
        <v>4050</v>
      </c>
      <c r="B4339" s="10">
        <v>45897</v>
      </c>
      <c r="C4339">
        <v>28</v>
      </c>
      <c r="D4339" t="s">
        <v>109</v>
      </c>
      <c r="E4339" t="s">
        <v>133</v>
      </c>
      <c r="F4339" t="s">
        <v>141</v>
      </c>
      <c r="G4339" t="s">
        <v>100</v>
      </c>
      <c r="H4339" t="s">
        <v>23</v>
      </c>
      <c r="I4339" t="s">
        <v>34</v>
      </c>
      <c r="J4339" t="s">
        <v>103</v>
      </c>
      <c r="K4339">
        <v>10</v>
      </c>
      <c r="L4339">
        <v>82300</v>
      </c>
      <c r="M4339">
        <v>823000</v>
      </c>
      <c r="N4339" t="s">
        <v>108</v>
      </c>
      <c r="O4339" t="s">
        <v>96</v>
      </c>
    </row>
    <row r="4340" spans="1:15" x14ac:dyDescent="0.25">
      <c r="A4340">
        <v>4200</v>
      </c>
      <c r="B4340" s="10">
        <v>45803</v>
      </c>
      <c r="C4340">
        <v>26</v>
      </c>
      <c r="D4340" t="s">
        <v>120</v>
      </c>
      <c r="E4340" t="s">
        <v>142</v>
      </c>
      <c r="F4340" t="s">
        <v>107</v>
      </c>
      <c r="G4340" t="s">
        <v>100</v>
      </c>
      <c r="H4340" t="s">
        <v>92</v>
      </c>
      <c r="I4340" t="s">
        <v>93</v>
      </c>
      <c r="J4340" t="s">
        <v>94</v>
      </c>
      <c r="K4340">
        <v>1</v>
      </c>
      <c r="L4340">
        <v>82300</v>
      </c>
      <c r="M4340">
        <v>82300</v>
      </c>
      <c r="N4340" t="s">
        <v>108</v>
      </c>
      <c r="O4340" t="s">
        <v>115</v>
      </c>
    </row>
    <row r="4341" spans="1:15" x14ac:dyDescent="0.25">
      <c r="A4341">
        <v>669</v>
      </c>
      <c r="B4341" s="10">
        <v>45724</v>
      </c>
      <c r="C4341">
        <v>8</v>
      </c>
      <c r="D4341" t="s">
        <v>140</v>
      </c>
      <c r="E4341" t="s">
        <v>138</v>
      </c>
      <c r="F4341" t="s">
        <v>141</v>
      </c>
      <c r="G4341" t="s">
        <v>100</v>
      </c>
      <c r="H4341" t="s">
        <v>23</v>
      </c>
      <c r="I4341" t="s">
        <v>34</v>
      </c>
      <c r="J4341" t="s">
        <v>94</v>
      </c>
      <c r="K4341">
        <v>8</v>
      </c>
      <c r="L4341">
        <v>82400</v>
      </c>
      <c r="M4341">
        <v>659200</v>
      </c>
      <c r="N4341" t="s">
        <v>95</v>
      </c>
      <c r="O4341" t="s">
        <v>104</v>
      </c>
    </row>
    <row r="4342" spans="1:15" x14ac:dyDescent="0.25">
      <c r="A4342">
        <v>1705</v>
      </c>
      <c r="B4342" s="10">
        <v>45789</v>
      </c>
      <c r="C4342">
        <v>12</v>
      </c>
      <c r="D4342" t="s">
        <v>120</v>
      </c>
      <c r="E4342" t="s">
        <v>98</v>
      </c>
      <c r="F4342" t="s">
        <v>49</v>
      </c>
      <c r="G4342" t="s">
        <v>118</v>
      </c>
      <c r="H4342" t="s">
        <v>23</v>
      </c>
      <c r="I4342" t="s">
        <v>34</v>
      </c>
      <c r="J4342" t="s">
        <v>103</v>
      </c>
      <c r="K4342">
        <v>14</v>
      </c>
      <c r="L4342">
        <v>82400</v>
      </c>
      <c r="M4342">
        <v>1153600</v>
      </c>
      <c r="N4342" t="s">
        <v>95</v>
      </c>
      <c r="O4342" t="s">
        <v>115</v>
      </c>
    </row>
    <row r="4343" spans="1:15" x14ac:dyDescent="0.25">
      <c r="A4343">
        <v>2360</v>
      </c>
      <c r="B4343" s="10">
        <v>45953</v>
      </c>
      <c r="C4343">
        <v>23</v>
      </c>
      <c r="D4343" t="s">
        <v>136</v>
      </c>
      <c r="E4343" t="s">
        <v>142</v>
      </c>
      <c r="F4343" t="s">
        <v>151</v>
      </c>
      <c r="G4343" t="s">
        <v>111</v>
      </c>
      <c r="H4343" t="s">
        <v>23</v>
      </c>
      <c r="I4343" t="s">
        <v>34</v>
      </c>
      <c r="J4343" t="s">
        <v>103</v>
      </c>
      <c r="K4343">
        <v>10</v>
      </c>
      <c r="L4343">
        <v>82400</v>
      </c>
      <c r="M4343">
        <v>824000</v>
      </c>
      <c r="N4343" t="s">
        <v>95</v>
      </c>
      <c r="O4343" t="s">
        <v>104</v>
      </c>
    </row>
    <row r="4344" spans="1:15" x14ac:dyDescent="0.25">
      <c r="A4344">
        <v>3369</v>
      </c>
      <c r="B4344" s="10">
        <v>45710</v>
      </c>
      <c r="C4344">
        <v>22</v>
      </c>
      <c r="D4344" t="s">
        <v>97</v>
      </c>
      <c r="E4344" t="s">
        <v>150</v>
      </c>
      <c r="F4344" t="s">
        <v>151</v>
      </c>
      <c r="G4344" t="s">
        <v>111</v>
      </c>
      <c r="H4344" t="s">
        <v>23</v>
      </c>
      <c r="I4344" t="s">
        <v>34</v>
      </c>
      <c r="J4344" t="s">
        <v>103</v>
      </c>
      <c r="K4344">
        <v>46</v>
      </c>
      <c r="L4344">
        <v>82400</v>
      </c>
      <c r="M4344">
        <v>3790400</v>
      </c>
      <c r="N4344" t="s">
        <v>108</v>
      </c>
      <c r="O4344" t="s">
        <v>104</v>
      </c>
    </row>
    <row r="4345" spans="1:15" x14ac:dyDescent="0.25">
      <c r="A4345">
        <v>4504</v>
      </c>
      <c r="B4345" s="10">
        <v>45934</v>
      </c>
      <c r="C4345">
        <v>4</v>
      </c>
      <c r="D4345" t="s">
        <v>136</v>
      </c>
      <c r="E4345" t="s">
        <v>142</v>
      </c>
      <c r="F4345" t="s">
        <v>134</v>
      </c>
      <c r="G4345" t="s">
        <v>100</v>
      </c>
      <c r="H4345" t="s">
        <v>23</v>
      </c>
      <c r="I4345" t="s">
        <v>34</v>
      </c>
      <c r="J4345" t="s">
        <v>103</v>
      </c>
      <c r="K4345">
        <v>43</v>
      </c>
      <c r="L4345">
        <v>82400</v>
      </c>
      <c r="M4345">
        <v>3543200</v>
      </c>
      <c r="N4345" t="s">
        <v>95</v>
      </c>
      <c r="O4345" t="s">
        <v>115</v>
      </c>
    </row>
    <row r="4346" spans="1:15" x14ac:dyDescent="0.25">
      <c r="A4346">
        <v>2717</v>
      </c>
      <c r="B4346" s="10">
        <v>45975</v>
      </c>
      <c r="C4346">
        <v>14</v>
      </c>
      <c r="D4346" t="s">
        <v>90</v>
      </c>
      <c r="E4346" t="s">
        <v>110</v>
      </c>
      <c r="F4346" t="s">
        <v>44</v>
      </c>
      <c r="G4346" t="s">
        <v>111</v>
      </c>
      <c r="H4346" t="s">
        <v>92</v>
      </c>
      <c r="I4346" t="s">
        <v>93</v>
      </c>
      <c r="J4346" t="s">
        <v>94</v>
      </c>
      <c r="K4346">
        <v>10</v>
      </c>
      <c r="L4346">
        <v>82500</v>
      </c>
      <c r="M4346">
        <v>825000</v>
      </c>
      <c r="N4346" t="s">
        <v>108</v>
      </c>
      <c r="O4346" t="s">
        <v>96</v>
      </c>
    </row>
    <row r="4347" spans="1:15" x14ac:dyDescent="0.25">
      <c r="A4347">
        <v>1546</v>
      </c>
      <c r="B4347" s="10">
        <v>45670</v>
      </c>
      <c r="C4347">
        <v>13</v>
      </c>
      <c r="D4347" t="s">
        <v>130</v>
      </c>
      <c r="E4347" t="s">
        <v>161</v>
      </c>
      <c r="F4347" t="s">
        <v>36</v>
      </c>
      <c r="G4347" t="s">
        <v>100</v>
      </c>
      <c r="H4347" t="s">
        <v>23</v>
      </c>
      <c r="I4347" t="s">
        <v>34</v>
      </c>
      <c r="J4347" t="s">
        <v>103</v>
      </c>
      <c r="K4347">
        <v>32</v>
      </c>
      <c r="L4347">
        <v>82600</v>
      </c>
      <c r="M4347">
        <v>2643200</v>
      </c>
      <c r="N4347" t="s">
        <v>108</v>
      </c>
      <c r="O4347" t="s">
        <v>104</v>
      </c>
    </row>
    <row r="4348" spans="1:15" x14ac:dyDescent="0.25">
      <c r="A4348">
        <v>1702</v>
      </c>
      <c r="B4348" s="10">
        <v>45733</v>
      </c>
      <c r="C4348">
        <v>17</v>
      </c>
      <c r="D4348" t="s">
        <v>140</v>
      </c>
      <c r="E4348" t="s">
        <v>137</v>
      </c>
      <c r="F4348" t="s">
        <v>44</v>
      </c>
      <c r="G4348" t="s">
        <v>111</v>
      </c>
      <c r="H4348" t="s">
        <v>23</v>
      </c>
      <c r="I4348" t="s">
        <v>34</v>
      </c>
      <c r="J4348" t="s">
        <v>103</v>
      </c>
      <c r="K4348">
        <v>41</v>
      </c>
      <c r="L4348">
        <v>82700</v>
      </c>
      <c r="M4348">
        <v>3390700</v>
      </c>
      <c r="N4348" t="s">
        <v>108</v>
      </c>
      <c r="O4348" t="s">
        <v>96</v>
      </c>
    </row>
    <row r="4349" spans="1:15" x14ac:dyDescent="0.25">
      <c r="A4349">
        <v>3537</v>
      </c>
      <c r="B4349" s="10">
        <v>46003</v>
      </c>
      <c r="C4349">
        <v>12</v>
      </c>
      <c r="D4349" t="s">
        <v>125</v>
      </c>
      <c r="E4349" t="s">
        <v>142</v>
      </c>
      <c r="F4349" t="s">
        <v>122</v>
      </c>
      <c r="G4349" t="s">
        <v>114</v>
      </c>
      <c r="H4349" t="s">
        <v>92</v>
      </c>
      <c r="I4349" t="s">
        <v>93</v>
      </c>
      <c r="J4349" t="s">
        <v>94</v>
      </c>
      <c r="K4349">
        <v>8</v>
      </c>
      <c r="L4349">
        <v>82700</v>
      </c>
      <c r="M4349">
        <v>661600</v>
      </c>
      <c r="N4349" t="s">
        <v>95</v>
      </c>
      <c r="O4349" t="s">
        <v>96</v>
      </c>
    </row>
    <row r="4350" spans="1:15" x14ac:dyDescent="0.25">
      <c r="A4350">
        <v>2129</v>
      </c>
      <c r="B4350" s="10">
        <v>45911</v>
      </c>
      <c r="C4350">
        <v>11</v>
      </c>
      <c r="D4350" t="s">
        <v>147</v>
      </c>
      <c r="E4350" t="s">
        <v>137</v>
      </c>
      <c r="F4350" t="s">
        <v>107</v>
      </c>
      <c r="G4350" t="s">
        <v>100</v>
      </c>
      <c r="H4350" t="s">
        <v>92</v>
      </c>
      <c r="I4350" t="s">
        <v>93</v>
      </c>
      <c r="J4350" t="s">
        <v>94</v>
      </c>
      <c r="K4350">
        <v>10</v>
      </c>
      <c r="L4350">
        <v>82900</v>
      </c>
      <c r="M4350">
        <v>829000</v>
      </c>
      <c r="N4350" t="s">
        <v>95</v>
      </c>
      <c r="O4350" t="s">
        <v>96</v>
      </c>
    </row>
    <row r="4351" spans="1:15" x14ac:dyDescent="0.25">
      <c r="A4351">
        <v>41</v>
      </c>
      <c r="B4351" s="10">
        <v>45882</v>
      </c>
      <c r="C4351">
        <v>13</v>
      </c>
      <c r="D4351" t="s">
        <v>109</v>
      </c>
      <c r="E4351" t="s">
        <v>121</v>
      </c>
      <c r="F4351" t="s">
        <v>107</v>
      </c>
      <c r="G4351" t="s">
        <v>100</v>
      </c>
      <c r="H4351" t="s">
        <v>92</v>
      </c>
      <c r="I4351" t="s">
        <v>93</v>
      </c>
      <c r="J4351" t="s">
        <v>94</v>
      </c>
      <c r="K4351">
        <v>9</v>
      </c>
      <c r="L4351">
        <v>83000</v>
      </c>
      <c r="M4351">
        <v>747000</v>
      </c>
      <c r="N4351" t="s">
        <v>108</v>
      </c>
      <c r="O4351" t="s">
        <v>96</v>
      </c>
    </row>
    <row r="4352" spans="1:15" x14ac:dyDescent="0.25">
      <c r="A4352">
        <v>202</v>
      </c>
      <c r="B4352" s="10">
        <v>45733</v>
      </c>
      <c r="C4352">
        <v>17</v>
      </c>
      <c r="D4352" t="s">
        <v>140</v>
      </c>
      <c r="E4352" t="s">
        <v>121</v>
      </c>
      <c r="F4352" t="s">
        <v>134</v>
      </c>
      <c r="G4352" t="s">
        <v>100</v>
      </c>
      <c r="H4352" t="s">
        <v>23</v>
      </c>
      <c r="I4352" t="s">
        <v>34</v>
      </c>
      <c r="J4352" t="s">
        <v>103</v>
      </c>
      <c r="K4352">
        <v>27</v>
      </c>
      <c r="L4352">
        <v>83000</v>
      </c>
      <c r="M4352">
        <v>2241000</v>
      </c>
      <c r="N4352" t="s">
        <v>95</v>
      </c>
      <c r="O4352" t="s">
        <v>115</v>
      </c>
    </row>
    <row r="4353" spans="1:15" x14ac:dyDescent="0.25">
      <c r="A4353">
        <v>1728</v>
      </c>
      <c r="B4353" s="10">
        <v>45962</v>
      </c>
      <c r="C4353">
        <v>1</v>
      </c>
      <c r="D4353" t="s">
        <v>90</v>
      </c>
      <c r="E4353" t="s">
        <v>112</v>
      </c>
      <c r="F4353" t="s">
        <v>134</v>
      </c>
      <c r="G4353" t="s">
        <v>100</v>
      </c>
      <c r="H4353" t="s">
        <v>92</v>
      </c>
      <c r="I4353" t="s">
        <v>93</v>
      </c>
      <c r="J4353" t="s">
        <v>94</v>
      </c>
      <c r="K4353">
        <v>5</v>
      </c>
      <c r="L4353">
        <v>83200</v>
      </c>
      <c r="M4353">
        <v>416000</v>
      </c>
      <c r="N4353" t="s">
        <v>108</v>
      </c>
      <c r="O4353" t="s">
        <v>115</v>
      </c>
    </row>
    <row r="4354" spans="1:15" x14ac:dyDescent="0.25">
      <c r="A4354">
        <v>961</v>
      </c>
      <c r="B4354" s="10">
        <v>46013</v>
      </c>
      <c r="C4354">
        <v>22</v>
      </c>
      <c r="D4354" t="s">
        <v>125</v>
      </c>
      <c r="E4354" t="s">
        <v>25</v>
      </c>
      <c r="F4354" t="s">
        <v>117</v>
      </c>
      <c r="G4354" t="s">
        <v>118</v>
      </c>
      <c r="H4354" t="s">
        <v>23</v>
      </c>
      <c r="I4354" t="s">
        <v>34</v>
      </c>
      <c r="J4354" t="s">
        <v>103</v>
      </c>
      <c r="K4354">
        <v>46</v>
      </c>
      <c r="L4354">
        <v>83300</v>
      </c>
      <c r="M4354">
        <v>3831800</v>
      </c>
      <c r="N4354" t="s">
        <v>95</v>
      </c>
      <c r="O4354" t="s">
        <v>104</v>
      </c>
    </row>
    <row r="4355" spans="1:15" x14ac:dyDescent="0.25">
      <c r="A4355">
        <v>2943</v>
      </c>
      <c r="B4355" s="10">
        <v>45709</v>
      </c>
      <c r="C4355">
        <v>21</v>
      </c>
      <c r="D4355" t="s">
        <v>97</v>
      </c>
      <c r="E4355" t="s">
        <v>25</v>
      </c>
      <c r="F4355" t="s">
        <v>36</v>
      </c>
      <c r="G4355" t="s">
        <v>100</v>
      </c>
      <c r="H4355" t="s">
        <v>23</v>
      </c>
      <c r="I4355" t="s">
        <v>34</v>
      </c>
      <c r="J4355" t="s">
        <v>103</v>
      </c>
      <c r="K4355">
        <v>24</v>
      </c>
      <c r="L4355">
        <v>83300</v>
      </c>
      <c r="M4355">
        <v>1999200</v>
      </c>
      <c r="N4355" t="s">
        <v>95</v>
      </c>
      <c r="O4355" t="s">
        <v>96</v>
      </c>
    </row>
    <row r="4356" spans="1:15" x14ac:dyDescent="0.25">
      <c r="A4356">
        <v>1047</v>
      </c>
      <c r="B4356" s="10">
        <v>45766</v>
      </c>
      <c r="C4356">
        <v>19</v>
      </c>
      <c r="D4356" t="s">
        <v>105</v>
      </c>
      <c r="E4356" t="s">
        <v>133</v>
      </c>
      <c r="F4356" t="s">
        <v>151</v>
      </c>
      <c r="G4356" t="s">
        <v>111</v>
      </c>
      <c r="H4356" t="s">
        <v>23</v>
      </c>
      <c r="I4356" t="s">
        <v>34</v>
      </c>
      <c r="J4356" t="s">
        <v>103</v>
      </c>
      <c r="K4356">
        <v>12</v>
      </c>
      <c r="L4356">
        <v>83400</v>
      </c>
      <c r="M4356">
        <v>1000800</v>
      </c>
      <c r="N4356" t="s">
        <v>108</v>
      </c>
      <c r="O4356" t="s">
        <v>104</v>
      </c>
    </row>
    <row r="4357" spans="1:15" x14ac:dyDescent="0.25">
      <c r="A4357">
        <v>1080</v>
      </c>
      <c r="B4357" s="10">
        <v>45704</v>
      </c>
      <c r="C4357">
        <v>16</v>
      </c>
      <c r="D4357" t="s">
        <v>97</v>
      </c>
      <c r="E4357" t="s">
        <v>121</v>
      </c>
      <c r="F4357" t="s">
        <v>148</v>
      </c>
      <c r="G4357" t="s">
        <v>118</v>
      </c>
      <c r="H4357" t="s">
        <v>92</v>
      </c>
      <c r="I4357" t="s">
        <v>93</v>
      </c>
      <c r="J4357" t="s">
        <v>94</v>
      </c>
      <c r="K4357">
        <v>4</v>
      </c>
      <c r="L4357">
        <v>83400</v>
      </c>
      <c r="M4357">
        <v>333600</v>
      </c>
      <c r="N4357" t="s">
        <v>108</v>
      </c>
      <c r="O4357" t="s">
        <v>115</v>
      </c>
    </row>
    <row r="4358" spans="1:15" x14ac:dyDescent="0.25">
      <c r="A4358">
        <v>1984</v>
      </c>
      <c r="B4358" s="10">
        <v>45731</v>
      </c>
      <c r="C4358">
        <v>15</v>
      </c>
      <c r="D4358" t="s">
        <v>140</v>
      </c>
      <c r="E4358" t="s">
        <v>128</v>
      </c>
      <c r="F4358" t="s">
        <v>28</v>
      </c>
      <c r="G4358" t="s">
        <v>126</v>
      </c>
      <c r="H4358" t="s">
        <v>92</v>
      </c>
      <c r="I4358" t="s">
        <v>93</v>
      </c>
      <c r="J4358" t="s">
        <v>94</v>
      </c>
      <c r="K4358">
        <v>7</v>
      </c>
      <c r="L4358">
        <v>83400</v>
      </c>
      <c r="M4358">
        <v>583800</v>
      </c>
      <c r="N4358" t="s">
        <v>108</v>
      </c>
      <c r="O4358" t="s">
        <v>104</v>
      </c>
    </row>
    <row r="4359" spans="1:15" x14ac:dyDescent="0.25">
      <c r="A4359">
        <v>2595</v>
      </c>
      <c r="B4359" s="10">
        <v>45878</v>
      </c>
      <c r="C4359">
        <v>9</v>
      </c>
      <c r="D4359" t="s">
        <v>109</v>
      </c>
      <c r="E4359" t="s">
        <v>142</v>
      </c>
      <c r="F4359" t="s">
        <v>49</v>
      </c>
      <c r="G4359" t="s">
        <v>118</v>
      </c>
      <c r="H4359" t="s">
        <v>92</v>
      </c>
      <c r="I4359" t="s">
        <v>93</v>
      </c>
      <c r="J4359" t="s">
        <v>94</v>
      </c>
      <c r="K4359">
        <v>4</v>
      </c>
      <c r="L4359">
        <v>83400</v>
      </c>
      <c r="M4359">
        <v>333600</v>
      </c>
      <c r="N4359" t="s">
        <v>108</v>
      </c>
      <c r="O4359" t="s">
        <v>115</v>
      </c>
    </row>
    <row r="4360" spans="1:15" x14ac:dyDescent="0.25">
      <c r="A4360">
        <v>2462</v>
      </c>
      <c r="B4360" s="10">
        <v>45714</v>
      </c>
      <c r="C4360">
        <v>26</v>
      </c>
      <c r="D4360" t="s">
        <v>97</v>
      </c>
      <c r="E4360" t="s">
        <v>128</v>
      </c>
      <c r="F4360" t="s">
        <v>36</v>
      </c>
      <c r="G4360" t="s">
        <v>100</v>
      </c>
      <c r="H4360" t="s">
        <v>23</v>
      </c>
      <c r="I4360" t="s">
        <v>34</v>
      </c>
      <c r="J4360" t="s">
        <v>103</v>
      </c>
      <c r="K4360">
        <v>19</v>
      </c>
      <c r="L4360">
        <v>83700</v>
      </c>
      <c r="M4360">
        <v>1590300</v>
      </c>
      <c r="N4360" t="s">
        <v>108</v>
      </c>
      <c r="O4360" t="s">
        <v>115</v>
      </c>
    </row>
    <row r="4361" spans="1:15" x14ac:dyDescent="0.25">
      <c r="A4361">
        <v>4829</v>
      </c>
      <c r="B4361" s="10">
        <v>45736</v>
      </c>
      <c r="C4361">
        <v>20</v>
      </c>
      <c r="D4361" t="s">
        <v>140</v>
      </c>
      <c r="E4361" t="s">
        <v>116</v>
      </c>
      <c r="F4361" t="s">
        <v>28</v>
      </c>
      <c r="G4361" t="s">
        <v>126</v>
      </c>
      <c r="H4361" t="s">
        <v>92</v>
      </c>
      <c r="I4361" t="s">
        <v>93</v>
      </c>
      <c r="J4361" t="s">
        <v>94</v>
      </c>
      <c r="K4361">
        <v>9</v>
      </c>
      <c r="L4361">
        <v>83700</v>
      </c>
      <c r="M4361">
        <v>753300</v>
      </c>
      <c r="N4361" t="s">
        <v>95</v>
      </c>
      <c r="O4361" t="s">
        <v>115</v>
      </c>
    </row>
    <row r="4362" spans="1:15" x14ac:dyDescent="0.25">
      <c r="A4362">
        <v>1186</v>
      </c>
      <c r="B4362" s="10">
        <v>46021</v>
      </c>
      <c r="C4362">
        <v>30</v>
      </c>
      <c r="D4362" t="s">
        <v>125</v>
      </c>
      <c r="E4362" t="s">
        <v>133</v>
      </c>
      <c r="F4362" t="s">
        <v>122</v>
      </c>
      <c r="G4362" t="s">
        <v>114</v>
      </c>
      <c r="H4362" t="s">
        <v>92</v>
      </c>
      <c r="I4362" t="s">
        <v>93</v>
      </c>
      <c r="J4362" t="s">
        <v>94</v>
      </c>
      <c r="K4362">
        <v>7</v>
      </c>
      <c r="L4362">
        <v>83800</v>
      </c>
      <c r="M4362">
        <v>586600</v>
      </c>
      <c r="N4362" t="s">
        <v>108</v>
      </c>
      <c r="O4362" t="s">
        <v>96</v>
      </c>
    </row>
    <row r="4363" spans="1:15" x14ac:dyDescent="0.25">
      <c r="A4363">
        <v>2689</v>
      </c>
      <c r="B4363" s="10">
        <v>45856</v>
      </c>
      <c r="C4363">
        <v>18</v>
      </c>
      <c r="D4363" t="s">
        <v>145</v>
      </c>
      <c r="E4363" t="s">
        <v>106</v>
      </c>
      <c r="F4363" t="s">
        <v>28</v>
      </c>
      <c r="G4363" t="s">
        <v>126</v>
      </c>
      <c r="H4363" t="s">
        <v>23</v>
      </c>
      <c r="I4363" t="s">
        <v>34</v>
      </c>
      <c r="J4363" t="s">
        <v>103</v>
      </c>
      <c r="K4363">
        <v>8</v>
      </c>
      <c r="L4363">
        <v>83800</v>
      </c>
      <c r="M4363">
        <v>670400</v>
      </c>
      <c r="N4363" t="s">
        <v>95</v>
      </c>
      <c r="O4363" t="s">
        <v>115</v>
      </c>
    </row>
    <row r="4364" spans="1:15" x14ac:dyDescent="0.25">
      <c r="A4364">
        <v>1061</v>
      </c>
      <c r="B4364" s="10">
        <v>45731</v>
      </c>
      <c r="C4364">
        <v>15</v>
      </c>
      <c r="D4364" t="s">
        <v>140</v>
      </c>
      <c r="E4364" t="s">
        <v>138</v>
      </c>
      <c r="F4364" t="s">
        <v>44</v>
      </c>
      <c r="G4364" t="s">
        <v>111</v>
      </c>
      <c r="H4364" t="s">
        <v>23</v>
      </c>
      <c r="I4364" t="s">
        <v>34</v>
      </c>
      <c r="J4364" t="s">
        <v>103</v>
      </c>
      <c r="K4364">
        <v>31</v>
      </c>
      <c r="L4364">
        <v>83900</v>
      </c>
      <c r="M4364">
        <v>2600900</v>
      </c>
      <c r="N4364" t="s">
        <v>95</v>
      </c>
      <c r="O4364" t="s">
        <v>104</v>
      </c>
    </row>
    <row r="4365" spans="1:15" x14ac:dyDescent="0.25">
      <c r="A4365">
        <v>2071</v>
      </c>
      <c r="B4365" s="10">
        <v>45996</v>
      </c>
      <c r="C4365">
        <v>5</v>
      </c>
      <c r="D4365" t="s">
        <v>125</v>
      </c>
      <c r="E4365" t="s">
        <v>161</v>
      </c>
      <c r="F4365" t="s">
        <v>151</v>
      </c>
      <c r="G4365" t="s">
        <v>111</v>
      </c>
      <c r="H4365" t="s">
        <v>92</v>
      </c>
      <c r="I4365" t="s">
        <v>93</v>
      </c>
      <c r="J4365" t="s">
        <v>94</v>
      </c>
      <c r="K4365">
        <v>3</v>
      </c>
      <c r="L4365">
        <v>83900</v>
      </c>
      <c r="M4365">
        <v>251700</v>
      </c>
      <c r="N4365" t="s">
        <v>95</v>
      </c>
      <c r="O4365" t="s">
        <v>104</v>
      </c>
    </row>
    <row r="4366" spans="1:15" x14ac:dyDescent="0.25">
      <c r="A4366">
        <v>3229</v>
      </c>
      <c r="B4366" s="10">
        <v>45739</v>
      </c>
      <c r="C4366">
        <v>23</v>
      </c>
      <c r="D4366" t="s">
        <v>140</v>
      </c>
      <c r="E4366" t="s">
        <v>25</v>
      </c>
      <c r="F4366" t="s">
        <v>141</v>
      </c>
      <c r="G4366" t="s">
        <v>100</v>
      </c>
      <c r="H4366" t="s">
        <v>23</v>
      </c>
      <c r="I4366" t="s">
        <v>34</v>
      </c>
      <c r="J4366" t="s">
        <v>103</v>
      </c>
      <c r="K4366">
        <v>17</v>
      </c>
      <c r="L4366">
        <v>83900</v>
      </c>
      <c r="M4366">
        <v>1426300</v>
      </c>
      <c r="N4366" t="s">
        <v>108</v>
      </c>
      <c r="O4366" t="s">
        <v>96</v>
      </c>
    </row>
    <row r="4367" spans="1:15" x14ac:dyDescent="0.25">
      <c r="A4367">
        <v>1855</v>
      </c>
      <c r="B4367" s="10">
        <v>46006</v>
      </c>
      <c r="C4367">
        <v>15</v>
      </c>
      <c r="D4367" t="s">
        <v>125</v>
      </c>
      <c r="E4367" t="s">
        <v>110</v>
      </c>
      <c r="F4367" t="s">
        <v>99</v>
      </c>
      <c r="G4367" t="s">
        <v>100</v>
      </c>
      <c r="H4367" t="s">
        <v>92</v>
      </c>
      <c r="I4367" t="s">
        <v>93</v>
      </c>
      <c r="J4367" t="s">
        <v>94</v>
      </c>
      <c r="K4367">
        <v>5</v>
      </c>
      <c r="L4367">
        <v>84000</v>
      </c>
      <c r="M4367">
        <v>420000</v>
      </c>
      <c r="N4367" t="s">
        <v>108</v>
      </c>
      <c r="O4367" t="s">
        <v>96</v>
      </c>
    </row>
    <row r="4368" spans="1:15" x14ac:dyDescent="0.25">
      <c r="A4368">
        <v>2230</v>
      </c>
      <c r="B4368" s="10">
        <v>45676</v>
      </c>
      <c r="C4368">
        <v>19</v>
      </c>
      <c r="D4368" t="s">
        <v>130</v>
      </c>
      <c r="E4368" t="s">
        <v>161</v>
      </c>
      <c r="F4368" t="s">
        <v>99</v>
      </c>
      <c r="G4368" t="s">
        <v>100</v>
      </c>
      <c r="H4368" t="s">
        <v>92</v>
      </c>
      <c r="I4368" t="s">
        <v>93</v>
      </c>
      <c r="J4368" t="s">
        <v>94</v>
      </c>
      <c r="K4368">
        <v>9</v>
      </c>
      <c r="L4368">
        <v>84000</v>
      </c>
      <c r="M4368">
        <v>756000</v>
      </c>
      <c r="N4368" t="s">
        <v>108</v>
      </c>
      <c r="O4368" t="s">
        <v>96</v>
      </c>
    </row>
    <row r="4369" spans="1:15" x14ac:dyDescent="0.25">
      <c r="A4369">
        <v>3913</v>
      </c>
      <c r="B4369" s="10">
        <v>45851</v>
      </c>
      <c r="C4369">
        <v>13</v>
      </c>
      <c r="D4369" t="s">
        <v>145</v>
      </c>
      <c r="E4369" t="s">
        <v>110</v>
      </c>
      <c r="F4369" t="s">
        <v>49</v>
      </c>
      <c r="G4369" t="s">
        <v>118</v>
      </c>
      <c r="H4369" t="s">
        <v>92</v>
      </c>
      <c r="I4369" t="s">
        <v>93</v>
      </c>
      <c r="J4369" t="s">
        <v>94</v>
      </c>
      <c r="K4369">
        <v>1</v>
      </c>
      <c r="L4369">
        <v>84000</v>
      </c>
      <c r="M4369">
        <v>84000</v>
      </c>
      <c r="N4369" t="s">
        <v>95</v>
      </c>
      <c r="O4369" t="s">
        <v>96</v>
      </c>
    </row>
    <row r="4370" spans="1:15" x14ac:dyDescent="0.25">
      <c r="A4370">
        <v>2438</v>
      </c>
      <c r="B4370" s="10">
        <v>45869</v>
      </c>
      <c r="C4370">
        <v>31</v>
      </c>
      <c r="D4370" t="s">
        <v>145</v>
      </c>
      <c r="E4370" t="s">
        <v>137</v>
      </c>
      <c r="F4370" t="s">
        <v>141</v>
      </c>
      <c r="G4370" t="s">
        <v>100</v>
      </c>
      <c r="H4370" t="s">
        <v>23</v>
      </c>
      <c r="I4370" t="s">
        <v>34</v>
      </c>
      <c r="J4370" t="s">
        <v>103</v>
      </c>
      <c r="K4370">
        <v>44</v>
      </c>
      <c r="L4370">
        <v>84100</v>
      </c>
      <c r="M4370">
        <v>3700400</v>
      </c>
      <c r="N4370" t="s">
        <v>95</v>
      </c>
      <c r="O4370" t="s">
        <v>115</v>
      </c>
    </row>
    <row r="4371" spans="1:15" x14ac:dyDescent="0.25">
      <c r="A4371">
        <v>1630</v>
      </c>
      <c r="B4371" s="10">
        <v>45984</v>
      </c>
      <c r="C4371">
        <v>23</v>
      </c>
      <c r="D4371" t="s">
        <v>90</v>
      </c>
      <c r="E4371" t="s">
        <v>150</v>
      </c>
      <c r="F4371" t="s">
        <v>151</v>
      </c>
      <c r="G4371" t="s">
        <v>111</v>
      </c>
      <c r="H4371" t="s">
        <v>23</v>
      </c>
      <c r="I4371" t="s">
        <v>34</v>
      </c>
      <c r="J4371" t="s">
        <v>103</v>
      </c>
      <c r="K4371">
        <v>48</v>
      </c>
      <c r="L4371">
        <v>84200</v>
      </c>
      <c r="M4371">
        <v>4041600</v>
      </c>
      <c r="N4371" t="s">
        <v>95</v>
      </c>
      <c r="O4371" t="s">
        <v>96</v>
      </c>
    </row>
    <row r="4372" spans="1:15" x14ac:dyDescent="0.25">
      <c r="A4372">
        <v>786</v>
      </c>
      <c r="B4372" s="10">
        <v>45677</v>
      </c>
      <c r="C4372">
        <v>20</v>
      </c>
      <c r="D4372" t="s">
        <v>130</v>
      </c>
      <c r="E4372" t="s">
        <v>110</v>
      </c>
      <c r="F4372" t="s">
        <v>151</v>
      </c>
      <c r="G4372" t="s">
        <v>111</v>
      </c>
      <c r="H4372" t="s">
        <v>92</v>
      </c>
      <c r="I4372" t="s">
        <v>93</v>
      </c>
      <c r="J4372" t="s">
        <v>94</v>
      </c>
      <c r="K4372">
        <v>10</v>
      </c>
      <c r="L4372">
        <v>84300</v>
      </c>
      <c r="M4372">
        <v>843000</v>
      </c>
      <c r="N4372" t="s">
        <v>108</v>
      </c>
      <c r="O4372" t="s">
        <v>96</v>
      </c>
    </row>
    <row r="4373" spans="1:15" x14ac:dyDescent="0.25">
      <c r="A4373">
        <v>4931</v>
      </c>
      <c r="B4373" s="10">
        <v>45941</v>
      </c>
      <c r="C4373">
        <v>11</v>
      </c>
      <c r="D4373" t="s">
        <v>136</v>
      </c>
      <c r="E4373" t="s">
        <v>116</v>
      </c>
      <c r="F4373" t="s">
        <v>117</v>
      </c>
      <c r="G4373" t="s">
        <v>118</v>
      </c>
      <c r="H4373" t="s">
        <v>92</v>
      </c>
      <c r="I4373" t="s">
        <v>93</v>
      </c>
      <c r="J4373" t="s">
        <v>94</v>
      </c>
      <c r="K4373">
        <v>5</v>
      </c>
      <c r="L4373">
        <v>84400</v>
      </c>
      <c r="M4373">
        <v>422000</v>
      </c>
      <c r="N4373" t="s">
        <v>108</v>
      </c>
      <c r="O4373" t="s">
        <v>104</v>
      </c>
    </row>
    <row r="4374" spans="1:15" x14ac:dyDescent="0.25">
      <c r="A4374">
        <v>956</v>
      </c>
      <c r="B4374" s="10">
        <v>45940</v>
      </c>
      <c r="C4374">
        <v>10</v>
      </c>
      <c r="D4374" t="s">
        <v>136</v>
      </c>
      <c r="E4374" t="s">
        <v>142</v>
      </c>
      <c r="F4374" t="s">
        <v>44</v>
      </c>
      <c r="G4374" t="s">
        <v>111</v>
      </c>
      <c r="H4374" t="s">
        <v>92</v>
      </c>
      <c r="I4374" t="s">
        <v>93</v>
      </c>
      <c r="J4374" t="s">
        <v>94</v>
      </c>
      <c r="K4374">
        <v>9</v>
      </c>
      <c r="L4374">
        <v>84500</v>
      </c>
      <c r="M4374">
        <v>760500</v>
      </c>
      <c r="N4374" t="s">
        <v>95</v>
      </c>
      <c r="O4374" t="s">
        <v>115</v>
      </c>
    </row>
    <row r="4375" spans="1:15" x14ac:dyDescent="0.25">
      <c r="A4375">
        <v>1486</v>
      </c>
      <c r="B4375" s="10">
        <v>45968</v>
      </c>
      <c r="C4375">
        <v>7</v>
      </c>
      <c r="D4375" t="s">
        <v>90</v>
      </c>
      <c r="E4375" t="s">
        <v>98</v>
      </c>
      <c r="F4375" t="s">
        <v>141</v>
      </c>
      <c r="G4375" t="s">
        <v>100</v>
      </c>
      <c r="H4375" t="s">
        <v>23</v>
      </c>
      <c r="I4375" t="s">
        <v>34</v>
      </c>
      <c r="J4375" t="s">
        <v>103</v>
      </c>
      <c r="K4375">
        <v>11</v>
      </c>
      <c r="L4375">
        <v>84500</v>
      </c>
      <c r="M4375">
        <v>929500</v>
      </c>
      <c r="N4375" t="s">
        <v>108</v>
      </c>
      <c r="O4375" t="s">
        <v>115</v>
      </c>
    </row>
    <row r="4376" spans="1:15" x14ac:dyDescent="0.25">
      <c r="A4376">
        <v>1498</v>
      </c>
      <c r="B4376" s="10">
        <v>45729</v>
      </c>
      <c r="C4376">
        <v>13</v>
      </c>
      <c r="D4376" t="s">
        <v>140</v>
      </c>
      <c r="E4376" t="s">
        <v>106</v>
      </c>
      <c r="F4376" t="s">
        <v>107</v>
      </c>
      <c r="G4376" t="s">
        <v>100</v>
      </c>
      <c r="H4376" t="s">
        <v>92</v>
      </c>
      <c r="I4376" t="s">
        <v>93</v>
      </c>
      <c r="J4376" t="s">
        <v>94</v>
      </c>
      <c r="K4376">
        <v>4</v>
      </c>
      <c r="L4376">
        <v>84800</v>
      </c>
      <c r="M4376">
        <v>339200</v>
      </c>
      <c r="N4376" t="s">
        <v>108</v>
      </c>
      <c r="O4376" t="s">
        <v>104</v>
      </c>
    </row>
    <row r="4377" spans="1:15" x14ac:dyDescent="0.25">
      <c r="A4377">
        <v>3693</v>
      </c>
      <c r="B4377" s="10">
        <v>45862</v>
      </c>
      <c r="C4377">
        <v>24</v>
      </c>
      <c r="D4377" t="s">
        <v>145</v>
      </c>
      <c r="E4377" t="s">
        <v>137</v>
      </c>
      <c r="F4377" t="s">
        <v>122</v>
      </c>
      <c r="G4377" t="s">
        <v>114</v>
      </c>
      <c r="H4377" t="s">
        <v>92</v>
      </c>
      <c r="I4377" t="s">
        <v>93</v>
      </c>
      <c r="J4377" t="s">
        <v>94</v>
      </c>
      <c r="K4377">
        <v>10</v>
      </c>
      <c r="L4377">
        <v>84900</v>
      </c>
      <c r="M4377">
        <v>849000</v>
      </c>
      <c r="N4377" t="s">
        <v>108</v>
      </c>
      <c r="O4377" t="s">
        <v>96</v>
      </c>
    </row>
    <row r="4378" spans="1:15" x14ac:dyDescent="0.25">
      <c r="A4378">
        <v>1959</v>
      </c>
      <c r="B4378" s="10">
        <v>45813</v>
      </c>
      <c r="C4378">
        <v>5</v>
      </c>
      <c r="D4378" t="s">
        <v>153</v>
      </c>
      <c r="E4378" t="s">
        <v>150</v>
      </c>
      <c r="F4378" t="s">
        <v>151</v>
      </c>
      <c r="G4378" t="s">
        <v>111</v>
      </c>
      <c r="H4378" t="s">
        <v>23</v>
      </c>
      <c r="I4378" t="s">
        <v>34</v>
      </c>
      <c r="J4378" t="s">
        <v>103</v>
      </c>
      <c r="K4378">
        <v>18</v>
      </c>
      <c r="L4378">
        <v>85000</v>
      </c>
      <c r="M4378">
        <v>1530000</v>
      </c>
      <c r="N4378" t="s">
        <v>95</v>
      </c>
      <c r="O4378" t="s">
        <v>115</v>
      </c>
    </row>
    <row r="4379" spans="1:15" x14ac:dyDescent="0.25">
      <c r="A4379">
        <v>2636</v>
      </c>
      <c r="B4379" s="10">
        <v>45708</v>
      </c>
      <c r="C4379">
        <v>20</v>
      </c>
      <c r="D4379" t="s">
        <v>97</v>
      </c>
      <c r="E4379" t="s">
        <v>25</v>
      </c>
      <c r="F4379" t="s">
        <v>151</v>
      </c>
      <c r="G4379" t="s">
        <v>111</v>
      </c>
      <c r="H4379" t="s">
        <v>23</v>
      </c>
      <c r="I4379" t="s">
        <v>34</v>
      </c>
      <c r="J4379" t="s">
        <v>103</v>
      </c>
      <c r="K4379">
        <v>11</v>
      </c>
      <c r="L4379">
        <v>85100</v>
      </c>
      <c r="M4379">
        <v>936100</v>
      </c>
      <c r="N4379" t="s">
        <v>108</v>
      </c>
      <c r="O4379" t="s">
        <v>96</v>
      </c>
    </row>
    <row r="4380" spans="1:15" x14ac:dyDescent="0.25">
      <c r="A4380">
        <v>4455</v>
      </c>
      <c r="B4380" s="10">
        <v>45687</v>
      </c>
      <c r="C4380">
        <v>30</v>
      </c>
      <c r="D4380" t="s">
        <v>130</v>
      </c>
      <c r="E4380" t="s">
        <v>161</v>
      </c>
      <c r="F4380" t="s">
        <v>117</v>
      </c>
      <c r="G4380" t="s">
        <v>118</v>
      </c>
      <c r="H4380" t="s">
        <v>92</v>
      </c>
      <c r="I4380" t="s">
        <v>93</v>
      </c>
      <c r="J4380" t="s">
        <v>94</v>
      </c>
      <c r="K4380">
        <v>9</v>
      </c>
      <c r="L4380">
        <v>85100</v>
      </c>
      <c r="M4380">
        <v>765900</v>
      </c>
      <c r="N4380" t="s">
        <v>95</v>
      </c>
      <c r="O4380" t="s">
        <v>96</v>
      </c>
    </row>
    <row r="4381" spans="1:15" x14ac:dyDescent="0.25">
      <c r="A4381">
        <v>432</v>
      </c>
      <c r="B4381" s="10">
        <v>45909</v>
      </c>
      <c r="C4381">
        <v>9</v>
      </c>
      <c r="D4381" t="s">
        <v>147</v>
      </c>
      <c r="E4381" t="s">
        <v>25</v>
      </c>
      <c r="F4381" t="s">
        <v>28</v>
      </c>
      <c r="G4381" t="s">
        <v>126</v>
      </c>
      <c r="H4381" t="s">
        <v>23</v>
      </c>
      <c r="I4381" t="s">
        <v>34</v>
      </c>
      <c r="J4381" t="s">
        <v>94</v>
      </c>
      <c r="K4381">
        <v>1</v>
      </c>
      <c r="L4381">
        <v>85300</v>
      </c>
      <c r="M4381">
        <v>85300</v>
      </c>
      <c r="N4381" t="s">
        <v>108</v>
      </c>
      <c r="O4381" t="s">
        <v>104</v>
      </c>
    </row>
    <row r="4382" spans="1:15" x14ac:dyDescent="0.25">
      <c r="A4382">
        <v>1760</v>
      </c>
      <c r="B4382" s="10">
        <v>45691</v>
      </c>
      <c r="C4382">
        <v>3</v>
      </c>
      <c r="D4382" t="s">
        <v>97</v>
      </c>
      <c r="E4382" t="s">
        <v>142</v>
      </c>
      <c r="F4382" t="s">
        <v>141</v>
      </c>
      <c r="G4382" t="s">
        <v>100</v>
      </c>
      <c r="H4382" t="s">
        <v>92</v>
      </c>
      <c r="I4382" t="s">
        <v>93</v>
      </c>
      <c r="J4382" t="s">
        <v>94</v>
      </c>
      <c r="K4382">
        <v>2</v>
      </c>
      <c r="L4382">
        <v>85300</v>
      </c>
      <c r="M4382">
        <v>170600</v>
      </c>
      <c r="N4382" t="s">
        <v>108</v>
      </c>
      <c r="O4382" t="s">
        <v>115</v>
      </c>
    </row>
    <row r="4383" spans="1:15" x14ac:dyDescent="0.25">
      <c r="A4383">
        <v>2959</v>
      </c>
      <c r="B4383" s="10">
        <v>45944</v>
      </c>
      <c r="C4383">
        <v>14</v>
      </c>
      <c r="D4383" t="s">
        <v>136</v>
      </c>
      <c r="E4383" t="s">
        <v>121</v>
      </c>
      <c r="F4383" t="s">
        <v>28</v>
      </c>
      <c r="G4383" t="s">
        <v>126</v>
      </c>
      <c r="H4383" t="s">
        <v>23</v>
      </c>
      <c r="I4383" t="s">
        <v>34</v>
      </c>
      <c r="J4383" t="s">
        <v>103</v>
      </c>
      <c r="K4383">
        <v>40</v>
      </c>
      <c r="L4383">
        <v>85300</v>
      </c>
      <c r="M4383">
        <v>3412000</v>
      </c>
      <c r="N4383" t="s">
        <v>95</v>
      </c>
      <c r="O4383" t="s">
        <v>96</v>
      </c>
    </row>
    <row r="4384" spans="1:15" x14ac:dyDescent="0.25">
      <c r="A4384">
        <v>2023</v>
      </c>
      <c r="B4384" s="10">
        <v>45924</v>
      </c>
      <c r="C4384">
        <v>24</v>
      </c>
      <c r="D4384" t="s">
        <v>147</v>
      </c>
      <c r="E4384" t="s">
        <v>138</v>
      </c>
      <c r="F4384" t="s">
        <v>28</v>
      </c>
      <c r="G4384" t="s">
        <v>126</v>
      </c>
      <c r="H4384" t="s">
        <v>92</v>
      </c>
      <c r="I4384" t="s">
        <v>93</v>
      </c>
      <c r="J4384" t="s">
        <v>94</v>
      </c>
      <c r="K4384">
        <v>4</v>
      </c>
      <c r="L4384">
        <v>85400</v>
      </c>
      <c r="M4384">
        <v>341600</v>
      </c>
      <c r="N4384" t="s">
        <v>108</v>
      </c>
      <c r="O4384" t="s">
        <v>104</v>
      </c>
    </row>
    <row r="4385" spans="1:15" x14ac:dyDescent="0.25">
      <c r="A4385">
        <v>4707</v>
      </c>
      <c r="B4385" s="10">
        <v>45802</v>
      </c>
      <c r="C4385">
        <v>25</v>
      </c>
      <c r="D4385" t="s">
        <v>120</v>
      </c>
      <c r="E4385" t="s">
        <v>161</v>
      </c>
      <c r="F4385" t="s">
        <v>148</v>
      </c>
      <c r="G4385" t="s">
        <v>118</v>
      </c>
      <c r="H4385" t="s">
        <v>92</v>
      </c>
      <c r="I4385" t="s">
        <v>93</v>
      </c>
      <c r="J4385" t="s">
        <v>94</v>
      </c>
      <c r="K4385">
        <v>7</v>
      </c>
      <c r="L4385">
        <v>85600</v>
      </c>
      <c r="M4385">
        <v>599200</v>
      </c>
      <c r="N4385" t="s">
        <v>108</v>
      </c>
      <c r="O4385" t="s">
        <v>115</v>
      </c>
    </row>
    <row r="4386" spans="1:15" x14ac:dyDescent="0.25">
      <c r="A4386">
        <v>1426</v>
      </c>
      <c r="B4386" s="10">
        <v>45736</v>
      </c>
      <c r="C4386">
        <v>20</v>
      </c>
      <c r="D4386" t="s">
        <v>140</v>
      </c>
      <c r="E4386" t="s">
        <v>121</v>
      </c>
      <c r="F4386" t="s">
        <v>107</v>
      </c>
      <c r="G4386" t="s">
        <v>100</v>
      </c>
      <c r="H4386" t="s">
        <v>23</v>
      </c>
      <c r="I4386" t="s">
        <v>34</v>
      </c>
      <c r="J4386" t="s">
        <v>94</v>
      </c>
      <c r="K4386">
        <v>6</v>
      </c>
      <c r="L4386">
        <v>85700</v>
      </c>
      <c r="M4386">
        <v>514200</v>
      </c>
      <c r="N4386" t="s">
        <v>108</v>
      </c>
      <c r="O4386" t="s">
        <v>115</v>
      </c>
    </row>
    <row r="4387" spans="1:15" x14ac:dyDescent="0.25">
      <c r="A4387">
        <v>671</v>
      </c>
      <c r="B4387" s="10">
        <v>45968</v>
      </c>
      <c r="C4387">
        <v>7</v>
      </c>
      <c r="D4387" t="s">
        <v>90</v>
      </c>
      <c r="E4387" t="s">
        <v>161</v>
      </c>
      <c r="F4387" t="s">
        <v>28</v>
      </c>
      <c r="G4387" t="s">
        <v>126</v>
      </c>
      <c r="H4387" t="s">
        <v>23</v>
      </c>
      <c r="I4387" t="s">
        <v>34</v>
      </c>
      <c r="J4387" t="s">
        <v>103</v>
      </c>
      <c r="K4387">
        <v>10</v>
      </c>
      <c r="L4387">
        <v>85800</v>
      </c>
      <c r="M4387">
        <v>858000</v>
      </c>
      <c r="N4387" t="s">
        <v>108</v>
      </c>
      <c r="O4387" t="s">
        <v>96</v>
      </c>
    </row>
    <row r="4388" spans="1:15" x14ac:dyDescent="0.25">
      <c r="A4388">
        <v>4423</v>
      </c>
      <c r="B4388" s="10">
        <v>45862</v>
      </c>
      <c r="C4388">
        <v>24</v>
      </c>
      <c r="D4388" t="s">
        <v>145</v>
      </c>
      <c r="E4388" t="s">
        <v>98</v>
      </c>
      <c r="F4388" t="s">
        <v>117</v>
      </c>
      <c r="G4388" t="s">
        <v>118</v>
      </c>
      <c r="H4388" t="s">
        <v>23</v>
      </c>
      <c r="I4388" t="s">
        <v>34</v>
      </c>
      <c r="J4388" t="s">
        <v>103</v>
      </c>
      <c r="K4388">
        <v>46</v>
      </c>
      <c r="L4388">
        <v>85800</v>
      </c>
      <c r="M4388">
        <v>3946800</v>
      </c>
      <c r="N4388" t="s">
        <v>108</v>
      </c>
      <c r="O4388" t="s">
        <v>96</v>
      </c>
    </row>
    <row r="4389" spans="1:15" x14ac:dyDescent="0.25">
      <c r="A4389">
        <v>668</v>
      </c>
      <c r="B4389" s="10">
        <v>45802</v>
      </c>
      <c r="C4389">
        <v>25</v>
      </c>
      <c r="D4389" t="s">
        <v>120</v>
      </c>
      <c r="E4389" t="s">
        <v>150</v>
      </c>
      <c r="F4389" t="s">
        <v>134</v>
      </c>
      <c r="G4389" t="s">
        <v>100</v>
      </c>
      <c r="H4389" t="s">
        <v>92</v>
      </c>
      <c r="I4389" t="s">
        <v>93</v>
      </c>
      <c r="J4389" t="s">
        <v>94</v>
      </c>
      <c r="K4389">
        <v>2</v>
      </c>
      <c r="L4389">
        <v>86000</v>
      </c>
      <c r="M4389">
        <v>172000</v>
      </c>
      <c r="N4389" t="s">
        <v>95</v>
      </c>
      <c r="O4389" t="s">
        <v>104</v>
      </c>
    </row>
    <row r="4390" spans="1:15" x14ac:dyDescent="0.25">
      <c r="A4390">
        <v>3012</v>
      </c>
      <c r="B4390" s="10">
        <v>45946</v>
      </c>
      <c r="C4390">
        <v>16</v>
      </c>
      <c r="D4390" t="s">
        <v>136</v>
      </c>
      <c r="E4390" t="s">
        <v>121</v>
      </c>
      <c r="F4390" t="s">
        <v>134</v>
      </c>
      <c r="G4390" t="s">
        <v>100</v>
      </c>
      <c r="H4390" t="s">
        <v>23</v>
      </c>
      <c r="I4390" t="s">
        <v>34</v>
      </c>
      <c r="J4390" t="s">
        <v>103</v>
      </c>
      <c r="K4390">
        <v>50</v>
      </c>
      <c r="L4390">
        <v>86100</v>
      </c>
      <c r="M4390">
        <v>4305000</v>
      </c>
      <c r="N4390" t="s">
        <v>108</v>
      </c>
      <c r="O4390" t="s">
        <v>115</v>
      </c>
    </row>
    <row r="4391" spans="1:15" x14ac:dyDescent="0.25">
      <c r="A4391">
        <v>2833</v>
      </c>
      <c r="B4391" s="10">
        <v>45895</v>
      </c>
      <c r="C4391">
        <v>26</v>
      </c>
      <c r="D4391" t="s">
        <v>109</v>
      </c>
      <c r="E4391" t="s">
        <v>161</v>
      </c>
      <c r="F4391" t="s">
        <v>22</v>
      </c>
      <c r="G4391" t="s">
        <v>91</v>
      </c>
      <c r="H4391" t="s">
        <v>92</v>
      </c>
      <c r="I4391" t="s">
        <v>93</v>
      </c>
      <c r="J4391" t="s">
        <v>94</v>
      </c>
      <c r="K4391">
        <v>3</v>
      </c>
      <c r="L4391">
        <v>86300</v>
      </c>
      <c r="M4391">
        <v>258900</v>
      </c>
      <c r="N4391" t="s">
        <v>108</v>
      </c>
      <c r="O4391" t="s">
        <v>104</v>
      </c>
    </row>
    <row r="4392" spans="1:15" x14ac:dyDescent="0.25">
      <c r="A4392">
        <v>4421</v>
      </c>
      <c r="B4392" s="10">
        <v>45993</v>
      </c>
      <c r="C4392">
        <v>2</v>
      </c>
      <c r="D4392" t="s">
        <v>125</v>
      </c>
      <c r="E4392" t="s">
        <v>106</v>
      </c>
      <c r="F4392" t="s">
        <v>44</v>
      </c>
      <c r="G4392" t="s">
        <v>111</v>
      </c>
      <c r="H4392" t="s">
        <v>23</v>
      </c>
      <c r="I4392" t="s">
        <v>34</v>
      </c>
      <c r="J4392" t="s">
        <v>103</v>
      </c>
      <c r="K4392">
        <v>5</v>
      </c>
      <c r="L4392">
        <v>86300</v>
      </c>
      <c r="M4392">
        <v>431500</v>
      </c>
      <c r="N4392" t="s">
        <v>108</v>
      </c>
      <c r="O4392" t="s">
        <v>104</v>
      </c>
    </row>
    <row r="4393" spans="1:15" x14ac:dyDescent="0.25">
      <c r="A4393">
        <v>2888</v>
      </c>
      <c r="B4393" s="10">
        <v>45811</v>
      </c>
      <c r="C4393">
        <v>3</v>
      </c>
      <c r="D4393" t="s">
        <v>153</v>
      </c>
      <c r="E4393" t="s">
        <v>161</v>
      </c>
      <c r="F4393" t="s">
        <v>107</v>
      </c>
      <c r="G4393" t="s">
        <v>100</v>
      </c>
      <c r="H4393" t="s">
        <v>23</v>
      </c>
      <c r="I4393" t="s">
        <v>34</v>
      </c>
      <c r="J4393" t="s">
        <v>103</v>
      </c>
      <c r="K4393">
        <v>27</v>
      </c>
      <c r="L4393">
        <v>86400</v>
      </c>
      <c r="M4393">
        <v>2332800</v>
      </c>
      <c r="N4393" t="s">
        <v>108</v>
      </c>
      <c r="O4393" t="s">
        <v>96</v>
      </c>
    </row>
    <row r="4394" spans="1:15" x14ac:dyDescent="0.25">
      <c r="A4394">
        <v>3536</v>
      </c>
      <c r="B4394" s="10">
        <v>45666</v>
      </c>
      <c r="C4394">
        <v>9</v>
      </c>
      <c r="D4394" t="s">
        <v>130</v>
      </c>
      <c r="E4394" t="s">
        <v>25</v>
      </c>
      <c r="F4394" t="s">
        <v>148</v>
      </c>
      <c r="G4394" t="s">
        <v>118</v>
      </c>
      <c r="H4394" t="s">
        <v>92</v>
      </c>
      <c r="I4394" t="s">
        <v>93</v>
      </c>
      <c r="J4394" t="s">
        <v>94</v>
      </c>
      <c r="K4394">
        <v>3</v>
      </c>
      <c r="L4394">
        <v>86400</v>
      </c>
      <c r="M4394">
        <v>259200</v>
      </c>
      <c r="N4394" t="s">
        <v>108</v>
      </c>
      <c r="O4394" t="s">
        <v>104</v>
      </c>
    </row>
    <row r="4395" spans="1:15" x14ac:dyDescent="0.25">
      <c r="A4395">
        <v>1761</v>
      </c>
      <c r="B4395" s="10">
        <v>45666</v>
      </c>
      <c r="C4395">
        <v>9</v>
      </c>
      <c r="D4395" t="s">
        <v>130</v>
      </c>
      <c r="E4395" t="s">
        <v>116</v>
      </c>
      <c r="F4395" t="s">
        <v>99</v>
      </c>
      <c r="G4395" t="s">
        <v>100</v>
      </c>
      <c r="H4395" t="s">
        <v>92</v>
      </c>
      <c r="I4395" t="s">
        <v>93</v>
      </c>
      <c r="J4395" t="s">
        <v>94</v>
      </c>
      <c r="K4395">
        <v>3</v>
      </c>
      <c r="L4395">
        <v>86600</v>
      </c>
      <c r="M4395">
        <v>259800</v>
      </c>
      <c r="N4395" t="s">
        <v>95</v>
      </c>
      <c r="O4395" t="s">
        <v>104</v>
      </c>
    </row>
    <row r="4396" spans="1:15" x14ac:dyDescent="0.25">
      <c r="A4396">
        <v>4</v>
      </c>
      <c r="B4396" s="10">
        <v>45887</v>
      </c>
      <c r="C4396">
        <v>18</v>
      </c>
      <c r="D4396" t="s">
        <v>109</v>
      </c>
      <c r="E4396" t="s">
        <v>110</v>
      </c>
      <c r="F4396" t="s">
        <v>44</v>
      </c>
      <c r="G4396" t="s">
        <v>111</v>
      </c>
      <c r="H4396" t="s">
        <v>23</v>
      </c>
      <c r="I4396" t="s">
        <v>34</v>
      </c>
      <c r="J4396" t="s">
        <v>103</v>
      </c>
      <c r="K4396">
        <v>26</v>
      </c>
      <c r="L4396">
        <v>86900</v>
      </c>
      <c r="M4396">
        <v>2259400</v>
      </c>
      <c r="N4396" t="s">
        <v>108</v>
      </c>
      <c r="O4396" t="s">
        <v>104</v>
      </c>
    </row>
    <row r="4397" spans="1:15" x14ac:dyDescent="0.25">
      <c r="A4397">
        <v>1331</v>
      </c>
      <c r="B4397" s="10">
        <v>45962</v>
      </c>
      <c r="C4397">
        <v>1</v>
      </c>
      <c r="D4397" t="s">
        <v>90</v>
      </c>
      <c r="E4397" t="s">
        <v>121</v>
      </c>
      <c r="F4397" t="s">
        <v>36</v>
      </c>
      <c r="G4397" t="s">
        <v>100</v>
      </c>
      <c r="H4397" t="s">
        <v>23</v>
      </c>
      <c r="I4397" t="s">
        <v>34</v>
      </c>
      <c r="J4397" t="s">
        <v>103</v>
      </c>
      <c r="K4397">
        <v>14</v>
      </c>
      <c r="L4397">
        <v>86900</v>
      </c>
      <c r="M4397">
        <v>1216600</v>
      </c>
      <c r="N4397" t="s">
        <v>95</v>
      </c>
      <c r="O4397" t="s">
        <v>104</v>
      </c>
    </row>
    <row r="4398" spans="1:15" x14ac:dyDescent="0.25">
      <c r="A4398">
        <v>2252</v>
      </c>
      <c r="B4398" s="10">
        <v>45866</v>
      </c>
      <c r="C4398">
        <v>28</v>
      </c>
      <c r="D4398" t="s">
        <v>145</v>
      </c>
      <c r="E4398" t="s">
        <v>128</v>
      </c>
      <c r="F4398" t="s">
        <v>122</v>
      </c>
      <c r="G4398" t="s">
        <v>114</v>
      </c>
      <c r="H4398" t="s">
        <v>23</v>
      </c>
      <c r="I4398" t="s">
        <v>34</v>
      </c>
      <c r="J4398" t="s">
        <v>103</v>
      </c>
      <c r="K4398">
        <v>26</v>
      </c>
      <c r="L4398">
        <v>86900</v>
      </c>
      <c r="M4398">
        <v>2259400</v>
      </c>
      <c r="N4398" t="s">
        <v>95</v>
      </c>
      <c r="O4398" t="s">
        <v>96</v>
      </c>
    </row>
    <row r="4399" spans="1:15" x14ac:dyDescent="0.25">
      <c r="A4399">
        <v>863</v>
      </c>
      <c r="B4399" s="10">
        <v>46012</v>
      </c>
      <c r="C4399">
        <v>21</v>
      </c>
      <c r="D4399" t="s">
        <v>125</v>
      </c>
      <c r="E4399" t="s">
        <v>112</v>
      </c>
      <c r="F4399" t="s">
        <v>144</v>
      </c>
      <c r="G4399" t="s">
        <v>91</v>
      </c>
      <c r="H4399" t="s">
        <v>23</v>
      </c>
      <c r="I4399" t="s">
        <v>34</v>
      </c>
      <c r="J4399" t="s">
        <v>103</v>
      </c>
      <c r="K4399">
        <v>10</v>
      </c>
      <c r="L4399">
        <v>87000</v>
      </c>
      <c r="M4399">
        <v>870000</v>
      </c>
      <c r="N4399" t="s">
        <v>95</v>
      </c>
      <c r="O4399" t="s">
        <v>115</v>
      </c>
    </row>
    <row r="4400" spans="1:15" x14ac:dyDescent="0.25">
      <c r="A4400">
        <v>3991</v>
      </c>
      <c r="B4400" s="10">
        <v>45785</v>
      </c>
      <c r="C4400">
        <v>8</v>
      </c>
      <c r="D4400" t="s">
        <v>120</v>
      </c>
      <c r="E4400" t="s">
        <v>121</v>
      </c>
      <c r="F4400" t="s">
        <v>148</v>
      </c>
      <c r="G4400" t="s">
        <v>118</v>
      </c>
      <c r="H4400" t="s">
        <v>23</v>
      </c>
      <c r="I4400" t="s">
        <v>34</v>
      </c>
      <c r="J4400" t="s">
        <v>94</v>
      </c>
      <c r="K4400">
        <v>7</v>
      </c>
      <c r="L4400">
        <v>87000</v>
      </c>
      <c r="M4400">
        <v>609000</v>
      </c>
      <c r="N4400" t="s">
        <v>95</v>
      </c>
      <c r="O4400" t="s">
        <v>96</v>
      </c>
    </row>
    <row r="4401" spans="1:15" x14ac:dyDescent="0.25">
      <c r="A4401">
        <v>4636</v>
      </c>
      <c r="B4401" s="10">
        <v>45779</v>
      </c>
      <c r="C4401">
        <v>2</v>
      </c>
      <c r="D4401" t="s">
        <v>120</v>
      </c>
      <c r="E4401" t="s">
        <v>128</v>
      </c>
      <c r="F4401" t="s">
        <v>113</v>
      </c>
      <c r="G4401" t="s">
        <v>114</v>
      </c>
      <c r="H4401" t="s">
        <v>23</v>
      </c>
      <c r="I4401" t="s">
        <v>119</v>
      </c>
      <c r="J4401" t="s">
        <v>103</v>
      </c>
      <c r="K4401">
        <v>43</v>
      </c>
      <c r="L4401">
        <v>87100</v>
      </c>
      <c r="M4401">
        <v>3745300</v>
      </c>
      <c r="N4401" t="s">
        <v>108</v>
      </c>
      <c r="O4401" t="s">
        <v>115</v>
      </c>
    </row>
    <row r="4402" spans="1:15" x14ac:dyDescent="0.25">
      <c r="A4402">
        <v>2333</v>
      </c>
      <c r="B4402" s="10">
        <v>45726</v>
      </c>
      <c r="C4402">
        <v>10</v>
      </c>
      <c r="D4402" t="s">
        <v>140</v>
      </c>
      <c r="E4402" t="s">
        <v>106</v>
      </c>
      <c r="F4402" t="s">
        <v>141</v>
      </c>
      <c r="G4402" t="s">
        <v>100</v>
      </c>
      <c r="H4402" t="s">
        <v>23</v>
      </c>
      <c r="I4402" t="s">
        <v>34</v>
      </c>
      <c r="J4402" t="s">
        <v>94</v>
      </c>
      <c r="K4402">
        <v>10</v>
      </c>
      <c r="L4402">
        <v>87800</v>
      </c>
      <c r="M4402">
        <v>878000</v>
      </c>
      <c r="N4402" t="s">
        <v>95</v>
      </c>
      <c r="O4402" t="s">
        <v>96</v>
      </c>
    </row>
    <row r="4403" spans="1:15" x14ac:dyDescent="0.25">
      <c r="A4403">
        <v>864</v>
      </c>
      <c r="B4403" s="10">
        <v>45749</v>
      </c>
      <c r="C4403">
        <v>2</v>
      </c>
      <c r="D4403" t="s">
        <v>105</v>
      </c>
      <c r="E4403" t="s">
        <v>116</v>
      </c>
      <c r="F4403" t="s">
        <v>28</v>
      </c>
      <c r="G4403" t="s">
        <v>126</v>
      </c>
      <c r="H4403" t="s">
        <v>23</v>
      </c>
      <c r="I4403" t="s">
        <v>34</v>
      </c>
      <c r="J4403" t="s">
        <v>103</v>
      </c>
      <c r="K4403">
        <v>12</v>
      </c>
      <c r="L4403">
        <v>88000</v>
      </c>
      <c r="M4403">
        <v>1056000</v>
      </c>
      <c r="N4403" t="s">
        <v>95</v>
      </c>
      <c r="O4403" t="s">
        <v>115</v>
      </c>
    </row>
    <row r="4404" spans="1:15" x14ac:dyDescent="0.25">
      <c r="A4404">
        <v>3908</v>
      </c>
      <c r="B4404" s="10">
        <v>45745</v>
      </c>
      <c r="C4404">
        <v>29</v>
      </c>
      <c r="D4404" t="s">
        <v>140</v>
      </c>
      <c r="E4404" t="s">
        <v>142</v>
      </c>
      <c r="F4404" t="s">
        <v>117</v>
      </c>
      <c r="G4404" t="s">
        <v>118</v>
      </c>
      <c r="H4404" t="s">
        <v>23</v>
      </c>
      <c r="I4404" t="s">
        <v>34</v>
      </c>
      <c r="J4404" t="s">
        <v>94</v>
      </c>
      <c r="K4404">
        <v>2</v>
      </c>
      <c r="L4404">
        <v>88300</v>
      </c>
      <c r="M4404">
        <v>176600</v>
      </c>
      <c r="N4404" t="s">
        <v>108</v>
      </c>
      <c r="O4404" t="s">
        <v>96</v>
      </c>
    </row>
    <row r="4405" spans="1:15" x14ac:dyDescent="0.25">
      <c r="A4405">
        <v>1639</v>
      </c>
      <c r="B4405" s="10">
        <v>45841</v>
      </c>
      <c r="C4405">
        <v>3</v>
      </c>
      <c r="D4405" t="s">
        <v>145</v>
      </c>
      <c r="E4405" t="s">
        <v>121</v>
      </c>
      <c r="F4405" t="s">
        <v>144</v>
      </c>
      <c r="G4405" t="s">
        <v>91</v>
      </c>
      <c r="H4405" t="s">
        <v>23</v>
      </c>
      <c r="I4405" t="s">
        <v>34</v>
      </c>
      <c r="J4405" t="s">
        <v>103</v>
      </c>
      <c r="K4405">
        <v>35</v>
      </c>
      <c r="L4405">
        <v>89100</v>
      </c>
      <c r="M4405">
        <v>3118500</v>
      </c>
      <c r="N4405" t="s">
        <v>108</v>
      </c>
      <c r="O4405" t="s">
        <v>115</v>
      </c>
    </row>
    <row r="4406" spans="1:15" x14ac:dyDescent="0.25">
      <c r="A4406">
        <v>1138</v>
      </c>
      <c r="B4406" s="10">
        <v>46010</v>
      </c>
      <c r="C4406">
        <v>19</v>
      </c>
      <c r="D4406" t="s">
        <v>125</v>
      </c>
      <c r="E4406" t="s">
        <v>110</v>
      </c>
      <c r="F4406" t="s">
        <v>151</v>
      </c>
      <c r="G4406" t="s">
        <v>111</v>
      </c>
      <c r="H4406" t="s">
        <v>23</v>
      </c>
      <c r="I4406" t="s">
        <v>34</v>
      </c>
      <c r="J4406" t="s">
        <v>94</v>
      </c>
      <c r="K4406">
        <v>2</v>
      </c>
      <c r="L4406">
        <v>89200</v>
      </c>
      <c r="M4406">
        <v>178400</v>
      </c>
      <c r="N4406" t="s">
        <v>108</v>
      </c>
      <c r="O4406" t="s">
        <v>115</v>
      </c>
    </row>
    <row r="4407" spans="1:15" x14ac:dyDescent="0.25">
      <c r="A4407">
        <v>2550</v>
      </c>
      <c r="B4407" s="10">
        <v>45800</v>
      </c>
      <c r="C4407">
        <v>23</v>
      </c>
      <c r="D4407" t="s">
        <v>120</v>
      </c>
      <c r="E4407" t="s">
        <v>150</v>
      </c>
      <c r="F4407" t="s">
        <v>36</v>
      </c>
      <c r="G4407" t="s">
        <v>100</v>
      </c>
      <c r="H4407" t="s">
        <v>23</v>
      </c>
      <c r="I4407" t="s">
        <v>34</v>
      </c>
      <c r="J4407" t="s">
        <v>103</v>
      </c>
      <c r="K4407">
        <v>7</v>
      </c>
      <c r="L4407">
        <v>89200</v>
      </c>
      <c r="M4407">
        <v>624400</v>
      </c>
      <c r="N4407" t="s">
        <v>108</v>
      </c>
      <c r="O4407" t="s">
        <v>104</v>
      </c>
    </row>
    <row r="4408" spans="1:15" x14ac:dyDescent="0.25">
      <c r="A4408">
        <v>1329</v>
      </c>
      <c r="B4408" s="10">
        <v>45765</v>
      </c>
      <c r="C4408">
        <v>18</v>
      </c>
      <c r="D4408" t="s">
        <v>105</v>
      </c>
      <c r="E4408" t="s">
        <v>121</v>
      </c>
      <c r="F4408" t="s">
        <v>49</v>
      </c>
      <c r="G4408" t="s">
        <v>118</v>
      </c>
      <c r="H4408" t="s">
        <v>23</v>
      </c>
      <c r="I4408" t="s">
        <v>34</v>
      </c>
      <c r="J4408" t="s">
        <v>94</v>
      </c>
      <c r="K4408">
        <v>3</v>
      </c>
      <c r="L4408">
        <v>89300</v>
      </c>
      <c r="M4408">
        <v>267900</v>
      </c>
      <c r="N4408" t="s">
        <v>108</v>
      </c>
      <c r="O4408" t="s">
        <v>96</v>
      </c>
    </row>
    <row r="4409" spans="1:15" x14ac:dyDescent="0.25">
      <c r="A4409">
        <v>1909</v>
      </c>
      <c r="B4409" s="10">
        <v>45752</v>
      </c>
      <c r="C4409">
        <v>5</v>
      </c>
      <c r="D4409" t="s">
        <v>105</v>
      </c>
      <c r="E4409" t="s">
        <v>137</v>
      </c>
      <c r="F4409" t="s">
        <v>22</v>
      </c>
      <c r="G4409" t="s">
        <v>91</v>
      </c>
      <c r="H4409" t="s">
        <v>23</v>
      </c>
      <c r="I4409" t="s">
        <v>34</v>
      </c>
      <c r="J4409" t="s">
        <v>94</v>
      </c>
      <c r="K4409">
        <v>5</v>
      </c>
      <c r="L4409">
        <v>89300</v>
      </c>
      <c r="M4409">
        <v>446500</v>
      </c>
      <c r="N4409" t="s">
        <v>95</v>
      </c>
      <c r="O4409" t="s">
        <v>96</v>
      </c>
    </row>
    <row r="4410" spans="1:15" x14ac:dyDescent="0.25">
      <c r="A4410">
        <v>4832</v>
      </c>
      <c r="B4410" s="10">
        <v>45968</v>
      </c>
      <c r="C4410">
        <v>7</v>
      </c>
      <c r="D4410" t="s">
        <v>90</v>
      </c>
      <c r="E4410" t="s">
        <v>110</v>
      </c>
      <c r="F4410" t="s">
        <v>151</v>
      </c>
      <c r="G4410" t="s">
        <v>111</v>
      </c>
      <c r="H4410" t="s">
        <v>23</v>
      </c>
      <c r="I4410" t="s">
        <v>34</v>
      </c>
      <c r="J4410" t="s">
        <v>94</v>
      </c>
      <c r="K4410">
        <v>1</v>
      </c>
      <c r="L4410">
        <v>89400</v>
      </c>
      <c r="M4410">
        <v>89400</v>
      </c>
      <c r="N4410" t="s">
        <v>108</v>
      </c>
      <c r="O4410" t="s">
        <v>104</v>
      </c>
    </row>
    <row r="4411" spans="1:15" x14ac:dyDescent="0.25">
      <c r="A4411">
        <v>412</v>
      </c>
      <c r="B4411" s="10">
        <v>45889</v>
      </c>
      <c r="C4411">
        <v>20</v>
      </c>
      <c r="D4411" t="s">
        <v>109</v>
      </c>
      <c r="E4411" t="s">
        <v>116</v>
      </c>
      <c r="F4411" t="s">
        <v>49</v>
      </c>
      <c r="G4411" t="s">
        <v>118</v>
      </c>
      <c r="H4411" t="s">
        <v>23</v>
      </c>
      <c r="I4411" t="s">
        <v>34</v>
      </c>
      <c r="J4411" t="s">
        <v>94</v>
      </c>
      <c r="K4411">
        <v>10</v>
      </c>
      <c r="L4411">
        <v>89700</v>
      </c>
      <c r="M4411">
        <v>897000</v>
      </c>
      <c r="N4411" t="s">
        <v>95</v>
      </c>
      <c r="O4411" t="s">
        <v>104</v>
      </c>
    </row>
    <row r="4412" spans="1:15" x14ac:dyDescent="0.25">
      <c r="A4412">
        <v>1289</v>
      </c>
      <c r="B4412" s="10">
        <v>45957</v>
      </c>
      <c r="C4412">
        <v>27</v>
      </c>
      <c r="D4412" t="s">
        <v>136</v>
      </c>
      <c r="E4412" t="s">
        <v>142</v>
      </c>
      <c r="F4412" t="s">
        <v>28</v>
      </c>
      <c r="G4412" t="s">
        <v>126</v>
      </c>
      <c r="H4412" t="s">
        <v>23</v>
      </c>
      <c r="I4412" t="s">
        <v>34</v>
      </c>
      <c r="J4412" t="s">
        <v>94</v>
      </c>
      <c r="K4412">
        <v>1</v>
      </c>
      <c r="L4412">
        <v>89800</v>
      </c>
      <c r="M4412">
        <v>89800</v>
      </c>
      <c r="N4412" t="s">
        <v>95</v>
      </c>
      <c r="O4412" t="s">
        <v>104</v>
      </c>
    </row>
    <row r="4413" spans="1:15" x14ac:dyDescent="0.25">
      <c r="A4413">
        <v>584</v>
      </c>
      <c r="B4413" s="10">
        <v>45996</v>
      </c>
      <c r="C4413">
        <v>5</v>
      </c>
      <c r="D4413" t="s">
        <v>125</v>
      </c>
      <c r="E4413" t="s">
        <v>121</v>
      </c>
      <c r="F4413" t="s">
        <v>44</v>
      </c>
      <c r="G4413" t="s">
        <v>111</v>
      </c>
      <c r="H4413" t="s">
        <v>23</v>
      </c>
      <c r="I4413" t="s">
        <v>34</v>
      </c>
      <c r="J4413" t="s">
        <v>103</v>
      </c>
      <c r="K4413">
        <v>43</v>
      </c>
      <c r="L4413">
        <v>89900</v>
      </c>
      <c r="M4413">
        <v>3865700</v>
      </c>
      <c r="N4413" t="s">
        <v>108</v>
      </c>
      <c r="O4413" t="s">
        <v>115</v>
      </c>
    </row>
    <row r="4414" spans="1:15" x14ac:dyDescent="0.25">
      <c r="A4414">
        <v>1317</v>
      </c>
      <c r="B4414" s="10">
        <v>45715</v>
      </c>
      <c r="C4414">
        <v>27</v>
      </c>
      <c r="D4414" t="s">
        <v>97</v>
      </c>
      <c r="E4414" t="s">
        <v>133</v>
      </c>
      <c r="F4414" t="s">
        <v>36</v>
      </c>
      <c r="G4414" t="s">
        <v>100</v>
      </c>
      <c r="H4414" t="s">
        <v>23</v>
      </c>
      <c r="I4414" t="s">
        <v>34</v>
      </c>
      <c r="J4414" t="s">
        <v>94</v>
      </c>
      <c r="K4414">
        <v>5</v>
      </c>
      <c r="L4414">
        <v>89900</v>
      </c>
      <c r="M4414">
        <v>449500</v>
      </c>
      <c r="N4414" t="s">
        <v>108</v>
      </c>
      <c r="O4414" t="s">
        <v>104</v>
      </c>
    </row>
    <row r="4415" spans="1:15" x14ac:dyDescent="0.25">
      <c r="A4415">
        <v>4895</v>
      </c>
      <c r="B4415" s="10">
        <v>45721</v>
      </c>
      <c r="C4415">
        <v>5</v>
      </c>
      <c r="D4415" t="s">
        <v>140</v>
      </c>
      <c r="E4415" t="s">
        <v>98</v>
      </c>
      <c r="F4415" t="s">
        <v>134</v>
      </c>
      <c r="G4415" t="s">
        <v>100</v>
      </c>
      <c r="H4415" t="s">
        <v>23</v>
      </c>
      <c r="I4415" t="s">
        <v>34</v>
      </c>
      <c r="J4415" t="s">
        <v>94</v>
      </c>
      <c r="K4415">
        <v>6</v>
      </c>
      <c r="L4415">
        <v>89900</v>
      </c>
      <c r="M4415">
        <v>539400</v>
      </c>
      <c r="N4415" t="s">
        <v>95</v>
      </c>
      <c r="O4415" t="s">
        <v>96</v>
      </c>
    </row>
    <row r="4416" spans="1:15" x14ac:dyDescent="0.25">
      <c r="A4416">
        <v>3530</v>
      </c>
      <c r="B4416" s="10">
        <v>45689</v>
      </c>
      <c r="C4416">
        <v>1</v>
      </c>
      <c r="D4416" t="s">
        <v>97</v>
      </c>
      <c r="E4416" t="s">
        <v>25</v>
      </c>
      <c r="F4416" t="s">
        <v>151</v>
      </c>
      <c r="G4416" t="s">
        <v>111</v>
      </c>
      <c r="H4416" t="s">
        <v>23</v>
      </c>
      <c r="I4416" t="s">
        <v>34</v>
      </c>
      <c r="J4416" t="s">
        <v>94</v>
      </c>
      <c r="K4416">
        <v>1</v>
      </c>
      <c r="L4416">
        <v>90000</v>
      </c>
      <c r="M4416">
        <v>90000</v>
      </c>
      <c r="N4416" t="s">
        <v>95</v>
      </c>
      <c r="O4416" t="s">
        <v>96</v>
      </c>
    </row>
    <row r="4417" spans="1:15" x14ac:dyDescent="0.25">
      <c r="A4417">
        <v>4541</v>
      </c>
      <c r="B4417" s="10">
        <v>45805</v>
      </c>
      <c r="C4417">
        <v>28</v>
      </c>
      <c r="D4417" t="s">
        <v>120</v>
      </c>
      <c r="E4417" t="s">
        <v>110</v>
      </c>
      <c r="F4417" t="s">
        <v>141</v>
      </c>
      <c r="G4417" t="s">
        <v>100</v>
      </c>
      <c r="H4417" t="s">
        <v>23</v>
      </c>
      <c r="I4417" t="s">
        <v>34</v>
      </c>
      <c r="J4417" t="s">
        <v>94</v>
      </c>
      <c r="K4417">
        <v>2</v>
      </c>
      <c r="L4417">
        <v>90100</v>
      </c>
      <c r="M4417">
        <v>180200</v>
      </c>
      <c r="N4417" t="s">
        <v>95</v>
      </c>
      <c r="O4417" t="s">
        <v>104</v>
      </c>
    </row>
    <row r="4418" spans="1:15" x14ac:dyDescent="0.25">
      <c r="A4418">
        <v>1596</v>
      </c>
      <c r="B4418" s="10">
        <v>45697</v>
      </c>
      <c r="C4418">
        <v>9</v>
      </c>
      <c r="D4418" t="s">
        <v>97</v>
      </c>
      <c r="E4418" t="s">
        <v>142</v>
      </c>
      <c r="F4418" t="s">
        <v>36</v>
      </c>
      <c r="G4418" t="s">
        <v>100</v>
      </c>
      <c r="H4418" t="s">
        <v>23</v>
      </c>
      <c r="I4418" t="s">
        <v>34</v>
      </c>
      <c r="J4418" t="s">
        <v>94</v>
      </c>
      <c r="K4418">
        <v>3</v>
      </c>
      <c r="L4418">
        <v>90200</v>
      </c>
      <c r="M4418">
        <v>270600</v>
      </c>
      <c r="N4418" t="s">
        <v>95</v>
      </c>
      <c r="O4418" t="s">
        <v>115</v>
      </c>
    </row>
    <row r="4419" spans="1:15" x14ac:dyDescent="0.25">
      <c r="A4419">
        <v>2561</v>
      </c>
      <c r="B4419" s="10">
        <v>45788</v>
      </c>
      <c r="C4419">
        <v>11</v>
      </c>
      <c r="D4419" t="s">
        <v>120</v>
      </c>
      <c r="E4419" t="s">
        <v>138</v>
      </c>
      <c r="F4419" t="s">
        <v>148</v>
      </c>
      <c r="G4419" t="s">
        <v>118</v>
      </c>
      <c r="H4419" t="s">
        <v>23</v>
      </c>
      <c r="I4419" t="s">
        <v>34</v>
      </c>
      <c r="J4419" t="s">
        <v>94</v>
      </c>
      <c r="K4419">
        <v>4</v>
      </c>
      <c r="L4419">
        <v>90200</v>
      </c>
      <c r="M4419">
        <v>360800</v>
      </c>
      <c r="N4419" t="s">
        <v>95</v>
      </c>
      <c r="O4419" t="s">
        <v>115</v>
      </c>
    </row>
    <row r="4420" spans="1:15" x14ac:dyDescent="0.25">
      <c r="A4420">
        <v>4065</v>
      </c>
      <c r="B4420" s="10">
        <v>45662</v>
      </c>
      <c r="C4420">
        <v>5</v>
      </c>
      <c r="D4420" t="s">
        <v>130</v>
      </c>
      <c r="E4420" t="s">
        <v>150</v>
      </c>
      <c r="F4420" t="s">
        <v>144</v>
      </c>
      <c r="G4420" t="s">
        <v>91</v>
      </c>
      <c r="H4420" t="s">
        <v>23</v>
      </c>
      <c r="I4420" t="s">
        <v>34</v>
      </c>
      <c r="J4420" t="s">
        <v>94</v>
      </c>
      <c r="K4420">
        <v>6</v>
      </c>
      <c r="L4420">
        <v>90300</v>
      </c>
      <c r="M4420">
        <v>541800</v>
      </c>
      <c r="N4420" t="s">
        <v>95</v>
      </c>
      <c r="O4420" t="s">
        <v>115</v>
      </c>
    </row>
    <row r="4421" spans="1:15" x14ac:dyDescent="0.25">
      <c r="A4421">
        <v>4717</v>
      </c>
      <c r="B4421" s="10">
        <v>45796</v>
      </c>
      <c r="C4421">
        <v>19</v>
      </c>
      <c r="D4421" t="s">
        <v>120</v>
      </c>
      <c r="E4421" t="s">
        <v>133</v>
      </c>
      <c r="F4421" t="s">
        <v>22</v>
      </c>
      <c r="G4421" t="s">
        <v>91</v>
      </c>
      <c r="H4421" t="s">
        <v>23</v>
      </c>
      <c r="I4421" t="s">
        <v>34</v>
      </c>
      <c r="J4421" t="s">
        <v>103</v>
      </c>
      <c r="K4421">
        <v>50</v>
      </c>
      <c r="L4421">
        <v>90400</v>
      </c>
      <c r="M4421">
        <v>4520000</v>
      </c>
      <c r="N4421" t="s">
        <v>95</v>
      </c>
      <c r="O4421" t="s">
        <v>96</v>
      </c>
    </row>
    <row r="4422" spans="1:15" x14ac:dyDescent="0.25">
      <c r="A4422">
        <v>3520</v>
      </c>
      <c r="B4422" s="10">
        <v>45862</v>
      </c>
      <c r="C4422">
        <v>24</v>
      </c>
      <c r="D4422" t="s">
        <v>145</v>
      </c>
      <c r="E4422" t="s">
        <v>98</v>
      </c>
      <c r="F4422" t="s">
        <v>36</v>
      </c>
      <c r="G4422" t="s">
        <v>100</v>
      </c>
      <c r="H4422" t="s">
        <v>23</v>
      </c>
      <c r="I4422" t="s">
        <v>119</v>
      </c>
      <c r="J4422" t="s">
        <v>103</v>
      </c>
      <c r="K4422">
        <v>26</v>
      </c>
      <c r="L4422">
        <v>90700</v>
      </c>
      <c r="M4422">
        <v>2358200</v>
      </c>
      <c r="N4422" t="s">
        <v>95</v>
      </c>
      <c r="O4422" t="s">
        <v>104</v>
      </c>
    </row>
    <row r="4423" spans="1:15" x14ac:dyDescent="0.25">
      <c r="A4423">
        <v>3257</v>
      </c>
      <c r="B4423" s="10">
        <v>45920</v>
      </c>
      <c r="C4423">
        <v>20</v>
      </c>
      <c r="D4423" t="s">
        <v>147</v>
      </c>
      <c r="E4423" t="s">
        <v>98</v>
      </c>
      <c r="F4423" t="s">
        <v>134</v>
      </c>
      <c r="G4423" t="s">
        <v>100</v>
      </c>
      <c r="H4423" t="s">
        <v>23</v>
      </c>
      <c r="I4423" t="s">
        <v>34</v>
      </c>
      <c r="J4423" t="s">
        <v>94</v>
      </c>
      <c r="K4423">
        <v>6</v>
      </c>
      <c r="L4423">
        <v>90800</v>
      </c>
      <c r="M4423">
        <v>544800</v>
      </c>
      <c r="N4423" t="s">
        <v>95</v>
      </c>
      <c r="O4423" t="s">
        <v>96</v>
      </c>
    </row>
    <row r="4424" spans="1:15" x14ac:dyDescent="0.25">
      <c r="A4424">
        <v>4209</v>
      </c>
      <c r="B4424" s="10">
        <v>45713</v>
      </c>
      <c r="C4424">
        <v>25</v>
      </c>
      <c r="D4424" t="s">
        <v>97</v>
      </c>
      <c r="E4424" t="s">
        <v>138</v>
      </c>
      <c r="F4424" t="s">
        <v>22</v>
      </c>
      <c r="G4424" t="s">
        <v>91</v>
      </c>
      <c r="H4424" t="s">
        <v>23</v>
      </c>
      <c r="I4424" t="s">
        <v>34</v>
      </c>
      <c r="J4424" t="s">
        <v>94</v>
      </c>
      <c r="K4424">
        <v>5</v>
      </c>
      <c r="L4424">
        <v>90900</v>
      </c>
      <c r="M4424">
        <v>454500</v>
      </c>
      <c r="N4424" t="s">
        <v>108</v>
      </c>
      <c r="O4424" t="s">
        <v>96</v>
      </c>
    </row>
    <row r="4425" spans="1:15" x14ac:dyDescent="0.25">
      <c r="A4425">
        <v>3914</v>
      </c>
      <c r="B4425" s="10">
        <v>45699</v>
      </c>
      <c r="C4425">
        <v>11</v>
      </c>
      <c r="D4425" t="s">
        <v>97</v>
      </c>
      <c r="E4425" t="s">
        <v>116</v>
      </c>
      <c r="F4425" t="s">
        <v>22</v>
      </c>
      <c r="G4425" t="s">
        <v>91</v>
      </c>
      <c r="H4425" t="s">
        <v>23</v>
      </c>
      <c r="I4425" t="s">
        <v>34</v>
      </c>
      <c r="J4425" t="s">
        <v>94</v>
      </c>
      <c r="K4425">
        <v>4</v>
      </c>
      <c r="L4425">
        <v>91000</v>
      </c>
      <c r="M4425">
        <v>364000</v>
      </c>
      <c r="N4425" t="s">
        <v>95</v>
      </c>
      <c r="O4425" t="s">
        <v>96</v>
      </c>
    </row>
    <row r="4426" spans="1:15" x14ac:dyDescent="0.25">
      <c r="A4426">
        <v>510</v>
      </c>
      <c r="B4426" s="10">
        <v>45725</v>
      </c>
      <c r="C4426">
        <v>9</v>
      </c>
      <c r="D4426" t="s">
        <v>140</v>
      </c>
      <c r="E4426" t="s">
        <v>161</v>
      </c>
      <c r="F4426" t="s">
        <v>99</v>
      </c>
      <c r="G4426" t="s">
        <v>100</v>
      </c>
      <c r="H4426" t="s">
        <v>23</v>
      </c>
      <c r="I4426" t="s">
        <v>34</v>
      </c>
      <c r="J4426" t="s">
        <v>94</v>
      </c>
      <c r="K4426">
        <v>7</v>
      </c>
      <c r="L4426">
        <v>91100</v>
      </c>
      <c r="M4426">
        <v>637700</v>
      </c>
      <c r="N4426" t="s">
        <v>108</v>
      </c>
      <c r="O4426" t="s">
        <v>96</v>
      </c>
    </row>
    <row r="4427" spans="1:15" x14ac:dyDescent="0.25">
      <c r="A4427">
        <v>2036</v>
      </c>
      <c r="B4427" s="10">
        <v>45770</v>
      </c>
      <c r="C4427">
        <v>23</v>
      </c>
      <c r="D4427" t="s">
        <v>105</v>
      </c>
      <c r="E4427" t="s">
        <v>116</v>
      </c>
      <c r="F4427" t="s">
        <v>28</v>
      </c>
      <c r="G4427" t="s">
        <v>126</v>
      </c>
      <c r="H4427" t="s">
        <v>23</v>
      </c>
      <c r="I4427" t="s">
        <v>34</v>
      </c>
      <c r="J4427" t="s">
        <v>103</v>
      </c>
      <c r="K4427">
        <v>32</v>
      </c>
      <c r="L4427">
        <v>91900</v>
      </c>
      <c r="M4427">
        <v>2940800</v>
      </c>
      <c r="N4427" t="s">
        <v>108</v>
      </c>
      <c r="O4427" t="s">
        <v>115</v>
      </c>
    </row>
    <row r="4428" spans="1:15" x14ac:dyDescent="0.25">
      <c r="A4428">
        <v>2222</v>
      </c>
      <c r="B4428" s="10">
        <v>45926</v>
      </c>
      <c r="C4428">
        <v>26</v>
      </c>
      <c r="D4428" t="s">
        <v>147</v>
      </c>
      <c r="E4428" t="s">
        <v>128</v>
      </c>
      <c r="F4428" t="s">
        <v>22</v>
      </c>
      <c r="G4428" t="s">
        <v>91</v>
      </c>
      <c r="H4428" t="s">
        <v>23</v>
      </c>
      <c r="I4428" t="s">
        <v>34</v>
      </c>
      <c r="J4428" t="s">
        <v>94</v>
      </c>
      <c r="K4428">
        <v>1</v>
      </c>
      <c r="L4428">
        <v>91900</v>
      </c>
      <c r="M4428">
        <v>91900</v>
      </c>
      <c r="N4428" t="s">
        <v>95</v>
      </c>
      <c r="O4428" t="s">
        <v>96</v>
      </c>
    </row>
    <row r="4429" spans="1:15" x14ac:dyDescent="0.25">
      <c r="A4429">
        <v>3808</v>
      </c>
      <c r="B4429" s="10">
        <v>45790</v>
      </c>
      <c r="C4429">
        <v>13</v>
      </c>
      <c r="D4429" t="s">
        <v>120</v>
      </c>
      <c r="E4429" t="s">
        <v>106</v>
      </c>
      <c r="F4429" t="s">
        <v>22</v>
      </c>
      <c r="G4429" t="s">
        <v>91</v>
      </c>
      <c r="H4429" t="s">
        <v>23</v>
      </c>
      <c r="I4429" t="s">
        <v>119</v>
      </c>
      <c r="J4429" t="s">
        <v>103</v>
      </c>
      <c r="K4429">
        <v>45</v>
      </c>
      <c r="L4429">
        <v>92000</v>
      </c>
      <c r="M4429">
        <v>4140000</v>
      </c>
      <c r="N4429" t="s">
        <v>108</v>
      </c>
      <c r="O4429" t="s">
        <v>115</v>
      </c>
    </row>
    <row r="4430" spans="1:15" x14ac:dyDescent="0.25">
      <c r="A4430">
        <v>1835</v>
      </c>
      <c r="B4430" s="10">
        <v>45688</v>
      </c>
      <c r="C4430">
        <v>31</v>
      </c>
      <c r="D4430" t="s">
        <v>130</v>
      </c>
      <c r="E4430" t="s">
        <v>98</v>
      </c>
      <c r="F4430" t="s">
        <v>113</v>
      </c>
      <c r="G4430" t="s">
        <v>114</v>
      </c>
      <c r="H4430" t="s">
        <v>23</v>
      </c>
      <c r="I4430" t="s">
        <v>34</v>
      </c>
      <c r="J4430" t="s">
        <v>94</v>
      </c>
      <c r="K4430">
        <v>9</v>
      </c>
      <c r="L4430">
        <v>92100</v>
      </c>
      <c r="M4430">
        <v>828900</v>
      </c>
      <c r="N4430" t="s">
        <v>95</v>
      </c>
      <c r="O4430" t="s">
        <v>104</v>
      </c>
    </row>
    <row r="4431" spans="1:15" x14ac:dyDescent="0.25">
      <c r="A4431">
        <v>3955</v>
      </c>
      <c r="B4431" s="10">
        <v>45811</v>
      </c>
      <c r="C4431">
        <v>3</v>
      </c>
      <c r="D4431" t="s">
        <v>153</v>
      </c>
      <c r="E4431" t="s">
        <v>31</v>
      </c>
      <c r="F4431" t="s">
        <v>134</v>
      </c>
      <c r="G4431" t="s">
        <v>100</v>
      </c>
      <c r="H4431" t="s">
        <v>23</v>
      </c>
      <c r="I4431" t="s">
        <v>34</v>
      </c>
      <c r="J4431" t="s">
        <v>94</v>
      </c>
      <c r="K4431">
        <v>3</v>
      </c>
      <c r="L4431">
        <v>92200</v>
      </c>
      <c r="M4431">
        <v>276600</v>
      </c>
      <c r="N4431" t="s">
        <v>95</v>
      </c>
      <c r="O4431" t="s">
        <v>115</v>
      </c>
    </row>
    <row r="4432" spans="1:15" x14ac:dyDescent="0.25">
      <c r="A4432">
        <v>4277</v>
      </c>
      <c r="B4432" s="10">
        <v>45711</v>
      </c>
      <c r="C4432">
        <v>23</v>
      </c>
      <c r="D4432" t="s">
        <v>97</v>
      </c>
      <c r="E4432" t="s">
        <v>138</v>
      </c>
      <c r="F4432" t="s">
        <v>122</v>
      </c>
      <c r="G4432" t="s">
        <v>114</v>
      </c>
      <c r="H4432" t="s">
        <v>23</v>
      </c>
      <c r="I4432" t="s">
        <v>34</v>
      </c>
      <c r="J4432" t="s">
        <v>94</v>
      </c>
      <c r="K4432">
        <v>8</v>
      </c>
      <c r="L4432">
        <v>92200</v>
      </c>
      <c r="M4432">
        <v>737600</v>
      </c>
      <c r="N4432" t="s">
        <v>95</v>
      </c>
      <c r="O4432" t="s">
        <v>96</v>
      </c>
    </row>
    <row r="4433" spans="1:15" x14ac:dyDescent="0.25">
      <c r="A4433">
        <v>4871</v>
      </c>
      <c r="B4433" s="10">
        <v>45672</v>
      </c>
      <c r="C4433">
        <v>15</v>
      </c>
      <c r="D4433" t="s">
        <v>130</v>
      </c>
      <c r="E4433" t="s">
        <v>121</v>
      </c>
      <c r="F4433" t="s">
        <v>117</v>
      </c>
      <c r="G4433" t="s">
        <v>118</v>
      </c>
      <c r="H4433" t="s">
        <v>92</v>
      </c>
      <c r="I4433" t="s">
        <v>93</v>
      </c>
      <c r="J4433" t="s">
        <v>94</v>
      </c>
      <c r="K4433">
        <v>7</v>
      </c>
      <c r="L4433">
        <v>92300</v>
      </c>
      <c r="M4433">
        <v>646100</v>
      </c>
      <c r="N4433" t="s">
        <v>95</v>
      </c>
      <c r="O4433" t="s">
        <v>115</v>
      </c>
    </row>
    <row r="4434" spans="1:15" x14ac:dyDescent="0.25">
      <c r="A4434">
        <v>3770</v>
      </c>
      <c r="B4434" s="10">
        <v>45787</v>
      </c>
      <c r="C4434">
        <v>10</v>
      </c>
      <c r="D4434" t="s">
        <v>120</v>
      </c>
      <c r="E4434" t="s">
        <v>25</v>
      </c>
      <c r="F4434" t="s">
        <v>113</v>
      </c>
      <c r="G4434" t="s">
        <v>114</v>
      </c>
      <c r="H4434" t="s">
        <v>23</v>
      </c>
      <c r="I4434" t="s">
        <v>34</v>
      </c>
      <c r="J4434" t="s">
        <v>94</v>
      </c>
      <c r="K4434">
        <v>9</v>
      </c>
      <c r="L4434">
        <v>92400</v>
      </c>
      <c r="M4434">
        <v>831600</v>
      </c>
      <c r="N4434" t="s">
        <v>108</v>
      </c>
      <c r="O4434" t="s">
        <v>115</v>
      </c>
    </row>
    <row r="4435" spans="1:15" x14ac:dyDescent="0.25">
      <c r="A4435">
        <v>3510</v>
      </c>
      <c r="B4435" s="10">
        <v>45821</v>
      </c>
      <c r="C4435">
        <v>13</v>
      </c>
      <c r="D4435" t="s">
        <v>153</v>
      </c>
      <c r="E4435" t="s">
        <v>150</v>
      </c>
      <c r="F4435" t="s">
        <v>107</v>
      </c>
      <c r="G4435" t="s">
        <v>100</v>
      </c>
      <c r="H4435" t="s">
        <v>23</v>
      </c>
      <c r="I4435" t="s">
        <v>34</v>
      </c>
      <c r="J4435" t="s">
        <v>94</v>
      </c>
      <c r="K4435">
        <v>10</v>
      </c>
      <c r="L4435">
        <v>92500</v>
      </c>
      <c r="M4435">
        <v>925000</v>
      </c>
      <c r="N4435" t="s">
        <v>95</v>
      </c>
      <c r="O4435" t="s">
        <v>104</v>
      </c>
    </row>
    <row r="4436" spans="1:15" x14ac:dyDescent="0.25">
      <c r="A4436">
        <v>2886</v>
      </c>
      <c r="B4436" s="10">
        <v>45750</v>
      </c>
      <c r="C4436">
        <v>3</v>
      </c>
      <c r="D4436" t="s">
        <v>105</v>
      </c>
      <c r="E4436" t="s">
        <v>142</v>
      </c>
      <c r="F4436" t="s">
        <v>148</v>
      </c>
      <c r="G4436" t="s">
        <v>118</v>
      </c>
      <c r="H4436" t="s">
        <v>23</v>
      </c>
      <c r="I4436" t="s">
        <v>34</v>
      </c>
      <c r="J4436" t="s">
        <v>94</v>
      </c>
      <c r="K4436">
        <v>7</v>
      </c>
      <c r="L4436">
        <v>92600</v>
      </c>
      <c r="M4436">
        <v>648200</v>
      </c>
      <c r="N4436" t="s">
        <v>108</v>
      </c>
      <c r="O4436" t="s">
        <v>115</v>
      </c>
    </row>
    <row r="4437" spans="1:15" x14ac:dyDescent="0.25">
      <c r="A4437">
        <v>4861</v>
      </c>
      <c r="B4437" s="10">
        <v>45915</v>
      </c>
      <c r="C4437">
        <v>15</v>
      </c>
      <c r="D4437" t="s">
        <v>147</v>
      </c>
      <c r="E4437" t="s">
        <v>133</v>
      </c>
      <c r="F4437" t="s">
        <v>151</v>
      </c>
      <c r="G4437" t="s">
        <v>111</v>
      </c>
      <c r="H4437" t="s">
        <v>23</v>
      </c>
      <c r="I4437" t="s">
        <v>34</v>
      </c>
      <c r="J4437" t="s">
        <v>94</v>
      </c>
      <c r="K4437">
        <v>3</v>
      </c>
      <c r="L4437">
        <v>92700</v>
      </c>
      <c r="M4437">
        <v>278100</v>
      </c>
      <c r="N4437" t="s">
        <v>108</v>
      </c>
      <c r="O4437" t="s">
        <v>115</v>
      </c>
    </row>
    <row r="4438" spans="1:15" x14ac:dyDescent="0.25">
      <c r="A4438">
        <v>4220</v>
      </c>
      <c r="B4438" s="10">
        <v>45871</v>
      </c>
      <c r="C4438">
        <v>2</v>
      </c>
      <c r="D4438" t="s">
        <v>109</v>
      </c>
      <c r="E4438" t="s">
        <v>121</v>
      </c>
      <c r="F4438" t="s">
        <v>99</v>
      </c>
      <c r="G4438" t="s">
        <v>100</v>
      </c>
      <c r="H4438" t="s">
        <v>23</v>
      </c>
      <c r="I4438" t="s">
        <v>119</v>
      </c>
      <c r="J4438" t="s">
        <v>103</v>
      </c>
      <c r="K4438">
        <v>33</v>
      </c>
      <c r="L4438">
        <v>92800</v>
      </c>
      <c r="M4438">
        <v>3062400</v>
      </c>
      <c r="N4438" t="s">
        <v>95</v>
      </c>
      <c r="O4438" t="s">
        <v>96</v>
      </c>
    </row>
    <row r="4439" spans="1:15" x14ac:dyDescent="0.25">
      <c r="A4439">
        <v>825</v>
      </c>
      <c r="B4439" s="10">
        <v>46017</v>
      </c>
      <c r="C4439">
        <v>26</v>
      </c>
      <c r="D4439" t="s">
        <v>125</v>
      </c>
      <c r="E4439" t="s">
        <v>98</v>
      </c>
      <c r="F4439" t="s">
        <v>36</v>
      </c>
      <c r="G4439" t="s">
        <v>100</v>
      </c>
      <c r="H4439" t="s">
        <v>23</v>
      </c>
      <c r="I4439" t="s">
        <v>34</v>
      </c>
      <c r="J4439" t="s">
        <v>94</v>
      </c>
      <c r="K4439">
        <v>5</v>
      </c>
      <c r="L4439">
        <v>92900</v>
      </c>
      <c r="M4439">
        <v>464500</v>
      </c>
      <c r="N4439" t="s">
        <v>95</v>
      </c>
      <c r="O4439" t="s">
        <v>115</v>
      </c>
    </row>
    <row r="4440" spans="1:15" x14ac:dyDescent="0.25">
      <c r="A4440">
        <v>582</v>
      </c>
      <c r="B4440" s="10">
        <v>45868</v>
      </c>
      <c r="C4440">
        <v>30</v>
      </c>
      <c r="D4440" t="s">
        <v>145</v>
      </c>
      <c r="E4440" t="s">
        <v>25</v>
      </c>
      <c r="F4440" t="s">
        <v>49</v>
      </c>
      <c r="G4440" t="s">
        <v>118</v>
      </c>
      <c r="H4440" t="s">
        <v>23</v>
      </c>
      <c r="I4440" t="s">
        <v>34</v>
      </c>
      <c r="J4440" t="s">
        <v>94</v>
      </c>
      <c r="K4440">
        <v>3</v>
      </c>
      <c r="L4440">
        <v>93000</v>
      </c>
      <c r="M4440">
        <v>279000</v>
      </c>
      <c r="N4440" t="s">
        <v>95</v>
      </c>
      <c r="O4440" t="s">
        <v>96</v>
      </c>
    </row>
    <row r="4441" spans="1:15" x14ac:dyDescent="0.25">
      <c r="A4441">
        <v>634</v>
      </c>
      <c r="B4441" s="10">
        <v>45743</v>
      </c>
      <c r="C4441">
        <v>27</v>
      </c>
      <c r="D4441" t="s">
        <v>140</v>
      </c>
      <c r="E4441" t="s">
        <v>138</v>
      </c>
      <c r="F4441" t="s">
        <v>141</v>
      </c>
      <c r="G4441" t="s">
        <v>100</v>
      </c>
      <c r="H4441" t="s">
        <v>23</v>
      </c>
      <c r="I4441" t="s">
        <v>34</v>
      </c>
      <c r="J4441" t="s">
        <v>94</v>
      </c>
      <c r="K4441">
        <v>5</v>
      </c>
      <c r="L4441">
        <v>93000</v>
      </c>
      <c r="M4441">
        <v>465000</v>
      </c>
      <c r="N4441" t="s">
        <v>95</v>
      </c>
      <c r="O4441" t="s">
        <v>104</v>
      </c>
    </row>
    <row r="4442" spans="1:15" x14ac:dyDescent="0.25">
      <c r="A4442">
        <v>1902</v>
      </c>
      <c r="B4442" s="10">
        <v>45723</v>
      </c>
      <c r="C4442">
        <v>7</v>
      </c>
      <c r="D4442" t="s">
        <v>140</v>
      </c>
      <c r="E4442" t="s">
        <v>112</v>
      </c>
      <c r="F4442" t="s">
        <v>117</v>
      </c>
      <c r="G4442" t="s">
        <v>118</v>
      </c>
      <c r="H4442" t="s">
        <v>23</v>
      </c>
      <c r="I4442" t="s">
        <v>34</v>
      </c>
      <c r="J4442" t="s">
        <v>94</v>
      </c>
      <c r="K4442">
        <v>3</v>
      </c>
      <c r="L4442">
        <v>93400</v>
      </c>
      <c r="M4442">
        <v>280200</v>
      </c>
      <c r="N4442" t="s">
        <v>108</v>
      </c>
      <c r="O4442" t="s">
        <v>104</v>
      </c>
    </row>
    <row r="4443" spans="1:15" x14ac:dyDescent="0.25">
      <c r="A4443">
        <v>1160</v>
      </c>
      <c r="B4443" s="10">
        <v>46000</v>
      </c>
      <c r="C4443">
        <v>9</v>
      </c>
      <c r="D4443" t="s">
        <v>125</v>
      </c>
      <c r="E4443" t="s">
        <v>31</v>
      </c>
      <c r="F4443" t="s">
        <v>49</v>
      </c>
      <c r="G4443" t="s">
        <v>118</v>
      </c>
      <c r="H4443" t="s">
        <v>23</v>
      </c>
      <c r="I4443" t="s">
        <v>34</v>
      </c>
      <c r="J4443" t="s">
        <v>94</v>
      </c>
      <c r="K4443">
        <v>1</v>
      </c>
      <c r="L4443">
        <v>93500</v>
      </c>
      <c r="M4443">
        <v>93500</v>
      </c>
      <c r="N4443" t="s">
        <v>108</v>
      </c>
      <c r="O4443" t="s">
        <v>96</v>
      </c>
    </row>
    <row r="4444" spans="1:15" x14ac:dyDescent="0.25">
      <c r="A4444">
        <v>2899</v>
      </c>
      <c r="B4444" s="10">
        <v>45753</v>
      </c>
      <c r="C4444">
        <v>6</v>
      </c>
      <c r="D4444" t="s">
        <v>105</v>
      </c>
      <c r="E4444" t="s">
        <v>138</v>
      </c>
      <c r="F4444" t="s">
        <v>99</v>
      </c>
      <c r="G4444" t="s">
        <v>100</v>
      </c>
      <c r="H4444" t="s">
        <v>23</v>
      </c>
      <c r="I4444" t="s">
        <v>34</v>
      </c>
      <c r="J4444" t="s">
        <v>94</v>
      </c>
      <c r="K4444">
        <v>3</v>
      </c>
      <c r="L4444">
        <v>93600</v>
      </c>
      <c r="M4444">
        <v>280800</v>
      </c>
      <c r="N4444" t="s">
        <v>95</v>
      </c>
      <c r="O4444" t="s">
        <v>96</v>
      </c>
    </row>
    <row r="4445" spans="1:15" x14ac:dyDescent="0.25">
      <c r="A4445">
        <v>1176</v>
      </c>
      <c r="B4445" s="10">
        <v>45730</v>
      </c>
      <c r="C4445">
        <v>14</v>
      </c>
      <c r="D4445" t="s">
        <v>140</v>
      </c>
      <c r="E4445" t="s">
        <v>106</v>
      </c>
      <c r="F4445" t="s">
        <v>36</v>
      </c>
      <c r="G4445" t="s">
        <v>100</v>
      </c>
      <c r="H4445" t="s">
        <v>23</v>
      </c>
      <c r="I4445" t="s">
        <v>34</v>
      </c>
      <c r="J4445" t="s">
        <v>94</v>
      </c>
      <c r="K4445">
        <v>4</v>
      </c>
      <c r="L4445">
        <v>93700</v>
      </c>
      <c r="M4445">
        <v>374800</v>
      </c>
      <c r="N4445" t="s">
        <v>95</v>
      </c>
      <c r="O4445" t="s">
        <v>115</v>
      </c>
    </row>
    <row r="4446" spans="1:15" x14ac:dyDescent="0.25">
      <c r="A4446">
        <v>1815</v>
      </c>
      <c r="B4446" s="10">
        <v>45773</v>
      </c>
      <c r="C4446">
        <v>26</v>
      </c>
      <c r="D4446" t="s">
        <v>105</v>
      </c>
      <c r="E4446" t="s">
        <v>133</v>
      </c>
      <c r="F4446" t="s">
        <v>141</v>
      </c>
      <c r="G4446" t="s">
        <v>100</v>
      </c>
      <c r="H4446" t="s">
        <v>23</v>
      </c>
      <c r="I4446" t="s">
        <v>34</v>
      </c>
      <c r="J4446" t="s">
        <v>94</v>
      </c>
      <c r="K4446">
        <v>5</v>
      </c>
      <c r="L4446">
        <v>93700</v>
      </c>
      <c r="M4446">
        <v>468500</v>
      </c>
      <c r="N4446" t="s">
        <v>95</v>
      </c>
      <c r="O4446" t="s">
        <v>115</v>
      </c>
    </row>
    <row r="4447" spans="1:15" x14ac:dyDescent="0.25">
      <c r="A4447">
        <v>1135</v>
      </c>
      <c r="B4447" s="10">
        <v>45958</v>
      </c>
      <c r="C4447">
        <v>28</v>
      </c>
      <c r="D4447" t="s">
        <v>136</v>
      </c>
      <c r="E4447" t="s">
        <v>25</v>
      </c>
      <c r="F4447" t="s">
        <v>148</v>
      </c>
      <c r="G4447" t="s">
        <v>118</v>
      </c>
      <c r="H4447" t="s">
        <v>23</v>
      </c>
      <c r="I4447" t="s">
        <v>34</v>
      </c>
      <c r="J4447" t="s">
        <v>94</v>
      </c>
      <c r="K4447">
        <v>6</v>
      </c>
      <c r="L4447">
        <v>93800</v>
      </c>
      <c r="M4447">
        <v>562800</v>
      </c>
      <c r="N4447" t="s">
        <v>108</v>
      </c>
      <c r="O4447" t="s">
        <v>115</v>
      </c>
    </row>
    <row r="4448" spans="1:15" x14ac:dyDescent="0.25">
      <c r="A4448">
        <v>2966</v>
      </c>
      <c r="B4448" s="10">
        <v>45695</v>
      </c>
      <c r="C4448">
        <v>7</v>
      </c>
      <c r="D4448" t="s">
        <v>97</v>
      </c>
      <c r="E4448" t="s">
        <v>25</v>
      </c>
      <c r="F4448" t="s">
        <v>151</v>
      </c>
      <c r="G4448" t="s">
        <v>111</v>
      </c>
      <c r="H4448" t="s">
        <v>23</v>
      </c>
      <c r="I4448" t="s">
        <v>34</v>
      </c>
      <c r="J4448" t="s">
        <v>94</v>
      </c>
      <c r="K4448">
        <v>6</v>
      </c>
      <c r="L4448">
        <v>93800</v>
      </c>
      <c r="M4448">
        <v>562800</v>
      </c>
      <c r="N4448" t="s">
        <v>95</v>
      </c>
      <c r="O4448" t="s">
        <v>96</v>
      </c>
    </row>
    <row r="4449" spans="1:15" x14ac:dyDescent="0.25">
      <c r="A4449">
        <v>4353</v>
      </c>
      <c r="B4449" s="10">
        <v>45798</v>
      </c>
      <c r="C4449">
        <v>21</v>
      </c>
      <c r="D4449" t="s">
        <v>120</v>
      </c>
      <c r="E4449" t="s">
        <v>150</v>
      </c>
      <c r="F4449" t="s">
        <v>113</v>
      </c>
      <c r="G4449" t="s">
        <v>114</v>
      </c>
      <c r="H4449" t="s">
        <v>23</v>
      </c>
      <c r="I4449" t="s">
        <v>34</v>
      </c>
      <c r="J4449" t="s">
        <v>94</v>
      </c>
      <c r="K4449">
        <v>10</v>
      </c>
      <c r="L4449">
        <v>93800</v>
      </c>
      <c r="M4449">
        <v>938000</v>
      </c>
      <c r="N4449" t="s">
        <v>108</v>
      </c>
      <c r="O4449" t="s">
        <v>104</v>
      </c>
    </row>
    <row r="4450" spans="1:15" x14ac:dyDescent="0.25">
      <c r="A4450">
        <v>2387</v>
      </c>
      <c r="B4450" s="10">
        <v>46001</v>
      </c>
      <c r="C4450">
        <v>10</v>
      </c>
      <c r="D4450" t="s">
        <v>125</v>
      </c>
      <c r="E4450" t="s">
        <v>150</v>
      </c>
      <c r="F4450" t="s">
        <v>151</v>
      </c>
      <c r="G4450" t="s">
        <v>111</v>
      </c>
      <c r="H4450" t="s">
        <v>23</v>
      </c>
      <c r="I4450" t="s">
        <v>34</v>
      </c>
      <c r="J4450" t="s">
        <v>94</v>
      </c>
      <c r="K4450">
        <v>2</v>
      </c>
      <c r="L4450">
        <v>93900</v>
      </c>
      <c r="M4450">
        <v>187800</v>
      </c>
      <c r="N4450" t="s">
        <v>108</v>
      </c>
      <c r="O4450" t="s">
        <v>96</v>
      </c>
    </row>
    <row r="4451" spans="1:15" x14ac:dyDescent="0.25">
      <c r="A4451">
        <v>3288</v>
      </c>
      <c r="B4451" s="10">
        <v>45961</v>
      </c>
      <c r="C4451">
        <v>31</v>
      </c>
      <c r="D4451" t="s">
        <v>136</v>
      </c>
      <c r="E4451" t="s">
        <v>142</v>
      </c>
      <c r="F4451" t="s">
        <v>122</v>
      </c>
      <c r="G4451" t="s">
        <v>114</v>
      </c>
      <c r="H4451" t="s">
        <v>23</v>
      </c>
      <c r="I4451" t="s">
        <v>34</v>
      </c>
      <c r="J4451" t="s">
        <v>94</v>
      </c>
      <c r="K4451">
        <v>10</v>
      </c>
      <c r="L4451">
        <v>94000</v>
      </c>
      <c r="M4451">
        <v>940000</v>
      </c>
      <c r="N4451" t="s">
        <v>95</v>
      </c>
      <c r="O4451" t="s">
        <v>96</v>
      </c>
    </row>
    <row r="4452" spans="1:15" x14ac:dyDescent="0.25">
      <c r="A4452">
        <v>1742</v>
      </c>
      <c r="B4452" s="10">
        <v>45967</v>
      </c>
      <c r="C4452">
        <v>6</v>
      </c>
      <c r="D4452" t="s">
        <v>90</v>
      </c>
      <c r="E4452" t="s">
        <v>161</v>
      </c>
      <c r="F4452" t="s">
        <v>144</v>
      </c>
      <c r="G4452" t="s">
        <v>91</v>
      </c>
      <c r="H4452" t="s">
        <v>23</v>
      </c>
      <c r="I4452" t="s">
        <v>34</v>
      </c>
      <c r="J4452" t="s">
        <v>94</v>
      </c>
      <c r="K4452">
        <v>7</v>
      </c>
      <c r="L4452">
        <v>94200</v>
      </c>
      <c r="M4452">
        <v>659400</v>
      </c>
      <c r="N4452" t="s">
        <v>108</v>
      </c>
      <c r="O4452" t="s">
        <v>115</v>
      </c>
    </row>
    <row r="4453" spans="1:15" x14ac:dyDescent="0.25">
      <c r="A4453">
        <v>4172</v>
      </c>
      <c r="B4453" s="10">
        <v>45826</v>
      </c>
      <c r="C4453">
        <v>18</v>
      </c>
      <c r="D4453" t="s">
        <v>153</v>
      </c>
      <c r="E4453" t="s">
        <v>161</v>
      </c>
      <c r="F4453" t="s">
        <v>134</v>
      </c>
      <c r="G4453" t="s">
        <v>100</v>
      </c>
      <c r="H4453" t="s">
        <v>23</v>
      </c>
      <c r="I4453" t="s">
        <v>34</v>
      </c>
      <c r="J4453" t="s">
        <v>94</v>
      </c>
      <c r="K4453">
        <v>9</v>
      </c>
      <c r="L4453">
        <v>94200</v>
      </c>
      <c r="M4453">
        <v>847800</v>
      </c>
      <c r="N4453" t="s">
        <v>108</v>
      </c>
      <c r="O4453" t="s">
        <v>96</v>
      </c>
    </row>
    <row r="4454" spans="1:15" x14ac:dyDescent="0.25">
      <c r="A4454">
        <v>4821</v>
      </c>
      <c r="B4454" s="10">
        <v>45982</v>
      </c>
      <c r="C4454">
        <v>21</v>
      </c>
      <c r="D4454" t="s">
        <v>90</v>
      </c>
      <c r="E4454" t="s">
        <v>121</v>
      </c>
      <c r="F4454" t="s">
        <v>107</v>
      </c>
      <c r="G4454" t="s">
        <v>100</v>
      </c>
      <c r="H4454" t="s">
        <v>23</v>
      </c>
      <c r="I4454" t="s">
        <v>34</v>
      </c>
      <c r="J4454" t="s">
        <v>94</v>
      </c>
      <c r="K4454">
        <v>8</v>
      </c>
      <c r="L4454">
        <v>94200</v>
      </c>
      <c r="M4454">
        <v>753600</v>
      </c>
      <c r="N4454" t="s">
        <v>95</v>
      </c>
      <c r="O4454" t="s">
        <v>96</v>
      </c>
    </row>
    <row r="4455" spans="1:15" x14ac:dyDescent="0.25">
      <c r="A4455">
        <v>862</v>
      </c>
      <c r="B4455" s="10">
        <v>45906</v>
      </c>
      <c r="C4455">
        <v>6</v>
      </c>
      <c r="D4455" t="s">
        <v>147</v>
      </c>
      <c r="E4455" t="s">
        <v>137</v>
      </c>
      <c r="F4455" t="s">
        <v>107</v>
      </c>
      <c r="G4455" t="s">
        <v>100</v>
      </c>
      <c r="H4455" t="s">
        <v>23</v>
      </c>
      <c r="I4455" t="s">
        <v>119</v>
      </c>
      <c r="J4455" t="s">
        <v>103</v>
      </c>
      <c r="K4455">
        <v>33</v>
      </c>
      <c r="L4455">
        <v>94300</v>
      </c>
      <c r="M4455">
        <v>3111900</v>
      </c>
      <c r="N4455" t="s">
        <v>108</v>
      </c>
      <c r="O4455" t="s">
        <v>96</v>
      </c>
    </row>
    <row r="4456" spans="1:15" x14ac:dyDescent="0.25">
      <c r="A4456">
        <v>4145</v>
      </c>
      <c r="B4456" s="10">
        <v>46021</v>
      </c>
      <c r="C4456">
        <v>30</v>
      </c>
      <c r="D4456" t="s">
        <v>125</v>
      </c>
      <c r="E4456" t="s">
        <v>142</v>
      </c>
      <c r="F4456" t="s">
        <v>49</v>
      </c>
      <c r="G4456" t="s">
        <v>118</v>
      </c>
      <c r="H4456" t="s">
        <v>23</v>
      </c>
      <c r="I4456" t="s">
        <v>119</v>
      </c>
      <c r="J4456" t="s">
        <v>103</v>
      </c>
      <c r="K4456">
        <v>44</v>
      </c>
      <c r="L4456">
        <v>94300</v>
      </c>
      <c r="M4456">
        <v>4149200</v>
      </c>
      <c r="N4456" t="s">
        <v>108</v>
      </c>
      <c r="O4456" t="s">
        <v>96</v>
      </c>
    </row>
    <row r="4457" spans="1:15" x14ac:dyDescent="0.25">
      <c r="A4457">
        <v>816</v>
      </c>
      <c r="B4457" s="10">
        <v>45693</v>
      </c>
      <c r="C4457">
        <v>5</v>
      </c>
      <c r="D4457" t="s">
        <v>97</v>
      </c>
      <c r="E4457" t="s">
        <v>137</v>
      </c>
      <c r="F4457" t="s">
        <v>49</v>
      </c>
      <c r="G4457" t="s">
        <v>118</v>
      </c>
      <c r="H4457" t="s">
        <v>23</v>
      </c>
      <c r="I4457" t="s">
        <v>119</v>
      </c>
      <c r="J4457" t="s">
        <v>103</v>
      </c>
      <c r="K4457">
        <v>12</v>
      </c>
      <c r="L4457">
        <v>94400</v>
      </c>
      <c r="M4457">
        <v>1132800</v>
      </c>
      <c r="N4457" t="s">
        <v>108</v>
      </c>
      <c r="O4457" t="s">
        <v>115</v>
      </c>
    </row>
    <row r="4458" spans="1:15" x14ac:dyDescent="0.25">
      <c r="A4458">
        <v>4793</v>
      </c>
      <c r="B4458" s="10">
        <v>45747</v>
      </c>
      <c r="C4458">
        <v>31</v>
      </c>
      <c r="D4458" t="s">
        <v>140</v>
      </c>
      <c r="E4458" t="s">
        <v>142</v>
      </c>
      <c r="F4458" t="s">
        <v>151</v>
      </c>
      <c r="G4458" t="s">
        <v>111</v>
      </c>
      <c r="H4458" t="s">
        <v>23</v>
      </c>
      <c r="I4458" t="s">
        <v>34</v>
      </c>
      <c r="J4458" t="s">
        <v>94</v>
      </c>
      <c r="K4458">
        <v>1</v>
      </c>
      <c r="L4458">
        <v>94500</v>
      </c>
      <c r="M4458">
        <v>94500</v>
      </c>
      <c r="N4458" t="s">
        <v>95</v>
      </c>
      <c r="O4458" t="s">
        <v>115</v>
      </c>
    </row>
    <row r="4459" spans="1:15" x14ac:dyDescent="0.25">
      <c r="A4459">
        <v>2083</v>
      </c>
      <c r="B4459" s="10">
        <v>45691</v>
      </c>
      <c r="C4459">
        <v>3</v>
      </c>
      <c r="D4459" t="s">
        <v>97</v>
      </c>
      <c r="E4459" t="s">
        <v>112</v>
      </c>
      <c r="F4459" t="s">
        <v>113</v>
      </c>
      <c r="G4459" t="s">
        <v>114</v>
      </c>
      <c r="H4459" t="s">
        <v>23</v>
      </c>
      <c r="I4459" t="s">
        <v>119</v>
      </c>
      <c r="J4459" t="s">
        <v>103</v>
      </c>
      <c r="K4459">
        <v>32</v>
      </c>
      <c r="L4459">
        <v>94600</v>
      </c>
      <c r="M4459">
        <v>3027200</v>
      </c>
      <c r="N4459" t="s">
        <v>95</v>
      </c>
      <c r="O4459" t="s">
        <v>115</v>
      </c>
    </row>
    <row r="4460" spans="1:15" x14ac:dyDescent="0.25">
      <c r="A4460">
        <v>1266</v>
      </c>
      <c r="B4460" s="10">
        <v>45921</v>
      </c>
      <c r="C4460">
        <v>21</v>
      </c>
      <c r="D4460" t="s">
        <v>147</v>
      </c>
      <c r="E4460" t="s">
        <v>121</v>
      </c>
      <c r="F4460" t="s">
        <v>144</v>
      </c>
      <c r="G4460" t="s">
        <v>91</v>
      </c>
      <c r="H4460" t="s">
        <v>23</v>
      </c>
      <c r="I4460" t="s">
        <v>119</v>
      </c>
      <c r="J4460" t="s">
        <v>103</v>
      </c>
      <c r="K4460">
        <v>8</v>
      </c>
      <c r="L4460">
        <v>94800</v>
      </c>
      <c r="M4460">
        <v>758400</v>
      </c>
      <c r="N4460" t="s">
        <v>108</v>
      </c>
      <c r="O4460" t="s">
        <v>104</v>
      </c>
    </row>
    <row r="4461" spans="1:15" x14ac:dyDescent="0.25">
      <c r="A4461">
        <v>4716</v>
      </c>
      <c r="B4461" s="10">
        <v>45888</v>
      </c>
      <c r="C4461">
        <v>19</v>
      </c>
      <c r="D4461" t="s">
        <v>109</v>
      </c>
      <c r="E4461" t="s">
        <v>128</v>
      </c>
      <c r="F4461" t="s">
        <v>151</v>
      </c>
      <c r="G4461" t="s">
        <v>111</v>
      </c>
      <c r="H4461" t="s">
        <v>23</v>
      </c>
      <c r="I4461" t="s">
        <v>34</v>
      </c>
      <c r="J4461" t="s">
        <v>94</v>
      </c>
      <c r="K4461">
        <v>8</v>
      </c>
      <c r="L4461">
        <v>94800</v>
      </c>
      <c r="M4461">
        <v>758400</v>
      </c>
      <c r="N4461" t="s">
        <v>95</v>
      </c>
      <c r="O4461" t="s">
        <v>96</v>
      </c>
    </row>
    <row r="4462" spans="1:15" x14ac:dyDescent="0.25">
      <c r="A4462">
        <v>403</v>
      </c>
      <c r="B4462" s="10">
        <v>45915</v>
      </c>
      <c r="C4462">
        <v>15</v>
      </c>
      <c r="D4462" t="s">
        <v>147</v>
      </c>
      <c r="E4462" t="s">
        <v>98</v>
      </c>
      <c r="F4462" t="s">
        <v>144</v>
      </c>
      <c r="G4462" t="s">
        <v>91</v>
      </c>
      <c r="H4462" t="s">
        <v>23</v>
      </c>
      <c r="I4462" t="s">
        <v>34</v>
      </c>
      <c r="J4462" t="s">
        <v>94</v>
      </c>
      <c r="K4462">
        <v>9</v>
      </c>
      <c r="L4462">
        <v>95000</v>
      </c>
      <c r="M4462">
        <v>855000</v>
      </c>
      <c r="N4462" t="s">
        <v>95</v>
      </c>
      <c r="O4462" t="s">
        <v>115</v>
      </c>
    </row>
    <row r="4463" spans="1:15" x14ac:dyDescent="0.25">
      <c r="A4463">
        <v>1373</v>
      </c>
      <c r="B4463" s="10">
        <v>45915</v>
      </c>
      <c r="C4463">
        <v>15</v>
      </c>
      <c r="D4463" t="s">
        <v>147</v>
      </c>
      <c r="E4463" t="s">
        <v>121</v>
      </c>
      <c r="F4463" t="s">
        <v>141</v>
      </c>
      <c r="G4463" t="s">
        <v>100</v>
      </c>
      <c r="H4463" t="s">
        <v>23</v>
      </c>
      <c r="I4463" t="s">
        <v>119</v>
      </c>
      <c r="J4463" t="s">
        <v>103</v>
      </c>
      <c r="K4463">
        <v>31</v>
      </c>
      <c r="L4463">
        <v>95000</v>
      </c>
      <c r="M4463">
        <v>2945000</v>
      </c>
      <c r="N4463" t="s">
        <v>108</v>
      </c>
      <c r="O4463" t="s">
        <v>115</v>
      </c>
    </row>
    <row r="4464" spans="1:15" x14ac:dyDescent="0.25">
      <c r="A4464">
        <v>1321</v>
      </c>
      <c r="B4464" s="10">
        <v>46022</v>
      </c>
      <c r="C4464">
        <v>31</v>
      </c>
      <c r="D4464" t="s">
        <v>125</v>
      </c>
      <c r="E4464" t="s">
        <v>112</v>
      </c>
      <c r="F4464" t="s">
        <v>28</v>
      </c>
      <c r="G4464" t="s">
        <v>126</v>
      </c>
      <c r="H4464" t="s">
        <v>23</v>
      </c>
      <c r="I4464" t="s">
        <v>34</v>
      </c>
      <c r="J4464" t="s">
        <v>94</v>
      </c>
      <c r="K4464">
        <v>6</v>
      </c>
      <c r="L4464">
        <v>95300</v>
      </c>
      <c r="M4464">
        <v>571800</v>
      </c>
      <c r="N4464" t="s">
        <v>95</v>
      </c>
      <c r="O4464" t="s">
        <v>115</v>
      </c>
    </row>
    <row r="4465" spans="1:15" x14ac:dyDescent="0.25">
      <c r="A4465">
        <v>1417</v>
      </c>
      <c r="B4465" s="10">
        <v>45772</v>
      </c>
      <c r="C4465">
        <v>25</v>
      </c>
      <c r="D4465" t="s">
        <v>105</v>
      </c>
      <c r="E4465" t="s">
        <v>25</v>
      </c>
      <c r="F4465" t="s">
        <v>141</v>
      </c>
      <c r="G4465" t="s">
        <v>100</v>
      </c>
      <c r="H4465" t="s">
        <v>23</v>
      </c>
      <c r="I4465" t="s">
        <v>34</v>
      </c>
      <c r="J4465" t="s">
        <v>94</v>
      </c>
      <c r="K4465">
        <v>6</v>
      </c>
      <c r="L4465">
        <v>95300</v>
      </c>
      <c r="M4465">
        <v>571800</v>
      </c>
      <c r="N4465" t="s">
        <v>108</v>
      </c>
      <c r="O4465" t="s">
        <v>104</v>
      </c>
    </row>
    <row r="4466" spans="1:15" x14ac:dyDescent="0.25">
      <c r="A4466">
        <v>2137</v>
      </c>
      <c r="B4466" s="10">
        <v>45828</v>
      </c>
      <c r="C4466">
        <v>20</v>
      </c>
      <c r="D4466" t="s">
        <v>153</v>
      </c>
      <c r="E4466" t="s">
        <v>116</v>
      </c>
      <c r="F4466" t="s">
        <v>99</v>
      </c>
      <c r="G4466" t="s">
        <v>100</v>
      </c>
      <c r="H4466" t="s">
        <v>23</v>
      </c>
      <c r="I4466" t="s">
        <v>34</v>
      </c>
      <c r="J4466" t="s">
        <v>94</v>
      </c>
      <c r="K4466">
        <v>2</v>
      </c>
      <c r="L4466">
        <v>95500</v>
      </c>
      <c r="M4466">
        <v>191000</v>
      </c>
      <c r="N4466" t="s">
        <v>95</v>
      </c>
      <c r="O4466" t="s">
        <v>104</v>
      </c>
    </row>
    <row r="4467" spans="1:15" x14ac:dyDescent="0.25">
      <c r="A4467">
        <v>1276</v>
      </c>
      <c r="B4467" s="10">
        <v>45714</v>
      </c>
      <c r="C4467">
        <v>26</v>
      </c>
      <c r="D4467" t="s">
        <v>97</v>
      </c>
      <c r="E4467" t="s">
        <v>31</v>
      </c>
      <c r="F4467" t="s">
        <v>117</v>
      </c>
      <c r="G4467" t="s">
        <v>118</v>
      </c>
      <c r="H4467" t="s">
        <v>23</v>
      </c>
      <c r="I4467" t="s">
        <v>34</v>
      </c>
      <c r="J4467" t="s">
        <v>94</v>
      </c>
      <c r="K4467">
        <v>6</v>
      </c>
      <c r="L4467">
        <v>95700</v>
      </c>
      <c r="M4467">
        <v>574200</v>
      </c>
      <c r="N4467" t="s">
        <v>95</v>
      </c>
      <c r="O4467" t="s">
        <v>96</v>
      </c>
    </row>
    <row r="4468" spans="1:15" x14ac:dyDescent="0.25">
      <c r="A4468">
        <v>3683</v>
      </c>
      <c r="B4468" s="10">
        <v>45757</v>
      </c>
      <c r="C4468">
        <v>10</v>
      </c>
      <c r="D4468" t="s">
        <v>105</v>
      </c>
      <c r="E4468" t="s">
        <v>142</v>
      </c>
      <c r="F4468" t="s">
        <v>144</v>
      </c>
      <c r="G4468" t="s">
        <v>91</v>
      </c>
      <c r="H4468" t="s">
        <v>23</v>
      </c>
      <c r="I4468" t="s">
        <v>34</v>
      </c>
      <c r="J4468" t="s">
        <v>94</v>
      </c>
      <c r="K4468">
        <v>8</v>
      </c>
      <c r="L4468">
        <v>95800</v>
      </c>
      <c r="M4468">
        <v>766400</v>
      </c>
      <c r="N4468" t="s">
        <v>108</v>
      </c>
      <c r="O4468" t="s">
        <v>115</v>
      </c>
    </row>
    <row r="4469" spans="1:15" x14ac:dyDescent="0.25">
      <c r="A4469">
        <v>4564</v>
      </c>
      <c r="B4469" s="10">
        <v>45674</v>
      </c>
      <c r="C4469">
        <v>17</v>
      </c>
      <c r="D4469" t="s">
        <v>130</v>
      </c>
      <c r="E4469" t="s">
        <v>31</v>
      </c>
      <c r="F4469" t="s">
        <v>28</v>
      </c>
      <c r="G4469" t="s">
        <v>126</v>
      </c>
      <c r="H4469" t="s">
        <v>23</v>
      </c>
      <c r="I4469" t="s">
        <v>34</v>
      </c>
      <c r="J4469" t="s">
        <v>94</v>
      </c>
      <c r="K4469">
        <v>6</v>
      </c>
      <c r="L4469">
        <v>96000</v>
      </c>
      <c r="M4469">
        <v>576000</v>
      </c>
      <c r="N4469" t="s">
        <v>108</v>
      </c>
      <c r="O4469" t="s">
        <v>96</v>
      </c>
    </row>
    <row r="4470" spans="1:15" x14ac:dyDescent="0.25">
      <c r="A4470">
        <v>200</v>
      </c>
      <c r="B4470" s="10">
        <v>45728</v>
      </c>
      <c r="C4470">
        <v>12</v>
      </c>
      <c r="D4470" t="s">
        <v>140</v>
      </c>
      <c r="E4470" t="s">
        <v>121</v>
      </c>
      <c r="F4470" t="s">
        <v>44</v>
      </c>
      <c r="G4470" t="s">
        <v>111</v>
      </c>
      <c r="H4470" t="s">
        <v>23</v>
      </c>
      <c r="I4470" t="s">
        <v>119</v>
      </c>
      <c r="J4470" t="s">
        <v>103</v>
      </c>
      <c r="K4470">
        <v>40</v>
      </c>
      <c r="L4470">
        <v>96200</v>
      </c>
      <c r="M4470">
        <v>3848000</v>
      </c>
      <c r="N4470" t="s">
        <v>95</v>
      </c>
      <c r="O4470" t="s">
        <v>96</v>
      </c>
    </row>
    <row r="4471" spans="1:15" x14ac:dyDescent="0.25">
      <c r="A4471">
        <v>4426</v>
      </c>
      <c r="B4471" s="10">
        <v>45995</v>
      </c>
      <c r="C4471">
        <v>4</v>
      </c>
      <c r="D4471" t="s">
        <v>125</v>
      </c>
      <c r="E4471" t="s">
        <v>142</v>
      </c>
      <c r="F4471" t="s">
        <v>107</v>
      </c>
      <c r="G4471" t="s">
        <v>100</v>
      </c>
      <c r="H4471" t="s">
        <v>23</v>
      </c>
      <c r="I4471" t="s">
        <v>119</v>
      </c>
      <c r="J4471" t="s">
        <v>103</v>
      </c>
      <c r="K4471">
        <v>28</v>
      </c>
      <c r="L4471">
        <v>96200</v>
      </c>
      <c r="M4471">
        <v>2693600</v>
      </c>
      <c r="N4471" t="s">
        <v>108</v>
      </c>
      <c r="O4471" t="s">
        <v>115</v>
      </c>
    </row>
    <row r="4472" spans="1:15" x14ac:dyDescent="0.25">
      <c r="A4472">
        <v>916</v>
      </c>
      <c r="B4472" s="10">
        <v>45863</v>
      </c>
      <c r="C4472">
        <v>25</v>
      </c>
      <c r="D4472" t="s">
        <v>145</v>
      </c>
      <c r="E4472" t="s">
        <v>161</v>
      </c>
      <c r="F4472" t="s">
        <v>148</v>
      </c>
      <c r="G4472" t="s">
        <v>118</v>
      </c>
      <c r="H4472" t="s">
        <v>23</v>
      </c>
      <c r="I4472" t="s">
        <v>34</v>
      </c>
      <c r="J4472" t="s">
        <v>94</v>
      </c>
      <c r="K4472">
        <v>6</v>
      </c>
      <c r="L4472">
        <v>96300</v>
      </c>
      <c r="M4472">
        <v>577800</v>
      </c>
      <c r="N4472" t="s">
        <v>95</v>
      </c>
      <c r="O4472" t="s">
        <v>115</v>
      </c>
    </row>
    <row r="4473" spans="1:15" x14ac:dyDescent="0.25">
      <c r="A4473">
        <v>4192</v>
      </c>
      <c r="B4473" s="10">
        <v>45792</v>
      </c>
      <c r="C4473">
        <v>15</v>
      </c>
      <c r="D4473" t="s">
        <v>120</v>
      </c>
      <c r="E4473" t="s">
        <v>110</v>
      </c>
      <c r="F4473" t="s">
        <v>99</v>
      </c>
      <c r="G4473" t="s">
        <v>100</v>
      </c>
      <c r="H4473" t="s">
        <v>23</v>
      </c>
      <c r="I4473" t="s">
        <v>34</v>
      </c>
      <c r="J4473" t="s">
        <v>94</v>
      </c>
      <c r="K4473">
        <v>3</v>
      </c>
      <c r="L4473">
        <v>96300</v>
      </c>
      <c r="M4473">
        <v>288900</v>
      </c>
      <c r="N4473" t="s">
        <v>95</v>
      </c>
      <c r="O4473" t="s">
        <v>115</v>
      </c>
    </row>
    <row r="4474" spans="1:15" x14ac:dyDescent="0.25">
      <c r="A4474">
        <v>3787</v>
      </c>
      <c r="B4474" s="10">
        <v>45809</v>
      </c>
      <c r="C4474">
        <v>1</v>
      </c>
      <c r="D4474" t="s">
        <v>153</v>
      </c>
      <c r="E4474" t="s">
        <v>161</v>
      </c>
      <c r="F4474" t="s">
        <v>134</v>
      </c>
      <c r="G4474" t="s">
        <v>100</v>
      </c>
      <c r="H4474" t="s">
        <v>23</v>
      </c>
      <c r="I4474" t="s">
        <v>34</v>
      </c>
      <c r="J4474" t="s">
        <v>94</v>
      </c>
      <c r="K4474">
        <v>2</v>
      </c>
      <c r="L4474">
        <v>96500</v>
      </c>
      <c r="M4474">
        <v>193000</v>
      </c>
      <c r="N4474" t="s">
        <v>108</v>
      </c>
      <c r="O4474" t="s">
        <v>96</v>
      </c>
    </row>
    <row r="4475" spans="1:15" x14ac:dyDescent="0.25">
      <c r="A4475">
        <v>3301</v>
      </c>
      <c r="B4475" s="10">
        <v>45991</v>
      </c>
      <c r="C4475">
        <v>30</v>
      </c>
      <c r="D4475" t="s">
        <v>90</v>
      </c>
      <c r="E4475" t="s">
        <v>128</v>
      </c>
      <c r="F4475" t="s">
        <v>99</v>
      </c>
      <c r="G4475" t="s">
        <v>100</v>
      </c>
      <c r="H4475" t="s">
        <v>23</v>
      </c>
      <c r="I4475" t="s">
        <v>34</v>
      </c>
      <c r="J4475" t="s">
        <v>94</v>
      </c>
      <c r="K4475">
        <v>6</v>
      </c>
      <c r="L4475">
        <v>96600</v>
      </c>
      <c r="M4475">
        <v>579600</v>
      </c>
      <c r="N4475" t="s">
        <v>95</v>
      </c>
      <c r="O4475" t="s">
        <v>104</v>
      </c>
    </row>
    <row r="4476" spans="1:15" x14ac:dyDescent="0.25">
      <c r="A4476">
        <v>1291</v>
      </c>
      <c r="B4476" s="10">
        <v>45931</v>
      </c>
      <c r="C4476">
        <v>1</v>
      </c>
      <c r="D4476" t="s">
        <v>136</v>
      </c>
      <c r="E4476" t="s">
        <v>161</v>
      </c>
      <c r="F4476" t="s">
        <v>36</v>
      </c>
      <c r="G4476" t="s">
        <v>100</v>
      </c>
      <c r="H4476" t="s">
        <v>23</v>
      </c>
      <c r="I4476" t="s">
        <v>34</v>
      </c>
      <c r="J4476" t="s">
        <v>94</v>
      </c>
      <c r="K4476">
        <v>7</v>
      </c>
      <c r="L4476">
        <v>96800</v>
      </c>
      <c r="M4476">
        <v>677600</v>
      </c>
      <c r="N4476" t="s">
        <v>108</v>
      </c>
      <c r="O4476" t="s">
        <v>96</v>
      </c>
    </row>
    <row r="4477" spans="1:15" x14ac:dyDescent="0.25">
      <c r="A4477">
        <v>1006</v>
      </c>
      <c r="B4477" s="10">
        <v>45702</v>
      </c>
      <c r="C4477">
        <v>14</v>
      </c>
      <c r="D4477" t="s">
        <v>97</v>
      </c>
      <c r="E4477" t="s">
        <v>138</v>
      </c>
      <c r="F4477" t="s">
        <v>36</v>
      </c>
      <c r="G4477" t="s">
        <v>100</v>
      </c>
      <c r="H4477" t="s">
        <v>23</v>
      </c>
      <c r="I4477" t="s">
        <v>34</v>
      </c>
      <c r="J4477" t="s">
        <v>94</v>
      </c>
      <c r="K4477">
        <v>1</v>
      </c>
      <c r="L4477">
        <v>96900</v>
      </c>
      <c r="M4477">
        <v>96900</v>
      </c>
      <c r="N4477" t="s">
        <v>95</v>
      </c>
      <c r="O4477" t="s">
        <v>104</v>
      </c>
    </row>
    <row r="4478" spans="1:15" x14ac:dyDescent="0.25">
      <c r="A4478">
        <v>3635</v>
      </c>
      <c r="B4478" s="10">
        <v>45798</v>
      </c>
      <c r="C4478">
        <v>21</v>
      </c>
      <c r="D4478" t="s">
        <v>120</v>
      </c>
      <c r="E4478" t="s">
        <v>150</v>
      </c>
      <c r="F4478" t="s">
        <v>22</v>
      </c>
      <c r="G4478" t="s">
        <v>91</v>
      </c>
      <c r="H4478" t="s">
        <v>23</v>
      </c>
      <c r="I4478" t="s">
        <v>34</v>
      </c>
      <c r="J4478" t="s">
        <v>94</v>
      </c>
      <c r="K4478">
        <v>3</v>
      </c>
      <c r="L4478">
        <v>97000</v>
      </c>
      <c r="M4478">
        <v>291000</v>
      </c>
      <c r="N4478" t="s">
        <v>108</v>
      </c>
      <c r="O4478" t="s">
        <v>96</v>
      </c>
    </row>
    <row r="4479" spans="1:15" x14ac:dyDescent="0.25">
      <c r="A4479">
        <v>4228</v>
      </c>
      <c r="B4479" s="10">
        <v>45861</v>
      </c>
      <c r="C4479">
        <v>23</v>
      </c>
      <c r="D4479" t="s">
        <v>145</v>
      </c>
      <c r="E4479" t="s">
        <v>137</v>
      </c>
      <c r="F4479" t="s">
        <v>107</v>
      </c>
      <c r="G4479" t="s">
        <v>100</v>
      </c>
      <c r="H4479" t="s">
        <v>23</v>
      </c>
      <c r="I4479" t="s">
        <v>34</v>
      </c>
      <c r="J4479" t="s">
        <v>94</v>
      </c>
      <c r="K4479">
        <v>7</v>
      </c>
      <c r="L4479">
        <v>97000</v>
      </c>
      <c r="M4479">
        <v>679000</v>
      </c>
      <c r="N4479" t="s">
        <v>108</v>
      </c>
      <c r="O4479" t="s">
        <v>115</v>
      </c>
    </row>
    <row r="4480" spans="1:15" x14ac:dyDescent="0.25">
      <c r="A4480">
        <v>1644</v>
      </c>
      <c r="B4480" s="10">
        <v>45953</v>
      </c>
      <c r="C4480">
        <v>23</v>
      </c>
      <c r="D4480" t="s">
        <v>136</v>
      </c>
      <c r="E4480" t="s">
        <v>142</v>
      </c>
      <c r="F4480" t="s">
        <v>148</v>
      </c>
      <c r="G4480" t="s">
        <v>118</v>
      </c>
      <c r="H4480" t="s">
        <v>23</v>
      </c>
      <c r="I4480" t="s">
        <v>34</v>
      </c>
      <c r="J4480" t="s">
        <v>94</v>
      </c>
      <c r="K4480">
        <v>5</v>
      </c>
      <c r="L4480">
        <v>97100</v>
      </c>
      <c r="M4480">
        <v>485500</v>
      </c>
      <c r="N4480" t="s">
        <v>95</v>
      </c>
      <c r="O4480" t="s">
        <v>96</v>
      </c>
    </row>
    <row r="4481" spans="1:15" x14ac:dyDescent="0.25">
      <c r="A4481">
        <v>4278</v>
      </c>
      <c r="B4481" s="10">
        <v>45907</v>
      </c>
      <c r="C4481">
        <v>7</v>
      </c>
      <c r="D4481" t="s">
        <v>147</v>
      </c>
      <c r="E4481" t="s">
        <v>137</v>
      </c>
      <c r="F4481" t="s">
        <v>117</v>
      </c>
      <c r="G4481" t="s">
        <v>118</v>
      </c>
      <c r="H4481" t="s">
        <v>23</v>
      </c>
      <c r="I4481" t="s">
        <v>119</v>
      </c>
      <c r="J4481" t="s">
        <v>103</v>
      </c>
      <c r="K4481">
        <v>9</v>
      </c>
      <c r="L4481">
        <v>97100</v>
      </c>
      <c r="M4481">
        <v>873900</v>
      </c>
      <c r="N4481" t="s">
        <v>108</v>
      </c>
      <c r="O4481" t="s">
        <v>96</v>
      </c>
    </row>
    <row r="4482" spans="1:15" x14ac:dyDescent="0.25">
      <c r="A4482">
        <v>2713</v>
      </c>
      <c r="B4482" s="10">
        <v>45754</v>
      </c>
      <c r="C4482">
        <v>7</v>
      </c>
      <c r="D4482" t="s">
        <v>105</v>
      </c>
      <c r="E4482" t="s">
        <v>133</v>
      </c>
      <c r="F4482" t="s">
        <v>148</v>
      </c>
      <c r="G4482" t="s">
        <v>118</v>
      </c>
      <c r="H4482" t="s">
        <v>23</v>
      </c>
      <c r="I4482" t="s">
        <v>34</v>
      </c>
      <c r="J4482" t="s">
        <v>94</v>
      </c>
      <c r="K4482">
        <v>3</v>
      </c>
      <c r="L4482">
        <v>97400</v>
      </c>
      <c r="M4482">
        <v>292200</v>
      </c>
      <c r="N4482" t="s">
        <v>95</v>
      </c>
      <c r="O4482" t="s">
        <v>104</v>
      </c>
    </row>
    <row r="4483" spans="1:15" x14ac:dyDescent="0.25">
      <c r="A4483">
        <v>3493</v>
      </c>
      <c r="B4483" s="10">
        <v>45993</v>
      </c>
      <c r="C4483">
        <v>2</v>
      </c>
      <c r="D4483" t="s">
        <v>125</v>
      </c>
      <c r="E4483" t="s">
        <v>25</v>
      </c>
      <c r="F4483" t="s">
        <v>151</v>
      </c>
      <c r="G4483" t="s">
        <v>111</v>
      </c>
      <c r="H4483" t="s">
        <v>23</v>
      </c>
      <c r="I4483" t="s">
        <v>34</v>
      </c>
      <c r="J4483" t="s">
        <v>94</v>
      </c>
      <c r="K4483">
        <v>10</v>
      </c>
      <c r="L4483">
        <v>97400</v>
      </c>
      <c r="M4483">
        <v>974000</v>
      </c>
      <c r="N4483" t="s">
        <v>95</v>
      </c>
      <c r="O4483" t="s">
        <v>104</v>
      </c>
    </row>
    <row r="4484" spans="1:15" x14ac:dyDescent="0.25">
      <c r="A4484">
        <v>4563</v>
      </c>
      <c r="B4484" s="10">
        <v>45760</v>
      </c>
      <c r="C4484">
        <v>13</v>
      </c>
      <c r="D4484" t="s">
        <v>105</v>
      </c>
      <c r="E4484" t="s">
        <v>110</v>
      </c>
      <c r="F4484" t="s">
        <v>148</v>
      </c>
      <c r="G4484" t="s">
        <v>118</v>
      </c>
      <c r="H4484" t="s">
        <v>23</v>
      </c>
      <c r="I4484" t="s">
        <v>119</v>
      </c>
      <c r="J4484" t="s">
        <v>103</v>
      </c>
      <c r="K4484">
        <v>12</v>
      </c>
      <c r="L4484">
        <v>97400</v>
      </c>
      <c r="M4484">
        <v>1168800</v>
      </c>
      <c r="N4484" t="s">
        <v>108</v>
      </c>
      <c r="O4484" t="s">
        <v>104</v>
      </c>
    </row>
    <row r="4485" spans="1:15" x14ac:dyDescent="0.25">
      <c r="A4485">
        <v>3020</v>
      </c>
      <c r="B4485" s="10">
        <v>45784</v>
      </c>
      <c r="C4485">
        <v>7</v>
      </c>
      <c r="D4485" t="s">
        <v>120</v>
      </c>
      <c r="E4485" t="s">
        <v>106</v>
      </c>
      <c r="F4485" t="s">
        <v>36</v>
      </c>
      <c r="G4485" t="s">
        <v>100</v>
      </c>
      <c r="H4485" t="s">
        <v>23</v>
      </c>
      <c r="I4485" t="s">
        <v>34</v>
      </c>
      <c r="J4485" t="s">
        <v>94</v>
      </c>
      <c r="K4485">
        <v>6</v>
      </c>
      <c r="L4485">
        <v>97600</v>
      </c>
      <c r="M4485">
        <v>585600</v>
      </c>
      <c r="N4485" t="s">
        <v>95</v>
      </c>
      <c r="O4485" t="s">
        <v>104</v>
      </c>
    </row>
    <row r="4486" spans="1:15" x14ac:dyDescent="0.25">
      <c r="A4486">
        <v>4704</v>
      </c>
      <c r="B4486" s="10">
        <v>45894</v>
      </c>
      <c r="C4486">
        <v>25</v>
      </c>
      <c r="D4486" t="s">
        <v>109</v>
      </c>
      <c r="E4486" t="s">
        <v>31</v>
      </c>
      <c r="F4486" t="s">
        <v>117</v>
      </c>
      <c r="G4486" t="s">
        <v>118</v>
      </c>
      <c r="H4486" t="s">
        <v>23</v>
      </c>
      <c r="I4486" t="s">
        <v>34</v>
      </c>
      <c r="J4486" t="s">
        <v>94</v>
      </c>
      <c r="K4486">
        <v>9</v>
      </c>
      <c r="L4486">
        <v>97700</v>
      </c>
      <c r="M4486">
        <v>879300</v>
      </c>
      <c r="N4486" t="s">
        <v>95</v>
      </c>
      <c r="O4486" t="s">
        <v>115</v>
      </c>
    </row>
    <row r="4487" spans="1:15" x14ac:dyDescent="0.25">
      <c r="A4487">
        <v>4883</v>
      </c>
      <c r="B4487" s="10">
        <v>45923</v>
      </c>
      <c r="C4487">
        <v>23</v>
      </c>
      <c r="D4487" t="s">
        <v>147</v>
      </c>
      <c r="E4487" t="s">
        <v>25</v>
      </c>
      <c r="F4487" t="s">
        <v>113</v>
      </c>
      <c r="G4487" t="s">
        <v>114</v>
      </c>
      <c r="H4487" t="s">
        <v>23</v>
      </c>
      <c r="I4487" t="s">
        <v>119</v>
      </c>
      <c r="J4487" t="s">
        <v>103</v>
      </c>
      <c r="K4487">
        <v>7</v>
      </c>
      <c r="L4487">
        <v>97700</v>
      </c>
      <c r="M4487">
        <v>683900</v>
      </c>
      <c r="N4487" t="s">
        <v>108</v>
      </c>
      <c r="O4487" t="s">
        <v>96</v>
      </c>
    </row>
    <row r="4488" spans="1:15" x14ac:dyDescent="0.25">
      <c r="A4488">
        <v>288</v>
      </c>
      <c r="B4488" s="10">
        <v>45669</v>
      </c>
      <c r="C4488">
        <v>12</v>
      </c>
      <c r="D4488" t="s">
        <v>130</v>
      </c>
      <c r="E4488" t="s">
        <v>142</v>
      </c>
      <c r="F4488" t="s">
        <v>44</v>
      </c>
      <c r="G4488" t="s">
        <v>111</v>
      </c>
      <c r="H4488" t="s">
        <v>23</v>
      </c>
      <c r="I4488" t="s">
        <v>34</v>
      </c>
      <c r="J4488" t="s">
        <v>94</v>
      </c>
      <c r="K4488">
        <v>1</v>
      </c>
      <c r="L4488">
        <v>97800</v>
      </c>
      <c r="M4488">
        <v>97800</v>
      </c>
      <c r="N4488" t="s">
        <v>108</v>
      </c>
      <c r="O4488" t="s">
        <v>115</v>
      </c>
    </row>
    <row r="4489" spans="1:15" x14ac:dyDescent="0.25">
      <c r="A4489">
        <v>322</v>
      </c>
      <c r="B4489" s="10">
        <v>45706</v>
      </c>
      <c r="C4489">
        <v>18</v>
      </c>
      <c r="D4489" t="s">
        <v>97</v>
      </c>
      <c r="E4489" t="s">
        <v>128</v>
      </c>
      <c r="F4489" t="s">
        <v>107</v>
      </c>
      <c r="G4489" t="s">
        <v>100</v>
      </c>
      <c r="H4489" t="s">
        <v>23</v>
      </c>
      <c r="I4489" t="s">
        <v>34</v>
      </c>
      <c r="J4489" t="s">
        <v>94</v>
      </c>
      <c r="K4489">
        <v>10</v>
      </c>
      <c r="L4489">
        <v>97800</v>
      </c>
      <c r="M4489">
        <v>978000</v>
      </c>
      <c r="N4489" t="s">
        <v>108</v>
      </c>
      <c r="O4489" t="s">
        <v>115</v>
      </c>
    </row>
    <row r="4490" spans="1:15" x14ac:dyDescent="0.25">
      <c r="A4490">
        <v>900</v>
      </c>
      <c r="B4490" s="10">
        <v>45717</v>
      </c>
      <c r="C4490">
        <v>1</v>
      </c>
      <c r="D4490" t="s">
        <v>140</v>
      </c>
      <c r="E4490" t="s">
        <v>121</v>
      </c>
      <c r="F4490" t="s">
        <v>36</v>
      </c>
      <c r="G4490" t="s">
        <v>100</v>
      </c>
      <c r="H4490" t="s">
        <v>23</v>
      </c>
      <c r="I4490" t="s">
        <v>119</v>
      </c>
      <c r="J4490" t="s">
        <v>103</v>
      </c>
      <c r="K4490">
        <v>24</v>
      </c>
      <c r="L4490">
        <v>97800</v>
      </c>
      <c r="M4490">
        <v>2347200</v>
      </c>
      <c r="N4490" t="s">
        <v>108</v>
      </c>
      <c r="O4490" t="s">
        <v>104</v>
      </c>
    </row>
    <row r="4491" spans="1:15" x14ac:dyDescent="0.25">
      <c r="A4491">
        <v>2082</v>
      </c>
      <c r="B4491" s="10">
        <v>45948</v>
      </c>
      <c r="C4491">
        <v>18</v>
      </c>
      <c r="D4491" t="s">
        <v>136</v>
      </c>
      <c r="E4491" t="s">
        <v>150</v>
      </c>
      <c r="F4491" t="s">
        <v>44</v>
      </c>
      <c r="G4491" t="s">
        <v>111</v>
      </c>
      <c r="H4491" t="s">
        <v>23</v>
      </c>
      <c r="I4491" t="s">
        <v>34</v>
      </c>
      <c r="J4491" t="s">
        <v>94</v>
      </c>
      <c r="K4491">
        <v>10</v>
      </c>
      <c r="L4491">
        <v>97900</v>
      </c>
      <c r="M4491">
        <v>979000</v>
      </c>
      <c r="N4491" t="s">
        <v>108</v>
      </c>
      <c r="O4491" t="s">
        <v>96</v>
      </c>
    </row>
    <row r="4492" spans="1:15" x14ac:dyDescent="0.25">
      <c r="A4492">
        <v>4112</v>
      </c>
      <c r="B4492" s="10">
        <v>45978</v>
      </c>
      <c r="C4492">
        <v>17</v>
      </c>
      <c r="D4492" t="s">
        <v>90</v>
      </c>
      <c r="E4492" t="s">
        <v>110</v>
      </c>
      <c r="F4492" t="s">
        <v>148</v>
      </c>
      <c r="G4492" t="s">
        <v>118</v>
      </c>
      <c r="H4492" t="s">
        <v>23</v>
      </c>
      <c r="I4492" t="s">
        <v>119</v>
      </c>
      <c r="J4492" t="s">
        <v>103</v>
      </c>
      <c r="K4492">
        <v>32</v>
      </c>
      <c r="L4492">
        <v>98000</v>
      </c>
      <c r="M4492">
        <v>3136000</v>
      </c>
      <c r="N4492" t="s">
        <v>108</v>
      </c>
      <c r="O4492" t="s">
        <v>104</v>
      </c>
    </row>
    <row r="4493" spans="1:15" x14ac:dyDescent="0.25">
      <c r="A4493">
        <v>223</v>
      </c>
      <c r="B4493" s="10">
        <v>46005</v>
      </c>
      <c r="C4493">
        <v>14</v>
      </c>
      <c r="D4493" t="s">
        <v>125</v>
      </c>
      <c r="E4493" t="s">
        <v>112</v>
      </c>
      <c r="F4493" t="s">
        <v>151</v>
      </c>
      <c r="G4493" t="s">
        <v>111</v>
      </c>
      <c r="H4493" t="s">
        <v>23</v>
      </c>
      <c r="I4493" t="s">
        <v>34</v>
      </c>
      <c r="J4493" t="s">
        <v>94</v>
      </c>
      <c r="K4493">
        <v>4</v>
      </c>
      <c r="L4493">
        <v>98300</v>
      </c>
      <c r="M4493">
        <v>393200</v>
      </c>
      <c r="N4493" t="s">
        <v>108</v>
      </c>
      <c r="O4493" t="s">
        <v>115</v>
      </c>
    </row>
    <row r="4494" spans="1:15" x14ac:dyDescent="0.25">
      <c r="A4494">
        <v>3105</v>
      </c>
      <c r="B4494" s="10">
        <v>45899</v>
      </c>
      <c r="C4494">
        <v>30</v>
      </c>
      <c r="D4494" t="s">
        <v>109</v>
      </c>
      <c r="E4494" t="s">
        <v>137</v>
      </c>
      <c r="F4494" t="s">
        <v>141</v>
      </c>
      <c r="G4494" t="s">
        <v>100</v>
      </c>
      <c r="H4494" t="s">
        <v>23</v>
      </c>
      <c r="I4494" t="s">
        <v>119</v>
      </c>
      <c r="J4494" t="s">
        <v>103</v>
      </c>
      <c r="K4494">
        <v>46</v>
      </c>
      <c r="L4494">
        <v>98300</v>
      </c>
      <c r="M4494">
        <v>4521800</v>
      </c>
      <c r="N4494" t="s">
        <v>108</v>
      </c>
      <c r="O4494" t="s">
        <v>96</v>
      </c>
    </row>
    <row r="4495" spans="1:15" x14ac:dyDescent="0.25">
      <c r="A4495">
        <v>1207</v>
      </c>
      <c r="B4495" s="10">
        <v>45995</v>
      </c>
      <c r="C4495">
        <v>4</v>
      </c>
      <c r="D4495" t="s">
        <v>125</v>
      </c>
      <c r="E4495" t="s">
        <v>121</v>
      </c>
      <c r="F4495" t="s">
        <v>99</v>
      </c>
      <c r="G4495" t="s">
        <v>100</v>
      </c>
      <c r="H4495" t="s">
        <v>23</v>
      </c>
      <c r="I4495" t="s">
        <v>119</v>
      </c>
      <c r="J4495" t="s">
        <v>103</v>
      </c>
      <c r="K4495">
        <v>43</v>
      </c>
      <c r="L4495">
        <v>98400</v>
      </c>
      <c r="M4495">
        <v>4231200</v>
      </c>
      <c r="N4495" t="s">
        <v>95</v>
      </c>
      <c r="O4495" t="s">
        <v>96</v>
      </c>
    </row>
    <row r="4496" spans="1:15" x14ac:dyDescent="0.25">
      <c r="A4496">
        <v>1385</v>
      </c>
      <c r="B4496" s="10">
        <v>45739</v>
      </c>
      <c r="C4496">
        <v>23</v>
      </c>
      <c r="D4496" t="s">
        <v>140</v>
      </c>
      <c r="E4496" t="s">
        <v>142</v>
      </c>
      <c r="F4496" t="s">
        <v>49</v>
      </c>
      <c r="G4496" t="s">
        <v>118</v>
      </c>
      <c r="H4496" t="s">
        <v>23</v>
      </c>
      <c r="I4496" t="s">
        <v>34</v>
      </c>
      <c r="J4496" t="s">
        <v>94</v>
      </c>
      <c r="K4496">
        <v>10</v>
      </c>
      <c r="L4496">
        <v>98500</v>
      </c>
      <c r="M4496">
        <v>985000</v>
      </c>
      <c r="N4496" t="s">
        <v>108</v>
      </c>
      <c r="O4496" t="s">
        <v>96</v>
      </c>
    </row>
    <row r="4497" spans="1:15" x14ac:dyDescent="0.25">
      <c r="A4497">
        <v>2492</v>
      </c>
      <c r="B4497" s="10">
        <v>45701</v>
      </c>
      <c r="C4497">
        <v>13</v>
      </c>
      <c r="D4497" t="s">
        <v>97</v>
      </c>
      <c r="E4497" t="s">
        <v>110</v>
      </c>
      <c r="F4497" t="s">
        <v>107</v>
      </c>
      <c r="G4497" t="s">
        <v>100</v>
      </c>
      <c r="H4497" t="s">
        <v>23</v>
      </c>
      <c r="I4497" t="s">
        <v>119</v>
      </c>
      <c r="J4497" t="s">
        <v>103</v>
      </c>
      <c r="K4497">
        <v>31</v>
      </c>
      <c r="L4497">
        <v>98500</v>
      </c>
      <c r="M4497">
        <v>3053500</v>
      </c>
      <c r="N4497" t="s">
        <v>95</v>
      </c>
      <c r="O4497" t="s">
        <v>104</v>
      </c>
    </row>
    <row r="4498" spans="1:15" x14ac:dyDescent="0.25">
      <c r="A4498">
        <v>2922</v>
      </c>
      <c r="B4498" s="10">
        <v>45867</v>
      </c>
      <c r="C4498">
        <v>29</v>
      </c>
      <c r="D4498" t="s">
        <v>145</v>
      </c>
      <c r="E4498" t="s">
        <v>25</v>
      </c>
      <c r="F4498" t="s">
        <v>22</v>
      </c>
      <c r="G4498" t="s">
        <v>91</v>
      </c>
      <c r="H4498" t="s">
        <v>23</v>
      </c>
      <c r="I4498" t="s">
        <v>34</v>
      </c>
      <c r="J4498" t="s">
        <v>94</v>
      </c>
      <c r="K4498">
        <v>9</v>
      </c>
      <c r="L4498">
        <v>98500</v>
      </c>
      <c r="M4498">
        <v>886500</v>
      </c>
      <c r="N4498" t="s">
        <v>95</v>
      </c>
      <c r="O4498" t="s">
        <v>115</v>
      </c>
    </row>
    <row r="4499" spans="1:15" x14ac:dyDescent="0.25">
      <c r="A4499">
        <v>8</v>
      </c>
      <c r="B4499" s="10">
        <v>45774</v>
      </c>
      <c r="C4499">
        <v>27</v>
      </c>
      <c r="D4499" t="s">
        <v>105</v>
      </c>
      <c r="E4499" t="s">
        <v>112</v>
      </c>
      <c r="F4499" t="s">
        <v>44</v>
      </c>
      <c r="G4499" t="s">
        <v>111</v>
      </c>
      <c r="H4499" t="s">
        <v>23</v>
      </c>
      <c r="I4499" t="s">
        <v>34</v>
      </c>
      <c r="J4499" t="s">
        <v>94</v>
      </c>
      <c r="K4499">
        <v>7</v>
      </c>
      <c r="L4499">
        <v>98600</v>
      </c>
      <c r="M4499">
        <v>690200</v>
      </c>
      <c r="N4499" t="s">
        <v>108</v>
      </c>
      <c r="O4499" t="s">
        <v>115</v>
      </c>
    </row>
    <row r="4500" spans="1:15" x14ac:dyDescent="0.25">
      <c r="A4500">
        <v>1633</v>
      </c>
      <c r="B4500" s="10">
        <v>46015</v>
      </c>
      <c r="C4500">
        <v>24</v>
      </c>
      <c r="D4500" t="s">
        <v>125</v>
      </c>
      <c r="E4500" t="s">
        <v>133</v>
      </c>
      <c r="F4500" t="s">
        <v>44</v>
      </c>
      <c r="G4500" t="s">
        <v>111</v>
      </c>
      <c r="H4500" t="s">
        <v>23</v>
      </c>
      <c r="I4500" t="s">
        <v>119</v>
      </c>
      <c r="J4500" t="s">
        <v>103</v>
      </c>
      <c r="K4500">
        <v>42</v>
      </c>
      <c r="L4500">
        <v>98700</v>
      </c>
      <c r="M4500">
        <v>4145400</v>
      </c>
      <c r="N4500" t="s">
        <v>108</v>
      </c>
      <c r="O4500" t="s">
        <v>115</v>
      </c>
    </row>
    <row r="4501" spans="1:15" x14ac:dyDescent="0.25">
      <c r="A4501">
        <v>1051</v>
      </c>
      <c r="B4501" s="10">
        <v>45836</v>
      </c>
      <c r="C4501">
        <v>28</v>
      </c>
      <c r="D4501" t="s">
        <v>153</v>
      </c>
      <c r="E4501" t="s">
        <v>31</v>
      </c>
      <c r="F4501" t="s">
        <v>141</v>
      </c>
      <c r="G4501" t="s">
        <v>100</v>
      </c>
      <c r="H4501" t="s">
        <v>23</v>
      </c>
      <c r="I4501" t="s">
        <v>119</v>
      </c>
      <c r="J4501" t="s">
        <v>103</v>
      </c>
      <c r="K4501">
        <v>41</v>
      </c>
      <c r="L4501">
        <v>98800</v>
      </c>
      <c r="M4501">
        <v>4050800</v>
      </c>
      <c r="N4501" t="s">
        <v>108</v>
      </c>
      <c r="O4501" t="s">
        <v>96</v>
      </c>
    </row>
    <row r="4502" spans="1:15" x14ac:dyDescent="0.25">
      <c r="A4502">
        <v>167</v>
      </c>
      <c r="B4502" s="10">
        <v>45947</v>
      </c>
      <c r="C4502">
        <v>17</v>
      </c>
      <c r="D4502" t="s">
        <v>136</v>
      </c>
      <c r="E4502" t="s">
        <v>98</v>
      </c>
      <c r="F4502" t="s">
        <v>134</v>
      </c>
      <c r="G4502" t="s">
        <v>100</v>
      </c>
      <c r="H4502" t="s">
        <v>23</v>
      </c>
      <c r="I4502" t="s">
        <v>34</v>
      </c>
      <c r="J4502" t="s">
        <v>94</v>
      </c>
      <c r="K4502">
        <v>2</v>
      </c>
      <c r="L4502">
        <v>98900</v>
      </c>
      <c r="M4502">
        <v>197800</v>
      </c>
      <c r="N4502" t="s">
        <v>95</v>
      </c>
      <c r="O4502" t="s">
        <v>115</v>
      </c>
    </row>
    <row r="4503" spans="1:15" x14ac:dyDescent="0.25">
      <c r="A4503">
        <v>4016</v>
      </c>
      <c r="B4503" s="10">
        <v>45662</v>
      </c>
      <c r="C4503">
        <v>5</v>
      </c>
      <c r="D4503" t="s">
        <v>130</v>
      </c>
      <c r="E4503" t="s">
        <v>121</v>
      </c>
      <c r="F4503" t="s">
        <v>117</v>
      </c>
      <c r="G4503" t="s">
        <v>118</v>
      </c>
      <c r="H4503" t="s">
        <v>23</v>
      </c>
      <c r="I4503" t="s">
        <v>119</v>
      </c>
      <c r="J4503" t="s">
        <v>103</v>
      </c>
      <c r="K4503">
        <v>9</v>
      </c>
      <c r="L4503">
        <v>99000</v>
      </c>
      <c r="M4503">
        <v>891000</v>
      </c>
      <c r="N4503" t="s">
        <v>108</v>
      </c>
      <c r="O4503" t="s">
        <v>104</v>
      </c>
    </row>
    <row r="4504" spans="1:15" x14ac:dyDescent="0.25">
      <c r="A4504">
        <v>1557</v>
      </c>
      <c r="B4504" s="10">
        <v>45999</v>
      </c>
      <c r="C4504">
        <v>8</v>
      </c>
      <c r="D4504" t="s">
        <v>125</v>
      </c>
      <c r="E4504" t="s">
        <v>116</v>
      </c>
      <c r="F4504" t="s">
        <v>36</v>
      </c>
      <c r="G4504" t="s">
        <v>100</v>
      </c>
      <c r="H4504" t="s">
        <v>23</v>
      </c>
      <c r="I4504" t="s">
        <v>34</v>
      </c>
      <c r="J4504" t="s">
        <v>94</v>
      </c>
      <c r="K4504">
        <v>1</v>
      </c>
      <c r="L4504">
        <v>99300</v>
      </c>
      <c r="M4504">
        <v>99300</v>
      </c>
      <c r="N4504" t="s">
        <v>95</v>
      </c>
      <c r="O4504" t="s">
        <v>96</v>
      </c>
    </row>
    <row r="4505" spans="1:15" x14ac:dyDescent="0.25">
      <c r="A4505">
        <v>2975</v>
      </c>
      <c r="B4505" s="10">
        <v>45910</v>
      </c>
      <c r="C4505">
        <v>10</v>
      </c>
      <c r="D4505" t="s">
        <v>147</v>
      </c>
      <c r="E4505" t="s">
        <v>150</v>
      </c>
      <c r="F4505" t="s">
        <v>117</v>
      </c>
      <c r="G4505" t="s">
        <v>118</v>
      </c>
      <c r="H4505" t="s">
        <v>23</v>
      </c>
      <c r="I4505" t="s">
        <v>34</v>
      </c>
      <c r="J4505" t="s">
        <v>94</v>
      </c>
      <c r="K4505">
        <v>10</v>
      </c>
      <c r="L4505">
        <v>99300</v>
      </c>
      <c r="M4505">
        <v>993000</v>
      </c>
      <c r="N4505" t="s">
        <v>108</v>
      </c>
      <c r="O4505" t="s">
        <v>96</v>
      </c>
    </row>
    <row r="4506" spans="1:15" x14ac:dyDescent="0.25">
      <c r="A4506">
        <v>2769</v>
      </c>
      <c r="B4506" s="10">
        <v>45954</v>
      </c>
      <c r="C4506">
        <v>24</v>
      </c>
      <c r="D4506" t="s">
        <v>136</v>
      </c>
      <c r="E4506" t="s">
        <v>121</v>
      </c>
      <c r="F4506" t="s">
        <v>148</v>
      </c>
      <c r="G4506" t="s">
        <v>118</v>
      </c>
      <c r="H4506" t="s">
        <v>23</v>
      </c>
      <c r="I4506" t="s">
        <v>119</v>
      </c>
      <c r="J4506" t="s">
        <v>103</v>
      </c>
      <c r="K4506">
        <v>45</v>
      </c>
      <c r="L4506">
        <v>99400</v>
      </c>
      <c r="M4506">
        <v>4473000</v>
      </c>
      <c r="N4506" t="s">
        <v>108</v>
      </c>
      <c r="O4506" t="s">
        <v>104</v>
      </c>
    </row>
    <row r="4507" spans="1:15" x14ac:dyDescent="0.25">
      <c r="A4507">
        <v>4451</v>
      </c>
      <c r="B4507" s="10">
        <v>45843</v>
      </c>
      <c r="C4507">
        <v>5</v>
      </c>
      <c r="D4507" t="s">
        <v>145</v>
      </c>
      <c r="E4507" t="s">
        <v>98</v>
      </c>
      <c r="F4507" t="s">
        <v>44</v>
      </c>
      <c r="G4507" t="s">
        <v>111</v>
      </c>
      <c r="H4507" t="s">
        <v>23</v>
      </c>
      <c r="I4507" t="s">
        <v>119</v>
      </c>
      <c r="J4507" t="s">
        <v>103</v>
      </c>
      <c r="K4507">
        <v>8</v>
      </c>
      <c r="L4507">
        <v>99500</v>
      </c>
      <c r="M4507">
        <v>796000</v>
      </c>
      <c r="N4507" t="s">
        <v>95</v>
      </c>
      <c r="O4507" t="s">
        <v>96</v>
      </c>
    </row>
    <row r="4508" spans="1:15" x14ac:dyDescent="0.25">
      <c r="A4508">
        <v>3861</v>
      </c>
      <c r="B4508" s="10">
        <v>45982</v>
      </c>
      <c r="C4508">
        <v>21</v>
      </c>
      <c r="D4508" t="s">
        <v>90</v>
      </c>
      <c r="E4508" t="s">
        <v>133</v>
      </c>
      <c r="F4508" t="s">
        <v>44</v>
      </c>
      <c r="G4508" t="s">
        <v>111</v>
      </c>
      <c r="H4508" t="s">
        <v>23</v>
      </c>
      <c r="I4508" t="s">
        <v>119</v>
      </c>
      <c r="J4508" t="s">
        <v>103</v>
      </c>
      <c r="K4508">
        <v>46</v>
      </c>
      <c r="L4508">
        <v>99700</v>
      </c>
      <c r="M4508">
        <v>4586200</v>
      </c>
      <c r="N4508" t="s">
        <v>108</v>
      </c>
      <c r="O4508" t="s">
        <v>115</v>
      </c>
    </row>
    <row r="4509" spans="1:15" x14ac:dyDescent="0.25">
      <c r="A4509">
        <v>1946</v>
      </c>
      <c r="B4509" s="10">
        <v>45699</v>
      </c>
      <c r="C4509">
        <v>11</v>
      </c>
      <c r="D4509" t="s">
        <v>97</v>
      </c>
      <c r="E4509" t="s">
        <v>142</v>
      </c>
      <c r="F4509" t="s">
        <v>113</v>
      </c>
      <c r="G4509" t="s">
        <v>114</v>
      </c>
      <c r="H4509" t="s">
        <v>23</v>
      </c>
      <c r="I4509" t="s">
        <v>119</v>
      </c>
      <c r="J4509" t="s">
        <v>103</v>
      </c>
      <c r="K4509">
        <v>39</v>
      </c>
      <c r="L4509">
        <v>100100</v>
      </c>
      <c r="M4509">
        <v>3903900</v>
      </c>
      <c r="N4509" t="s">
        <v>95</v>
      </c>
      <c r="O4509" t="s">
        <v>96</v>
      </c>
    </row>
    <row r="4510" spans="1:15" x14ac:dyDescent="0.25">
      <c r="A4510">
        <v>3426</v>
      </c>
      <c r="B4510" s="10">
        <v>45895</v>
      </c>
      <c r="C4510">
        <v>26</v>
      </c>
      <c r="D4510" t="s">
        <v>109</v>
      </c>
      <c r="E4510" t="s">
        <v>137</v>
      </c>
      <c r="F4510" t="s">
        <v>49</v>
      </c>
      <c r="G4510" t="s">
        <v>118</v>
      </c>
      <c r="H4510" t="s">
        <v>23</v>
      </c>
      <c r="I4510" t="s">
        <v>34</v>
      </c>
      <c r="J4510" t="s">
        <v>94</v>
      </c>
      <c r="K4510">
        <v>2</v>
      </c>
      <c r="L4510">
        <v>100100</v>
      </c>
      <c r="M4510">
        <v>200200</v>
      </c>
      <c r="N4510" t="s">
        <v>95</v>
      </c>
      <c r="O4510" t="s">
        <v>115</v>
      </c>
    </row>
    <row r="4511" spans="1:15" x14ac:dyDescent="0.25">
      <c r="A4511">
        <v>641</v>
      </c>
      <c r="B4511" s="10">
        <v>45904</v>
      </c>
      <c r="C4511">
        <v>4</v>
      </c>
      <c r="D4511" t="s">
        <v>147</v>
      </c>
      <c r="E4511" t="s">
        <v>137</v>
      </c>
      <c r="F4511" t="s">
        <v>49</v>
      </c>
      <c r="G4511" t="s">
        <v>118</v>
      </c>
      <c r="H4511" t="s">
        <v>23</v>
      </c>
      <c r="I4511" t="s">
        <v>119</v>
      </c>
      <c r="J4511" t="s">
        <v>103</v>
      </c>
      <c r="K4511">
        <v>28</v>
      </c>
      <c r="L4511">
        <v>100300</v>
      </c>
      <c r="M4511">
        <v>2808400</v>
      </c>
      <c r="N4511" t="s">
        <v>108</v>
      </c>
      <c r="O4511" t="s">
        <v>115</v>
      </c>
    </row>
    <row r="4512" spans="1:15" x14ac:dyDescent="0.25">
      <c r="A4512">
        <v>2046</v>
      </c>
      <c r="B4512" s="10">
        <v>45682</v>
      </c>
      <c r="C4512">
        <v>25</v>
      </c>
      <c r="D4512" t="s">
        <v>130</v>
      </c>
      <c r="E4512" t="s">
        <v>112</v>
      </c>
      <c r="F4512" t="s">
        <v>49</v>
      </c>
      <c r="G4512" t="s">
        <v>118</v>
      </c>
      <c r="H4512" t="s">
        <v>23</v>
      </c>
      <c r="I4512" t="s">
        <v>34</v>
      </c>
      <c r="J4512" t="s">
        <v>94</v>
      </c>
      <c r="K4512">
        <v>10</v>
      </c>
      <c r="L4512">
        <v>100300</v>
      </c>
      <c r="M4512">
        <v>1003000</v>
      </c>
      <c r="N4512" t="s">
        <v>95</v>
      </c>
      <c r="O4512" t="s">
        <v>115</v>
      </c>
    </row>
    <row r="4513" spans="1:15" x14ac:dyDescent="0.25">
      <c r="A4513">
        <v>3287</v>
      </c>
      <c r="B4513" s="10">
        <v>45669</v>
      </c>
      <c r="C4513">
        <v>12</v>
      </c>
      <c r="D4513" t="s">
        <v>130</v>
      </c>
      <c r="E4513" t="s">
        <v>121</v>
      </c>
      <c r="F4513" t="s">
        <v>36</v>
      </c>
      <c r="G4513" t="s">
        <v>100</v>
      </c>
      <c r="H4513" t="s">
        <v>23</v>
      </c>
      <c r="I4513" t="s">
        <v>119</v>
      </c>
      <c r="J4513" t="s">
        <v>103</v>
      </c>
      <c r="K4513">
        <v>10</v>
      </c>
      <c r="L4513">
        <v>100300</v>
      </c>
      <c r="M4513">
        <v>1003000</v>
      </c>
      <c r="N4513" t="s">
        <v>95</v>
      </c>
      <c r="O4513" t="s">
        <v>104</v>
      </c>
    </row>
    <row r="4514" spans="1:15" x14ac:dyDescent="0.25">
      <c r="A4514">
        <v>4152</v>
      </c>
      <c r="B4514" s="10">
        <v>45951</v>
      </c>
      <c r="C4514">
        <v>21</v>
      </c>
      <c r="D4514" t="s">
        <v>136</v>
      </c>
      <c r="E4514" t="s">
        <v>161</v>
      </c>
      <c r="F4514" t="s">
        <v>134</v>
      </c>
      <c r="G4514" t="s">
        <v>100</v>
      </c>
      <c r="H4514" t="s">
        <v>23</v>
      </c>
      <c r="I4514" t="s">
        <v>34</v>
      </c>
      <c r="J4514" t="s">
        <v>94</v>
      </c>
      <c r="K4514">
        <v>6</v>
      </c>
      <c r="L4514">
        <v>100400</v>
      </c>
      <c r="M4514">
        <v>602400</v>
      </c>
      <c r="N4514" t="s">
        <v>95</v>
      </c>
      <c r="O4514" t="s">
        <v>96</v>
      </c>
    </row>
    <row r="4515" spans="1:15" x14ac:dyDescent="0.25">
      <c r="A4515">
        <v>4262</v>
      </c>
      <c r="B4515" s="10">
        <v>45784</v>
      </c>
      <c r="C4515">
        <v>7</v>
      </c>
      <c r="D4515" t="s">
        <v>120</v>
      </c>
      <c r="E4515" t="s">
        <v>128</v>
      </c>
      <c r="F4515" t="s">
        <v>151</v>
      </c>
      <c r="G4515" t="s">
        <v>111</v>
      </c>
      <c r="H4515" t="s">
        <v>23</v>
      </c>
      <c r="I4515" t="s">
        <v>119</v>
      </c>
      <c r="J4515" t="s">
        <v>103</v>
      </c>
      <c r="K4515">
        <v>48</v>
      </c>
      <c r="L4515">
        <v>100500</v>
      </c>
      <c r="M4515">
        <v>4824000</v>
      </c>
      <c r="N4515" t="s">
        <v>108</v>
      </c>
      <c r="O4515" t="s">
        <v>104</v>
      </c>
    </row>
    <row r="4516" spans="1:15" x14ac:dyDescent="0.25">
      <c r="A4516">
        <v>1560</v>
      </c>
      <c r="B4516" s="10">
        <v>46019</v>
      </c>
      <c r="C4516">
        <v>28</v>
      </c>
      <c r="D4516" t="s">
        <v>125</v>
      </c>
      <c r="E4516" t="s">
        <v>128</v>
      </c>
      <c r="F4516" t="s">
        <v>141</v>
      </c>
      <c r="G4516" t="s">
        <v>100</v>
      </c>
      <c r="H4516" t="s">
        <v>23</v>
      </c>
      <c r="I4516" t="s">
        <v>119</v>
      </c>
      <c r="J4516" t="s">
        <v>103</v>
      </c>
      <c r="K4516">
        <v>36</v>
      </c>
      <c r="L4516">
        <v>100600</v>
      </c>
      <c r="M4516">
        <v>3621600</v>
      </c>
      <c r="N4516" t="s">
        <v>108</v>
      </c>
      <c r="O4516" t="s">
        <v>104</v>
      </c>
    </row>
    <row r="4517" spans="1:15" x14ac:dyDescent="0.25">
      <c r="A4517">
        <v>1410</v>
      </c>
      <c r="B4517" s="10">
        <v>45821</v>
      </c>
      <c r="C4517">
        <v>13</v>
      </c>
      <c r="D4517" t="s">
        <v>153</v>
      </c>
      <c r="E4517" t="s">
        <v>106</v>
      </c>
      <c r="F4517" t="s">
        <v>49</v>
      </c>
      <c r="G4517" t="s">
        <v>118</v>
      </c>
      <c r="H4517" t="s">
        <v>23</v>
      </c>
      <c r="I4517" t="s">
        <v>119</v>
      </c>
      <c r="J4517" t="s">
        <v>103</v>
      </c>
      <c r="K4517">
        <v>7</v>
      </c>
      <c r="L4517">
        <v>100700</v>
      </c>
      <c r="M4517">
        <v>704900</v>
      </c>
      <c r="N4517" t="s">
        <v>108</v>
      </c>
      <c r="O4517" t="s">
        <v>115</v>
      </c>
    </row>
    <row r="4518" spans="1:15" x14ac:dyDescent="0.25">
      <c r="A4518">
        <v>2519</v>
      </c>
      <c r="B4518" s="10">
        <v>45704</v>
      </c>
      <c r="C4518">
        <v>16</v>
      </c>
      <c r="D4518" t="s">
        <v>97</v>
      </c>
      <c r="E4518" t="s">
        <v>138</v>
      </c>
      <c r="F4518" t="s">
        <v>134</v>
      </c>
      <c r="G4518" t="s">
        <v>100</v>
      </c>
      <c r="H4518" t="s">
        <v>23</v>
      </c>
      <c r="I4518" t="s">
        <v>119</v>
      </c>
      <c r="J4518" t="s">
        <v>103</v>
      </c>
      <c r="K4518">
        <v>5</v>
      </c>
      <c r="L4518">
        <v>100800</v>
      </c>
      <c r="M4518">
        <v>504000</v>
      </c>
      <c r="N4518" t="s">
        <v>108</v>
      </c>
      <c r="O4518" t="s">
        <v>104</v>
      </c>
    </row>
    <row r="4519" spans="1:15" x14ac:dyDescent="0.25">
      <c r="A4519">
        <v>3794</v>
      </c>
      <c r="B4519" s="10">
        <v>45710</v>
      </c>
      <c r="C4519">
        <v>22</v>
      </c>
      <c r="D4519" t="s">
        <v>97</v>
      </c>
      <c r="E4519" t="s">
        <v>25</v>
      </c>
      <c r="F4519" t="s">
        <v>134</v>
      </c>
      <c r="G4519" t="s">
        <v>100</v>
      </c>
      <c r="H4519" t="s">
        <v>23</v>
      </c>
      <c r="I4519" t="s">
        <v>119</v>
      </c>
      <c r="J4519" t="s">
        <v>103</v>
      </c>
      <c r="K4519">
        <v>49</v>
      </c>
      <c r="L4519">
        <v>100800</v>
      </c>
      <c r="M4519">
        <v>4939200</v>
      </c>
      <c r="N4519" t="s">
        <v>95</v>
      </c>
      <c r="O4519" t="s">
        <v>104</v>
      </c>
    </row>
    <row r="4520" spans="1:15" x14ac:dyDescent="0.25">
      <c r="A4520">
        <v>400</v>
      </c>
      <c r="B4520" s="10">
        <v>45951</v>
      </c>
      <c r="C4520">
        <v>21</v>
      </c>
      <c r="D4520" t="s">
        <v>136</v>
      </c>
      <c r="E4520" t="s">
        <v>98</v>
      </c>
      <c r="F4520" t="s">
        <v>99</v>
      </c>
      <c r="G4520" t="s">
        <v>100</v>
      </c>
      <c r="H4520" t="s">
        <v>23</v>
      </c>
      <c r="I4520" t="s">
        <v>34</v>
      </c>
      <c r="J4520" t="s">
        <v>94</v>
      </c>
      <c r="K4520">
        <v>1</v>
      </c>
      <c r="L4520">
        <v>100900</v>
      </c>
      <c r="M4520">
        <v>100900</v>
      </c>
      <c r="N4520" t="s">
        <v>95</v>
      </c>
      <c r="O4520" t="s">
        <v>104</v>
      </c>
    </row>
    <row r="4521" spans="1:15" x14ac:dyDescent="0.25">
      <c r="A4521">
        <v>2591</v>
      </c>
      <c r="B4521" s="10">
        <v>45741</v>
      </c>
      <c r="C4521">
        <v>25</v>
      </c>
      <c r="D4521" t="s">
        <v>140</v>
      </c>
      <c r="E4521" t="s">
        <v>138</v>
      </c>
      <c r="F4521" t="s">
        <v>148</v>
      </c>
      <c r="G4521" t="s">
        <v>118</v>
      </c>
      <c r="H4521" t="s">
        <v>23</v>
      </c>
      <c r="I4521" t="s">
        <v>34</v>
      </c>
      <c r="J4521" t="s">
        <v>94</v>
      </c>
      <c r="K4521">
        <v>7</v>
      </c>
      <c r="L4521">
        <v>100900</v>
      </c>
      <c r="M4521">
        <v>706300</v>
      </c>
      <c r="N4521" t="s">
        <v>108</v>
      </c>
      <c r="O4521" t="s">
        <v>104</v>
      </c>
    </row>
    <row r="4522" spans="1:15" x14ac:dyDescent="0.25">
      <c r="A4522">
        <v>3864</v>
      </c>
      <c r="B4522" s="10">
        <v>45843</v>
      </c>
      <c r="C4522">
        <v>5</v>
      </c>
      <c r="D4522" t="s">
        <v>145</v>
      </c>
      <c r="E4522" t="s">
        <v>128</v>
      </c>
      <c r="F4522" t="s">
        <v>107</v>
      </c>
      <c r="G4522" t="s">
        <v>100</v>
      </c>
      <c r="H4522" t="s">
        <v>23</v>
      </c>
      <c r="I4522" t="s">
        <v>119</v>
      </c>
      <c r="J4522" t="s">
        <v>103</v>
      </c>
      <c r="K4522">
        <v>7</v>
      </c>
      <c r="L4522">
        <v>100900</v>
      </c>
      <c r="M4522">
        <v>706300</v>
      </c>
      <c r="N4522" t="s">
        <v>95</v>
      </c>
      <c r="O4522" t="s">
        <v>96</v>
      </c>
    </row>
    <row r="4523" spans="1:15" x14ac:dyDescent="0.25">
      <c r="A4523">
        <v>62</v>
      </c>
      <c r="B4523" s="10">
        <v>45901</v>
      </c>
      <c r="C4523">
        <v>1</v>
      </c>
      <c r="D4523" t="s">
        <v>147</v>
      </c>
      <c r="E4523" t="s">
        <v>110</v>
      </c>
      <c r="F4523" t="s">
        <v>141</v>
      </c>
      <c r="G4523" t="s">
        <v>100</v>
      </c>
      <c r="H4523" t="s">
        <v>23</v>
      </c>
      <c r="I4523" t="s">
        <v>119</v>
      </c>
      <c r="J4523" t="s">
        <v>103</v>
      </c>
      <c r="K4523">
        <v>45</v>
      </c>
      <c r="L4523">
        <v>101100</v>
      </c>
      <c r="M4523">
        <v>4549500</v>
      </c>
      <c r="N4523" t="s">
        <v>95</v>
      </c>
      <c r="O4523" t="s">
        <v>96</v>
      </c>
    </row>
    <row r="4524" spans="1:15" x14ac:dyDescent="0.25">
      <c r="A4524">
        <v>1282</v>
      </c>
      <c r="B4524" s="10">
        <v>45973</v>
      </c>
      <c r="C4524">
        <v>12</v>
      </c>
      <c r="D4524" t="s">
        <v>90</v>
      </c>
      <c r="E4524" t="s">
        <v>106</v>
      </c>
      <c r="F4524" t="s">
        <v>28</v>
      </c>
      <c r="G4524" t="s">
        <v>126</v>
      </c>
      <c r="H4524" t="s">
        <v>23</v>
      </c>
      <c r="I4524" t="s">
        <v>119</v>
      </c>
      <c r="J4524" t="s">
        <v>103</v>
      </c>
      <c r="K4524">
        <v>38</v>
      </c>
      <c r="L4524">
        <v>101200</v>
      </c>
      <c r="M4524">
        <v>3845600</v>
      </c>
      <c r="N4524" t="s">
        <v>108</v>
      </c>
      <c r="O4524" t="s">
        <v>96</v>
      </c>
    </row>
    <row r="4525" spans="1:15" x14ac:dyDescent="0.25">
      <c r="A4525">
        <v>3768</v>
      </c>
      <c r="B4525" s="10">
        <v>45777</v>
      </c>
      <c r="C4525">
        <v>30</v>
      </c>
      <c r="D4525" t="s">
        <v>105</v>
      </c>
      <c r="E4525" t="s">
        <v>161</v>
      </c>
      <c r="F4525" t="s">
        <v>49</v>
      </c>
      <c r="G4525" t="s">
        <v>118</v>
      </c>
      <c r="H4525" t="s">
        <v>23</v>
      </c>
      <c r="I4525" t="s">
        <v>34</v>
      </c>
      <c r="J4525" t="s">
        <v>94</v>
      </c>
      <c r="K4525">
        <v>8</v>
      </c>
      <c r="L4525">
        <v>101200</v>
      </c>
      <c r="M4525">
        <v>809600</v>
      </c>
      <c r="N4525" t="s">
        <v>108</v>
      </c>
      <c r="O4525" t="s">
        <v>115</v>
      </c>
    </row>
    <row r="4526" spans="1:15" x14ac:dyDescent="0.25">
      <c r="A4526">
        <v>3781</v>
      </c>
      <c r="B4526" s="10">
        <v>45842</v>
      </c>
      <c r="C4526">
        <v>4</v>
      </c>
      <c r="D4526" t="s">
        <v>145</v>
      </c>
      <c r="E4526" t="s">
        <v>112</v>
      </c>
      <c r="F4526" t="s">
        <v>107</v>
      </c>
      <c r="G4526" t="s">
        <v>100</v>
      </c>
      <c r="H4526" t="s">
        <v>23</v>
      </c>
      <c r="I4526" t="s">
        <v>119</v>
      </c>
      <c r="J4526" t="s">
        <v>103</v>
      </c>
      <c r="K4526">
        <v>27</v>
      </c>
      <c r="L4526">
        <v>101200</v>
      </c>
      <c r="M4526">
        <v>2732400</v>
      </c>
      <c r="N4526" t="s">
        <v>95</v>
      </c>
      <c r="O4526" t="s">
        <v>104</v>
      </c>
    </row>
    <row r="4527" spans="1:15" x14ac:dyDescent="0.25">
      <c r="A4527">
        <v>320</v>
      </c>
      <c r="B4527" s="10">
        <v>45990</v>
      </c>
      <c r="C4527">
        <v>29</v>
      </c>
      <c r="D4527" t="s">
        <v>90</v>
      </c>
      <c r="E4527" t="s">
        <v>112</v>
      </c>
      <c r="F4527" t="s">
        <v>22</v>
      </c>
      <c r="G4527" t="s">
        <v>91</v>
      </c>
      <c r="H4527" t="s">
        <v>23</v>
      </c>
      <c r="I4527" t="s">
        <v>119</v>
      </c>
      <c r="J4527" t="s">
        <v>103</v>
      </c>
      <c r="K4527">
        <v>29</v>
      </c>
      <c r="L4527">
        <v>101300</v>
      </c>
      <c r="M4527">
        <v>2937700</v>
      </c>
      <c r="N4527" t="s">
        <v>108</v>
      </c>
      <c r="O4527" t="s">
        <v>104</v>
      </c>
    </row>
    <row r="4528" spans="1:15" x14ac:dyDescent="0.25">
      <c r="A4528">
        <v>1661</v>
      </c>
      <c r="B4528" s="10">
        <v>45854</v>
      </c>
      <c r="C4528">
        <v>16</v>
      </c>
      <c r="D4528" t="s">
        <v>145</v>
      </c>
      <c r="E4528" t="s">
        <v>121</v>
      </c>
      <c r="F4528" t="s">
        <v>122</v>
      </c>
      <c r="G4528" t="s">
        <v>114</v>
      </c>
      <c r="H4528" t="s">
        <v>23</v>
      </c>
      <c r="I4528" t="s">
        <v>34</v>
      </c>
      <c r="J4528" t="s">
        <v>94</v>
      </c>
      <c r="K4528">
        <v>6</v>
      </c>
      <c r="L4528">
        <v>101300</v>
      </c>
      <c r="M4528">
        <v>607800</v>
      </c>
      <c r="N4528" t="s">
        <v>108</v>
      </c>
      <c r="O4528" t="s">
        <v>104</v>
      </c>
    </row>
    <row r="4529" spans="1:15" x14ac:dyDescent="0.25">
      <c r="A4529">
        <v>1516</v>
      </c>
      <c r="B4529" s="10">
        <v>45970</v>
      </c>
      <c r="C4529">
        <v>9</v>
      </c>
      <c r="D4529" t="s">
        <v>90</v>
      </c>
      <c r="E4529" t="s">
        <v>142</v>
      </c>
      <c r="F4529" t="s">
        <v>151</v>
      </c>
      <c r="G4529" t="s">
        <v>111</v>
      </c>
      <c r="H4529" t="s">
        <v>23</v>
      </c>
      <c r="I4529" t="s">
        <v>119</v>
      </c>
      <c r="J4529" t="s">
        <v>103</v>
      </c>
      <c r="K4529">
        <v>33</v>
      </c>
      <c r="L4529">
        <v>101400</v>
      </c>
      <c r="M4529">
        <v>3346200</v>
      </c>
      <c r="N4529" t="s">
        <v>95</v>
      </c>
      <c r="O4529" t="s">
        <v>104</v>
      </c>
    </row>
    <row r="4530" spans="1:15" x14ac:dyDescent="0.25">
      <c r="A4530">
        <v>4103</v>
      </c>
      <c r="B4530" s="10">
        <v>45977</v>
      </c>
      <c r="C4530">
        <v>16</v>
      </c>
      <c r="D4530" t="s">
        <v>90</v>
      </c>
      <c r="E4530" t="s">
        <v>98</v>
      </c>
      <c r="F4530" t="s">
        <v>107</v>
      </c>
      <c r="G4530" t="s">
        <v>100</v>
      </c>
      <c r="H4530" t="s">
        <v>23</v>
      </c>
      <c r="I4530" t="s">
        <v>34</v>
      </c>
      <c r="J4530" t="s">
        <v>94</v>
      </c>
      <c r="K4530">
        <v>4</v>
      </c>
      <c r="L4530">
        <v>101400</v>
      </c>
      <c r="M4530">
        <v>405600</v>
      </c>
      <c r="N4530" t="s">
        <v>95</v>
      </c>
      <c r="O4530" t="s">
        <v>104</v>
      </c>
    </row>
    <row r="4531" spans="1:15" x14ac:dyDescent="0.25">
      <c r="A4531">
        <v>3131</v>
      </c>
      <c r="B4531" s="10">
        <v>45854</v>
      </c>
      <c r="C4531">
        <v>16</v>
      </c>
      <c r="D4531" t="s">
        <v>145</v>
      </c>
      <c r="E4531" t="s">
        <v>142</v>
      </c>
      <c r="F4531" t="s">
        <v>134</v>
      </c>
      <c r="G4531" t="s">
        <v>100</v>
      </c>
      <c r="H4531" t="s">
        <v>23</v>
      </c>
      <c r="I4531" t="s">
        <v>119</v>
      </c>
      <c r="J4531" t="s">
        <v>103</v>
      </c>
      <c r="K4531">
        <v>16</v>
      </c>
      <c r="L4531">
        <v>101500</v>
      </c>
      <c r="M4531">
        <v>1624000</v>
      </c>
      <c r="N4531" t="s">
        <v>95</v>
      </c>
      <c r="O4531" t="s">
        <v>115</v>
      </c>
    </row>
    <row r="4532" spans="1:15" x14ac:dyDescent="0.25">
      <c r="A4532">
        <v>612</v>
      </c>
      <c r="B4532" s="10">
        <v>45792</v>
      </c>
      <c r="C4532">
        <v>15</v>
      </c>
      <c r="D4532" t="s">
        <v>120</v>
      </c>
      <c r="E4532" t="s">
        <v>106</v>
      </c>
      <c r="F4532" t="s">
        <v>44</v>
      </c>
      <c r="G4532" t="s">
        <v>111</v>
      </c>
      <c r="H4532" t="s">
        <v>23</v>
      </c>
      <c r="I4532" t="s">
        <v>119</v>
      </c>
      <c r="J4532" t="s">
        <v>103</v>
      </c>
      <c r="K4532">
        <v>9</v>
      </c>
      <c r="L4532">
        <v>101700</v>
      </c>
      <c r="M4532">
        <v>915300</v>
      </c>
      <c r="N4532" t="s">
        <v>95</v>
      </c>
      <c r="O4532" t="s">
        <v>115</v>
      </c>
    </row>
    <row r="4533" spans="1:15" x14ac:dyDescent="0.25">
      <c r="A4533">
        <v>949</v>
      </c>
      <c r="B4533" s="10">
        <v>45818</v>
      </c>
      <c r="C4533">
        <v>10</v>
      </c>
      <c r="D4533" t="s">
        <v>153</v>
      </c>
      <c r="E4533" t="s">
        <v>110</v>
      </c>
      <c r="F4533" t="s">
        <v>44</v>
      </c>
      <c r="G4533" t="s">
        <v>111</v>
      </c>
      <c r="H4533" t="s">
        <v>23</v>
      </c>
      <c r="I4533" t="s">
        <v>119</v>
      </c>
      <c r="J4533" t="s">
        <v>103</v>
      </c>
      <c r="K4533">
        <v>47</v>
      </c>
      <c r="L4533">
        <v>101800</v>
      </c>
      <c r="M4533">
        <v>4784600</v>
      </c>
      <c r="N4533" t="s">
        <v>95</v>
      </c>
      <c r="O4533" t="s">
        <v>115</v>
      </c>
    </row>
    <row r="4534" spans="1:15" x14ac:dyDescent="0.25">
      <c r="A4534">
        <v>2039</v>
      </c>
      <c r="B4534" s="10">
        <v>45926</v>
      </c>
      <c r="C4534">
        <v>26</v>
      </c>
      <c r="D4534" t="s">
        <v>147</v>
      </c>
      <c r="E4534" t="s">
        <v>150</v>
      </c>
      <c r="F4534" t="s">
        <v>113</v>
      </c>
      <c r="G4534" t="s">
        <v>114</v>
      </c>
      <c r="H4534" t="s">
        <v>23</v>
      </c>
      <c r="I4534" t="s">
        <v>119</v>
      </c>
      <c r="J4534" t="s">
        <v>103</v>
      </c>
      <c r="K4534">
        <v>33</v>
      </c>
      <c r="L4534">
        <v>101900</v>
      </c>
      <c r="M4534">
        <v>3362700</v>
      </c>
      <c r="N4534" t="s">
        <v>95</v>
      </c>
      <c r="O4534" t="s">
        <v>115</v>
      </c>
    </row>
    <row r="4535" spans="1:15" x14ac:dyDescent="0.25">
      <c r="A4535">
        <v>2325</v>
      </c>
      <c r="B4535" s="10">
        <v>45972</v>
      </c>
      <c r="C4535">
        <v>11</v>
      </c>
      <c r="D4535" t="s">
        <v>90</v>
      </c>
      <c r="E4535" t="s">
        <v>128</v>
      </c>
      <c r="F4535" t="s">
        <v>28</v>
      </c>
      <c r="G4535" t="s">
        <v>126</v>
      </c>
      <c r="H4535" t="s">
        <v>23</v>
      </c>
      <c r="I4535" t="s">
        <v>119</v>
      </c>
      <c r="J4535" t="s">
        <v>103</v>
      </c>
      <c r="K4535">
        <v>6</v>
      </c>
      <c r="L4535">
        <v>102000</v>
      </c>
      <c r="M4535">
        <v>612000</v>
      </c>
      <c r="N4535" t="s">
        <v>95</v>
      </c>
      <c r="O4535" t="s">
        <v>104</v>
      </c>
    </row>
    <row r="4536" spans="1:15" x14ac:dyDescent="0.25">
      <c r="A4536">
        <v>371</v>
      </c>
      <c r="B4536" s="10">
        <v>45889</v>
      </c>
      <c r="C4536">
        <v>20</v>
      </c>
      <c r="D4536" t="s">
        <v>109</v>
      </c>
      <c r="E4536" t="s">
        <v>31</v>
      </c>
      <c r="F4536" t="s">
        <v>122</v>
      </c>
      <c r="G4536" t="s">
        <v>114</v>
      </c>
      <c r="H4536" t="s">
        <v>23</v>
      </c>
      <c r="I4536" t="s">
        <v>119</v>
      </c>
      <c r="J4536" t="s">
        <v>103</v>
      </c>
      <c r="K4536">
        <v>49</v>
      </c>
      <c r="L4536">
        <v>102100</v>
      </c>
      <c r="M4536">
        <v>5002900</v>
      </c>
      <c r="N4536" t="s">
        <v>108</v>
      </c>
      <c r="O4536" t="s">
        <v>115</v>
      </c>
    </row>
    <row r="4537" spans="1:15" x14ac:dyDescent="0.25">
      <c r="A4537">
        <v>2146</v>
      </c>
      <c r="B4537" s="10">
        <v>45785</v>
      </c>
      <c r="C4537">
        <v>8</v>
      </c>
      <c r="D4537" t="s">
        <v>120</v>
      </c>
      <c r="E4537" t="s">
        <v>138</v>
      </c>
      <c r="F4537" t="s">
        <v>99</v>
      </c>
      <c r="G4537" t="s">
        <v>100</v>
      </c>
      <c r="H4537" t="s">
        <v>23</v>
      </c>
      <c r="I4537" t="s">
        <v>34</v>
      </c>
      <c r="J4537" t="s">
        <v>94</v>
      </c>
      <c r="K4537">
        <v>1</v>
      </c>
      <c r="L4537">
        <v>102100</v>
      </c>
      <c r="M4537">
        <v>102100</v>
      </c>
      <c r="N4537" t="s">
        <v>95</v>
      </c>
      <c r="O4537" t="s">
        <v>96</v>
      </c>
    </row>
    <row r="4538" spans="1:15" x14ac:dyDescent="0.25">
      <c r="A4538">
        <v>2385</v>
      </c>
      <c r="B4538" s="10">
        <v>45869</v>
      </c>
      <c r="C4538">
        <v>31</v>
      </c>
      <c r="D4538" t="s">
        <v>145</v>
      </c>
      <c r="E4538" t="s">
        <v>137</v>
      </c>
      <c r="F4538" t="s">
        <v>49</v>
      </c>
      <c r="G4538" t="s">
        <v>118</v>
      </c>
      <c r="H4538" t="s">
        <v>23</v>
      </c>
      <c r="I4538" t="s">
        <v>119</v>
      </c>
      <c r="J4538" t="s">
        <v>103</v>
      </c>
      <c r="K4538">
        <v>22</v>
      </c>
      <c r="L4538">
        <v>102200</v>
      </c>
      <c r="M4538">
        <v>2248400</v>
      </c>
      <c r="N4538" t="s">
        <v>95</v>
      </c>
      <c r="O4538" t="s">
        <v>115</v>
      </c>
    </row>
    <row r="4539" spans="1:15" x14ac:dyDescent="0.25">
      <c r="A4539">
        <v>1695</v>
      </c>
      <c r="B4539" s="10">
        <v>45693</v>
      </c>
      <c r="C4539">
        <v>5</v>
      </c>
      <c r="D4539" t="s">
        <v>97</v>
      </c>
      <c r="E4539" t="s">
        <v>25</v>
      </c>
      <c r="F4539" t="s">
        <v>99</v>
      </c>
      <c r="G4539" t="s">
        <v>100</v>
      </c>
      <c r="H4539" t="s">
        <v>23</v>
      </c>
      <c r="I4539" t="s">
        <v>119</v>
      </c>
      <c r="J4539" t="s">
        <v>103</v>
      </c>
      <c r="K4539">
        <v>29</v>
      </c>
      <c r="L4539">
        <v>102600</v>
      </c>
      <c r="M4539">
        <v>2975400</v>
      </c>
      <c r="N4539" t="s">
        <v>95</v>
      </c>
      <c r="O4539" t="s">
        <v>115</v>
      </c>
    </row>
    <row r="4540" spans="1:15" x14ac:dyDescent="0.25">
      <c r="A4540">
        <v>4699</v>
      </c>
      <c r="B4540" s="10">
        <v>45771</v>
      </c>
      <c r="C4540">
        <v>24</v>
      </c>
      <c r="D4540" t="s">
        <v>105</v>
      </c>
      <c r="E4540" t="s">
        <v>106</v>
      </c>
      <c r="F4540" t="s">
        <v>134</v>
      </c>
      <c r="G4540" t="s">
        <v>100</v>
      </c>
      <c r="H4540" t="s">
        <v>23</v>
      </c>
      <c r="I4540" t="s">
        <v>119</v>
      </c>
      <c r="J4540" t="s">
        <v>103</v>
      </c>
      <c r="K4540">
        <v>26</v>
      </c>
      <c r="L4540">
        <v>102600</v>
      </c>
      <c r="M4540">
        <v>2667600</v>
      </c>
      <c r="N4540" t="s">
        <v>95</v>
      </c>
      <c r="O4540" t="s">
        <v>115</v>
      </c>
    </row>
    <row r="4541" spans="1:15" x14ac:dyDescent="0.25">
      <c r="A4541">
        <v>3090</v>
      </c>
      <c r="B4541" s="10">
        <v>45826</v>
      </c>
      <c r="C4541">
        <v>18</v>
      </c>
      <c r="D4541" t="s">
        <v>153</v>
      </c>
      <c r="E4541" t="s">
        <v>98</v>
      </c>
      <c r="F4541" t="s">
        <v>148</v>
      </c>
      <c r="G4541" t="s">
        <v>118</v>
      </c>
      <c r="H4541" t="s">
        <v>23</v>
      </c>
      <c r="I4541" t="s">
        <v>119</v>
      </c>
      <c r="J4541" t="s">
        <v>103</v>
      </c>
      <c r="K4541">
        <v>18</v>
      </c>
      <c r="L4541">
        <v>102700</v>
      </c>
      <c r="M4541">
        <v>1848600</v>
      </c>
      <c r="N4541" t="s">
        <v>108</v>
      </c>
      <c r="O4541" t="s">
        <v>104</v>
      </c>
    </row>
    <row r="4542" spans="1:15" x14ac:dyDescent="0.25">
      <c r="A4542">
        <v>814</v>
      </c>
      <c r="B4542" s="10">
        <v>45992</v>
      </c>
      <c r="C4542">
        <v>1</v>
      </c>
      <c r="D4542" t="s">
        <v>125</v>
      </c>
      <c r="E4542" t="s">
        <v>98</v>
      </c>
      <c r="F4542" t="s">
        <v>22</v>
      </c>
      <c r="G4542" t="s">
        <v>91</v>
      </c>
      <c r="H4542" t="s">
        <v>23</v>
      </c>
      <c r="I4542" t="s">
        <v>119</v>
      </c>
      <c r="J4542" t="s">
        <v>103</v>
      </c>
      <c r="K4542">
        <v>14</v>
      </c>
      <c r="L4542">
        <v>103000</v>
      </c>
      <c r="M4542">
        <v>1442000</v>
      </c>
      <c r="N4542" t="s">
        <v>108</v>
      </c>
      <c r="O4542" t="s">
        <v>115</v>
      </c>
    </row>
    <row r="4543" spans="1:15" x14ac:dyDescent="0.25">
      <c r="A4543">
        <v>3058</v>
      </c>
      <c r="B4543" s="10">
        <v>45872</v>
      </c>
      <c r="C4543">
        <v>3</v>
      </c>
      <c r="D4543" t="s">
        <v>109</v>
      </c>
      <c r="E4543" t="s">
        <v>121</v>
      </c>
      <c r="F4543" t="s">
        <v>141</v>
      </c>
      <c r="G4543" t="s">
        <v>100</v>
      </c>
      <c r="H4543" t="s">
        <v>23</v>
      </c>
      <c r="I4543" t="s">
        <v>119</v>
      </c>
      <c r="J4543" t="s">
        <v>103</v>
      </c>
      <c r="K4543">
        <v>13</v>
      </c>
      <c r="L4543">
        <v>103000</v>
      </c>
      <c r="M4543">
        <v>1339000</v>
      </c>
      <c r="N4543" t="s">
        <v>108</v>
      </c>
      <c r="O4543" t="s">
        <v>115</v>
      </c>
    </row>
    <row r="4544" spans="1:15" x14ac:dyDescent="0.25">
      <c r="A4544">
        <v>37</v>
      </c>
      <c r="B4544" s="10">
        <v>45962</v>
      </c>
      <c r="C4544">
        <v>1</v>
      </c>
      <c r="D4544" t="s">
        <v>90</v>
      </c>
      <c r="E4544" t="s">
        <v>25</v>
      </c>
      <c r="F4544" t="s">
        <v>148</v>
      </c>
      <c r="G4544" t="s">
        <v>118</v>
      </c>
      <c r="H4544" t="s">
        <v>23</v>
      </c>
      <c r="I4544" t="s">
        <v>119</v>
      </c>
      <c r="J4544" t="s">
        <v>103</v>
      </c>
      <c r="K4544">
        <v>21</v>
      </c>
      <c r="L4544">
        <v>103100</v>
      </c>
      <c r="M4544">
        <v>2165100</v>
      </c>
      <c r="N4544" t="s">
        <v>95</v>
      </c>
      <c r="O4544" t="s">
        <v>96</v>
      </c>
    </row>
    <row r="4545" spans="1:15" x14ac:dyDescent="0.25">
      <c r="A4545">
        <v>1039</v>
      </c>
      <c r="B4545" s="10">
        <v>45682</v>
      </c>
      <c r="C4545">
        <v>25</v>
      </c>
      <c r="D4545" t="s">
        <v>130</v>
      </c>
      <c r="E4545" t="s">
        <v>112</v>
      </c>
      <c r="F4545" t="s">
        <v>122</v>
      </c>
      <c r="G4545" t="s">
        <v>114</v>
      </c>
      <c r="H4545" t="s">
        <v>23</v>
      </c>
      <c r="I4545" t="s">
        <v>119</v>
      </c>
      <c r="J4545" t="s">
        <v>103</v>
      </c>
      <c r="K4545">
        <v>41</v>
      </c>
      <c r="L4545">
        <v>103100</v>
      </c>
      <c r="M4545">
        <v>4227100</v>
      </c>
      <c r="N4545" t="s">
        <v>95</v>
      </c>
      <c r="O4545" t="s">
        <v>115</v>
      </c>
    </row>
    <row r="4546" spans="1:15" x14ac:dyDescent="0.25">
      <c r="A4546">
        <v>3252</v>
      </c>
      <c r="B4546" s="10">
        <v>46007</v>
      </c>
      <c r="C4546">
        <v>16</v>
      </c>
      <c r="D4546" t="s">
        <v>125</v>
      </c>
      <c r="E4546" t="s">
        <v>25</v>
      </c>
      <c r="F4546" t="s">
        <v>113</v>
      </c>
      <c r="G4546" t="s">
        <v>114</v>
      </c>
      <c r="H4546" t="s">
        <v>23</v>
      </c>
      <c r="I4546" t="s">
        <v>119</v>
      </c>
      <c r="J4546" t="s">
        <v>103</v>
      </c>
      <c r="K4546">
        <v>27</v>
      </c>
      <c r="L4546">
        <v>103500</v>
      </c>
      <c r="M4546">
        <v>2794500</v>
      </c>
      <c r="N4546" t="s">
        <v>108</v>
      </c>
      <c r="O4546" t="s">
        <v>115</v>
      </c>
    </row>
    <row r="4547" spans="1:15" x14ac:dyDescent="0.25">
      <c r="A4547">
        <v>3294</v>
      </c>
      <c r="B4547" s="10">
        <v>45782</v>
      </c>
      <c r="C4547">
        <v>5</v>
      </c>
      <c r="D4547" t="s">
        <v>120</v>
      </c>
      <c r="E4547" t="s">
        <v>161</v>
      </c>
      <c r="F4547" t="s">
        <v>113</v>
      </c>
      <c r="G4547" t="s">
        <v>114</v>
      </c>
      <c r="H4547" t="s">
        <v>23</v>
      </c>
      <c r="I4547" t="s">
        <v>119</v>
      </c>
      <c r="J4547" t="s">
        <v>103</v>
      </c>
      <c r="K4547">
        <v>25</v>
      </c>
      <c r="L4547">
        <v>103700</v>
      </c>
      <c r="M4547">
        <v>2592500</v>
      </c>
      <c r="N4547" t="s">
        <v>108</v>
      </c>
      <c r="O4547" t="s">
        <v>96</v>
      </c>
    </row>
    <row r="4548" spans="1:15" x14ac:dyDescent="0.25">
      <c r="A4548">
        <v>2037</v>
      </c>
      <c r="B4548" s="10">
        <v>45767</v>
      </c>
      <c r="C4548">
        <v>20</v>
      </c>
      <c r="D4548" t="s">
        <v>105</v>
      </c>
      <c r="E4548" t="s">
        <v>106</v>
      </c>
      <c r="F4548" t="s">
        <v>28</v>
      </c>
      <c r="G4548" t="s">
        <v>126</v>
      </c>
      <c r="H4548" t="s">
        <v>23</v>
      </c>
      <c r="I4548" t="s">
        <v>119</v>
      </c>
      <c r="J4548" t="s">
        <v>103</v>
      </c>
      <c r="K4548">
        <v>33</v>
      </c>
      <c r="L4548">
        <v>104000</v>
      </c>
      <c r="M4548">
        <v>3432000</v>
      </c>
      <c r="N4548" t="s">
        <v>95</v>
      </c>
      <c r="O4548" t="s">
        <v>96</v>
      </c>
    </row>
    <row r="4549" spans="1:15" x14ac:dyDescent="0.25">
      <c r="A4549">
        <v>2701</v>
      </c>
      <c r="B4549" s="10">
        <v>45844</v>
      </c>
      <c r="C4549">
        <v>6</v>
      </c>
      <c r="D4549" t="s">
        <v>145</v>
      </c>
      <c r="E4549" t="s">
        <v>128</v>
      </c>
      <c r="F4549" t="s">
        <v>141</v>
      </c>
      <c r="G4549" t="s">
        <v>100</v>
      </c>
      <c r="H4549" t="s">
        <v>23</v>
      </c>
      <c r="I4549" t="s">
        <v>119</v>
      </c>
      <c r="J4549" t="s">
        <v>103</v>
      </c>
      <c r="K4549">
        <v>14</v>
      </c>
      <c r="L4549">
        <v>104000</v>
      </c>
      <c r="M4549">
        <v>1456000</v>
      </c>
      <c r="N4549" t="s">
        <v>108</v>
      </c>
      <c r="O4549" t="s">
        <v>96</v>
      </c>
    </row>
    <row r="4550" spans="1:15" x14ac:dyDescent="0.25">
      <c r="A4550">
        <v>3004</v>
      </c>
      <c r="B4550" s="10">
        <v>45888</v>
      </c>
      <c r="C4550">
        <v>19</v>
      </c>
      <c r="D4550" t="s">
        <v>109</v>
      </c>
      <c r="E4550" t="s">
        <v>133</v>
      </c>
      <c r="F4550" t="s">
        <v>144</v>
      </c>
      <c r="G4550" t="s">
        <v>91</v>
      </c>
      <c r="H4550" t="s">
        <v>23</v>
      </c>
      <c r="I4550" t="s">
        <v>34</v>
      </c>
      <c r="J4550" t="s">
        <v>94</v>
      </c>
      <c r="K4550">
        <v>7</v>
      </c>
      <c r="L4550">
        <v>104000</v>
      </c>
      <c r="M4550">
        <v>728000</v>
      </c>
      <c r="N4550" t="s">
        <v>95</v>
      </c>
      <c r="O4550" t="s">
        <v>115</v>
      </c>
    </row>
    <row r="4551" spans="1:15" x14ac:dyDescent="0.25">
      <c r="A4551">
        <v>134</v>
      </c>
      <c r="B4551" s="10">
        <v>45809</v>
      </c>
      <c r="C4551">
        <v>1</v>
      </c>
      <c r="D4551" t="s">
        <v>153</v>
      </c>
      <c r="E4551" t="s">
        <v>161</v>
      </c>
      <c r="F4551" t="s">
        <v>44</v>
      </c>
      <c r="G4551" t="s">
        <v>111</v>
      </c>
      <c r="H4551" t="s">
        <v>23</v>
      </c>
      <c r="I4551" t="s">
        <v>119</v>
      </c>
      <c r="J4551" t="s">
        <v>103</v>
      </c>
      <c r="K4551">
        <v>5</v>
      </c>
      <c r="L4551">
        <v>104400</v>
      </c>
      <c r="M4551">
        <v>522000</v>
      </c>
      <c r="N4551" t="s">
        <v>95</v>
      </c>
      <c r="O4551" t="s">
        <v>96</v>
      </c>
    </row>
    <row r="4552" spans="1:15" x14ac:dyDescent="0.25">
      <c r="A4552">
        <v>2531</v>
      </c>
      <c r="B4552" s="10">
        <v>45735</v>
      </c>
      <c r="C4552">
        <v>19</v>
      </c>
      <c r="D4552" t="s">
        <v>140</v>
      </c>
      <c r="E4552" t="s">
        <v>142</v>
      </c>
      <c r="F4552" t="s">
        <v>107</v>
      </c>
      <c r="G4552" t="s">
        <v>100</v>
      </c>
      <c r="H4552" t="s">
        <v>23</v>
      </c>
      <c r="I4552" t="s">
        <v>119</v>
      </c>
      <c r="J4552" t="s">
        <v>103</v>
      </c>
      <c r="K4552">
        <v>39</v>
      </c>
      <c r="L4552">
        <v>104400</v>
      </c>
      <c r="M4552">
        <v>4071600</v>
      </c>
      <c r="N4552" t="s">
        <v>108</v>
      </c>
      <c r="O4552" t="s">
        <v>104</v>
      </c>
    </row>
    <row r="4553" spans="1:15" x14ac:dyDescent="0.25">
      <c r="A4553">
        <v>4401</v>
      </c>
      <c r="B4553" s="10">
        <v>45989</v>
      </c>
      <c r="C4553">
        <v>28</v>
      </c>
      <c r="D4553" t="s">
        <v>90</v>
      </c>
      <c r="E4553" t="s">
        <v>150</v>
      </c>
      <c r="F4553" t="s">
        <v>151</v>
      </c>
      <c r="G4553" t="s">
        <v>111</v>
      </c>
      <c r="H4553" t="s">
        <v>23</v>
      </c>
      <c r="I4553" t="s">
        <v>119</v>
      </c>
      <c r="J4553" t="s">
        <v>103</v>
      </c>
      <c r="K4553">
        <v>30</v>
      </c>
      <c r="L4553">
        <v>104500</v>
      </c>
      <c r="M4553">
        <v>3135000</v>
      </c>
      <c r="N4553" t="s">
        <v>95</v>
      </c>
      <c r="O4553" t="s">
        <v>104</v>
      </c>
    </row>
    <row r="4554" spans="1:15" x14ac:dyDescent="0.25">
      <c r="A4554">
        <v>2703</v>
      </c>
      <c r="B4554" s="10">
        <v>45847</v>
      </c>
      <c r="C4554">
        <v>9</v>
      </c>
      <c r="D4554" t="s">
        <v>145</v>
      </c>
      <c r="E4554" t="s">
        <v>106</v>
      </c>
      <c r="F4554" t="s">
        <v>22</v>
      </c>
      <c r="G4554" t="s">
        <v>91</v>
      </c>
      <c r="H4554" t="s">
        <v>23</v>
      </c>
      <c r="I4554" t="s">
        <v>34</v>
      </c>
      <c r="J4554" t="s">
        <v>94</v>
      </c>
      <c r="K4554">
        <v>10</v>
      </c>
      <c r="L4554">
        <v>104600</v>
      </c>
      <c r="M4554">
        <v>1046000</v>
      </c>
      <c r="N4554" t="s">
        <v>108</v>
      </c>
      <c r="O4554" t="s">
        <v>115</v>
      </c>
    </row>
    <row r="4555" spans="1:15" x14ac:dyDescent="0.25">
      <c r="A4555">
        <v>4853</v>
      </c>
      <c r="B4555" s="10">
        <v>45802</v>
      </c>
      <c r="C4555">
        <v>25</v>
      </c>
      <c r="D4555" t="s">
        <v>120</v>
      </c>
      <c r="E4555" t="s">
        <v>128</v>
      </c>
      <c r="F4555" t="s">
        <v>117</v>
      </c>
      <c r="G4555" t="s">
        <v>118</v>
      </c>
      <c r="H4555" t="s">
        <v>23</v>
      </c>
      <c r="I4555" t="s">
        <v>119</v>
      </c>
      <c r="J4555" t="s">
        <v>103</v>
      </c>
      <c r="K4555">
        <v>34</v>
      </c>
      <c r="L4555">
        <v>104700</v>
      </c>
      <c r="M4555">
        <v>3559800</v>
      </c>
      <c r="N4555" t="s">
        <v>108</v>
      </c>
      <c r="O4555" t="s">
        <v>96</v>
      </c>
    </row>
    <row r="4556" spans="1:15" x14ac:dyDescent="0.25">
      <c r="A4556">
        <v>3437</v>
      </c>
      <c r="B4556" s="10">
        <v>45851</v>
      </c>
      <c r="C4556">
        <v>13</v>
      </c>
      <c r="D4556" t="s">
        <v>145</v>
      </c>
      <c r="E4556" t="s">
        <v>31</v>
      </c>
      <c r="F4556" t="s">
        <v>99</v>
      </c>
      <c r="G4556" t="s">
        <v>100</v>
      </c>
      <c r="H4556" t="s">
        <v>23</v>
      </c>
      <c r="I4556" t="s">
        <v>119</v>
      </c>
      <c r="J4556" t="s">
        <v>103</v>
      </c>
      <c r="K4556">
        <v>31</v>
      </c>
      <c r="L4556">
        <v>104900</v>
      </c>
      <c r="M4556">
        <v>3251900</v>
      </c>
      <c r="N4556" t="s">
        <v>108</v>
      </c>
      <c r="O4556" t="s">
        <v>104</v>
      </c>
    </row>
    <row r="4557" spans="1:15" x14ac:dyDescent="0.25">
      <c r="A4557">
        <v>2242</v>
      </c>
      <c r="B4557" s="10">
        <v>45804</v>
      </c>
      <c r="C4557">
        <v>27</v>
      </c>
      <c r="D4557" t="s">
        <v>120</v>
      </c>
      <c r="E4557" t="s">
        <v>110</v>
      </c>
      <c r="F4557" t="s">
        <v>36</v>
      </c>
      <c r="G4557" t="s">
        <v>100</v>
      </c>
      <c r="H4557" t="s">
        <v>23</v>
      </c>
      <c r="I4557" t="s">
        <v>119</v>
      </c>
      <c r="J4557" t="s">
        <v>103</v>
      </c>
      <c r="K4557">
        <v>42</v>
      </c>
      <c r="L4557">
        <v>105000</v>
      </c>
      <c r="M4557">
        <v>4410000</v>
      </c>
      <c r="N4557" t="s">
        <v>95</v>
      </c>
      <c r="O4557" t="s">
        <v>115</v>
      </c>
    </row>
    <row r="4558" spans="1:15" x14ac:dyDescent="0.25">
      <c r="A4558">
        <v>4359</v>
      </c>
      <c r="B4558" s="10">
        <v>45677</v>
      </c>
      <c r="C4558">
        <v>20</v>
      </c>
      <c r="D4558" t="s">
        <v>130</v>
      </c>
      <c r="E4558" t="s">
        <v>142</v>
      </c>
      <c r="F4558" t="s">
        <v>49</v>
      </c>
      <c r="G4558" t="s">
        <v>118</v>
      </c>
      <c r="H4558" t="s">
        <v>23</v>
      </c>
      <c r="I4558" t="s">
        <v>119</v>
      </c>
      <c r="J4558" t="s">
        <v>103</v>
      </c>
      <c r="K4558">
        <v>27</v>
      </c>
      <c r="L4558">
        <v>105000</v>
      </c>
      <c r="M4558">
        <v>2835000</v>
      </c>
      <c r="N4558" t="s">
        <v>95</v>
      </c>
      <c r="O4558" t="s">
        <v>96</v>
      </c>
    </row>
    <row r="4559" spans="1:15" x14ac:dyDescent="0.25">
      <c r="A4559">
        <v>1724</v>
      </c>
      <c r="B4559" s="10">
        <v>45879</v>
      </c>
      <c r="C4559">
        <v>10</v>
      </c>
      <c r="D4559" t="s">
        <v>109</v>
      </c>
      <c r="E4559" t="s">
        <v>98</v>
      </c>
      <c r="F4559" t="s">
        <v>44</v>
      </c>
      <c r="G4559" t="s">
        <v>111</v>
      </c>
      <c r="H4559" t="s">
        <v>23</v>
      </c>
      <c r="I4559" t="s">
        <v>119</v>
      </c>
      <c r="J4559" t="s">
        <v>103</v>
      </c>
      <c r="K4559">
        <v>45</v>
      </c>
      <c r="L4559">
        <v>105100</v>
      </c>
      <c r="M4559">
        <v>4729500</v>
      </c>
      <c r="N4559" t="s">
        <v>95</v>
      </c>
      <c r="O4559" t="s">
        <v>104</v>
      </c>
    </row>
    <row r="4560" spans="1:15" x14ac:dyDescent="0.25">
      <c r="A4560">
        <v>2110</v>
      </c>
      <c r="B4560" s="10">
        <v>45866</v>
      </c>
      <c r="C4560">
        <v>28</v>
      </c>
      <c r="D4560" t="s">
        <v>145</v>
      </c>
      <c r="E4560" t="s">
        <v>110</v>
      </c>
      <c r="F4560" t="s">
        <v>122</v>
      </c>
      <c r="G4560" t="s">
        <v>114</v>
      </c>
      <c r="H4560" t="s">
        <v>23</v>
      </c>
      <c r="I4560" t="s">
        <v>119</v>
      </c>
      <c r="J4560" t="s">
        <v>103</v>
      </c>
      <c r="K4560">
        <v>34</v>
      </c>
      <c r="L4560">
        <v>105100</v>
      </c>
      <c r="M4560">
        <v>3573400</v>
      </c>
      <c r="N4560" t="s">
        <v>95</v>
      </c>
      <c r="O4560" t="s">
        <v>115</v>
      </c>
    </row>
    <row r="4561" spans="1:15" x14ac:dyDescent="0.25">
      <c r="A4561">
        <v>4773</v>
      </c>
      <c r="B4561" s="10">
        <v>45927</v>
      </c>
      <c r="C4561">
        <v>27</v>
      </c>
      <c r="D4561" t="s">
        <v>147</v>
      </c>
      <c r="E4561" t="s">
        <v>121</v>
      </c>
      <c r="F4561" t="s">
        <v>28</v>
      </c>
      <c r="G4561" t="s">
        <v>126</v>
      </c>
      <c r="H4561" t="s">
        <v>23</v>
      </c>
      <c r="I4561" t="s">
        <v>119</v>
      </c>
      <c r="J4561" t="s">
        <v>103</v>
      </c>
      <c r="K4561">
        <v>11</v>
      </c>
      <c r="L4561">
        <v>105300</v>
      </c>
      <c r="M4561">
        <v>1158300</v>
      </c>
      <c r="N4561" t="s">
        <v>108</v>
      </c>
      <c r="O4561" t="s">
        <v>104</v>
      </c>
    </row>
    <row r="4562" spans="1:15" x14ac:dyDescent="0.25">
      <c r="A4562">
        <v>1563</v>
      </c>
      <c r="B4562" s="10">
        <v>46010</v>
      </c>
      <c r="C4562">
        <v>19</v>
      </c>
      <c r="D4562" t="s">
        <v>125</v>
      </c>
      <c r="E4562" t="s">
        <v>150</v>
      </c>
      <c r="F4562" t="s">
        <v>144</v>
      </c>
      <c r="G4562" t="s">
        <v>91</v>
      </c>
      <c r="H4562" t="s">
        <v>23</v>
      </c>
      <c r="I4562" t="s">
        <v>119</v>
      </c>
      <c r="J4562" t="s">
        <v>94</v>
      </c>
      <c r="K4562">
        <v>9</v>
      </c>
      <c r="L4562">
        <v>105500</v>
      </c>
      <c r="M4562">
        <v>949500</v>
      </c>
      <c r="N4562" t="s">
        <v>108</v>
      </c>
      <c r="O4562" t="s">
        <v>104</v>
      </c>
    </row>
    <row r="4563" spans="1:15" x14ac:dyDescent="0.25">
      <c r="A4563">
        <v>2469</v>
      </c>
      <c r="B4563" s="10">
        <v>45975</v>
      </c>
      <c r="C4563">
        <v>14</v>
      </c>
      <c r="D4563" t="s">
        <v>90</v>
      </c>
      <c r="E4563" t="s">
        <v>161</v>
      </c>
      <c r="F4563" t="s">
        <v>141</v>
      </c>
      <c r="G4563" t="s">
        <v>100</v>
      </c>
      <c r="H4563" t="s">
        <v>23</v>
      </c>
      <c r="I4563" t="s">
        <v>119</v>
      </c>
      <c r="J4563" t="s">
        <v>103</v>
      </c>
      <c r="K4563">
        <v>30</v>
      </c>
      <c r="L4563">
        <v>105500</v>
      </c>
      <c r="M4563">
        <v>3165000</v>
      </c>
      <c r="N4563" t="s">
        <v>95</v>
      </c>
      <c r="O4563" t="s">
        <v>104</v>
      </c>
    </row>
    <row r="4564" spans="1:15" x14ac:dyDescent="0.25">
      <c r="A4564">
        <v>2203</v>
      </c>
      <c r="B4564" s="10">
        <v>45795</v>
      </c>
      <c r="C4564">
        <v>18</v>
      </c>
      <c r="D4564" t="s">
        <v>120</v>
      </c>
      <c r="E4564" t="s">
        <v>112</v>
      </c>
      <c r="F4564" t="s">
        <v>22</v>
      </c>
      <c r="G4564" t="s">
        <v>91</v>
      </c>
      <c r="H4564" t="s">
        <v>23</v>
      </c>
      <c r="I4564" t="s">
        <v>119</v>
      </c>
      <c r="J4564" t="s">
        <v>103</v>
      </c>
      <c r="K4564">
        <v>38</v>
      </c>
      <c r="L4564">
        <v>105700</v>
      </c>
      <c r="M4564">
        <v>4016600</v>
      </c>
      <c r="N4564" t="s">
        <v>95</v>
      </c>
      <c r="O4564" t="s">
        <v>96</v>
      </c>
    </row>
    <row r="4565" spans="1:15" x14ac:dyDescent="0.25">
      <c r="A4565">
        <v>2476</v>
      </c>
      <c r="B4565" s="10">
        <v>45916</v>
      </c>
      <c r="C4565">
        <v>16</v>
      </c>
      <c r="D4565" t="s">
        <v>147</v>
      </c>
      <c r="E4565" t="s">
        <v>116</v>
      </c>
      <c r="F4565" t="s">
        <v>107</v>
      </c>
      <c r="G4565" t="s">
        <v>100</v>
      </c>
      <c r="H4565" t="s">
        <v>23</v>
      </c>
      <c r="I4565" t="s">
        <v>119</v>
      </c>
      <c r="J4565" t="s">
        <v>103</v>
      </c>
      <c r="K4565">
        <v>16</v>
      </c>
      <c r="L4565">
        <v>105700</v>
      </c>
      <c r="M4565">
        <v>1691200</v>
      </c>
      <c r="N4565" t="s">
        <v>108</v>
      </c>
      <c r="O4565" t="s">
        <v>115</v>
      </c>
    </row>
    <row r="4566" spans="1:15" x14ac:dyDescent="0.25">
      <c r="A4566">
        <v>3667</v>
      </c>
      <c r="B4566" s="10">
        <v>45987</v>
      </c>
      <c r="C4566">
        <v>26</v>
      </c>
      <c r="D4566" t="s">
        <v>90</v>
      </c>
      <c r="E4566" t="s">
        <v>138</v>
      </c>
      <c r="F4566" t="s">
        <v>151</v>
      </c>
      <c r="G4566" t="s">
        <v>111</v>
      </c>
      <c r="H4566" t="s">
        <v>23</v>
      </c>
      <c r="I4566" t="s">
        <v>119</v>
      </c>
      <c r="J4566" t="s">
        <v>103</v>
      </c>
      <c r="K4566">
        <v>43</v>
      </c>
      <c r="L4566">
        <v>105700</v>
      </c>
      <c r="M4566">
        <v>4545100</v>
      </c>
      <c r="N4566" t="s">
        <v>95</v>
      </c>
      <c r="O4566" t="s">
        <v>115</v>
      </c>
    </row>
    <row r="4567" spans="1:15" x14ac:dyDescent="0.25">
      <c r="A4567">
        <v>3399</v>
      </c>
      <c r="B4567" s="10">
        <v>45895</v>
      </c>
      <c r="C4567">
        <v>26</v>
      </c>
      <c r="D4567" t="s">
        <v>109</v>
      </c>
      <c r="E4567" t="s">
        <v>98</v>
      </c>
      <c r="F4567" t="s">
        <v>141</v>
      </c>
      <c r="G4567" t="s">
        <v>100</v>
      </c>
      <c r="H4567" t="s">
        <v>23</v>
      </c>
      <c r="I4567" t="s">
        <v>34</v>
      </c>
      <c r="J4567" t="s">
        <v>94</v>
      </c>
      <c r="K4567">
        <v>5</v>
      </c>
      <c r="L4567">
        <v>105800</v>
      </c>
      <c r="M4567">
        <v>529000</v>
      </c>
      <c r="N4567" t="s">
        <v>95</v>
      </c>
      <c r="O4567" t="s">
        <v>104</v>
      </c>
    </row>
    <row r="4568" spans="1:15" x14ac:dyDescent="0.25">
      <c r="A4568">
        <v>1991</v>
      </c>
      <c r="B4568" s="10">
        <v>45907</v>
      </c>
      <c r="C4568">
        <v>7</v>
      </c>
      <c r="D4568" t="s">
        <v>147</v>
      </c>
      <c r="E4568" t="s">
        <v>112</v>
      </c>
      <c r="F4568" t="s">
        <v>144</v>
      </c>
      <c r="G4568" t="s">
        <v>91</v>
      </c>
      <c r="H4568" t="s">
        <v>23</v>
      </c>
      <c r="I4568" t="s">
        <v>119</v>
      </c>
      <c r="J4568" t="s">
        <v>103</v>
      </c>
      <c r="K4568">
        <v>39</v>
      </c>
      <c r="L4568">
        <v>106100</v>
      </c>
      <c r="M4568">
        <v>4137900</v>
      </c>
      <c r="N4568" t="s">
        <v>95</v>
      </c>
      <c r="O4568" t="s">
        <v>104</v>
      </c>
    </row>
    <row r="4569" spans="1:15" x14ac:dyDescent="0.25">
      <c r="A4569">
        <v>472</v>
      </c>
      <c r="B4569" s="10">
        <v>46010</v>
      </c>
      <c r="C4569">
        <v>19</v>
      </c>
      <c r="D4569" t="s">
        <v>125</v>
      </c>
      <c r="E4569" t="s">
        <v>31</v>
      </c>
      <c r="F4569" t="s">
        <v>44</v>
      </c>
      <c r="G4569" t="s">
        <v>111</v>
      </c>
      <c r="H4569" t="s">
        <v>23</v>
      </c>
      <c r="I4569" t="s">
        <v>119</v>
      </c>
      <c r="J4569" t="s">
        <v>94</v>
      </c>
      <c r="K4569">
        <v>3</v>
      </c>
      <c r="L4569">
        <v>106200</v>
      </c>
      <c r="M4569">
        <v>318600</v>
      </c>
      <c r="N4569" t="s">
        <v>95</v>
      </c>
      <c r="O4569" t="s">
        <v>104</v>
      </c>
    </row>
    <row r="4570" spans="1:15" x14ac:dyDescent="0.25">
      <c r="A4570">
        <v>4031</v>
      </c>
      <c r="B4570" s="10">
        <v>45904</v>
      </c>
      <c r="C4570">
        <v>4</v>
      </c>
      <c r="D4570" t="s">
        <v>147</v>
      </c>
      <c r="E4570" t="s">
        <v>116</v>
      </c>
      <c r="F4570" t="s">
        <v>148</v>
      </c>
      <c r="G4570" t="s">
        <v>118</v>
      </c>
      <c r="H4570" t="s">
        <v>23</v>
      </c>
      <c r="I4570" t="s">
        <v>119</v>
      </c>
      <c r="J4570" t="s">
        <v>103</v>
      </c>
      <c r="K4570">
        <v>38</v>
      </c>
      <c r="L4570">
        <v>106400</v>
      </c>
      <c r="M4570">
        <v>4043200</v>
      </c>
      <c r="N4570" t="s">
        <v>108</v>
      </c>
      <c r="O4570" t="s">
        <v>115</v>
      </c>
    </row>
    <row r="4571" spans="1:15" x14ac:dyDescent="0.25">
      <c r="A4571">
        <v>4990</v>
      </c>
      <c r="B4571" s="10">
        <v>45996</v>
      </c>
      <c r="C4571">
        <v>5</v>
      </c>
      <c r="D4571" t="s">
        <v>125</v>
      </c>
      <c r="E4571" t="s">
        <v>133</v>
      </c>
      <c r="F4571" t="s">
        <v>36</v>
      </c>
      <c r="G4571" t="s">
        <v>100</v>
      </c>
      <c r="H4571" t="s">
        <v>23</v>
      </c>
      <c r="I4571" t="s">
        <v>34</v>
      </c>
      <c r="J4571" t="s">
        <v>94</v>
      </c>
      <c r="K4571">
        <v>6</v>
      </c>
      <c r="L4571">
        <v>106400</v>
      </c>
      <c r="M4571">
        <v>638400</v>
      </c>
      <c r="N4571" t="s">
        <v>95</v>
      </c>
      <c r="O4571" t="s">
        <v>96</v>
      </c>
    </row>
    <row r="4572" spans="1:15" x14ac:dyDescent="0.25">
      <c r="A4572">
        <v>4980</v>
      </c>
      <c r="B4572" s="10">
        <v>45925</v>
      </c>
      <c r="C4572">
        <v>25</v>
      </c>
      <c r="D4572" t="s">
        <v>147</v>
      </c>
      <c r="E4572" t="s">
        <v>106</v>
      </c>
      <c r="F4572" t="s">
        <v>113</v>
      </c>
      <c r="G4572" t="s">
        <v>114</v>
      </c>
      <c r="H4572" t="s">
        <v>23</v>
      </c>
      <c r="I4572" t="s">
        <v>119</v>
      </c>
      <c r="J4572" t="s">
        <v>94</v>
      </c>
      <c r="K4572">
        <v>9</v>
      </c>
      <c r="L4572">
        <v>106700</v>
      </c>
      <c r="M4572">
        <v>960300</v>
      </c>
      <c r="N4572" t="s">
        <v>108</v>
      </c>
      <c r="O4572" t="s">
        <v>96</v>
      </c>
    </row>
    <row r="4573" spans="1:15" x14ac:dyDescent="0.25">
      <c r="A4573">
        <v>443</v>
      </c>
      <c r="B4573" s="10">
        <v>45837</v>
      </c>
      <c r="C4573">
        <v>29</v>
      </c>
      <c r="D4573" t="s">
        <v>153</v>
      </c>
      <c r="E4573" t="s">
        <v>137</v>
      </c>
      <c r="F4573" t="s">
        <v>134</v>
      </c>
      <c r="G4573" t="s">
        <v>100</v>
      </c>
      <c r="H4573" t="s">
        <v>23</v>
      </c>
      <c r="I4573" t="s">
        <v>119</v>
      </c>
      <c r="J4573" t="s">
        <v>94</v>
      </c>
      <c r="K4573">
        <v>3</v>
      </c>
      <c r="L4573">
        <v>107600</v>
      </c>
      <c r="M4573">
        <v>322800</v>
      </c>
      <c r="N4573" t="s">
        <v>108</v>
      </c>
      <c r="O4573" t="s">
        <v>104</v>
      </c>
    </row>
    <row r="4574" spans="1:15" x14ac:dyDescent="0.25">
      <c r="A4574">
        <v>4785</v>
      </c>
      <c r="B4574" s="10">
        <v>45888</v>
      </c>
      <c r="C4574">
        <v>19</v>
      </c>
      <c r="D4574" t="s">
        <v>109</v>
      </c>
      <c r="E4574" t="s">
        <v>116</v>
      </c>
      <c r="F4574" t="s">
        <v>144</v>
      </c>
      <c r="G4574" t="s">
        <v>91</v>
      </c>
      <c r="H4574" t="s">
        <v>23</v>
      </c>
      <c r="I4574" t="s">
        <v>34</v>
      </c>
      <c r="J4574" t="s">
        <v>94</v>
      </c>
      <c r="K4574">
        <v>10</v>
      </c>
      <c r="L4574">
        <v>108100</v>
      </c>
      <c r="M4574">
        <v>1081000</v>
      </c>
      <c r="N4574" t="s">
        <v>108</v>
      </c>
      <c r="O4574" t="s">
        <v>96</v>
      </c>
    </row>
    <row r="4575" spans="1:15" x14ac:dyDescent="0.25">
      <c r="A4575">
        <v>3942</v>
      </c>
      <c r="B4575" s="10">
        <v>45774</v>
      </c>
      <c r="C4575">
        <v>27</v>
      </c>
      <c r="D4575" t="s">
        <v>105</v>
      </c>
      <c r="E4575" t="s">
        <v>98</v>
      </c>
      <c r="F4575" t="s">
        <v>144</v>
      </c>
      <c r="G4575" t="s">
        <v>91</v>
      </c>
      <c r="H4575" t="s">
        <v>23</v>
      </c>
      <c r="I4575" t="s">
        <v>119</v>
      </c>
      <c r="J4575" t="s">
        <v>103</v>
      </c>
      <c r="K4575">
        <v>46</v>
      </c>
      <c r="L4575">
        <v>108300</v>
      </c>
      <c r="M4575">
        <v>4981800</v>
      </c>
      <c r="N4575" t="s">
        <v>95</v>
      </c>
      <c r="O4575" t="s">
        <v>104</v>
      </c>
    </row>
    <row r="4576" spans="1:15" x14ac:dyDescent="0.25">
      <c r="A4576">
        <v>3204</v>
      </c>
      <c r="B4576" s="10">
        <v>45884</v>
      </c>
      <c r="C4576">
        <v>15</v>
      </c>
      <c r="D4576" t="s">
        <v>109</v>
      </c>
      <c r="E4576" t="s">
        <v>110</v>
      </c>
      <c r="F4576" t="s">
        <v>44</v>
      </c>
      <c r="G4576" t="s">
        <v>111</v>
      </c>
      <c r="H4576" t="s">
        <v>23</v>
      </c>
      <c r="I4576" t="s">
        <v>119</v>
      </c>
      <c r="J4576" t="s">
        <v>103</v>
      </c>
      <c r="K4576">
        <v>28</v>
      </c>
      <c r="L4576">
        <v>108500</v>
      </c>
      <c r="M4576">
        <v>3038000</v>
      </c>
      <c r="N4576" t="s">
        <v>95</v>
      </c>
      <c r="O4576" t="s">
        <v>104</v>
      </c>
    </row>
    <row r="4577" spans="1:15" x14ac:dyDescent="0.25">
      <c r="A4577">
        <v>1972</v>
      </c>
      <c r="B4577" s="10">
        <v>45887</v>
      </c>
      <c r="C4577">
        <v>18</v>
      </c>
      <c r="D4577" t="s">
        <v>109</v>
      </c>
      <c r="E4577" t="s">
        <v>112</v>
      </c>
      <c r="F4577" t="s">
        <v>22</v>
      </c>
      <c r="G4577" t="s">
        <v>91</v>
      </c>
      <c r="H4577" t="s">
        <v>92</v>
      </c>
      <c r="I4577" t="s">
        <v>154</v>
      </c>
      <c r="J4577" t="s">
        <v>103</v>
      </c>
      <c r="K4577">
        <v>40</v>
      </c>
      <c r="L4577">
        <v>108800</v>
      </c>
      <c r="M4577">
        <v>4352000</v>
      </c>
      <c r="N4577" t="s">
        <v>108</v>
      </c>
      <c r="O4577" t="s">
        <v>104</v>
      </c>
    </row>
    <row r="4578" spans="1:15" x14ac:dyDescent="0.25">
      <c r="A4578">
        <v>3110</v>
      </c>
      <c r="B4578" s="10">
        <v>45985</v>
      </c>
      <c r="C4578">
        <v>24</v>
      </c>
      <c r="D4578" t="s">
        <v>90</v>
      </c>
      <c r="E4578" t="s">
        <v>128</v>
      </c>
      <c r="F4578" t="s">
        <v>141</v>
      </c>
      <c r="G4578" t="s">
        <v>100</v>
      </c>
      <c r="H4578" t="s">
        <v>23</v>
      </c>
      <c r="I4578" t="s">
        <v>119</v>
      </c>
      <c r="J4578" t="s">
        <v>94</v>
      </c>
      <c r="K4578">
        <v>7</v>
      </c>
      <c r="L4578">
        <v>108800</v>
      </c>
      <c r="M4578">
        <v>761600</v>
      </c>
      <c r="N4578" t="s">
        <v>95</v>
      </c>
      <c r="O4578" t="s">
        <v>96</v>
      </c>
    </row>
    <row r="4579" spans="1:15" x14ac:dyDescent="0.25">
      <c r="A4579">
        <v>50</v>
      </c>
      <c r="B4579" s="10">
        <v>45739</v>
      </c>
      <c r="C4579">
        <v>23</v>
      </c>
      <c r="D4579" t="s">
        <v>140</v>
      </c>
      <c r="E4579" t="s">
        <v>112</v>
      </c>
      <c r="F4579" t="s">
        <v>99</v>
      </c>
      <c r="G4579" t="s">
        <v>100</v>
      </c>
      <c r="H4579" t="s">
        <v>23</v>
      </c>
      <c r="I4579" t="s">
        <v>119</v>
      </c>
      <c r="J4579" t="s">
        <v>94</v>
      </c>
      <c r="K4579">
        <v>8</v>
      </c>
      <c r="L4579">
        <v>109400</v>
      </c>
      <c r="M4579">
        <v>875200</v>
      </c>
      <c r="N4579" t="s">
        <v>95</v>
      </c>
      <c r="O4579" t="s">
        <v>104</v>
      </c>
    </row>
    <row r="4580" spans="1:15" x14ac:dyDescent="0.25">
      <c r="A4580">
        <v>4569</v>
      </c>
      <c r="B4580" s="10">
        <v>45929</v>
      </c>
      <c r="C4580">
        <v>29</v>
      </c>
      <c r="D4580" t="s">
        <v>147</v>
      </c>
      <c r="E4580" t="s">
        <v>98</v>
      </c>
      <c r="F4580" t="s">
        <v>144</v>
      </c>
      <c r="G4580" t="s">
        <v>91</v>
      </c>
      <c r="H4580" t="s">
        <v>23</v>
      </c>
      <c r="I4580" t="s">
        <v>119</v>
      </c>
      <c r="J4580" t="s">
        <v>103</v>
      </c>
      <c r="K4580">
        <v>44</v>
      </c>
      <c r="L4580">
        <v>109400</v>
      </c>
      <c r="M4580">
        <v>4813600</v>
      </c>
      <c r="N4580" t="s">
        <v>108</v>
      </c>
      <c r="O4580" t="s">
        <v>115</v>
      </c>
    </row>
    <row r="4581" spans="1:15" x14ac:dyDescent="0.25">
      <c r="A4581">
        <v>83</v>
      </c>
      <c r="B4581" s="10">
        <v>45873</v>
      </c>
      <c r="C4581">
        <v>4</v>
      </c>
      <c r="D4581" t="s">
        <v>109</v>
      </c>
      <c r="E4581" t="s">
        <v>121</v>
      </c>
      <c r="F4581" t="s">
        <v>151</v>
      </c>
      <c r="G4581" t="s">
        <v>111</v>
      </c>
      <c r="H4581" t="s">
        <v>23</v>
      </c>
      <c r="I4581" t="s">
        <v>119</v>
      </c>
      <c r="J4581" t="s">
        <v>103</v>
      </c>
      <c r="K4581">
        <v>45</v>
      </c>
      <c r="L4581">
        <v>109500</v>
      </c>
      <c r="M4581">
        <v>4927500</v>
      </c>
      <c r="N4581" t="s">
        <v>108</v>
      </c>
      <c r="O4581" t="s">
        <v>96</v>
      </c>
    </row>
    <row r="4582" spans="1:15" x14ac:dyDescent="0.25">
      <c r="A4582">
        <v>4371</v>
      </c>
      <c r="B4582" s="10">
        <v>46009</v>
      </c>
      <c r="C4582">
        <v>18</v>
      </c>
      <c r="D4582" t="s">
        <v>125</v>
      </c>
      <c r="E4582" t="s">
        <v>138</v>
      </c>
      <c r="F4582" t="s">
        <v>99</v>
      </c>
      <c r="G4582" t="s">
        <v>100</v>
      </c>
      <c r="H4582" t="s">
        <v>23</v>
      </c>
      <c r="I4582" t="s">
        <v>119</v>
      </c>
      <c r="J4582" t="s">
        <v>94</v>
      </c>
      <c r="K4582">
        <v>7</v>
      </c>
      <c r="L4582">
        <v>109500</v>
      </c>
      <c r="M4582">
        <v>766500</v>
      </c>
      <c r="N4582" t="s">
        <v>95</v>
      </c>
      <c r="O4582" t="s">
        <v>96</v>
      </c>
    </row>
    <row r="4583" spans="1:15" x14ac:dyDescent="0.25">
      <c r="A4583">
        <v>914</v>
      </c>
      <c r="B4583" s="10">
        <v>45877</v>
      </c>
      <c r="C4583">
        <v>8</v>
      </c>
      <c r="D4583" t="s">
        <v>109</v>
      </c>
      <c r="E4583" t="s">
        <v>106</v>
      </c>
      <c r="F4583" t="s">
        <v>141</v>
      </c>
      <c r="G4583" t="s">
        <v>100</v>
      </c>
      <c r="H4583" t="s">
        <v>23</v>
      </c>
      <c r="I4583" t="s">
        <v>119</v>
      </c>
      <c r="J4583" t="s">
        <v>103</v>
      </c>
      <c r="K4583">
        <v>16</v>
      </c>
      <c r="L4583">
        <v>110000</v>
      </c>
      <c r="M4583">
        <v>1760000</v>
      </c>
      <c r="N4583" t="s">
        <v>95</v>
      </c>
      <c r="O4583" t="s">
        <v>96</v>
      </c>
    </row>
    <row r="4584" spans="1:15" x14ac:dyDescent="0.25">
      <c r="A4584">
        <v>2885</v>
      </c>
      <c r="B4584" s="10">
        <v>45730</v>
      </c>
      <c r="C4584">
        <v>14</v>
      </c>
      <c r="D4584" t="s">
        <v>140</v>
      </c>
      <c r="E4584" t="s">
        <v>161</v>
      </c>
      <c r="F4584" t="s">
        <v>144</v>
      </c>
      <c r="G4584" t="s">
        <v>91</v>
      </c>
      <c r="H4584" t="s">
        <v>92</v>
      </c>
      <c r="I4584" t="s">
        <v>154</v>
      </c>
      <c r="J4584" t="s">
        <v>103</v>
      </c>
      <c r="K4584">
        <v>24</v>
      </c>
      <c r="L4584">
        <v>110000</v>
      </c>
      <c r="M4584">
        <v>2640000</v>
      </c>
      <c r="N4584" t="s">
        <v>108</v>
      </c>
      <c r="O4584" t="s">
        <v>115</v>
      </c>
    </row>
    <row r="4585" spans="1:15" x14ac:dyDescent="0.25">
      <c r="A4585">
        <v>3982</v>
      </c>
      <c r="B4585" s="10">
        <v>45804</v>
      </c>
      <c r="C4585">
        <v>27</v>
      </c>
      <c r="D4585" t="s">
        <v>120</v>
      </c>
      <c r="E4585" t="s">
        <v>25</v>
      </c>
      <c r="F4585" t="s">
        <v>148</v>
      </c>
      <c r="G4585" t="s">
        <v>118</v>
      </c>
      <c r="H4585" t="s">
        <v>23</v>
      </c>
      <c r="I4585" t="s">
        <v>119</v>
      </c>
      <c r="J4585" t="s">
        <v>103</v>
      </c>
      <c r="K4585">
        <v>35</v>
      </c>
      <c r="L4585">
        <v>110400</v>
      </c>
      <c r="M4585">
        <v>3864000</v>
      </c>
      <c r="N4585" t="s">
        <v>95</v>
      </c>
      <c r="O4585" t="s">
        <v>115</v>
      </c>
    </row>
    <row r="4586" spans="1:15" x14ac:dyDescent="0.25">
      <c r="A4586">
        <v>1077</v>
      </c>
      <c r="B4586" s="10">
        <v>45991</v>
      </c>
      <c r="C4586">
        <v>30</v>
      </c>
      <c r="D4586" t="s">
        <v>90</v>
      </c>
      <c r="E4586" t="s">
        <v>31</v>
      </c>
      <c r="F4586" t="s">
        <v>107</v>
      </c>
      <c r="G4586" t="s">
        <v>100</v>
      </c>
      <c r="H4586" t="s">
        <v>23</v>
      </c>
      <c r="I4586" t="s">
        <v>119</v>
      </c>
      <c r="J4586" t="s">
        <v>94</v>
      </c>
      <c r="K4586">
        <v>6</v>
      </c>
      <c r="L4586">
        <v>110700</v>
      </c>
      <c r="M4586">
        <v>664200</v>
      </c>
      <c r="N4586" t="s">
        <v>108</v>
      </c>
      <c r="O4586" t="s">
        <v>96</v>
      </c>
    </row>
    <row r="4587" spans="1:15" x14ac:dyDescent="0.25">
      <c r="A4587">
        <v>750</v>
      </c>
      <c r="B4587" s="10">
        <v>45674</v>
      </c>
      <c r="C4587">
        <v>17</v>
      </c>
      <c r="D4587" t="s">
        <v>130</v>
      </c>
      <c r="E4587" t="s">
        <v>116</v>
      </c>
      <c r="F4587" t="s">
        <v>134</v>
      </c>
      <c r="G4587" t="s">
        <v>100</v>
      </c>
      <c r="H4587" t="s">
        <v>23</v>
      </c>
      <c r="I4587" t="s">
        <v>119</v>
      </c>
      <c r="J4587" t="s">
        <v>94</v>
      </c>
      <c r="K4587">
        <v>6</v>
      </c>
      <c r="L4587">
        <v>111600</v>
      </c>
      <c r="M4587">
        <v>669600</v>
      </c>
      <c r="N4587" t="s">
        <v>108</v>
      </c>
      <c r="O4587" t="s">
        <v>115</v>
      </c>
    </row>
    <row r="4588" spans="1:15" x14ac:dyDescent="0.25">
      <c r="A4588">
        <v>932</v>
      </c>
      <c r="B4588" s="10">
        <v>45668</v>
      </c>
      <c r="C4588">
        <v>11</v>
      </c>
      <c r="D4588" t="s">
        <v>130</v>
      </c>
      <c r="E4588" t="s">
        <v>137</v>
      </c>
      <c r="F4588" t="s">
        <v>113</v>
      </c>
      <c r="G4588" t="s">
        <v>114</v>
      </c>
      <c r="H4588" t="s">
        <v>23</v>
      </c>
      <c r="I4588" t="s">
        <v>119</v>
      </c>
      <c r="J4588" t="s">
        <v>103</v>
      </c>
      <c r="K4588">
        <v>41</v>
      </c>
      <c r="L4588">
        <v>111600</v>
      </c>
      <c r="M4588">
        <v>4575600</v>
      </c>
      <c r="N4588" t="s">
        <v>108</v>
      </c>
      <c r="O4588" t="s">
        <v>115</v>
      </c>
    </row>
    <row r="4589" spans="1:15" x14ac:dyDescent="0.25">
      <c r="A4589">
        <v>2666</v>
      </c>
      <c r="B4589" s="10">
        <v>45888</v>
      </c>
      <c r="C4589">
        <v>19</v>
      </c>
      <c r="D4589" t="s">
        <v>109</v>
      </c>
      <c r="E4589" t="s">
        <v>128</v>
      </c>
      <c r="F4589" t="s">
        <v>44</v>
      </c>
      <c r="G4589" t="s">
        <v>111</v>
      </c>
      <c r="H4589" t="s">
        <v>23</v>
      </c>
      <c r="I4589" t="s">
        <v>119</v>
      </c>
      <c r="J4589" t="s">
        <v>94</v>
      </c>
      <c r="K4589">
        <v>7</v>
      </c>
      <c r="L4589">
        <v>111800</v>
      </c>
      <c r="M4589">
        <v>782600</v>
      </c>
      <c r="N4589" t="s">
        <v>108</v>
      </c>
      <c r="O4589" t="s">
        <v>115</v>
      </c>
    </row>
    <row r="4590" spans="1:15" x14ac:dyDescent="0.25">
      <c r="A4590">
        <v>148</v>
      </c>
      <c r="B4590" s="10">
        <v>45861</v>
      </c>
      <c r="C4590">
        <v>23</v>
      </c>
      <c r="D4590" t="s">
        <v>145</v>
      </c>
      <c r="E4590" t="s">
        <v>116</v>
      </c>
      <c r="F4590" t="s">
        <v>49</v>
      </c>
      <c r="G4590" t="s">
        <v>118</v>
      </c>
      <c r="H4590" t="s">
        <v>23</v>
      </c>
      <c r="I4590" t="s">
        <v>119</v>
      </c>
      <c r="J4590" t="s">
        <v>94</v>
      </c>
      <c r="K4590">
        <v>4</v>
      </c>
      <c r="L4590">
        <v>112100</v>
      </c>
      <c r="M4590">
        <v>448400</v>
      </c>
      <c r="N4590" t="s">
        <v>95</v>
      </c>
      <c r="O4590" t="s">
        <v>104</v>
      </c>
    </row>
    <row r="4591" spans="1:15" x14ac:dyDescent="0.25">
      <c r="A4591">
        <v>3584</v>
      </c>
      <c r="B4591" s="10">
        <v>45744</v>
      </c>
      <c r="C4591">
        <v>28</v>
      </c>
      <c r="D4591" t="s">
        <v>140</v>
      </c>
      <c r="E4591" t="s">
        <v>128</v>
      </c>
      <c r="F4591" t="s">
        <v>22</v>
      </c>
      <c r="G4591" t="s">
        <v>91</v>
      </c>
      <c r="H4591" t="s">
        <v>23</v>
      </c>
      <c r="I4591" t="s">
        <v>119</v>
      </c>
      <c r="J4591" t="s">
        <v>94</v>
      </c>
      <c r="K4591">
        <v>1</v>
      </c>
      <c r="L4591">
        <v>112700</v>
      </c>
      <c r="M4591">
        <v>112700</v>
      </c>
      <c r="N4591" t="s">
        <v>95</v>
      </c>
      <c r="O4591" t="s">
        <v>115</v>
      </c>
    </row>
    <row r="4592" spans="1:15" x14ac:dyDescent="0.25">
      <c r="A4592">
        <v>3660</v>
      </c>
      <c r="B4592" s="10">
        <v>45809</v>
      </c>
      <c r="C4592">
        <v>1</v>
      </c>
      <c r="D4592" t="s">
        <v>153</v>
      </c>
      <c r="E4592" t="s">
        <v>98</v>
      </c>
      <c r="F4592" t="s">
        <v>28</v>
      </c>
      <c r="G4592" t="s">
        <v>126</v>
      </c>
      <c r="H4592" t="s">
        <v>23</v>
      </c>
      <c r="I4592" t="s">
        <v>119</v>
      </c>
      <c r="J4592" t="s">
        <v>103</v>
      </c>
      <c r="K4592">
        <v>11</v>
      </c>
      <c r="L4592">
        <v>113300</v>
      </c>
      <c r="M4592">
        <v>1246300</v>
      </c>
      <c r="N4592" t="s">
        <v>108</v>
      </c>
      <c r="O4592" t="s">
        <v>104</v>
      </c>
    </row>
    <row r="4593" spans="1:15" x14ac:dyDescent="0.25">
      <c r="A4593">
        <v>228</v>
      </c>
      <c r="B4593" s="10">
        <v>45720</v>
      </c>
      <c r="C4593">
        <v>4</v>
      </c>
      <c r="D4593" t="s">
        <v>140</v>
      </c>
      <c r="E4593" t="s">
        <v>138</v>
      </c>
      <c r="F4593" t="s">
        <v>141</v>
      </c>
      <c r="G4593" t="s">
        <v>100</v>
      </c>
      <c r="H4593" t="s">
        <v>23</v>
      </c>
      <c r="I4593" t="s">
        <v>119</v>
      </c>
      <c r="J4593" t="s">
        <v>94</v>
      </c>
      <c r="K4593">
        <v>8</v>
      </c>
      <c r="L4593">
        <v>113500</v>
      </c>
      <c r="M4593">
        <v>908000</v>
      </c>
      <c r="N4593" t="s">
        <v>95</v>
      </c>
      <c r="O4593" t="s">
        <v>96</v>
      </c>
    </row>
    <row r="4594" spans="1:15" x14ac:dyDescent="0.25">
      <c r="A4594">
        <v>4590</v>
      </c>
      <c r="B4594" s="10">
        <v>45799</v>
      </c>
      <c r="C4594">
        <v>22</v>
      </c>
      <c r="D4594" t="s">
        <v>120</v>
      </c>
      <c r="E4594" t="s">
        <v>112</v>
      </c>
      <c r="F4594" t="s">
        <v>117</v>
      </c>
      <c r="G4594" t="s">
        <v>118</v>
      </c>
      <c r="H4594" t="s">
        <v>23</v>
      </c>
      <c r="I4594" t="s">
        <v>119</v>
      </c>
      <c r="J4594" t="s">
        <v>94</v>
      </c>
      <c r="K4594">
        <v>8</v>
      </c>
      <c r="L4594">
        <v>113500</v>
      </c>
      <c r="M4594">
        <v>908000</v>
      </c>
      <c r="N4594" t="s">
        <v>95</v>
      </c>
      <c r="O4594" t="s">
        <v>104</v>
      </c>
    </row>
    <row r="4595" spans="1:15" x14ac:dyDescent="0.25">
      <c r="A4595">
        <v>4413</v>
      </c>
      <c r="B4595" s="10">
        <v>45790</v>
      </c>
      <c r="C4595">
        <v>13</v>
      </c>
      <c r="D4595" t="s">
        <v>120</v>
      </c>
      <c r="E4595" t="s">
        <v>112</v>
      </c>
      <c r="F4595" t="s">
        <v>117</v>
      </c>
      <c r="G4595" t="s">
        <v>118</v>
      </c>
      <c r="H4595" t="s">
        <v>23</v>
      </c>
      <c r="I4595" t="s">
        <v>119</v>
      </c>
      <c r="J4595" t="s">
        <v>94</v>
      </c>
      <c r="K4595">
        <v>6</v>
      </c>
      <c r="L4595">
        <v>113600</v>
      </c>
      <c r="M4595">
        <v>681600</v>
      </c>
      <c r="N4595" t="s">
        <v>95</v>
      </c>
      <c r="O4595" t="s">
        <v>115</v>
      </c>
    </row>
    <row r="4596" spans="1:15" x14ac:dyDescent="0.25">
      <c r="A4596">
        <v>2964</v>
      </c>
      <c r="B4596" s="10">
        <v>46007</v>
      </c>
      <c r="C4596">
        <v>16</v>
      </c>
      <c r="D4596" t="s">
        <v>125</v>
      </c>
      <c r="E4596" t="s">
        <v>98</v>
      </c>
      <c r="F4596" t="s">
        <v>113</v>
      </c>
      <c r="G4596" t="s">
        <v>114</v>
      </c>
      <c r="H4596" t="s">
        <v>23</v>
      </c>
      <c r="I4596" t="s">
        <v>119</v>
      </c>
      <c r="J4596" t="s">
        <v>94</v>
      </c>
      <c r="K4596">
        <v>4</v>
      </c>
      <c r="L4596">
        <v>113700</v>
      </c>
      <c r="M4596">
        <v>454800</v>
      </c>
      <c r="N4596" t="s">
        <v>108</v>
      </c>
      <c r="O4596" t="s">
        <v>96</v>
      </c>
    </row>
    <row r="4597" spans="1:15" x14ac:dyDescent="0.25">
      <c r="A4597">
        <v>3593</v>
      </c>
      <c r="B4597" s="10">
        <v>45818</v>
      </c>
      <c r="C4597">
        <v>10</v>
      </c>
      <c r="D4597" t="s">
        <v>153</v>
      </c>
      <c r="E4597" t="s">
        <v>106</v>
      </c>
      <c r="F4597" t="s">
        <v>36</v>
      </c>
      <c r="G4597" t="s">
        <v>100</v>
      </c>
      <c r="H4597" t="s">
        <v>23</v>
      </c>
      <c r="I4597" t="s">
        <v>119</v>
      </c>
      <c r="J4597" t="s">
        <v>103</v>
      </c>
      <c r="K4597">
        <v>28</v>
      </c>
      <c r="L4597">
        <v>113700</v>
      </c>
      <c r="M4597">
        <v>3183600</v>
      </c>
      <c r="N4597" t="s">
        <v>108</v>
      </c>
      <c r="O4597" t="s">
        <v>104</v>
      </c>
    </row>
    <row r="4598" spans="1:15" x14ac:dyDescent="0.25">
      <c r="A4598">
        <v>3986</v>
      </c>
      <c r="B4598" s="10">
        <v>45896</v>
      </c>
      <c r="C4598">
        <v>27</v>
      </c>
      <c r="D4598" t="s">
        <v>109</v>
      </c>
      <c r="E4598" t="s">
        <v>106</v>
      </c>
      <c r="F4598" t="s">
        <v>28</v>
      </c>
      <c r="G4598" t="s">
        <v>126</v>
      </c>
      <c r="H4598" t="s">
        <v>92</v>
      </c>
      <c r="I4598" t="s">
        <v>154</v>
      </c>
      <c r="J4598" t="s">
        <v>103</v>
      </c>
      <c r="K4598">
        <v>16</v>
      </c>
      <c r="L4598">
        <v>114200</v>
      </c>
      <c r="M4598">
        <v>1827200</v>
      </c>
      <c r="N4598" t="s">
        <v>95</v>
      </c>
      <c r="O4598" t="s">
        <v>115</v>
      </c>
    </row>
    <row r="4599" spans="1:15" x14ac:dyDescent="0.25">
      <c r="A4599">
        <v>4554</v>
      </c>
      <c r="B4599" s="10">
        <v>45791</v>
      </c>
      <c r="C4599">
        <v>14</v>
      </c>
      <c r="D4599" t="s">
        <v>120</v>
      </c>
      <c r="E4599" t="s">
        <v>138</v>
      </c>
      <c r="F4599" t="s">
        <v>28</v>
      </c>
      <c r="G4599" t="s">
        <v>126</v>
      </c>
      <c r="H4599" t="s">
        <v>23</v>
      </c>
      <c r="I4599" t="s">
        <v>119</v>
      </c>
      <c r="J4599" t="s">
        <v>94</v>
      </c>
      <c r="K4599">
        <v>8</v>
      </c>
      <c r="L4599">
        <v>114200</v>
      </c>
      <c r="M4599">
        <v>913600</v>
      </c>
      <c r="N4599" t="s">
        <v>95</v>
      </c>
      <c r="O4599" t="s">
        <v>115</v>
      </c>
    </row>
    <row r="4600" spans="1:15" x14ac:dyDescent="0.25">
      <c r="A4600">
        <v>3997</v>
      </c>
      <c r="B4600" s="10">
        <v>45731</v>
      </c>
      <c r="C4600">
        <v>15</v>
      </c>
      <c r="D4600" t="s">
        <v>140</v>
      </c>
      <c r="E4600" t="s">
        <v>161</v>
      </c>
      <c r="F4600" t="s">
        <v>99</v>
      </c>
      <c r="G4600" t="s">
        <v>100</v>
      </c>
      <c r="H4600" t="s">
        <v>92</v>
      </c>
      <c r="I4600" t="s">
        <v>154</v>
      </c>
      <c r="J4600" t="s">
        <v>103</v>
      </c>
      <c r="K4600">
        <v>33</v>
      </c>
      <c r="L4600">
        <v>114300</v>
      </c>
      <c r="M4600">
        <v>3771900</v>
      </c>
      <c r="N4600" t="s">
        <v>108</v>
      </c>
      <c r="O4600" t="s">
        <v>115</v>
      </c>
    </row>
    <row r="4601" spans="1:15" x14ac:dyDescent="0.25">
      <c r="A4601">
        <v>4799</v>
      </c>
      <c r="B4601" s="10">
        <v>45781</v>
      </c>
      <c r="C4601">
        <v>4</v>
      </c>
      <c r="D4601" t="s">
        <v>120</v>
      </c>
      <c r="E4601" t="s">
        <v>121</v>
      </c>
      <c r="F4601" t="s">
        <v>49</v>
      </c>
      <c r="G4601" t="s">
        <v>118</v>
      </c>
      <c r="H4601" t="s">
        <v>92</v>
      </c>
      <c r="I4601" t="s">
        <v>154</v>
      </c>
      <c r="J4601" t="s">
        <v>103</v>
      </c>
      <c r="K4601">
        <v>9</v>
      </c>
      <c r="L4601">
        <v>114400</v>
      </c>
      <c r="M4601">
        <v>1029600</v>
      </c>
      <c r="N4601" t="s">
        <v>95</v>
      </c>
      <c r="O4601" t="s">
        <v>96</v>
      </c>
    </row>
    <row r="4602" spans="1:15" x14ac:dyDescent="0.25">
      <c r="A4602">
        <v>4351</v>
      </c>
      <c r="B4602" s="10">
        <v>45897</v>
      </c>
      <c r="C4602">
        <v>28</v>
      </c>
      <c r="D4602" t="s">
        <v>109</v>
      </c>
      <c r="E4602" t="s">
        <v>150</v>
      </c>
      <c r="F4602" t="s">
        <v>148</v>
      </c>
      <c r="G4602" t="s">
        <v>118</v>
      </c>
      <c r="H4602" t="s">
        <v>92</v>
      </c>
      <c r="I4602" t="s">
        <v>154</v>
      </c>
      <c r="J4602" t="s">
        <v>103</v>
      </c>
      <c r="K4602">
        <v>16</v>
      </c>
      <c r="L4602">
        <v>114500</v>
      </c>
      <c r="M4602">
        <v>1832000</v>
      </c>
      <c r="N4602" t="s">
        <v>95</v>
      </c>
      <c r="O4602" t="s">
        <v>96</v>
      </c>
    </row>
    <row r="4603" spans="1:15" x14ac:dyDescent="0.25">
      <c r="A4603">
        <v>1306</v>
      </c>
      <c r="B4603" s="10">
        <v>45733</v>
      </c>
      <c r="C4603">
        <v>17</v>
      </c>
      <c r="D4603" t="s">
        <v>140</v>
      </c>
      <c r="E4603" t="s">
        <v>128</v>
      </c>
      <c r="F4603" t="s">
        <v>151</v>
      </c>
      <c r="G4603" t="s">
        <v>111</v>
      </c>
      <c r="H4603" t="s">
        <v>23</v>
      </c>
      <c r="I4603" t="s">
        <v>119</v>
      </c>
      <c r="J4603" t="s">
        <v>94</v>
      </c>
      <c r="K4603">
        <v>8</v>
      </c>
      <c r="L4603">
        <v>114600</v>
      </c>
      <c r="M4603">
        <v>916800</v>
      </c>
      <c r="N4603" t="s">
        <v>95</v>
      </c>
      <c r="O4603" t="s">
        <v>104</v>
      </c>
    </row>
    <row r="4604" spans="1:15" x14ac:dyDescent="0.25">
      <c r="A4604">
        <v>4612</v>
      </c>
      <c r="B4604" s="10">
        <v>45826</v>
      </c>
      <c r="C4604">
        <v>18</v>
      </c>
      <c r="D4604" t="s">
        <v>153</v>
      </c>
      <c r="E4604" t="s">
        <v>98</v>
      </c>
      <c r="F4604" t="s">
        <v>44</v>
      </c>
      <c r="G4604" t="s">
        <v>111</v>
      </c>
      <c r="H4604" t="s">
        <v>92</v>
      </c>
      <c r="I4604" t="s">
        <v>154</v>
      </c>
      <c r="J4604" t="s">
        <v>103</v>
      </c>
      <c r="K4604">
        <v>21</v>
      </c>
      <c r="L4604">
        <v>114600</v>
      </c>
      <c r="M4604">
        <v>2406600</v>
      </c>
      <c r="N4604" t="s">
        <v>95</v>
      </c>
      <c r="O4604" t="s">
        <v>115</v>
      </c>
    </row>
    <row r="4605" spans="1:15" x14ac:dyDescent="0.25">
      <c r="A4605">
        <v>1558</v>
      </c>
      <c r="B4605" s="10">
        <v>45933</v>
      </c>
      <c r="C4605">
        <v>3</v>
      </c>
      <c r="D4605" t="s">
        <v>136</v>
      </c>
      <c r="E4605" t="s">
        <v>112</v>
      </c>
      <c r="F4605" t="s">
        <v>49</v>
      </c>
      <c r="G4605" t="s">
        <v>118</v>
      </c>
      <c r="H4605" t="s">
        <v>23</v>
      </c>
      <c r="I4605" t="s">
        <v>119</v>
      </c>
      <c r="J4605" t="s">
        <v>94</v>
      </c>
      <c r="K4605">
        <v>6</v>
      </c>
      <c r="L4605">
        <v>115200</v>
      </c>
      <c r="M4605">
        <v>691200</v>
      </c>
      <c r="N4605" t="s">
        <v>95</v>
      </c>
      <c r="O4605" t="s">
        <v>115</v>
      </c>
    </row>
    <row r="4606" spans="1:15" x14ac:dyDescent="0.25">
      <c r="A4606">
        <v>3185</v>
      </c>
      <c r="B4606" s="10">
        <v>45827</v>
      </c>
      <c r="C4606">
        <v>19</v>
      </c>
      <c r="D4606" t="s">
        <v>153</v>
      </c>
      <c r="E4606" t="s">
        <v>128</v>
      </c>
      <c r="F4606" t="s">
        <v>141</v>
      </c>
      <c r="G4606" t="s">
        <v>100</v>
      </c>
      <c r="H4606" t="s">
        <v>23</v>
      </c>
      <c r="I4606" t="s">
        <v>119</v>
      </c>
      <c r="J4606" t="s">
        <v>94</v>
      </c>
      <c r="K4606">
        <v>1</v>
      </c>
      <c r="L4606">
        <v>115300</v>
      </c>
      <c r="M4606">
        <v>115300</v>
      </c>
      <c r="N4606" t="s">
        <v>108</v>
      </c>
      <c r="O4606" t="s">
        <v>115</v>
      </c>
    </row>
    <row r="4607" spans="1:15" x14ac:dyDescent="0.25">
      <c r="A4607">
        <v>485</v>
      </c>
      <c r="B4607" s="10">
        <v>45808</v>
      </c>
      <c r="C4607">
        <v>31</v>
      </c>
      <c r="D4607" t="s">
        <v>120</v>
      </c>
      <c r="E4607" t="s">
        <v>133</v>
      </c>
      <c r="F4607" t="s">
        <v>141</v>
      </c>
      <c r="G4607" t="s">
        <v>100</v>
      </c>
      <c r="H4607" t="s">
        <v>23</v>
      </c>
      <c r="I4607" t="s">
        <v>119</v>
      </c>
      <c r="J4607" t="s">
        <v>94</v>
      </c>
      <c r="K4607">
        <v>10</v>
      </c>
      <c r="L4607">
        <v>115500</v>
      </c>
      <c r="M4607">
        <v>1155000</v>
      </c>
      <c r="N4607" t="s">
        <v>95</v>
      </c>
      <c r="O4607" t="s">
        <v>115</v>
      </c>
    </row>
    <row r="4608" spans="1:15" x14ac:dyDescent="0.25">
      <c r="A4608">
        <v>1175</v>
      </c>
      <c r="B4608" s="10">
        <v>45884</v>
      </c>
      <c r="C4608">
        <v>15</v>
      </c>
      <c r="D4608" t="s">
        <v>109</v>
      </c>
      <c r="E4608" t="s">
        <v>98</v>
      </c>
      <c r="F4608" t="s">
        <v>22</v>
      </c>
      <c r="G4608" t="s">
        <v>91</v>
      </c>
      <c r="H4608" t="s">
        <v>23</v>
      </c>
      <c r="I4608" t="s">
        <v>119</v>
      </c>
      <c r="J4608" t="s">
        <v>94</v>
      </c>
      <c r="K4608">
        <v>4</v>
      </c>
      <c r="L4608">
        <v>115500</v>
      </c>
      <c r="M4608">
        <v>462000</v>
      </c>
      <c r="N4608" t="s">
        <v>95</v>
      </c>
      <c r="O4608" t="s">
        <v>96</v>
      </c>
    </row>
    <row r="4609" spans="1:15" x14ac:dyDescent="0.25">
      <c r="A4609">
        <v>2601</v>
      </c>
      <c r="B4609" s="10">
        <v>45817</v>
      </c>
      <c r="C4609">
        <v>9</v>
      </c>
      <c r="D4609" t="s">
        <v>153</v>
      </c>
      <c r="E4609" t="s">
        <v>128</v>
      </c>
      <c r="F4609" t="s">
        <v>141</v>
      </c>
      <c r="G4609" t="s">
        <v>100</v>
      </c>
      <c r="H4609" t="s">
        <v>92</v>
      </c>
      <c r="I4609" t="s">
        <v>154</v>
      </c>
      <c r="J4609" t="s">
        <v>103</v>
      </c>
      <c r="K4609">
        <v>21</v>
      </c>
      <c r="L4609">
        <v>115500</v>
      </c>
      <c r="M4609">
        <v>2425500</v>
      </c>
      <c r="N4609" t="s">
        <v>95</v>
      </c>
      <c r="O4609" t="s">
        <v>104</v>
      </c>
    </row>
    <row r="4610" spans="1:15" x14ac:dyDescent="0.25">
      <c r="A4610">
        <v>2340</v>
      </c>
      <c r="B4610" s="10">
        <v>45751</v>
      </c>
      <c r="C4610">
        <v>4</v>
      </c>
      <c r="D4610" t="s">
        <v>105</v>
      </c>
      <c r="E4610" t="s">
        <v>161</v>
      </c>
      <c r="F4610" t="s">
        <v>151</v>
      </c>
      <c r="G4610" t="s">
        <v>111</v>
      </c>
      <c r="H4610" t="s">
        <v>23</v>
      </c>
      <c r="I4610" t="s">
        <v>119</v>
      </c>
      <c r="J4610" t="s">
        <v>94</v>
      </c>
      <c r="K4610">
        <v>2</v>
      </c>
      <c r="L4610">
        <v>116000</v>
      </c>
      <c r="M4610">
        <v>232000</v>
      </c>
      <c r="N4610" t="s">
        <v>108</v>
      </c>
      <c r="O4610" t="s">
        <v>96</v>
      </c>
    </row>
    <row r="4611" spans="1:15" x14ac:dyDescent="0.25">
      <c r="A4611">
        <v>2878</v>
      </c>
      <c r="B4611" s="10">
        <v>45755</v>
      </c>
      <c r="C4611">
        <v>8</v>
      </c>
      <c r="D4611" t="s">
        <v>105</v>
      </c>
      <c r="E4611" t="s">
        <v>112</v>
      </c>
      <c r="F4611" t="s">
        <v>117</v>
      </c>
      <c r="G4611" t="s">
        <v>118</v>
      </c>
      <c r="H4611" t="s">
        <v>23</v>
      </c>
      <c r="I4611" t="s">
        <v>119</v>
      </c>
      <c r="J4611" t="s">
        <v>94</v>
      </c>
      <c r="K4611">
        <v>3</v>
      </c>
      <c r="L4611">
        <v>116000</v>
      </c>
      <c r="M4611">
        <v>348000</v>
      </c>
      <c r="N4611" t="s">
        <v>95</v>
      </c>
      <c r="O4611" t="s">
        <v>104</v>
      </c>
    </row>
    <row r="4612" spans="1:15" x14ac:dyDescent="0.25">
      <c r="A4612">
        <v>4591</v>
      </c>
      <c r="B4612" s="10">
        <v>45798</v>
      </c>
      <c r="C4612">
        <v>21</v>
      </c>
      <c r="D4612" t="s">
        <v>120</v>
      </c>
      <c r="E4612" t="s">
        <v>31</v>
      </c>
      <c r="F4612" t="s">
        <v>113</v>
      </c>
      <c r="G4612" t="s">
        <v>114</v>
      </c>
      <c r="H4612" t="s">
        <v>23</v>
      </c>
      <c r="I4612" t="s">
        <v>119</v>
      </c>
      <c r="J4612" t="s">
        <v>94</v>
      </c>
      <c r="K4612">
        <v>3</v>
      </c>
      <c r="L4612">
        <v>116300</v>
      </c>
      <c r="M4612">
        <v>348900</v>
      </c>
      <c r="N4612" t="s">
        <v>108</v>
      </c>
      <c r="O4612" t="s">
        <v>104</v>
      </c>
    </row>
    <row r="4613" spans="1:15" x14ac:dyDescent="0.25">
      <c r="A4613">
        <v>31</v>
      </c>
      <c r="B4613" s="10">
        <v>45894</v>
      </c>
      <c r="C4613">
        <v>25</v>
      </c>
      <c r="D4613" t="s">
        <v>109</v>
      </c>
      <c r="E4613" t="s">
        <v>106</v>
      </c>
      <c r="F4613" t="s">
        <v>141</v>
      </c>
      <c r="G4613" t="s">
        <v>100</v>
      </c>
      <c r="H4613" t="s">
        <v>23</v>
      </c>
      <c r="I4613" t="s">
        <v>119</v>
      </c>
      <c r="J4613" t="s">
        <v>94</v>
      </c>
      <c r="K4613">
        <v>1</v>
      </c>
      <c r="L4613">
        <v>116400</v>
      </c>
      <c r="M4613">
        <v>116400</v>
      </c>
      <c r="N4613" t="s">
        <v>95</v>
      </c>
      <c r="O4613" t="s">
        <v>104</v>
      </c>
    </row>
    <row r="4614" spans="1:15" x14ac:dyDescent="0.25">
      <c r="A4614">
        <v>1843</v>
      </c>
      <c r="B4614" s="10">
        <v>45864</v>
      </c>
      <c r="C4614">
        <v>26</v>
      </c>
      <c r="D4614" t="s">
        <v>145</v>
      </c>
      <c r="E4614" t="s">
        <v>25</v>
      </c>
      <c r="F4614" t="s">
        <v>113</v>
      </c>
      <c r="G4614" t="s">
        <v>114</v>
      </c>
      <c r="H4614" t="s">
        <v>23</v>
      </c>
      <c r="I4614" t="s">
        <v>119</v>
      </c>
      <c r="J4614" t="s">
        <v>94</v>
      </c>
      <c r="K4614">
        <v>9</v>
      </c>
      <c r="L4614">
        <v>116700</v>
      </c>
      <c r="M4614">
        <v>1050300</v>
      </c>
      <c r="N4614" t="s">
        <v>95</v>
      </c>
      <c r="O4614" t="s">
        <v>96</v>
      </c>
    </row>
    <row r="4615" spans="1:15" x14ac:dyDescent="0.25">
      <c r="A4615">
        <v>850</v>
      </c>
      <c r="B4615" s="10">
        <v>45734</v>
      </c>
      <c r="C4615">
        <v>18</v>
      </c>
      <c r="D4615" t="s">
        <v>140</v>
      </c>
      <c r="E4615" t="s">
        <v>128</v>
      </c>
      <c r="F4615" t="s">
        <v>148</v>
      </c>
      <c r="G4615" t="s">
        <v>118</v>
      </c>
      <c r="H4615" t="s">
        <v>23</v>
      </c>
      <c r="I4615" t="s">
        <v>119</v>
      </c>
      <c r="J4615" t="s">
        <v>94</v>
      </c>
      <c r="K4615">
        <v>1</v>
      </c>
      <c r="L4615">
        <v>116800</v>
      </c>
      <c r="M4615">
        <v>116800</v>
      </c>
      <c r="N4615" t="s">
        <v>108</v>
      </c>
      <c r="O4615" t="s">
        <v>96</v>
      </c>
    </row>
    <row r="4616" spans="1:15" x14ac:dyDescent="0.25">
      <c r="A4616">
        <v>626</v>
      </c>
      <c r="B4616" s="10">
        <v>45945</v>
      </c>
      <c r="C4616">
        <v>15</v>
      </c>
      <c r="D4616" t="s">
        <v>136</v>
      </c>
      <c r="E4616" t="s">
        <v>121</v>
      </c>
      <c r="F4616" t="s">
        <v>148</v>
      </c>
      <c r="G4616" t="s">
        <v>118</v>
      </c>
      <c r="H4616" t="s">
        <v>23</v>
      </c>
      <c r="I4616" t="s">
        <v>119</v>
      </c>
      <c r="J4616" t="s">
        <v>94</v>
      </c>
      <c r="K4616">
        <v>3</v>
      </c>
      <c r="L4616">
        <v>116900</v>
      </c>
      <c r="M4616">
        <v>350700</v>
      </c>
      <c r="N4616" t="s">
        <v>95</v>
      </c>
      <c r="O4616" t="s">
        <v>104</v>
      </c>
    </row>
    <row r="4617" spans="1:15" x14ac:dyDescent="0.25">
      <c r="A4617">
        <v>2507</v>
      </c>
      <c r="B4617" s="10">
        <v>45829</v>
      </c>
      <c r="C4617">
        <v>21</v>
      </c>
      <c r="D4617" t="s">
        <v>153</v>
      </c>
      <c r="E4617" t="s">
        <v>137</v>
      </c>
      <c r="F4617" t="s">
        <v>113</v>
      </c>
      <c r="G4617" t="s">
        <v>114</v>
      </c>
      <c r="H4617" t="s">
        <v>23</v>
      </c>
      <c r="I4617" t="s">
        <v>119</v>
      </c>
      <c r="J4617" t="s">
        <v>103</v>
      </c>
      <c r="K4617">
        <v>34</v>
      </c>
      <c r="L4617">
        <v>117000</v>
      </c>
      <c r="M4617">
        <v>3978000</v>
      </c>
      <c r="N4617" t="s">
        <v>108</v>
      </c>
      <c r="O4617" t="s">
        <v>96</v>
      </c>
    </row>
    <row r="4618" spans="1:15" x14ac:dyDescent="0.25">
      <c r="A4618">
        <v>557</v>
      </c>
      <c r="B4618" s="10">
        <v>45860</v>
      </c>
      <c r="C4618">
        <v>22</v>
      </c>
      <c r="D4618" t="s">
        <v>145</v>
      </c>
      <c r="E4618" t="s">
        <v>121</v>
      </c>
      <c r="F4618" t="s">
        <v>122</v>
      </c>
      <c r="G4618" t="s">
        <v>114</v>
      </c>
      <c r="H4618" t="s">
        <v>23</v>
      </c>
      <c r="I4618" t="s">
        <v>119</v>
      </c>
      <c r="J4618" t="s">
        <v>94</v>
      </c>
      <c r="K4618">
        <v>9</v>
      </c>
      <c r="L4618">
        <v>117100</v>
      </c>
      <c r="M4618">
        <v>1053900</v>
      </c>
      <c r="N4618" t="s">
        <v>95</v>
      </c>
      <c r="O4618" t="s">
        <v>104</v>
      </c>
    </row>
    <row r="4619" spans="1:15" x14ac:dyDescent="0.25">
      <c r="A4619">
        <v>2950</v>
      </c>
      <c r="B4619" s="10">
        <v>45942</v>
      </c>
      <c r="C4619">
        <v>12</v>
      </c>
      <c r="D4619" t="s">
        <v>136</v>
      </c>
      <c r="E4619" t="s">
        <v>142</v>
      </c>
      <c r="F4619" t="s">
        <v>22</v>
      </c>
      <c r="G4619" t="s">
        <v>91</v>
      </c>
      <c r="H4619" t="s">
        <v>92</v>
      </c>
      <c r="I4619" t="s">
        <v>154</v>
      </c>
      <c r="J4619" t="s">
        <v>103</v>
      </c>
      <c r="K4619">
        <v>14</v>
      </c>
      <c r="L4619">
        <v>117100</v>
      </c>
      <c r="M4619">
        <v>1639400</v>
      </c>
      <c r="N4619" t="s">
        <v>108</v>
      </c>
      <c r="O4619" t="s">
        <v>96</v>
      </c>
    </row>
    <row r="4620" spans="1:15" x14ac:dyDescent="0.25">
      <c r="A4620">
        <v>131</v>
      </c>
      <c r="B4620" s="10">
        <v>45788</v>
      </c>
      <c r="C4620">
        <v>11</v>
      </c>
      <c r="D4620" t="s">
        <v>120</v>
      </c>
      <c r="E4620" t="s">
        <v>133</v>
      </c>
      <c r="F4620" t="s">
        <v>44</v>
      </c>
      <c r="G4620" t="s">
        <v>111</v>
      </c>
      <c r="H4620" t="s">
        <v>92</v>
      </c>
      <c r="I4620" t="s">
        <v>154</v>
      </c>
      <c r="J4620" t="s">
        <v>103</v>
      </c>
      <c r="K4620">
        <v>23</v>
      </c>
      <c r="L4620">
        <v>117600</v>
      </c>
      <c r="M4620">
        <v>2704800</v>
      </c>
      <c r="N4620" t="s">
        <v>95</v>
      </c>
      <c r="O4620" t="s">
        <v>104</v>
      </c>
    </row>
    <row r="4621" spans="1:15" x14ac:dyDescent="0.25">
      <c r="A4621">
        <v>2940</v>
      </c>
      <c r="B4621" s="10">
        <v>45733</v>
      </c>
      <c r="C4621">
        <v>17</v>
      </c>
      <c r="D4621" t="s">
        <v>140</v>
      </c>
      <c r="E4621" t="s">
        <v>133</v>
      </c>
      <c r="F4621" t="s">
        <v>49</v>
      </c>
      <c r="G4621" t="s">
        <v>118</v>
      </c>
      <c r="H4621" t="s">
        <v>23</v>
      </c>
      <c r="I4621" t="s">
        <v>119</v>
      </c>
      <c r="J4621" t="s">
        <v>94</v>
      </c>
      <c r="K4621">
        <v>5</v>
      </c>
      <c r="L4621">
        <v>117600</v>
      </c>
      <c r="M4621">
        <v>588000</v>
      </c>
      <c r="N4621" t="s">
        <v>95</v>
      </c>
      <c r="O4621" t="s">
        <v>115</v>
      </c>
    </row>
    <row r="4622" spans="1:15" x14ac:dyDescent="0.25">
      <c r="A4622">
        <v>3739</v>
      </c>
      <c r="B4622" s="10">
        <v>45866</v>
      </c>
      <c r="C4622">
        <v>28</v>
      </c>
      <c r="D4622" t="s">
        <v>145</v>
      </c>
      <c r="E4622" t="s">
        <v>121</v>
      </c>
      <c r="F4622" t="s">
        <v>107</v>
      </c>
      <c r="G4622" t="s">
        <v>100</v>
      </c>
      <c r="H4622" t="s">
        <v>23</v>
      </c>
      <c r="I4622" t="s">
        <v>119</v>
      </c>
      <c r="J4622" t="s">
        <v>94</v>
      </c>
      <c r="K4622">
        <v>6</v>
      </c>
      <c r="L4622">
        <v>117800</v>
      </c>
      <c r="M4622">
        <v>706800</v>
      </c>
      <c r="N4622" t="s">
        <v>108</v>
      </c>
      <c r="O4622" t="s">
        <v>104</v>
      </c>
    </row>
    <row r="4623" spans="1:15" x14ac:dyDescent="0.25">
      <c r="A4623">
        <v>4358</v>
      </c>
      <c r="B4623" s="10">
        <v>45903</v>
      </c>
      <c r="C4623">
        <v>3</v>
      </c>
      <c r="D4623" t="s">
        <v>147</v>
      </c>
      <c r="E4623" t="s">
        <v>161</v>
      </c>
      <c r="F4623" t="s">
        <v>44</v>
      </c>
      <c r="G4623" t="s">
        <v>111</v>
      </c>
      <c r="H4623" t="s">
        <v>23</v>
      </c>
      <c r="I4623" t="s">
        <v>119</v>
      </c>
      <c r="J4623" t="s">
        <v>94</v>
      </c>
      <c r="K4623">
        <v>8</v>
      </c>
      <c r="L4623">
        <v>118100</v>
      </c>
      <c r="M4623">
        <v>944800</v>
      </c>
      <c r="N4623" t="s">
        <v>95</v>
      </c>
      <c r="O4623" t="s">
        <v>104</v>
      </c>
    </row>
    <row r="4624" spans="1:15" x14ac:dyDescent="0.25">
      <c r="A4624">
        <v>911</v>
      </c>
      <c r="B4624" s="10">
        <v>45715</v>
      </c>
      <c r="C4624">
        <v>27</v>
      </c>
      <c r="D4624" t="s">
        <v>97</v>
      </c>
      <c r="E4624" t="s">
        <v>112</v>
      </c>
      <c r="F4624" t="s">
        <v>113</v>
      </c>
      <c r="G4624" t="s">
        <v>114</v>
      </c>
      <c r="H4624" t="s">
        <v>23</v>
      </c>
      <c r="I4624" t="s">
        <v>119</v>
      </c>
      <c r="J4624" t="s">
        <v>94</v>
      </c>
      <c r="K4624">
        <v>9</v>
      </c>
      <c r="L4624">
        <v>118200</v>
      </c>
      <c r="M4624">
        <v>1063800</v>
      </c>
      <c r="N4624" t="s">
        <v>95</v>
      </c>
      <c r="O4624" t="s">
        <v>115</v>
      </c>
    </row>
    <row r="4625" spans="1:15" x14ac:dyDescent="0.25">
      <c r="A4625">
        <v>1038</v>
      </c>
      <c r="B4625" s="10">
        <v>45874</v>
      </c>
      <c r="C4625">
        <v>5</v>
      </c>
      <c r="D4625" t="s">
        <v>109</v>
      </c>
      <c r="E4625" t="s">
        <v>137</v>
      </c>
      <c r="F4625" t="s">
        <v>28</v>
      </c>
      <c r="G4625" t="s">
        <v>126</v>
      </c>
      <c r="H4625" t="s">
        <v>92</v>
      </c>
      <c r="I4625" t="s">
        <v>154</v>
      </c>
      <c r="J4625" t="s">
        <v>103</v>
      </c>
      <c r="K4625">
        <v>21</v>
      </c>
      <c r="L4625">
        <v>118200</v>
      </c>
      <c r="M4625">
        <v>2482200</v>
      </c>
      <c r="N4625" t="s">
        <v>108</v>
      </c>
      <c r="O4625" t="s">
        <v>104</v>
      </c>
    </row>
    <row r="4626" spans="1:15" x14ac:dyDescent="0.25">
      <c r="A4626">
        <v>2220</v>
      </c>
      <c r="B4626" s="10">
        <v>45987</v>
      </c>
      <c r="C4626">
        <v>26</v>
      </c>
      <c r="D4626" t="s">
        <v>90</v>
      </c>
      <c r="E4626" t="s">
        <v>150</v>
      </c>
      <c r="F4626" t="s">
        <v>49</v>
      </c>
      <c r="G4626" t="s">
        <v>118</v>
      </c>
      <c r="H4626" t="s">
        <v>23</v>
      </c>
      <c r="I4626" t="s">
        <v>119</v>
      </c>
      <c r="J4626" t="s">
        <v>94</v>
      </c>
      <c r="K4626">
        <v>2</v>
      </c>
      <c r="L4626">
        <v>118500</v>
      </c>
      <c r="M4626">
        <v>237000</v>
      </c>
      <c r="N4626" t="s">
        <v>95</v>
      </c>
      <c r="O4626" t="s">
        <v>96</v>
      </c>
    </row>
    <row r="4627" spans="1:15" x14ac:dyDescent="0.25">
      <c r="A4627">
        <v>6</v>
      </c>
      <c r="B4627" s="10">
        <v>45967</v>
      </c>
      <c r="C4627">
        <v>6</v>
      </c>
      <c r="D4627" t="s">
        <v>90</v>
      </c>
      <c r="E4627" t="s">
        <v>116</v>
      </c>
      <c r="F4627" t="s">
        <v>117</v>
      </c>
      <c r="G4627" t="s">
        <v>118</v>
      </c>
      <c r="H4627" t="s">
        <v>23</v>
      </c>
      <c r="I4627" t="s">
        <v>119</v>
      </c>
      <c r="J4627" t="s">
        <v>94</v>
      </c>
      <c r="K4627">
        <v>7</v>
      </c>
      <c r="L4627">
        <v>118600</v>
      </c>
      <c r="M4627">
        <v>830200</v>
      </c>
      <c r="N4627" t="s">
        <v>95</v>
      </c>
      <c r="O4627" t="s">
        <v>96</v>
      </c>
    </row>
    <row r="4628" spans="1:15" x14ac:dyDescent="0.25">
      <c r="A4628">
        <v>1350</v>
      </c>
      <c r="B4628" s="10">
        <v>45938</v>
      </c>
      <c r="C4628">
        <v>8</v>
      </c>
      <c r="D4628" t="s">
        <v>136</v>
      </c>
      <c r="E4628" t="s">
        <v>121</v>
      </c>
      <c r="F4628" t="s">
        <v>117</v>
      </c>
      <c r="G4628" t="s">
        <v>118</v>
      </c>
      <c r="H4628" t="s">
        <v>23</v>
      </c>
      <c r="I4628" t="s">
        <v>119</v>
      </c>
      <c r="J4628" t="s">
        <v>94</v>
      </c>
      <c r="K4628">
        <v>8</v>
      </c>
      <c r="L4628">
        <v>118700</v>
      </c>
      <c r="M4628">
        <v>949600</v>
      </c>
      <c r="N4628" t="s">
        <v>108</v>
      </c>
      <c r="O4628" t="s">
        <v>104</v>
      </c>
    </row>
    <row r="4629" spans="1:15" x14ac:dyDescent="0.25">
      <c r="A4629">
        <v>1694</v>
      </c>
      <c r="B4629" s="10">
        <v>45748</v>
      </c>
      <c r="C4629">
        <v>1</v>
      </c>
      <c r="D4629" t="s">
        <v>105</v>
      </c>
      <c r="E4629" t="s">
        <v>133</v>
      </c>
      <c r="F4629" t="s">
        <v>107</v>
      </c>
      <c r="G4629" t="s">
        <v>100</v>
      </c>
      <c r="H4629" t="s">
        <v>92</v>
      </c>
      <c r="I4629" t="s">
        <v>154</v>
      </c>
      <c r="J4629" t="s">
        <v>103</v>
      </c>
      <c r="K4629">
        <v>15</v>
      </c>
      <c r="L4629">
        <v>118900</v>
      </c>
      <c r="M4629">
        <v>1783500</v>
      </c>
      <c r="N4629" t="s">
        <v>95</v>
      </c>
      <c r="O4629" t="s">
        <v>115</v>
      </c>
    </row>
    <row r="4630" spans="1:15" x14ac:dyDescent="0.25">
      <c r="A4630">
        <v>1768</v>
      </c>
      <c r="B4630" s="10">
        <v>45836</v>
      </c>
      <c r="C4630">
        <v>28</v>
      </c>
      <c r="D4630" t="s">
        <v>153</v>
      </c>
      <c r="E4630" t="s">
        <v>128</v>
      </c>
      <c r="F4630" t="s">
        <v>49</v>
      </c>
      <c r="G4630" t="s">
        <v>118</v>
      </c>
      <c r="H4630" t="s">
        <v>23</v>
      </c>
      <c r="I4630" t="s">
        <v>119</v>
      </c>
      <c r="J4630" t="s">
        <v>94</v>
      </c>
      <c r="K4630">
        <v>2</v>
      </c>
      <c r="L4630">
        <v>118900</v>
      </c>
      <c r="M4630">
        <v>237800</v>
      </c>
      <c r="N4630" t="s">
        <v>108</v>
      </c>
      <c r="O4630" t="s">
        <v>115</v>
      </c>
    </row>
    <row r="4631" spans="1:15" x14ac:dyDescent="0.25">
      <c r="A4631">
        <v>2088</v>
      </c>
      <c r="B4631" s="10">
        <v>45989</v>
      </c>
      <c r="C4631">
        <v>28</v>
      </c>
      <c r="D4631" t="s">
        <v>90</v>
      </c>
      <c r="E4631" t="s">
        <v>138</v>
      </c>
      <c r="F4631" t="s">
        <v>22</v>
      </c>
      <c r="G4631" t="s">
        <v>91</v>
      </c>
      <c r="H4631" t="s">
        <v>23</v>
      </c>
      <c r="I4631" t="s">
        <v>119</v>
      </c>
      <c r="J4631" t="s">
        <v>94</v>
      </c>
      <c r="K4631">
        <v>1</v>
      </c>
      <c r="L4631">
        <v>119100</v>
      </c>
      <c r="M4631">
        <v>119100</v>
      </c>
      <c r="N4631" t="s">
        <v>95</v>
      </c>
      <c r="O4631" t="s">
        <v>115</v>
      </c>
    </row>
    <row r="4632" spans="1:15" x14ac:dyDescent="0.25">
      <c r="A4632">
        <v>2270</v>
      </c>
      <c r="B4632" s="10">
        <v>45834</v>
      </c>
      <c r="C4632">
        <v>26</v>
      </c>
      <c r="D4632" t="s">
        <v>153</v>
      </c>
      <c r="E4632" t="s">
        <v>128</v>
      </c>
      <c r="F4632" t="s">
        <v>134</v>
      </c>
      <c r="G4632" t="s">
        <v>100</v>
      </c>
      <c r="H4632" t="s">
        <v>23</v>
      </c>
      <c r="I4632" t="s">
        <v>119</v>
      </c>
      <c r="J4632" t="s">
        <v>94</v>
      </c>
      <c r="K4632">
        <v>8</v>
      </c>
      <c r="L4632">
        <v>119500</v>
      </c>
      <c r="M4632">
        <v>956000</v>
      </c>
      <c r="N4632" t="s">
        <v>95</v>
      </c>
      <c r="O4632" t="s">
        <v>104</v>
      </c>
    </row>
    <row r="4633" spans="1:15" x14ac:dyDescent="0.25">
      <c r="A4633">
        <v>533</v>
      </c>
      <c r="B4633" s="10">
        <v>45664</v>
      </c>
      <c r="C4633">
        <v>7</v>
      </c>
      <c r="D4633" t="s">
        <v>130</v>
      </c>
      <c r="E4633" t="s">
        <v>137</v>
      </c>
      <c r="F4633" t="s">
        <v>28</v>
      </c>
      <c r="G4633" t="s">
        <v>126</v>
      </c>
      <c r="H4633" t="s">
        <v>23</v>
      </c>
      <c r="I4633" t="s">
        <v>119</v>
      </c>
      <c r="J4633" t="s">
        <v>94</v>
      </c>
      <c r="K4633">
        <v>1</v>
      </c>
      <c r="L4633">
        <v>119600</v>
      </c>
      <c r="M4633">
        <v>119600</v>
      </c>
      <c r="N4633" t="s">
        <v>95</v>
      </c>
      <c r="O4633" t="s">
        <v>104</v>
      </c>
    </row>
    <row r="4634" spans="1:15" x14ac:dyDescent="0.25">
      <c r="A4634">
        <v>4347</v>
      </c>
      <c r="B4634" s="10">
        <v>46011</v>
      </c>
      <c r="C4634">
        <v>20</v>
      </c>
      <c r="D4634" t="s">
        <v>125</v>
      </c>
      <c r="E4634" t="s">
        <v>133</v>
      </c>
      <c r="F4634" t="s">
        <v>22</v>
      </c>
      <c r="G4634" t="s">
        <v>91</v>
      </c>
      <c r="H4634" t="s">
        <v>23</v>
      </c>
      <c r="I4634" t="s">
        <v>119</v>
      </c>
      <c r="J4634" t="s">
        <v>94</v>
      </c>
      <c r="K4634">
        <v>6</v>
      </c>
      <c r="L4634">
        <v>119700</v>
      </c>
      <c r="M4634">
        <v>718200</v>
      </c>
      <c r="N4634" t="s">
        <v>95</v>
      </c>
      <c r="O4634" t="s">
        <v>104</v>
      </c>
    </row>
    <row r="4635" spans="1:15" x14ac:dyDescent="0.25">
      <c r="A4635">
        <v>3644</v>
      </c>
      <c r="B4635" s="10">
        <v>45758</v>
      </c>
      <c r="C4635">
        <v>11</v>
      </c>
      <c r="D4635" t="s">
        <v>105</v>
      </c>
      <c r="E4635" t="s">
        <v>98</v>
      </c>
      <c r="F4635" t="s">
        <v>99</v>
      </c>
      <c r="G4635" t="s">
        <v>100</v>
      </c>
      <c r="H4635" t="s">
        <v>23</v>
      </c>
      <c r="I4635" t="s">
        <v>119</v>
      </c>
      <c r="J4635" t="s">
        <v>94</v>
      </c>
      <c r="K4635">
        <v>7</v>
      </c>
      <c r="L4635">
        <v>119800</v>
      </c>
      <c r="M4635">
        <v>838600</v>
      </c>
      <c r="N4635" t="s">
        <v>95</v>
      </c>
      <c r="O4635" t="s">
        <v>115</v>
      </c>
    </row>
    <row r="4636" spans="1:15" x14ac:dyDescent="0.25">
      <c r="A4636">
        <v>1197</v>
      </c>
      <c r="B4636" s="10">
        <v>45743</v>
      </c>
      <c r="C4636">
        <v>27</v>
      </c>
      <c r="D4636" t="s">
        <v>140</v>
      </c>
      <c r="E4636" t="s">
        <v>31</v>
      </c>
      <c r="F4636" t="s">
        <v>44</v>
      </c>
      <c r="G4636" t="s">
        <v>111</v>
      </c>
      <c r="H4636" t="s">
        <v>23</v>
      </c>
      <c r="I4636" t="s">
        <v>119</v>
      </c>
      <c r="J4636" t="s">
        <v>94</v>
      </c>
      <c r="K4636">
        <v>5</v>
      </c>
      <c r="L4636">
        <v>119900</v>
      </c>
      <c r="M4636">
        <v>599500</v>
      </c>
      <c r="N4636" t="s">
        <v>95</v>
      </c>
      <c r="O4636" t="s">
        <v>115</v>
      </c>
    </row>
    <row r="4637" spans="1:15" x14ac:dyDescent="0.25">
      <c r="A4637">
        <v>4332</v>
      </c>
      <c r="B4637" s="10">
        <v>45937</v>
      </c>
      <c r="C4637">
        <v>7</v>
      </c>
      <c r="D4637" t="s">
        <v>136</v>
      </c>
      <c r="E4637" t="s">
        <v>98</v>
      </c>
      <c r="F4637" t="s">
        <v>107</v>
      </c>
      <c r="G4637" t="s">
        <v>100</v>
      </c>
      <c r="H4637" t="s">
        <v>92</v>
      </c>
      <c r="I4637" t="s">
        <v>154</v>
      </c>
      <c r="J4637" t="s">
        <v>103</v>
      </c>
      <c r="K4637">
        <v>48</v>
      </c>
      <c r="L4637">
        <v>120100</v>
      </c>
      <c r="M4637">
        <v>5764800</v>
      </c>
      <c r="N4637" t="s">
        <v>108</v>
      </c>
      <c r="O4637" t="s">
        <v>115</v>
      </c>
    </row>
    <row r="4638" spans="1:15" x14ac:dyDescent="0.25">
      <c r="A4638">
        <v>2989</v>
      </c>
      <c r="B4638" s="10">
        <v>45684</v>
      </c>
      <c r="C4638">
        <v>27</v>
      </c>
      <c r="D4638" t="s">
        <v>130</v>
      </c>
      <c r="E4638" t="s">
        <v>142</v>
      </c>
      <c r="F4638" t="s">
        <v>144</v>
      </c>
      <c r="G4638" t="s">
        <v>91</v>
      </c>
      <c r="H4638" t="s">
        <v>92</v>
      </c>
      <c r="I4638" t="s">
        <v>154</v>
      </c>
      <c r="J4638" t="s">
        <v>103</v>
      </c>
      <c r="K4638">
        <v>38</v>
      </c>
      <c r="L4638">
        <v>120300</v>
      </c>
      <c r="M4638">
        <v>4571400</v>
      </c>
      <c r="N4638" t="s">
        <v>108</v>
      </c>
      <c r="O4638" t="s">
        <v>96</v>
      </c>
    </row>
    <row r="4639" spans="1:15" x14ac:dyDescent="0.25">
      <c r="A4639">
        <v>3262</v>
      </c>
      <c r="B4639" s="10">
        <v>45664</v>
      </c>
      <c r="C4639">
        <v>7</v>
      </c>
      <c r="D4639" t="s">
        <v>130</v>
      </c>
      <c r="E4639" t="s">
        <v>116</v>
      </c>
      <c r="F4639" t="s">
        <v>113</v>
      </c>
      <c r="G4639" t="s">
        <v>114</v>
      </c>
      <c r="H4639" t="s">
        <v>23</v>
      </c>
      <c r="I4639" t="s">
        <v>119</v>
      </c>
      <c r="J4639" t="s">
        <v>94</v>
      </c>
      <c r="K4639">
        <v>6</v>
      </c>
      <c r="L4639">
        <v>120300</v>
      </c>
      <c r="M4639">
        <v>721800</v>
      </c>
      <c r="N4639" t="s">
        <v>108</v>
      </c>
      <c r="O4639" t="s">
        <v>96</v>
      </c>
    </row>
    <row r="4640" spans="1:15" x14ac:dyDescent="0.25">
      <c r="A4640">
        <v>2720</v>
      </c>
      <c r="B4640" s="10">
        <v>45806</v>
      </c>
      <c r="C4640">
        <v>29</v>
      </c>
      <c r="D4640" t="s">
        <v>120</v>
      </c>
      <c r="E4640" t="s">
        <v>138</v>
      </c>
      <c r="F4640" t="s">
        <v>36</v>
      </c>
      <c r="G4640" t="s">
        <v>100</v>
      </c>
      <c r="H4640" t="s">
        <v>23</v>
      </c>
      <c r="I4640" t="s">
        <v>119</v>
      </c>
      <c r="J4640" t="s">
        <v>94</v>
      </c>
      <c r="K4640">
        <v>7</v>
      </c>
      <c r="L4640">
        <v>120700</v>
      </c>
      <c r="M4640">
        <v>844900</v>
      </c>
      <c r="N4640" t="s">
        <v>108</v>
      </c>
      <c r="O4640" t="s">
        <v>96</v>
      </c>
    </row>
    <row r="4641" spans="1:15" x14ac:dyDescent="0.25">
      <c r="A4641">
        <v>4720</v>
      </c>
      <c r="B4641" s="10">
        <v>45676</v>
      </c>
      <c r="C4641">
        <v>19</v>
      </c>
      <c r="D4641" t="s">
        <v>130</v>
      </c>
      <c r="E4641" t="s">
        <v>150</v>
      </c>
      <c r="F4641" t="s">
        <v>148</v>
      </c>
      <c r="G4641" t="s">
        <v>118</v>
      </c>
      <c r="H4641" t="s">
        <v>23</v>
      </c>
      <c r="I4641" t="s">
        <v>119</v>
      </c>
      <c r="J4641" t="s">
        <v>94</v>
      </c>
      <c r="K4641">
        <v>10</v>
      </c>
      <c r="L4641">
        <v>120700</v>
      </c>
      <c r="M4641">
        <v>1207000</v>
      </c>
      <c r="N4641" t="s">
        <v>95</v>
      </c>
      <c r="O4641" t="s">
        <v>104</v>
      </c>
    </row>
    <row r="4642" spans="1:15" x14ac:dyDescent="0.25">
      <c r="A4642">
        <v>3138</v>
      </c>
      <c r="B4642" s="10">
        <v>45733</v>
      </c>
      <c r="C4642">
        <v>17</v>
      </c>
      <c r="D4642" t="s">
        <v>140</v>
      </c>
      <c r="E4642" t="s">
        <v>121</v>
      </c>
      <c r="F4642" t="s">
        <v>148</v>
      </c>
      <c r="G4642" t="s">
        <v>118</v>
      </c>
      <c r="H4642" t="s">
        <v>92</v>
      </c>
      <c r="I4642" t="s">
        <v>154</v>
      </c>
      <c r="J4642" t="s">
        <v>103</v>
      </c>
      <c r="K4642">
        <v>46</v>
      </c>
      <c r="L4642">
        <v>121000</v>
      </c>
      <c r="M4642">
        <v>5566000</v>
      </c>
      <c r="N4642" t="s">
        <v>95</v>
      </c>
      <c r="O4642" t="s">
        <v>104</v>
      </c>
    </row>
    <row r="4643" spans="1:15" x14ac:dyDescent="0.25">
      <c r="A4643">
        <v>3201</v>
      </c>
      <c r="B4643" s="10">
        <v>45759</v>
      </c>
      <c r="C4643">
        <v>12</v>
      </c>
      <c r="D4643" t="s">
        <v>105</v>
      </c>
      <c r="E4643" t="s">
        <v>98</v>
      </c>
      <c r="F4643" t="s">
        <v>22</v>
      </c>
      <c r="G4643" t="s">
        <v>91</v>
      </c>
      <c r="H4643" t="s">
        <v>23</v>
      </c>
      <c r="I4643" t="s">
        <v>119</v>
      </c>
      <c r="J4643" t="s">
        <v>94</v>
      </c>
      <c r="K4643">
        <v>2</v>
      </c>
      <c r="L4643">
        <v>121100</v>
      </c>
      <c r="M4643">
        <v>242200</v>
      </c>
      <c r="N4643" t="s">
        <v>108</v>
      </c>
      <c r="O4643" t="s">
        <v>115</v>
      </c>
    </row>
    <row r="4644" spans="1:15" x14ac:dyDescent="0.25">
      <c r="A4644">
        <v>127</v>
      </c>
      <c r="B4644" s="10">
        <v>45704</v>
      </c>
      <c r="C4644">
        <v>16</v>
      </c>
      <c r="D4644" t="s">
        <v>97</v>
      </c>
      <c r="E4644" t="s">
        <v>142</v>
      </c>
      <c r="F4644" t="s">
        <v>28</v>
      </c>
      <c r="G4644" t="s">
        <v>126</v>
      </c>
      <c r="H4644" t="s">
        <v>92</v>
      </c>
      <c r="I4644" t="s">
        <v>154</v>
      </c>
      <c r="J4644" t="s">
        <v>103</v>
      </c>
      <c r="K4644">
        <v>15</v>
      </c>
      <c r="L4644">
        <v>121200</v>
      </c>
      <c r="M4644">
        <v>1818000</v>
      </c>
      <c r="N4644" t="s">
        <v>108</v>
      </c>
      <c r="O4644" t="s">
        <v>104</v>
      </c>
    </row>
    <row r="4645" spans="1:15" x14ac:dyDescent="0.25">
      <c r="A4645">
        <v>627</v>
      </c>
      <c r="B4645" s="10">
        <v>45788</v>
      </c>
      <c r="C4645">
        <v>11</v>
      </c>
      <c r="D4645" t="s">
        <v>120</v>
      </c>
      <c r="E4645" t="s">
        <v>133</v>
      </c>
      <c r="F4645" t="s">
        <v>141</v>
      </c>
      <c r="G4645" t="s">
        <v>100</v>
      </c>
      <c r="H4645" t="s">
        <v>92</v>
      </c>
      <c r="I4645" t="s">
        <v>154</v>
      </c>
      <c r="J4645" t="s">
        <v>103</v>
      </c>
      <c r="K4645">
        <v>26</v>
      </c>
      <c r="L4645">
        <v>121200</v>
      </c>
      <c r="M4645">
        <v>3151200</v>
      </c>
      <c r="N4645" t="s">
        <v>108</v>
      </c>
      <c r="O4645" t="s">
        <v>115</v>
      </c>
    </row>
    <row r="4646" spans="1:15" x14ac:dyDescent="0.25">
      <c r="A4646">
        <v>3226</v>
      </c>
      <c r="B4646" s="10">
        <v>45980</v>
      </c>
      <c r="C4646">
        <v>19</v>
      </c>
      <c r="D4646" t="s">
        <v>90</v>
      </c>
      <c r="E4646" t="s">
        <v>116</v>
      </c>
      <c r="F4646" t="s">
        <v>28</v>
      </c>
      <c r="G4646" t="s">
        <v>126</v>
      </c>
      <c r="H4646" t="s">
        <v>92</v>
      </c>
      <c r="I4646" t="s">
        <v>154</v>
      </c>
      <c r="J4646" t="s">
        <v>103</v>
      </c>
      <c r="K4646">
        <v>50</v>
      </c>
      <c r="L4646">
        <v>121200</v>
      </c>
      <c r="M4646">
        <v>6060000</v>
      </c>
      <c r="N4646" t="s">
        <v>108</v>
      </c>
      <c r="O4646" t="s">
        <v>96</v>
      </c>
    </row>
    <row r="4647" spans="1:15" x14ac:dyDescent="0.25">
      <c r="A4647">
        <v>3318</v>
      </c>
      <c r="B4647" s="10">
        <v>45999</v>
      </c>
      <c r="C4647">
        <v>8</v>
      </c>
      <c r="D4647" t="s">
        <v>125</v>
      </c>
      <c r="E4647" t="s">
        <v>133</v>
      </c>
      <c r="F4647" t="s">
        <v>134</v>
      </c>
      <c r="G4647" t="s">
        <v>100</v>
      </c>
      <c r="H4647" t="s">
        <v>92</v>
      </c>
      <c r="I4647" t="s">
        <v>154</v>
      </c>
      <c r="J4647" t="s">
        <v>103</v>
      </c>
      <c r="K4647">
        <v>40</v>
      </c>
      <c r="L4647">
        <v>121200</v>
      </c>
      <c r="M4647">
        <v>4848000</v>
      </c>
      <c r="N4647" t="s">
        <v>95</v>
      </c>
      <c r="O4647" t="s">
        <v>96</v>
      </c>
    </row>
    <row r="4648" spans="1:15" x14ac:dyDescent="0.25">
      <c r="A4648">
        <v>3360</v>
      </c>
      <c r="B4648" s="10">
        <v>45756</v>
      </c>
      <c r="C4648">
        <v>9</v>
      </c>
      <c r="D4648" t="s">
        <v>105</v>
      </c>
      <c r="E4648" t="s">
        <v>116</v>
      </c>
      <c r="F4648" t="s">
        <v>36</v>
      </c>
      <c r="G4648" t="s">
        <v>100</v>
      </c>
      <c r="H4648" t="s">
        <v>92</v>
      </c>
      <c r="I4648" t="s">
        <v>154</v>
      </c>
      <c r="J4648" t="s">
        <v>103</v>
      </c>
      <c r="K4648">
        <v>20</v>
      </c>
      <c r="L4648">
        <v>121300</v>
      </c>
      <c r="M4648">
        <v>2426000</v>
      </c>
      <c r="N4648" t="s">
        <v>108</v>
      </c>
      <c r="O4648" t="s">
        <v>115</v>
      </c>
    </row>
    <row r="4649" spans="1:15" x14ac:dyDescent="0.25">
      <c r="A4649">
        <v>3648</v>
      </c>
      <c r="B4649" s="10">
        <v>46015</v>
      </c>
      <c r="C4649">
        <v>24</v>
      </c>
      <c r="D4649" t="s">
        <v>125</v>
      </c>
      <c r="E4649" t="s">
        <v>161</v>
      </c>
      <c r="F4649" t="s">
        <v>28</v>
      </c>
      <c r="G4649" t="s">
        <v>126</v>
      </c>
      <c r="H4649" t="s">
        <v>23</v>
      </c>
      <c r="I4649" t="s">
        <v>119</v>
      </c>
      <c r="J4649" t="s">
        <v>94</v>
      </c>
      <c r="K4649">
        <v>8</v>
      </c>
      <c r="L4649">
        <v>121300</v>
      </c>
      <c r="M4649">
        <v>970400</v>
      </c>
      <c r="N4649" t="s">
        <v>95</v>
      </c>
      <c r="O4649" t="s">
        <v>115</v>
      </c>
    </row>
    <row r="4650" spans="1:15" x14ac:dyDescent="0.25">
      <c r="A4650">
        <v>4094</v>
      </c>
      <c r="B4650" s="10">
        <v>45844</v>
      </c>
      <c r="C4650">
        <v>6</v>
      </c>
      <c r="D4650" t="s">
        <v>145</v>
      </c>
      <c r="E4650" t="s">
        <v>137</v>
      </c>
      <c r="F4650" t="s">
        <v>122</v>
      </c>
      <c r="G4650" t="s">
        <v>114</v>
      </c>
      <c r="H4650" t="s">
        <v>23</v>
      </c>
      <c r="I4650" t="s">
        <v>119</v>
      </c>
      <c r="J4650" t="s">
        <v>94</v>
      </c>
      <c r="K4650">
        <v>6</v>
      </c>
      <c r="L4650">
        <v>121300</v>
      </c>
      <c r="M4650">
        <v>727800</v>
      </c>
      <c r="N4650" t="s">
        <v>108</v>
      </c>
      <c r="O4650" t="s">
        <v>96</v>
      </c>
    </row>
    <row r="4651" spans="1:15" x14ac:dyDescent="0.25">
      <c r="A4651">
        <v>4772</v>
      </c>
      <c r="B4651" s="10">
        <v>45899</v>
      </c>
      <c r="C4651">
        <v>30</v>
      </c>
      <c r="D4651" t="s">
        <v>109</v>
      </c>
      <c r="E4651" t="s">
        <v>98</v>
      </c>
      <c r="F4651" t="s">
        <v>22</v>
      </c>
      <c r="G4651" t="s">
        <v>91</v>
      </c>
      <c r="H4651" t="s">
        <v>92</v>
      </c>
      <c r="I4651" t="s">
        <v>154</v>
      </c>
      <c r="J4651" t="s">
        <v>103</v>
      </c>
      <c r="K4651">
        <v>8</v>
      </c>
      <c r="L4651">
        <v>121300</v>
      </c>
      <c r="M4651">
        <v>970400</v>
      </c>
      <c r="N4651" t="s">
        <v>95</v>
      </c>
      <c r="O4651" t="s">
        <v>96</v>
      </c>
    </row>
    <row r="4652" spans="1:15" x14ac:dyDescent="0.25">
      <c r="A4652">
        <v>3298</v>
      </c>
      <c r="B4652" s="10">
        <v>45674</v>
      </c>
      <c r="C4652">
        <v>17</v>
      </c>
      <c r="D4652" t="s">
        <v>130</v>
      </c>
      <c r="E4652" t="s">
        <v>150</v>
      </c>
      <c r="F4652" t="s">
        <v>36</v>
      </c>
      <c r="G4652" t="s">
        <v>100</v>
      </c>
      <c r="H4652" t="s">
        <v>92</v>
      </c>
      <c r="I4652" t="s">
        <v>154</v>
      </c>
      <c r="J4652" t="s">
        <v>103</v>
      </c>
      <c r="K4652">
        <v>44</v>
      </c>
      <c r="L4652">
        <v>121500</v>
      </c>
      <c r="M4652">
        <v>5346000</v>
      </c>
      <c r="N4652" t="s">
        <v>95</v>
      </c>
      <c r="O4652" t="s">
        <v>96</v>
      </c>
    </row>
    <row r="4653" spans="1:15" x14ac:dyDescent="0.25">
      <c r="A4653">
        <v>1860</v>
      </c>
      <c r="B4653" s="10">
        <v>45949</v>
      </c>
      <c r="C4653">
        <v>19</v>
      </c>
      <c r="D4653" t="s">
        <v>136</v>
      </c>
      <c r="E4653" t="s">
        <v>116</v>
      </c>
      <c r="F4653" t="s">
        <v>28</v>
      </c>
      <c r="G4653" t="s">
        <v>126</v>
      </c>
      <c r="H4653" t="s">
        <v>23</v>
      </c>
      <c r="I4653" t="s">
        <v>119</v>
      </c>
      <c r="J4653" t="s">
        <v>94</v>
      </c>
      <c r="K4653">
        <v>2</v>
      </c>
      <c r="L4653">
        <v>121600</v>
      </c>
      <c r="M4653">
        <v>243200</v>
      </c>
      <c r="N4653" t="s">
        <v>108</v>
      </c>
      <c r="O4653" t="s">
        <v>104</v>
      </c>
    </row>
    <row r="4654" spans="1:15" x14ac:dyDescent="0.25">
      <c r="A4654">
        <v>3275</v>
      </c>
      <c r="B4654" s="10">
        <v>45960</v>
      </c>
      <c r="C4654">
        <v>30</v>
      </c>
      <c r="D4654" t="s">
        <v>136</v>
      </c>
      <c r="E4654" t="s">
        <v>106</v>
      </c>
      <c r="F4654" t="s">
        <v>122</v>
      </c>
      <c r="G4654" t="s">
        <v>114</v>
      </c>
      <c r="H4654" t="s">
        <v>92</v>
      </c>
      <c r="I4654" t="s">
        <v>154</v>
      </c>
      <c r="J4654" t="s">
        <v>103</v>
      </c>
      <c r="K4654">
        <v>10</v>
      </c>
      <c r="L4654">
        <v>121700</v>
      </c>
      <c r="M4654">
        <v>1217000</v>
      </c>
      <c r="N4654" t="s">
        <v>95</v>
      </c>
      <c r="O4654" t="s">
        <v>115</v>
      </c>
    </row>
    <row r="4655" spans="1:15" x14ac:dyDescent="0.25">
      <c r="A4655">
        <v>1451</v>
      </c>
      <c r="B4655" s="10">
        <v>45835</v>
      </c>
      <c r="C4655">
        <v>27</v>
      </c>
      <c r="D4655" t="s">
        <v>153</v>
      </c>
      <c r="E4655" t="s">
        <v>116</v>
      </c>
      <c r="F4655" t="s">
        <v>28</v>
      </c>
      <c r="G4655" t="s">
        <v>126</v>
      </c>
      <c r="H4655" t="s">
        <v>23</v>
      </c>
      <c r="I4655" t="s">
        <v>119</v>
      </c>
      <c r="J4655" t="s">
        <v>94</v>
      </c>
      <c r="K4655">
        <v>8</v>
      </c>
      <c r="L4655">
        <v>121900</v>
      </c>
      <c r="M4655">
        <v>975200</v>
      </c>
      <c r="N4655" t="s">
        <v>95</v>
      </c>
      <c r="O4655" t="s">
        <v>96</v>
      </c>
    </row>
    <row r="4656" spans="1:15" x14ac:dyDescent="0.25">
      <c r="A4656">
        <v>1789</v>
      </c>
      <c r="B4656" s="10">
        <v>45971</v>
      </c>
      <c r="C4656">
        <v>10</v>
      </c>
      <c r="D4656" t="s">
        <v>90</v>
      </c>
      <c r="E4656" t="s">
        <v>110</v>
      </c>
      <c r="F4656" t="s">
        <v>28</v>
      </c>
      <c r="G4656" t="s">
        <v>126</v>
      </c>
      <c r="H4656" t="s">
        <v>23</v>
      </c>
      <c r="I4656" t="s">
        <v>119</v>
      </c>
      <c r="J4656" t="s">
        <v>94</v>
      </c>
      <c r="K4656">
        <v>3</v>
      </c>
      <c r="L4656">
        <v>121900</v>
      </c>
      <c r="M4656">
        <v>365700</v>
      </c>
      <c r="N4656" t="s">
        <v>108</v>
      </c>
      <c r="O4656" t="s">
        <v>104</v>
      </c>
    </row>
    <row r="4657" spans="1:15" x14ac:dyDescent="0.25">
      <c r="A4657">
        <v>508</v>
      </c>
      <c r="B4657" s="10">
        <v>45882</v>
      </c>
      <c r="C4657">
        <v>13</v>
      </c>
      <c r="D4657" t="s">
        <v>109</v>
      </c>
      <c r="E4657" t="s">
        <v>110</v>
      </c>
      <c r="F4657" t="s">
        <v>44</v>
      </c>
      <c r="G4657" t="s">
        <v>111</v>
      </c>
      <c r="H4657" t="s">
        <v>92</v>
      </c>
      <c r="I4657" t="s">
        <v>154</v>
      </c>
      <c r="J4657" t="s">
        <v>103</v>
      </c>
      <c r="K4657">
        <v>26</v>
      </c>
      <c r="L4657">
        <v>122000</v>
      </c>
      <c r="M4657">
        <v>3172000</v>
      </c>
      <c r="N4657" t="s">
        <v>95</v>
      </c>
      <c r="O4657" t="s">
        <v>104</v>
      </c>
    </row>
    <row r="4658" spans="1:15" x14ac:dyDescent="0.25">
      <c r="A4658">
        <v>3541</v>
      </c>
      <c r="B4658" s="10">
        <v>46017</v>
      </c>
      <c r="C4658">
        <v>26</v>
      </c>
      <c r="D4658" t="s">
        <v>125</v>
      </c>
      <c r="E4658" t="s">
        <v>31</v>
      </c>
      <c r="F4658" t="s">
        <v>22</v>
      </c>
      <c r="G4658" t="s">
        <v>91</v>
      </c>
      <c r="H4658" t="s">
        <v>23</v>
      </c>
      <c r="I4658" t="s">
        <v>119</v>
      </c>
      <c r="J4658" t="s">
        <v>94</v>
      </c>
      <c r="K4658">
        <v>7</v>
      </c>
      <c r="L4658">
        <v>122000</v>
      </c>
      <c r="M4658">
        <v>854000</v>
      </c>
      <c r="N4658" t="s">
        <v>95</v>
      </c>
      <c r="O4658" t="s">
        <v>104</v>
      </c>
    </row>
    <row r="4659" spans="1:15" x14ac:dyDescent="0.25">
      <c r="A4659">
        <v>1464</v>
      </c>
      <c r="B4659" s="10">
        <v>45859</v>
      </c>
      <c r="C4659">
        <v>21</v>
      </c>
      <c r="D4659" t="s">
        <v>145</v>
      </c>
      <c r="E4659" t="s">
        <v>138</v>
      </c>
      <c r="F4659" t="s">
        <v>134</v>
      </c>
      <c r="G4659" t="s">
        <v>100</v>
      </c>
      <c r="H4659" t="s">
        <v>92</v>
      </c>
      <c r="I4659" t="s">
        <v>154</v>
      </c>
      <c r="J4659" t="s">
        <v>103</v>
      </c>
      <c r="K4659">
        <v>38</v>
      </c>
      <c r="L4659">
        <v>122100</v>
      </c>
      <c r="M4659">
        <v>4639800</v>
      </c>
      <c r="N4659" t="s">
        <v>108</v>
      </c>
      <c r="O4659" t="s">
        <v>104</v>
      </c>
    </row>
    <row r="4660" spans="1:15" x14ac:dyDescent="0.25">
      <c r="A4660">
        <v>2523</v>
      </c>
      <c r="B4660" s="10">
        <v>45727</v>
      </c>
      <c r="C4660">
        <v>11</v>
      </c>
      <c r="D4660" t="s">
        <v>140</v>
      </c>
      <c r="E4660" t="s">
        <v>106</v>
      </c>
      <c r="F4660" t="s">
        <v>22</v>
      </c>
      <c r="G4660" t="s">
        <v>91</v>
      </c>
      <c r="H4660" t="s">
        <v>23</v>
      </c>
      <c r="I4660" t="s">
        <v>119</v>
      </c>
      <c r="J4660" t="s">
        <v>94</v>
      </c>
      <c r="K4660">
        <v>7</v>
      </c>
      <c r="L4660">
        <v>122200</v>
      </c>
      <c r="M4660">
        <v>855400</v>
      </c>
      <c r="N4660" t="s">
        <v>108</v>
      </c>
      <c r="O4660" t="s">
        <v>96</v>
      </c>
    </row>
    <row r="4661" spans="1:15" x14ac:dyDescent="0.25">
      <c r="A4661">
        <v>2715</v>
      </c>
      <c r="B4661" s="10">
        <v>45972</v>
      </c>
      <c r="C4661">
        <v>11</v>
      </c>
      <c r="D4661" t="s">
        <v>90</v>
      </c>
      <c r="E4661" t="s">
        <v>25</v>
      </c>
      <c r="F4661" t="s">
        <v>122</v>
      </c>
      <c r="G4661" t="s">
        <v>114</v>
      </c>
      <c r="H4661" t="s">
        <v>23</v>
      </c>
      <c r="I4661" t="s">
        <v>119</v>
      </c>
      <c r="J4661" t="s">
        <v>94</v>
      </c>
      <c r="K4661">
        <v>8</v>
      </c>
      <c r="L4661">
        <v>122200</v>
      </c>
      <c r="M4661">
        <v>977600</v>
      </c>
      <c r="N4661" t="s">
        <v>108</v>
      </c>
      <c r="O4661" t="s">
        <v>96</v>
      </c>
    </row>
    <row r="4662" spans="1:15" x14ac:dyDescent="0.25">
      <c r="A4662">
        <v>1468</v>
      </c>
      <c r="B4662" s="10">
        <v>45979</v>
      </c>
      <c r="C4662">
        <v>18</v>
      </c>
      <c r="D4662" t="s">
        <v>90</v>
      </c>
      <c r="E4662" t="s">
        <v>116</v>
      </c>
      <c r="F4662" t="s">
        <v>99</v>
      </c>
      <c r="G4662" t="s">
        <v>100</v>
      </c>
      <c r="H4662" t="s">
        <v>23</v>
      </c>
      <c r="I4662" t="s">
        <v>119</v>
      </c>
      <c r="J4662" t="s">
        <v>94</v>
      </c>
      <c r="K4662">
        <v>2</v>
      </c>
      <c r="L4662">
        <v>122400</v>
      </c>
      <c r="M4662">
        <v>244800</v>
      </c>
      <c r="N4662" t="s">
        <v>95</v>
      </c>
      <c r="O4662" t="s">
        <v>104</v>
      </c>
    </row>
    <row r="4663" spans="1:15" x14ac:dyDescent="0.25">
      <c r="A4663">
        <v>3607</v>
      </c>
      <c r="B4663" s="10">
        <v>45999</v>
      </c>
      <c r="C4663">
        <v>8</v>
      </c>
      <c r="D4663" t="s">
        <v>125</v>
      </c>
      <c r="E4663" t="s">
        <v>150</v>
      </c>
      <c r="F4663" t="s">
        <v>28</v>
      </c>
      <c r="G4663" t="s">
        <v>126</v>
      </c>
      <c r="H4663" t="s">
        <v>92</v>
      </c>
      <c r="I4663" t="s">
        <v>154</v>
      </c>
      <c r="J4663" t="s">
        <v>103</v>
      </c>
      <c r="K4663">
        <v>36</v>
      </c>
      <c r="L4663">
        <v>122500</v>
      </c>
      <c r="M4663">
        <v>4410000</v>
      </c>
      <c r="N4663" t="s">
        <v>95</v>
      </c>
      <c r="O4663" t="s">
        <v>96</v>
      </c>
    </row>
    <row r="4664" spans="1:15" x14ac:dyDescent="0.25">
      <c r="A4664">
        <v>1390</v>
      </c>
      <c r="B4664" s="10">
        <v>45851</v>
      </c>
      <c r="C4664">
        <v>13</v>
      </c>
      <c r="D4664" t="s">
        <v>145</v>
      </c>
      <c r="E4664" t="s">
        <v>112</v>
      </c>
      <c r="F4664" t="s">
        <v>44</v>
      </c>
      <c r="G4664" t="s">
        <v>111</v>
      </c>
      <c r="H4664" t="s">
        <v>92</v>
      </c>
      <c r="I4664" t="s">
        <v>154</v>
      </c>
      <c r="J4664" t="s">
        <v>103</v>
      </c>
      <c r="K4664">
        <v>10</v>
      </c>
      <c r="L4664">
        <v>122700</v>
      </c>
      <c r="M4664">
        <v>1227000</v>
      </c>
      <c r="N4664" t="s">
        <v>95</v>
      </c>
      <c r="O4664" t="s">
        <v>96</v>
      </c>
    </row>
    <row r="4665" spans="1:15" x14ac:dyDescent="0.25">
      <c r="A4665">
        <v>4838</v>
      </c>
      <c r="B4665" s="10">
        <v>46012</v>
      </c>
      <c r="C4665">
        <v>21</v>
      </c>
      <c r="D4665" t="s">
        <v>125</v>
      </c>
      <c r="E4665" t="s">
        <v>133</v>
      </c>
      <c r="F4665" t="s">
        <v>36</v>
      </c>
      <c r="G4665" t="s">
        <v>100</v>
      </c>
      <c r="H4665" t="s">
        <v>92</v>
      </c>
      <c r="I4665" t="s">
        <v>154</v>
      </c>
      <c r="J4665" t="s">
        <v>103</v>
      </c>
      <c r="K4665">
        <v>29</v>
      </c>
      <c r="L4665">
        <v>122700</v>
      </c>
      <c r="M4665">
        <v>3558300</v>
      </c>
      <c r="N4665" t="s">
        <v>95</v>
      </c>
      <c r="O4665" t="s">
        <v>96</v>
      </c>
    </row>
    <row r="4666" spans="1:15" x14ac:dyDescent="0.25">
      <c r="A4666">
        <v>1775</v>
      </c>
      <c r="B4666" s="10">
        <v>45996</v>
      </c>
      <c r="C4666">
        <v>5</v>
      </c>
      <c r="D4666" t="s">
        <v>125</v>
      </c>
      <c r="E4666" t="s">
        <v>138</v>
      </c>
      <c r="F4666" t="s">
        <v>148</v>
      </c>
      <c r="G4666" t="s">
        <v>118</v>
      </c>
      <c r="H4666" t="s">
        <v>92</v>
      </c>
      <c r="I4666" t="s">
        <v>154</v>
      </c>
      <c r="J4666" t="s">
        <v>103</v>
      </c>
      <c r="K4666">
        <v>45</v>
      </c>
      <c r="L4666">
        <v>122800</v>
      </c>
      <c r="M4666">
        <v>5526000</v>
      </c>
      <c r="N4666" t="s">
        <v>95</v>
      </c>
      <c r="O4666" t="s">
        <v>104</v>
      </c>
    </row>
    <row r="4667" spans="1:15" x14ac:dyDescent="0.25">
      <c r="A4667">
        <v>229</v>
      </c>
      <c r="B4667" s="10">
        <v>45821</v>
      </c>
      <c r="C4667">
        <v>13</v>
      </c>
      <c r="D4667" t="s">
        <v>153</v>
      </c>
      <c r="E4667" t="s">
        <v>98</v>
      </c>
      <c r="F4667" t="s">
        <v>113</v>
      </c>
      <c r="G4667" t="s">
        <v>114</v>
      </c>
      <c r="H4667" t="s">
        <v>92</v>
      </c>
      <c r="I4667" t="s">
        <v>154</v>
      </c>
      <c r="J4667" t="s">
        <v>103</v>
      </c>
      <c r="K4667">
        <v>24</v>
      </c>
      <c r="L4667">
        <v>122900</v>
      </c>
      <c r="M4667">
        <v>2949600</v>
      </c>
      <c r="N4667" t="s">
        <v>95</v>
      </c>
      <c r="O4667" t="s">
        <v>96</v>
      </c>
    </row>
    <row r="4668" spans="1:15" x14ac:dyDescent="0.25">
      <c r="A4668">
        <v>3516</v>
      </c>
      <c r="B4668" s="10">
        <v>45759</v>
      </c>
      <c r="C4668">
        <v>12</v>
      </c>
      <c r="D4668" t="s">
        <v>105</v>
      </c>
      <c r="E4668" t="s">
        <v>138</v>
      </c>
      <c r="F4668" t="s">
        <v>134</v>
      </c>
      <c r="G4668" t="s">
        <v>100</v>
      </c>
      <c r="H4668" t="s">
        <v>23</v>
      </c>
      <c r="I4668" t="s">
        <v>119</v>
      </c>
      <c r="J4668" t="s">
        <v>94</v>
      </c>
      <c r="K4668">
        <v>6</v>
      </c>
      <c r="L4668">
        <v>122900</v>
      </c>
      <c r="M4668">
        <v>737400</v>
      </c>
      <c r="N4668" t="s">
        <v>95</v>
      </c>
      <c r="O4668" t="s">
        <v>115</v>
      </c>
    </row>
    <row r="4669" spans="1:15" x14ac:dyDescent="0.25">
      <c r="A4669">
        <v>1157</v>
      </c>
      <c r="B4669" s="10">
        <v>45925</v>
      </c>
      <c r="C4669">
        <v>25</v>
      </c>
      <c r="D4669" t="s">
        <v>147</v>
      </c>
      <c r="E4669" t="s">
        <v>98</v>
      </c>
      <c r="F4669" t="s">
        <v>122</v>
      </c>
      <c r="G4669" t="s">
        <v>114</v>
      </c>
      <c r="H4669" t="s">
        <v>92</v>
      </c>
      <c r="I4669" t="s">
        <v>154</v>
      </c>
      <c r="J4669" t="s">
        <v>103</v>
      </c>
      <c r="K4669">
        <v>49</v>
      </c>
      <c r="L4669">
        <v>123100</v>
      </c>
      <c r="M4669">
        <v>6031900</v>
      </c>
      <c r="N4669" t="s">
        <v>108</v>
      </c>
      <c r="O4669" t="s">
        <v>115</v>
      </c>
    </row>
    <row r="4670" spans="1:15" x14ac:dyDescent="0.25">
      <c r="A4670">
        <v>2231</v>
      </c>
      <c r="B4670" s="10">
        <v>45679</v>
      </c>
      <c r="C4670">
        <v>22</v>
      </c>
      <c r="D4670" t="s">
        <v>130</v>
      </c>
      <c r="E4670" t="s">
        <v>121</v>
      </c>
      <c r="F4670" t="s">
        <v>113</v>
      </c>
      <c r="G4670" t="s">
        <v>114</v>
      </c>
      <c r="H4670" t="s">
        <v>92</v>
      </c>
      <c r="I4670" t="s">
        <v>154</v>
      </c>
      <c r="J4670" t="s">
        <v>103</v>
      </c>
      <c r="K4670">
        <v>20</v>
      </c>
      <c r="L4670">
        <v>123100</v>
      </c>
      <c r="M4670">
        <v>2462000</v>
      </c>
      <c r="N4670" t="s">
        <v>108</v>
      </c>
      <c r="O4670" t="s">
        <v>115</v>
      </c>
    </row>
    <row r="4671" spans="1:15" x14ac:dyDescent="0.25">
      <c r="A4671">
        <v>1824</v>
      </c>
      <c r="B4671" s="10">
        <v>45944</v>
      </c>
      <c r="C4671">
        <v>14</v>
      </c>
      <c r="D4671" t="s">
        <v>136</v>
      </c>
      <c r="E4671" t="s">
        <v>133</v>
      </c>
      <c r="F4671" t="s">
        <v>107</v>
      </c>
      <c r="G4671" t="s">
        <v>100</v>
      </c>
      <c r="H4671" t="s">
        <v>92</v>
      </c>
      <c r="I4671" t="s">
        <v>154</v>
      </c>
      <c r="J4671" t="s">
        <v>103</v>
      </c>
      <c r="K4671">
        <v>35</v>
      </c>
      <c r="L4671">
        <v>123400</v>
      </c>
      <c r="M4671">
        <v>4319000</v>
      </c>
      <c r="N4671" t="s">
        <v>95</v>
      </c>
      <c r="O4671" t="s">
        <v>104</v>
      </c>
    </row>
    <row r="4672" spans="1:15" x14ac:dyDescent="0.25">
      <c r="A4672">
        <v>3108</v>
      </c>
      <c r="B4672" s="10">
        <v>45887</v>
      </c>
      <c r="C4672">
        <v>18</v>
      </c>
      <c r="D4672" t="s">
        <v>109</v>
      </c>
      <c r="E4672" t="s">
        <v>112</v>
      </c>
      <c r="F4672" t="s">
        <v>22</v>
      </c>
      <c r="G4672" t="s">
        <v>91</v>
      </c>
      <c r="H4672" t="s">
        <v>23</v>
      </c>
      <c r="I4672" t="s">
        <v>119</v>
      </c>
      <c r="J4672" t="s">
        <v>94</v>
      </c>
      <c r="K4672">
        <v>10</v>
      </c>
      <c r="L4672">
        <v>123400</v>
      </c>
      <c r="M4672">
        <v>1234000</v>
      </c>
      <c r="N4672" t="s">
        <v>95</v>
      </c>
      <c r="O4672" t="s">
        <v>115</v>
      </c>
    </row>
    <row r="4673" spans="1:15" x14ac:dyDescent="0.25">
      <c r="A4673">
        <v>4216</v>
      </c>
      <c r="B4673" s="10">
        <v>45938</v>
      </c>
      <c r="C4673">
        <v>8</v>
      </c>
      <c r="D4673" t="s">
        <v>136</v>
      </c>
      <c r="E4673" t="s">
        <v>128</v>
      </c>
      <c r="F4673" t="s">
        <v>36</v>
      </c>
      <c r="G4673" t="s">
        <v>100</v>
      </c>
      <c r="H4673" t="s">
        <v>23</v>
      </c>
      <c r="I4673" t="s">
        <v>119</v>
      </c>
      <c r="J4673" t="s">
        <v>94</v>
      </c>
      <c r="K4673">
        <v>3</v>
      </c>
      <c r="L4673">
        <v>123400</v>
      </c>
      <c r="M4673">
        <v>370200</v>
      </c>
      <c r="N4673" t="s">
        <v>95</v>
      </c>
      <c r="O4673" t="s">
        <v>96</v>
      </c>
    </row>
    <row r="4674" spans="1:15" x14ac:dyDescent="0.25">
      <c r="A4674">
        <v>4006</v>
      </c>
      <c r="B4674" s="10">
        <v>45725</v>
      </c>
      <c r="C4674">
        <v>9</v>
      </c>
      <c r="D4674" t="s">
        <v>140</v>
      </c>
      <c r="E4674" t="s">
        <v>150</v>
      </c>
      <c r="F4674" t="s">
        <v>28</v>
      </c>
      <c r="G4674" t="s">
        <v>126</v>
      </c>
      <c r="H4674" t="s">
        <v>23</v>
      </c>
      <c r="I4674" t="s">
        <v>119</v>
      </c>
      <c r="J4674" t="s">
        <v>94</v>
      </c>
      <c r="K4674">
        <v>6</v>
      </c>
      <c r="L4674">
        <v>123600</v>
      </c>
      <c r="M4674">
        <v>741600</v>
      </c>
      <c r="N4674" t="s">
        <v>108</v>
      </c>
      <c r="O4674" t="s">
        <v>115</v>
      </c>
    </row>
    <row r="4675" spans="1:15" x14ac:dyDescent="0.25">
      <c r="A4675">
        <v>4711</v>
      </c>
      <c r="B4675" s="10">
        <v>45675</v>
      </c>
      <c r="C4675">
        <v>18</v>
      </c>
      <c r="D4675" t="s">
        <v>130</v>
      </c>
      <c r="E4675" t="s">
        <v>116</v>
      </c>
      <c r="F4675" t="s">
        <v>28</v>
      </c>
      <c r="G4675" t="s">
        <v>126</v>
      </c>
      <c r="H4675" t="s">
        <v>92</v>
      </c>
      <c r="I4675" t="s">
        <v>154</v>
      </c>
      <c r="J4675" t="s">
        <v>103</v>
      </c>
      <c r="K4675">
        <v>50</v>
      </c>
      <c r="L4675">
        <v>123600</v>
      </c>
      <c r="M4675">
        <v>6180000</v>
      </c>
      <c r="N4675" t="s">
        <v>108</v>
      </c>
      <c r="O4675" t="s">
        <v>96</v>
      </c>
    </row>
    <row r="4676" spans="1:15" x14ac:dyDescent="0.25">
      <c r="A4676">
        <v>1465</v>
      </c>
      <c r="B4676" s="10">
        <v>45701</v>
      </c>
      <c r="C4676">
        <v>13</v>
      </c>
      <c r="D4676" t="s">
        <v>97</v>
      </c>
      <c r="E4676" t="s">
        <v>25</v>
      </c>
      <c r="F4676" t="s">
        <v>44</v>
      </c>
      <c r="G4676" t="s">
        <v>111</v>
      </c>
      <c r="H4676" t="s">
        <v>92</v>
      </c>
      <c r="I4676" t="s">
        <v>154</v>
      </c>
      <c r="J4676" t="s">
        <v>103</v>
      </c>
      <c r="K4676">
        <v>43</v>
      </c>
      <c r="L4676">
        <v>123800</v>
      </c>
      <c r="M4676">
        <v>5323400</v>
      </c>
      <c r="N4676" t="s">
        <v>95</v>
      </c>
      <c r="O4676" t="s">
        <v>115</v>
      </c>
    </row>
    <row r="4677" spans="1:15" x14ac:dyDescent="0.25">
      <c r="A4677">
        <v>4010</v>
      </c>
      <c r="B4677" s="10">
        <v>45777</v>
      </c>
      <c r="C4677">
        <v>30</v>
      </c>
      <c r="D4677" t="s">
        <v>105</v>
      </c>
      <c r="E4677" t="s">
        <v>137</v>
      </c>
      <c r="F4677" t="s">
        <v>117</v>
      </c>
      <c r="G4677" t="s">
        <v>118</v>
      </c>
      <c r="H4677" t="s">
        <v>23</v>
      </c>
      <c r="I4677" t="s">
        <v>119</v>
      </c>
      <c r="J4677" t="s">
        <v>94</v>
      </c>
      <c r="K4677">
        <v>10</v>
      </c>
      <c r="L4677">
        <v>123800</v>
      </c>
      <c r="M4677">
        <v>1238000</v>
      </c>
      <c r="N4677" t="s">
        <v>95</v>
      </c>
      <c r="O4677" t="s">
        <v>104</v>
      </c>
    </row>
    <row r="4678" spans="1:15" x14ac:dyDescent="0.25">
      <c r="A4678">
        <v>1231</v>
      </c>
      <c r="B4678" s="10">
        <v>45850</v>
      </c>
      <c r="C4678">
        <v>12</v>
      </c>
      <c r="D4678" t="s">
        <v>145</v>
      </c>
      <c r="E4678" t="s">
        <v>112</v>
      </c>
      <c r="F4678" t="s">
        <v>99</v>
      </c>
      <c r="G4678" t="s">
        <v>100</v>
      </c>
      <c r="H4678" t="s">
        <v>92</v>
      </c>
      <c r="I4678" t="s">
        <v>154</v>
      </c>
      <c r="J4678" t="s">
        <v>103</v>
      </c>
      <c r="K4678">
        <v>46</v>
      </c>
      <c r="L4678">
        <v>123900</v>
      </c>
      <c r="M4678">
        <v>5699400</v>
      </c>
      <c r="N4678" t="s">
        <v>108</v>
      </c>
      <c r="O4678" t="s">
        <v>115</v>
      </c>
    </row>
    <row r="4679" spans="1:15" x14ac:dyDescent="0.25">
      <c r="A4679">
        <v>1055</v>
      </c>
      <c r="B4679" s="10">
        <v>45703</v>
      </c>
      <c r="C4679">
        <v>15</v>
      </c>
      <c r="D4679" t="s">
        <v>97</v>
      </c>
      <c r="E4679" t="s">
        <v>121</v>
      </c>
      <c r="F4679" t="s">
        <v>36</v>
      </c>
      <c r="G4679" t="s">
        <v>100</v>
      </c>
      <c r="H4679" t="s">
        <v>92</v>
      </c>
      <c r="I4679" t="s">
        <v>154</v>
      </c>
      <c r="J4679" t="s">
        <v>103</v>
      </c>
      <c r="K4679">
        <v>40</v>
      </c>
      <c r="L4679">
        <v>124000</v>
      </c>
      <c r="M4679">
        <v>4960000</v>
      </c>
      <c r="N4679" t="s">
        <v>95</v>
      </c>
      <c r="O4679" t="s">
        <v>96</v>
      </c>
    </row>
    <row r="4680" spans="1:15" x14ac:dyDescent="0.25">
      <c r="A4680">
        <v>4435</v>
      </c>
      <c r="B4680" s="10">
        <v>45990</v>
      </c>
      <c r="C4680">
        <v>29</v>
      </c>
      <c r="D4680" t="s">
        <v>90</v>
      </c>
      <c r="E4680" t="s">
        <v>137</v>
      </c>
      <c r="F4680" t="s">
        <v>134</v>
      </c>
      <c r="G4680" t="s">
        <v>100</v>
      </c>
      <c r="H4680" t="s">
        <v>92</v>
      </c>
      <c r="I4680" t="s">
        <v>154</v>
      </c>
      <c r="J4680" t="s">
        <v>103</v>
      </c>
      <c r="K4680">
        <v>46</v>
      </c>
      <c r="L4680">
        <v>124000</v>
      </c>
      <c r="M4680">
        <v>5704000</v>
      </c>
      <c r="N4680" t="s">
        <v>108</v>
      </c>
      <c r="O4680" t="s">
        <v>104</v>
      </c>
    </row>
    <row r="4681" spans="1:15" x14ac:dyDescent="0.25">
      <c r="A4681">
        <v>3547</v>
      </c>
      <c r="B4681" s="10">
        <v>45669</v>
      </c>
      <c r="C4681">
        <v>12</v>
      </c>
      <c r="D4681" t="s">
        <v>130</v>
      </c>
      <c r="E4681" t="s">
        <v>128</v>
      </c>
      <c r="F4681" t="s">
        <v>49</v>
      </c>
      <c r="G4681" t="s">
        <v>118</v>
      </c>
      <c r="H4681" t="s">
        <v>23</v>
      </c>
      <c r="I4681" t="s">
        <v>119</v>
      </c>
      <c r="J4681" t="s">
        <v>94</v>
      </c>
      <c r="K4681">
        <v>7</v>
      </c>
      <c r="L4681">
        <v>124100</v>
      </c>
      <c r="M4681">
        <v>868700</v>
      </c>
      <c r="N4681" t="s">
        <v>108</v>
      </c>
      <c r="O4681" t="s">
        <v>115</v>
      </c>
    </row>
    <row r="4682" spans="1:15" x14ac:dyDescent="0.25">
      <c r="A4682">
        <v>1719</v>
      </c>
      <c r="B4682" s="10">
        <v>45878</v>
      </c>
      <c r="C4682">
        <v>9</v>
      </c>
      <c r="D4682" t="s">
        <v>109</v>
      </c>
      <c r="E4682" t="s">
        <v>121</v>
      </c>
      <c r="F4682" t="s">
        <v>144</v>
      </c>
      <c r="G4682" t="s">
        <v>91</v>
      </c>
      <c r="H4682" t="s">
        <v>23</v>
      </c>
      <c r="I4682" t="s">
        <v>119</v>
      </c>
      <c r="J4682" t="s">
        <v>94</v>
      </c>
      <c r="K4682">
        <v>10</v>
      </c>
      <c r="L4682">
        <v>124300</v>
      </c>
      <c r="M4682">
        <v>1243000</v>
      </c>
      <c r="N4682" t="s">
        <v>108</v>
      </c>
      <c r="O4682" t="s">
        <v>104</v>
      </c>
    </row>
    <row r="4683" spans="1:15" x14ac:dyDescent="0.25">
      <c r="A4683">
        <v>1627</v>
      </c>
      <c r="B4683" s="10">
        <v>45916</v>
      </c>
      <c r="C4683">
        <v>16</v>
      </c>
      <c r="D4683" t="s">
        <v>147</v>
      </c>
      <c r="E4683" t="s">
        <v>142</v>
      </c>
      <c r="F4683" t="s">
        <v>36</v>
      </c>
      <c r="G4683" t="s">
        <v>100</v>
      </c>
      <c r="H4683" t="s">
        <v>92</v>
      </c>
      <c r="I4683" t="s">
        <v>154</v>
      </c>
      <c r="J4683" t="s">
        <v>103</v>
      </c>
      <c r="K4683">
        <v>22</v>
      </c>
      <c r="L4683">
        <v>124600</v>
      </c>
      <c r="M4683">
        <v>2741200</v>
      </c>
      <c r="N4683" t="s">
        <v>108</v>
      </c>
      <c r="O4683" t="s">
        <v>104</v>
      </c>
    </row>
    <row r="4684" spans="1:15" x14ac:dyDescent="0.25">
      <c r="A4684">
        <v>2214</v>
      </c>
      <c r="B4684" s="10">
        <v>45726</v>
      </c>
      <c r="C4684">
        <v>10</v>
      </c>
      <c r="D4684" t="s">
        <v>140</v>
      </c>
      <c r="E4684" t="s">
        <v>133</v>
      </c>
      <c r="F4684" t="s">
        <v>148</v>
      </c>
      <c r="G4684" t="s">
        <v>118</v>
      </c>
      <c r="H4684" t="s">
        <v>92</v>
      </c>
      <c r="I4684" t="s">
        <v>154</v>
      </c>
      <c r="J4684" t="s">
        <v>103</v>
      </c>
      <c r="K4684">
        <v>7</v>
      </c>
      <c r="L4684">
        <v>124600</v>
      </c>
      <c r="M4684">
        <v>872200</v>
      </c>
      <c r="N4684" t="s">
        <v>108</v>
      </c>
      <c r="O4684" t="s">
        <v>96</v>
      </c>
    </row>
    <row r="4685" spans="1:15" x14ac:dyDescent="0.25">
      <c r="A4685">
        <v>2756</v>
      </c>
      <c r="B4685" s="10">
        <v>45700</v>
      </c>
      <c r="C4685">
        <v>12</v>
      </c>
      <c r="D4685" t="s">
        <v>97</v>
      </c>
      <c r="E4685" t="s">
        <v>137</v>
      </c>
      <c r="F4685" t="s">
        <v>113</v>
      </c>
      <c r="G4685" t="s">
        <v>114</v>
      </c>
      <c r="H4685" t="s">
        <v>92</v>
      </c>
      <c r="I4685" t="s">
        <v>154</v>
      </c>
      <c r="J4685" t="s">
        <v>103</v>
      </c>
      <c r="K4685">
        <v>16</v>
      </c>
      <c r="L4685">
        <v>124600</v>
      </c>
      <c r="M4685">
        <v>1993600</v>
      </c>
      <c r="N4685" t="s">
        <v>108</v>
      </c>
      <c r="O4685" t="s">
        <v>115</v>
      </c>
    </row>
    <row r="4686" spans="1:15" x14ac:dyDescent="0.25">
      <c r="A4686">
        <v>3964</v>
      </c>
      <c r="B4686" s="10">
        <v>45931</v>
      </c>
      <c r="C4686">
        <v>1</v>
      </c>
      <c r="D4686" t="s">
        <v>136</v>
      </c>
      <c r="E4686" t="s">
        <v>161</v>
      </c>
      <c r="F4686" t="s">
        <v>122</v>
      </c>
      <c r="G4686" t="s">
        <v>114</v>
      </c>
      <c r="H4686" t="s">
        <v>23</v>
      </c>
      <c r="I4686" t="s">
        <v>119</v>
      </c>
      <c r="J4686" t="s">
        <v>94</v>
      </c>
      <c r="K4686">
        <v>2</v>
      </c>
      <c r="L4686">
        <v>124600</v>
      </c>
      <c r="M4686">
        <v>249200</v>
      </c>
      <c r="N4686" t="s">
        <v>108</v>
      </c>
      <c r="O4686" t="s">
        <v>115</v>
      </c>
    </row>
    <row r="4687" spans="1:15" x14ac:dyDescent="0.25">
      <c r="A4687">
        <v>4263</v>
      </c>
      <c r="B4687" s="10">
        <v>45699</v>
      </c>
      <c r="C4687">
        <v>11</v>
      </c>
      <c r="D4687" t="s">
        <v>97</v>
      </c>
      <c r="E4687" t="s">
        <v>116</v>
      </c>
      <c r="F4687" t="s">
        <v>134</v>
      </c>
      <c r="G4687" t="s">
        <v>100</v>
      </c>
      <c r="H4687" t="s">
        <v>23</v>
      </c>
      <c r="I4687" t="s">
        <v>119</v>
      </c>
      <c r="J4687" t="s">
        <v>94</v>
      </c>
      <c r="K4687">
        <v>8</v>
      </c>
      <c r="L4687">
        <v>124600</v>
      </c>
      <c r="M4687">
        <v>996800</v>
      </c>
      <c r="N4687" t="s">
        <v>108</v>
      </c>
      <c r="O4687" t="s">
        <v>96</v>
      </c>
    </row>
    <row r="4688" spans="1:15" x14ac:dyDescent="0.25">
      <c r="A4688">
        <v>3412</v>
      </c>
      <c r="B4688" s="10">
        <v>45752</v>
      </c>
      <c r="C4688">
        <v>5</v>
      </c>
      <c r="D4688" t="s">
        <v>105</v>
      </c>
      <c r="E4688" t="s">
        <v>133</v>
      </c>
      <c r="F4688" t="s">
        <v>122</v>
      </c>
      <c r="G4688" t="s">
        <v>114</v>
      </c>
      <c r="H4688" t="s">
        <v>92</v>
      </c>
      <c r="I4688" t="s">
        <v>154</v>
      </c>
      <c r="J4688" t="s">
        <v>103</v>
      </c>
      <c r="K4688">
        <v>14</v>
      </c>
      <c r="L4688">
        <v>124900</v>
      </c>
      <c r="M4688">
        <v>1748600</v>
      </c>
      <c r="N4688" t="s">
        <v>108</v>
      </c>
      <c r="O4688" t="s">
        <v>115</v>
      </c>
    </row>
    <row r="4689" spans="1:15" x14ac:dyDescent="0.25">
      <c r="A4689">
        <v>866</v>
      </c>
      <c r="B4689" s="10">
        <v>45835</v>
      </c>
      <c r="C4689">
        <v>27</v>
      </c>
      <c r="D4689" t="s">
        <v>153</v>
      </c>
      <c r="E4689" t="s">
        <v>142</v>
      </c>
      <c r="F4689" t="s">
        <v>151</v>
      </c>
      <c r="G4689" t="s">
        <v>111</v>
      </c>
      <c r="H4689" t="s">
        <v>92</v>
      </c>
      <c r="I4689" t="s">
        <v>154</v>
      </c>
      <c r="J4689" t="s">
        <v>103</v>
      </c>
      <c r="K4689">
        <v>17</v>
      </c>
      <c r="L4689">
        <v>125000</v>
      </c>
      <c r="M4689">
        <v>2125000</v>
      </c>
      <c r="N4689" t="s">
        <v>95</v>
      </c>
      <c r="O4689" t="s">
        <v>104</v>
      </c>
    </row>
    <row r="4690" spans="1:15" x14ac:dyDescent="0.25">
      <c r="A4690">
        <v>1669</v>
      </c>
      <c r="B4690" s="10">
        <v>45969</v>
      </c>
      <c r="C4690">
        <v>8</v>
      </c>
      <c r="D4690" t="s">
        <v>90</v>
      </c>
      <c r="E4690" t="s">
        <v>161</v>
      </c>
      <c r="F4690" t="s">
        <v>122</v>
      </c>
      <c r="G4690" t="s">
        <v>114</v>
      </c>
      <c r="H4690" t="s">
        <v>23</v>
      </c>
      <c r="I4690" t="s">
        <v>119</v>
      </c>
      <c r="J4690" t="s">
        <v>94</v>
      </c>
      <c r="K4690">
        <v>6</v>
      </c>
      <c r="L4690">
        <v>125000</v>
      </c>
      <c r="M4690">
        <v>750000</v>
      </c>
      <c r="N4690" t="s">
        <v>108</v>
      </c>
      <c r="O4690" t="s">
        <v>115</v>
      </c>
    </row>
    <row r="4691" spans="1:15" x14ac:dyDescent="0.25">
      <c r="A4691">
        <v>2377</v>
      </c>
      <c r="B4691" s="10">
        <v>45975</v>
      </c>
      <c r="C4691">
        <v>14</v>
      </c>
      <c r="D4691" t="s">
        <v>90</v>
      </c>
      <c r="E4691" t="s">
        <v>25</v>
      </c>
      <c r="F4691" t="s">
        <v>151</v>
      </c>
      <c r="G4691" t="s">
        <v>111</v>
      </c>
      <c r="H4691" t="s">
        <v>92</v>
      </c>
      <c r="I4691" t="s">
        <v>154</v>
      </c>
      <c r="J4691" t="s">
        <v>103</v>
      </c>
      <c r="K4691">
        <v>32</v>
      </c>
      <c r="L4691">
        <v>125200</v>
      </c>
      <c r="M4691">
        <v>4006400</v>
      </c>
      <c r="N4691" t="s">
        <v>95</v>
      </c>
      <c r="O4691" t="s">
        <v>115</v>
      </c>
    </row>
    <row r="4692" spans="1:15" x14ac:dyDescent="0.25">
      <c r="A4692">
        <v>3855</v>
      </c>
      <c r="B4692" s="10">
        <v>45946</v>
      </c>
      <c r="C4692">
        <v>16</v>
      </c>
      <c r="D4692" t="s">
        <v>136</v>
      </c>
      <c r="E4692" t="s">
        <v>138</v>
      </c>
      <c r="F4692" t="s">
        <v>36</v>
      </c>
      <c r="G4692" t="s">
        <v>100</v>
      </c>
      <c r="H4692" t="s">
        <v>92</v>
      </c>
      <c r="I4692" t="s">
        <v>154</v>
      </c>
      <c r="J4692" t="s">
        <v>103</v>
      </c>
      <c r="K4692">
        <v>44</v>
      </c>
      <c r="L4692">
        <v>125200</v>
      </c>
      <c r="M4692">
        <v>5508800</v>
      </c>
      <c r="N4692" t="s">
        <v>95</v>
      </c>
      <c r="O4692" t="s">
        <v>115</v>
      </c>
    </row>
    <row r="4693" spans="1:15" x14ac:dyDescent="0.25">
      <c r="A4693">
        <v>673</v>
      </c>
      <c r="B4693" s="10">
        <v>45794</v>
      </c>
      <c r="C4693">
        <v>17</v>
      </c>
      <c r="D4693" t="s">
        <v>120</v>
      </c>
      <c r="E4693" t="s">
        <v>137</v>
      </c>
      <c r="F4693" t="s">
        <v>22</v>
      </c>
      <c r="G4693" t="s">
        <v>91</v>
      </c>
      <c r="H4693" t="s">
        <v>92</v>
      </c>
      <c r="I4693" t="s">
        <v>154</v>
      </c>
      <c r="J4693" t="s">
        <v>103</v>
      </c>
      <c r="K4693">
        <v>9</v>
      </c>
      <c r="L4693">
        <v>125300</v>
      </c>
      <c r="M4693">
        <v>1127700</v>
      </c>
      <c r="N4693" t="s">
        <v>95</v>
      </c>
      <c r="O4693" t="s">
        <v>96</v>
      </c>
    </row>
    <row r="4694" spans="1:15" x14ac:dyDescent="0.25">
      <c r="A4694">
        <v>2234</v>
      </c>
      <c r="B4694" s="10">
        <v>45969</v>
      </c>
      <c r="C4694">
        <v>8</v>
      </c>
      <c r="D4694" t="s">
        <v>90</v>
      </c>
      <c r="E4694" t="s">
        <v>31</v>
      </c>
      <c r="F4694" t="s">
        <v>141</v>
      </c>
      <c r="G4694" t="s">
        <v>100</v>
      </c>
      <c r="H4694" t="s">
        <v>23</v>
      </c>
      <c r="I4694" t="s">
        <v>119</v>
      </c>
      <c r="J4694" t="s">
        <v>94</v>
      </c>
      <c r="K4694">
        <v>8</v>
      </c>
      <c r="L4694">
        <v>125400</v>
      </c>
      <c r="M4694">
        <v>1003200</v>
      </c>
      <c r="N4694" t="s">
        <v>95</v>
      </c>
      <c r="O4694" t="s">
        <v>115</v>
      </c>
    </row>
    <row r="4695" spans="1:15" x14ac:dyDescent="0.25">
      <c r="A4695">
        <v>1141</v>
      </c>
      <c r="B4695" s="10">
        <v>45932</v>
      </c>
      <c r="C4695">
        <v>2</v>
      </c>
      <c r="D4695" t="s">
        <v>136</v>
      </c>
      <c r="E4695" t="s">
        <v>142</v>
      </c>
      <c r="F4695" t="s">
        <v>151</v>
      </c>
      <c r="G4695" t="s">
        <v>111</v>
      </c>
      <c r="H4695" t="s">
        <v>92</v>
      </c>
      <c r="I4695" t="s">
        <v>154</v>
      </c>
      <c r="J4695" t="s">
        <v>103</v>
      </c>
      <c r="K4695">
        <v>18</v>
      </c>
      <c r="L4695">
        <v>125600</v>
      </c>
      <c r="M4695">
        <v>2260800</v>
      </c>
      <c r="N4695" t="s">
        <v>95</v>
      </c>
      <c r="O4695" t="s">
        <v>104</v>
      </c>
    </row>
    <row r="4696" spans="1:15" x14ac:dyDescent="0.25">
      <c r="A4696">
        <v>2010</v>
      </c>
      <c r="B4696" s="10">
        <v>45732</v>
      </c>
      <c r="C4696">
        <v>16</v>
      </c>
      <c r="D4696" t="s">
        <v>140</v>
      </c>
      <c r="E4696" t="s">
        <v>121</v>
      </c>
      <c r="F4696" t="s">
        <v>117</v>
      </c>
      <c r="G4696" t="s">
        <v>118</v>
      </c>
      <c r="H4696" t="s">
        <v>23</v>
      </c>
      <c r="I4696" t="s">
        <v>119</v>
      </c>
      <c r="J4696" t="s">
        <v>94</v>
      </c>
      <c r="K4696">
        <v>10</v>
      </c>
      <c r="L4696">
        <v>125600</v>
      </c>
      <c r="M4696">
        <v>1256000</v>
      </c>
      <c r="N4696" t="s">
        <v>95</v>
      </c>
      <c r="O4696" t="s">
        <v>104</v>
      </c>
    </row>
    <row r="4697" spans="1:15" x14ac:dyDescent="0.25">
      <c r="A4697">
        <v>4532</v>
      </c>
      <c r="B4697" s="10">
        <v>45983</v>
      </c>
      <c r="C4697">
        <v>22</v>
      </c>
      <c r="D4697" t="s">
        <v>90</v>
      </c>
      <c r="E4697" t="s">
        <v>121</v>
      </c>
      <c r="F4697" t="s">
        <v>28</v>
      </c>
      <c r="G4697" t="s">
        <v>126</v>
      </c>
      <c r="H4697" t="s">
        <v>23</v>
      </c>
      <c r="I4697" t="s">
        <v>119</v>
      </c>
      <c r="J4697" t="s">
        <v>94</v>
      </c>
      <c r="K4697">
        <v>5</v>
      </c>
      <c r="L4697">
        <v>125700</v>
      </c>
      <c r="M4697">
        <v>628500</v>
      </c>
      <c r="N4697" t="s">
        <v>108</v>
      </c>
      <c r="O4697" t="s">
        <v>115</v>
      </c>
    </row>
    <row r="4698" spans="1:15" x14ac:dyDescent="0.25">
      <c r="A4698">
        <v>4753</v>
      </c>
      <c r="B4698" s="10">
        <v>45882</v>
      </c>
      <c r="C4698">
        <v>13</v>
      </c>
      <c r="D4698" t="s">
        <v>109</v>
      </c>
      <c r="E4698" t="s">
        <v>150</v>
      </c>
      <c r="F4698" t="s">
        <v>141</v>
      </c>
      <c r="G4698" t="s">
        <v>100</v>
      </c>
      <c r="H4698" t="s">
        <v>92</v>
      </c>
      <c r="I4698" t="s">
        <v>154</v>
      </c>
      <c r="J4698" t="s">
        <v>103</v>
      </c>
      <c r="K4698">
        <v>25</v>
      </c>
      <c r="L4698">
        <v>126000</v>
      </c>
      <c r="M4698">
        <v>3150000</v>
      </c>
      <c r="N4698" t="s">
        <v>108</v>
      </c>
      <c r="O4698" t="s">
        <v>96</v>
      </c>
    </row>
    <row r="4699" spans="1:15" x14ac:dyDescent="0.25">
      <c r="A4699">
        <v>4587</v>
      </c>
      <c r="B4699" s="10">
        <v>45801</v>
      </c>
      <c r="C4699">
        <v>24</v>
      </c>
      <c r="D4699" t="s">
        <v>120</v>
      </c>
      <c r="E4699" t="s">
        <v>137</v>
      </c>
      <c r="F4699" t="s">
        <v>141</v>
      </c>
      <c r="G4699" t="s">
        <v>100</v>
      </c>
      <c r="H4699" t="s">
        <v>23</v>
      </c>
      <c r="I4699" t="s">
        <v>119</v>
      </c>
      <c r="J4699" t="s">
        <v>94</v>
      </c>
      <c r="K4699">
        <v>6</v>
      </c>
      <c r="L4699">
        <v>126100</v>
      </c>
      <c r="M4699">
        <v>756600</v>
      </c>
      <c r="N4699" t="s">
        <v>95</v>
      </c>
      <c r="O4699" t="s">
        <v>96</v>
      </c>
    </row>
    <row r="4700" spans="1:15" x14ac:dyDescent="0.25">
      <c r="A4700">
        <v>1145</v>
      </c>
      <c r="B4700" s="10">
        <v>45894</v>
      </c>
      <c r="C4700">
        <v>25</v>
      </c>
      <c r="D4700" t="s">
        <v>109</v>
      </c>
      <c r="E4700" t="s">
        <v>110</v>
      </c>
      <c r="F4700" t="s">
        <v>22</v>
      </c>
      <c r="G4700" t="s">
        <v>91</v>
      </c>
      <c r="H4700" t="s">
        <v>92</v>
      </c>
      <c r="I4700" t="s">
        <v>154</v>
      </c>
      <c r="J4700" t="s">
        <v>103</v>
      </c>
      <c r="K4700">
        <v>46</v>
      </c>
      <c r="L4700">
        <v>126400</v>
      </c>
      <c r="M4700">
        <v>5814400</v>
      </c>
      <c r="N4700" t="s">
        <v>108</v>
      </c>
      <c r="O4700" t="s">
        <v>115</v>
      </c>
    </row>
    <row r="4701" spans="1:15" x14ac:dyDescent="0.25">
      <c r="A4701">
        <v>4133</v>
      </c>
      <c r="B4701" s="10">
        <v>45745</v>
      </c>
      <c r="C4701">
        <v>29</v>
      </c>
      <c r="D4701" t="s">
        <v>140</v>
      </c>
      <c r="E4701" t="s">
        <v>112</v>
      </c>
      <c r="F4701" t="s">
        <v>28</v>
      </c>
      <c r="G4701" t="s">
        <v>126</v>
      </c>
      <c r="H4701" t="s">
        <v>23</v>
      </c>
      <c r="I4701" t="s">
        <v>119</v>
      </c>
      <c r="J4701" t="s">
        <v>94</v>
      </c>
      <c r="K4701">
        <v>2</v>
      </c>
      <c r="L4701">
        <v>126400</v>
      </c>
      <c r="M4701">
        <v>252800</v>
      </c>
      <c r="N4701" t="s">
        <v>95</v>
      </c>
      <c r="O4701" t="s">
        <v>96</v>
      </c>
    </row>
    <row r="4702" spans="1:15" x14ac:dyDescent="0.25">
      <c r="A4702">
        <v>2694</v>
      </c>
      <c r="B4702" s="10">
        <v>45956</v>
      </c>
      <c r="C4702">
        <v>26</v>
      </c>
      <c r="D4702" t="s">
        <v>136</v>
      </c>
      <c r="E4702" t="s">
        <v>25</v>
      </c>
      <c r="F4702" t="s">
        <v>36</v>
      </c>
      <c r="G4702" t="s">
        <v>100</v>
      </c>
      <c r="H4702" t="s">
        <v>92</v>
      </c>
      <c r="I4702" t="s">
        <v>154</v>
      </c>
      <c r="J4702" t="s">
        <v>103</v>
      </c>
      <c r="K4702">
        <v>33</v>
      </c>
      <c r="L4702">
        <v>126600</v>
      </c>
      <c r="M4702">
        <v>4177800</v>
      </c>
      <c r="N4702" t="s">
        <v>108</v>
      </c>
      <c r="O4702" t="s">
        <v>104</v>
      </c>
    </row>
    <row r="4703" spans="1:15" x14ac:dyDescent="0.25">
      <c r="A4703">
        <v>3385</v>
      </c>
      <c r="B4703" s="10">
        <v>45965</v>
      </c>
      <c r="C4703">
        <v>4</v>
      </c>
      <c r="D4703" t="s">
        <v>90</v>
      </c>
      <c r="E4703" t="s">
        <v>31</v>
      </c>
      <c r="F4703" t="s">
        <v>22</v>
      </c>
      <c r="G4703" t="s">
        <v>91</v>
      </c>
      <c r="H4703" t="s">
        <v>23</v>
      </c>
      <c r="I4703" t="s">
        <v>119</v>
      </c>
      <c r="J4703" t="s">
        <v>94</v>
      </c>
      <c r="K4703">
        <v>3</v>
      </c>
      <c r="L4703">
        <v>126600</v>
      </c>
      <c r="M4703">
        <v>379800</v>
      </c>
      <c r="N4703" t="s">
        <v>108</v>
      </c>
      <c r="O4703" t="s">
        <v>96</v>
      </c>
    </row>
    <row r="4704" spans="1:15" x14ac:dyDescent="0.25">
      <c r="A4704">
        <v>2429</v>
      </c>
      <c r="B4704" s="10">
        <v>45885</v>
      </c>
      <c r="C4704">
        <v>16</v>
      </c>
      <c r="D4704" t="s">
        <v>109</v>
      </c>
      <c r="E4704" t="s">
        <v>110</v>
      </c>
      <c r="F4704" t="s">
        <v>148</v>
      </c>
      <c r="G4704" t="s">
        <v>118</v>
      </c>
      <c r="H4704" t="s">
        <v>23</v>
      </c>
      <c r="I4704" t="s">
        <v>119</v>
      </c>
      <c r="J4704" t="s">
        <v>94</v>
      </c>
      <c r="K4704">
        <v>10</v>
      </c>
      <c r="L4704">
        <v>126700</v>
      </c>
      <c r="M4704">
        <v>1267000</v>
      </c>
      <c r="N4704" t="s">
        <v>95</v>
      </c>
      <c r="O4704" t="s">
        <v>104</v>
      </c>
    </row>
    <row r="4705" spans="1:15" x14ac:dyDescent="0.25">
      <c r="A4705">
        <v>3063</v>
      </c>
      <c r="B4705" s="10">
        <v>45811</v>
      </c>
      <c r="C4705">
        <v>3</v>
      </c>
      <c r="D4705" t="s">
        <v>153</v>
      </c>
      <c r="E4705" t="s">
        <v>138</v>
      </c>
      <c r="F4705" t="s">
        <v>49</v>
      </c>
      <c r="G4705" t="s">
        <v>118</v>
      </c>
      <c r="H4705" t="s">
        <v>92</v>
      </c>
      <c r="I4705" t="s">
        <v>154</v>
      </c>
      <c r="J4705" t="s">
        <v>103</v>
      </c>
      <c r="K4705">
        <v>27</v>
      </c>
      <c r="L4705">
        <v>126900</v>
      </c>
      <c r="M4705">
        <v>3426300</v>
      </c>
      <c r="N4705" t="s">
        <v>108</v>
      </c>
      <c r="O4705" t="s">
        <v>115</v>
      </c>
    </row>
    <row r="4706" spans="1:15" x14ac:dyDescent="0.25">
      <c r="A4706">
        <v>1260</v>
      </c>
      <c r="B4706" s="10">
        <v>45755</v>
      </c>
      <c r="C4706">
        <v>8</v>
      </c>
      <c r="D4706" t="s">
        <v>105</v>
      </c>
      <c r="E4706" t="s">
        <v>128</v>
      </c>
      <c r="F4706" t="s">
        <v>141</v>
      </c>
      <c r="G4706" t="s">
        <v>100</v>
      </c>
      <c r="H4706" t="s">
        <v>92</v>
      </c>
      <c r="I4706" t="s">
        <v>154</v>
      </c>
      <c r="J4706" t="s">
        <v>103</v>
      </c>
      <c r="K4706">
        <v>49</v>
      </c>
      <c r="L4706">
        <v>127100</v>
      </c>
      <c r="M4706">
        <v>6227900</v>
      </c>
      <c r="N4706" t="s">
        <v>108</v>
      </c>
      <c r="O4706" t="s">
        <v>104</v>
      </c>
    </row>
    <row r="4707" spans="1:15" x14ac:dyDescent="0.25">
      <c r="A4707">
        <v>4224</v>
      </c>
      <c r="B4707" s="10">
        <v>45897</v>
      </c>
      <c r="C4707">
        <v>28</v>
      </c>
      <c r="D4707" t="s">
        <v>109</v>
      </c>
      <c r="E4707" t="s">
        <v>133</v>
      </c>
      <c r="F4707" t="s">
        <v>117</v>
      </c>
      <c r="G4707" t="s">
        <v>118</v>
      </c>
      <c r="H4707" t="s">
        <v>23</v>
      </c>
      <c r="I4707" t="s">
        <v>119</v>
      </c>
      <c r="J4707" t="s">
        <v>94</v>
      </c>
      <c r="K4707">
        <v>3</v>
      </c>
      <c r="L4707">
        <v>127100</v>
      </c>
      <c r="M4707">
        <v>381300</v>
      </c>
      <c r="N4707" t="s">
        <v>108</v>
      </c>
      <c r="O4707" t="s">
        <v>104</v>
      </c>
    </row>
    <row r="4708" spans="1:15" x14ac:dyDescent="0.25">
      <c r="A4708">
        <v>3876</v>
      </c>
      <c r="B4708" s="10">
        <v>45927</v>
      </c>
      <c r="C4708">
        <v>27</v>
      </c>
      <c r="D4708" t="s">
        <v>147</v>
      </c>
      <c r="E4708" t="s">
        <v>110</v>
      </c>
      <c r="F4708" t="s">
        <v>134</v>
      </c>
      <c r="G4708" t="s">
        <v>100</v>
      </c>
      <c r="H4708" t="s">
        <v>23</v>
      </c>
      <c r="I4708" t="s">
        <v>119</v>
      </c>
      <c r="J4708" t="s">
        <v>94</v>
      </c>
      <c r="K4708">
        <v>8</v>
      </c>
      <c r="L4708">
        <v>127200</v>
      </c>
      <c r="M4708">
        <v>1017600</v>
      </c>
      <c r="N4708" t="s">
        <v>95</v>
      </c>
      <c r="O4708" t="s">
        <v>104</v>
      </c>
    </row>
    <row r="4709" spans="1:15" x14ac:dyDescent="0.25">
      <c r="A4709">
        <v>1561</v>
      </c>
      <c r="B4709" s="10">
        <v>45728</v>
      </c>
      <c r="C4709">
        <v>12</v>
      </c>
      <c r="D4709" t="s">
        <v>140</v>
      </c>
      <c r="E4709" t="s">
        <v>116</v>
      </c>
      <c r="F4709" t="s">
        <v>99</v>
      </c>
      <c r="G4709" t="s">
        <v>100</v>
      </c>
      <c r="H4709" t="s">
        <v>92</v>
      </c>
      <c r="I4709" t="s">
        <v>154</v>
      </c>
      <c r="J4709" t="s">
        <v>103</v>
      </c>
      <c r="K4709">
        <v>10</v>
      </c>
      <c r="L4709">
        <v>127400</v>
      </c>
      <c r="M4709">
        <v>1274000</v>
      </c>
      <c r="N4709" t="s">
        <v>95</v>
      </c>
      <c r="O4709" t="s">
        <v>96</v>
      </c>
    </row>
    <row r="4710" spans="1:15" x14ac:dyDescent="0.25">
      <c r="A4710">
        <v>3344</v>
      </c>
      <c r="B4710" s="10">
        <v>45981</v>
      </c>
      <c r="C4710">
        <v>20</v>
      </c>
      <c r="D4710" t="s">
        <v>90</v>
      </c>
      <c r="E4710" t="s">
        <v>31</v>
      </c>
      <c r="F4710" t="s">
        <v>117</v>
      </c>
      <c r="G4710" t="s">
        <v>118</v>
      </c>
      <c r="H4710" t="s">
        <v>23</v>
      </c>
      <c r="I4710" t="s">
        <v>119</v>
      </c>
      <c r="J4710" t="s">
        <v>94</v>
      </c>
      <c r="K4710">
        <v>9</v>
      </c>
      <c r="L4710">
        <v>127400</v>
      </c>
      <c r="M4710">
        <v>1146600</v>
      </c>
      <c r="N4710" t="s">
        <v>108</v>
      </c>
      <c r="O4710" t="s">
        <v>104</v>
      </c>
    </row>
    <row r="4711" spans="1:15" x14ac:dyDescent="0.25">
      <c r="A4711">
        <v>3611</v>
      </c>
      <c r="B4711" s="10">
        <v>45770</v>
      </c>
      <c r="C4711">
        <v>23</v>
      </c>
      <c r="D4711" t="s">
        <v>105</v>
      </c>
      <c r="E4711" t="s">
        <v>161</v>
      </c>
      <c r="F4711" t="s">
        <v>151</v>
      </c>
      <c r="G4711" t="s">
        <v>111</v>
      </c>
      <c r="H4711" t="s">
        <v>92</v>
      </c>
      <c r="I4711" t="s">
        <v>154</v>
      </c>
      <c r="J4711" t="s">
        <v>103</v>
      </c>
      <c r="K4711">
        <v>13</v>
      </c>
      <c r="L4711">
        <v>127700</v>
      </c>
      <c r="M4711">
        <v>1660100</v>
      </c>
      <c r="N4711" t="s">
        <v>108</v>
      </c>
      <c r="O4711" t="s">
        <v>104</v>
      </c>
    </row>
    <row r="4712" spans="1:15" x14ac:dyDescent="0.25">
      <c r="A4712">
        <v>4653</v>
      </c>
      <c r="B4712" s="10">
        <v>45915</v>
      </c>
      <c r="C4712">
        <v>15</v>
      </c>
      <c r="D4712" t="s">
        <v>147</v>
      </c>
      <c r="E4712" t="s">
        <v>142</v>
      </c>
      <c r="F4712" t="s">
        <v>117</v>
      </c>
      <c r="G4712" t="s">
        <v>118</v>
      </c>
      <c r="H4712" t="s">
        <v>92</v>
      </c>
      <c r="I4712" t="s">
        <v>154</v>
      </c>
      <c r="J4712" t="s">
        <v>103</v>
      </c>
      <c r="K4712">
        <v>17</v>
      </c>
      <c r="L4712">
        <v>127800</v>
      </c>
      <c r="M4712">
        <v>2172600</v>
      </c>
      <c r="N4712" t="s">
        <v>95</v>
      </c>
      <c r="O4712" t="s">
        <v>115</v>
      </c>
    </row>
    <row r="4713" spans="1:15" x14ac:dyDescent="0.25">
      <c r="A4713">
        <v>1003</v>
      </c>
      <c r="B4713" s="10">
        <v>45967</v>
      </c>
      <c r="C4713">
        <v>6</v>
      </c>
      <c r="D4713" t="s">
        <v>90</v>
      </c>
      <c r="E4713" t="s">
        <v>116</v>
      </c>
      <c r="F4713" t="s">
        <v>141</v>
      </c>
      <c r="G4713" t="s">
        <v>100</v>
      </c>
      <c r="H4713" t="s">
        <v>92</v>
      </c>
      <c r="I4713" t="s">
        <v>154</v>
      </c>
      <c r="J4713" t="s">
        <v>103</v>
      </c>
      <c r="K4713">
        <v>39</v>
      </c>
      <c r="L4713">
        <v>127900</v>
      </c>
      <c r="M4713">
        <v>4988100</v>
      </c>
      <c r="N4713" t="s">
        <v>95</v>
      </c>
      <c r="O4713" t="s">
        <v>104</v>
      </c>
    </row>
    <row r="4714" spans="1:15" x14ac:dyDescent="0.25">
      <c r="A4714">
        <v>2728</v>
      </c>
      <c r="B4714" s="10">
        <v>45841</v>
      </c>
      <c r="C4714">
        <v>3</v>
      </c>
      <c r="D4714" t="s">
        <v>145</v>
      </c>
      <c r="E4714" t="s">
        <v>110</v>
      </c>
      <c r="F4714" t="s">
        <v>36</v>
      </c>
      <c r="G4714" t="s">
        <v>100</v>
      </c>
      <c r="H4714" t="s">
        <v>23</v>
      </c>
      <c r="I4714" t="s">
        <v>119</v>
      </c>
      <c r="J4714" t="s">
        <v>94</v>
      </c>
      <c r="K4714">
        <v>7</v>
      </c>
      <c r="L4714">
        <v>128000</v>
      </c>
      <c r="M4714">
        <v>896000</v>
      </c>
      <c r="N4714" t="s">
        <v>108</v>
      </c>
      <c r="O4714" t="s">
        <v>96</v>
      </c>
    </row>
    <row r="4715" spans="1:15" x14ac:dyDescent="0.25">
      <c r="A4715">
        <v>3223</v>
      </c>
      <c r="B4715" s="10">
        <v>45897</v>
      </c>
      <c r="C4715">
        <v>28</v>
      </c>
      <c r="D4715" t="s">
        <v>109</v>
      </c>
      <c r="E4715" t="s">
        <v>106</v>
      </c>
      <c r="F4715" t="s">
        <v>49</v>
      </c>
      <c r="G4715" t="s">
        <v>118</v>
      </c>
      <c r="H4715" t="s">
        <v>23</v>
      </c>
      <c r="I4715" t="s">
        <v>119</v>
      </c>
      <c r="J4715" t="s">
        <v>94</v>
      </c>
      <c r="K4715">
        <v>7</v>
      </c>
      <c r="L4715">
        <v>128200</v>
      </c>
      <c r="M4715">
        <v>897400</v>
      </c>
      <c r="N4715" t="s">
        <v>108</v>
      </c>
      <c r="O4715" t="s">
        <v>115</v>
      </c>
    </row>
    <row r="4716" spans="1:15" x14ac:dyDescent="0.25">
      <c r="A4716">
        <v>123</v>
      </c>
      <c r="B4716" s="10">
        <v>45960</v>
      </c>
      <c r="C4716">
        <v>30</v>
      </c>
      <c r="D4716" t="s">
        <v>136</v>
      </c>
      <c r="E4716" t="s">
        <v>150</v>
      </c>
      <c r="F4716" t="s">
        <v>141</v>
      </c>
      <c r="G4716" t="s">
        <v>100</v>
      </c>
      <c r="H4716" t="s">
        <v>23</v>
      </c>
      <c r="I4716" t="s">
        <v>119</v>
      </c>
      <c r="J4716" t="s">
        <v>94</v>
      </c>
      <c r="K4716">
        <v>9</v>
      </c>
      <c r="L4716">
        <v>128400</v>
      </c>
      <c r="M4716">
        <v>1155600</v>
      </c>
      <c r="N4716" t="s">
        <v>108</v>
      </c>
      <c r="O4716" t="s">
        <v>104</v>
      </c>
    </row>
    <row r="4717" spans="1:15" x14ac:dyDescent="0.25">
      <c r="A4717">
        <v>3321</v>
      </c>
      <c r="B4717" s="10">
        <v>45982</v>
      </c>
      <c r="C4717">
        <v>21</v>
      </c>
      <c r="D4717" t="s">
        <v>90</v>
      </c>
      <c r="E4717" t="s">
        <v>150</v>
      </c>
      <c r="F4717" t="s">
        <v>144</v>
      </c>
      <c r="G4717" t="s">
        <v>91</v>
      </c>
      <c r="H4717" t="s">
        <v>92</v>
      </c>
      <c r="I4717" t="s">
        <v>154</v>
      </c>
      <c r="J4717" t="s">
        <v>103</v>
      </c>
      <c r="K4717">
        <v>50</v>
      </c>
      <c r="L4717">
        <v>128800</v>
      </c>
      <c r="M4717">
        <v>6440000</v>
      </c>
      <c r="N4717" t="s">
        <v>95</v>
      </c>
      <c r="O4717" t="s">
        <v>104</v>
      </c>
    </row>
    <row r="4718" spans="1:15" x14ac:dyDescent="0.25">
      <c r="A4718">
        <v>4640</v>
      </c>
      <c r="B4718" s="10">
        <v>45750</v>
      </c>
      <c r="C4718">
        <v>3</v>
      </c>
      <c r="D4718" t="s">
        <v>105</v>
      </c>
      <c r="E4718" t="s">
        <v>150</v>
      </c>
      <c r="F4718" t="s">
        <v>44</v>
      </c>
      <c r="G4718" t="s">
        <v>111</v>
      </c>
      <c r="H4718" t="s">
        <v>92</v>
      </c>
      <c r="I4718" t="s">
        <v>154</v>
      </c>
      <c r="J4718" t="s">
        <v>94</v>
      </c>
      <c r="K4718">
        <v>4</v>
      </c>
      <c r="L4718">
        <v>128800</v>
      </c>
      <c r="M4718">
        <v>515200</v>
      </c>
      <c r="N4718" t="s">
        <v>108</v>
      </c>
      <c r="O4718" t="s">
        <v>104</v>
      </c>
    </row>
    <row r="4719" spans="1:15" x14ac:dyDescent="0.25">
      <c r="A4719">
        <v>1112</v>
      </c>
      <c r="B4719" s="10">
        <v>46004</v>
      </c>
      <c r="C4719">
        <v>13</v>
      </c>
      <c r="D4719" t="s">
        <v>125</v>
      </c>
      <c r="E4719" t="s">
        <v>138</v>
      </c>
      <c r="F4719" t="s">
        <v>134</v>
      </c>
      <c r="G4719" t="s">
        <v>100</v>
      </c>
      <c r="H4719" t="s">
        <v>92</v>
      </c>
      <c r="I4719" t="s">
        <v>154</v>
      </c>
      <c r="J4719" t="s">
        <v>103</v>
      </c>
      <c r="K4719">
        <v>18</v>
      </c>
      <c r="L4719">
        <v>128900</v>
      </c>
      <c r="M4719">
        <v>2320200</v>
      </c>
      <c r="N4719" t="s">
        <v>108</v>
      </c>
      <c r="O4719" t="s">
        <v>115</v>
      </c>
    </row>
    <row r="4720" spans="1:15" x14ac:dyDescent="0.25">
      <c r="A4720">
        <v>2356</v>
      </c>
      <c r="B4720" s="10">
        <v>45778</v>
      </c>
      <c r="C4720">
        <v>1</v>
      </c>
      <c r="D4720" t="s">
        <v>120</v>
      </c>
      <c r="E4720" t="s">
        <v>128</v>
      </c>
      <c r="F4720" t="s">
        <v>134</v>
      </c>
      <c r="G4720" t="s">
        <v>100</v>
      </c>
      <c r="H4720" t="s">
        <v>92</v>
      </c>
      <c r="I4720" t="s">
        <v>154</v>
      </c>
      <c r="J4720" t="s">
        <v>103</v>
      </c>
      <c r="K4720">
        <v>12</v>
      </c>
      <c r="L4720">
        <v>129200</v>
      </c>
      <c r="M4720">
        <v>1550400</v>
      </c>
      <c r="N4720" t="s">
        <v>108</v>
      </c>
      <c r="O4720" t="s">
        <v>104</v>
      </c>
    </row>
    <row r="4721" spans="1:15" x14ac:dyDescent="0.25">
      <c r="A4721">
        <v>441</v>
      </c>
      <c r="B4721" s="10">
        <v>45793</v>
      </c>
      <c r="C4721">
        <v>16</v>
      </c>
      <c r="D4721" t="s">
        <v>120</v>
      </c>
      <c r="E4721" t="s">
        <v>106</v>
      </c>
      <c r="F4721" t="s">
        <v>49</v>
      </c>
      <c r="G4721" t="s">
        <v>118</v>
      </c>
      <c r="H4721" t="s">
        <v>92</v>
      </c>
      <c r="I4721" t="s">
        <v>154</v>
      </c>
      <c r="J4721" t="s">
        <v>103</v>
      </c>
      <c r="K4721">
        <v>21</v>
      </c>
      <c r="L4721">
        <v>129900</v>
      </c>
      <c r="M4721">
        <v>2727900</v>
      </c>
      <c r="N4721" t="s">
        <v>95</v>
      </c>
      <c r="O4721" t="s">
        <v>96</v>
      </c>
    </row>
    <row r="4722" spans="1:15" x14ac:dyDescent="0.25">
      <c r="A4722">
        <v>4878</v>
      </c>
      <c r="B4722" s="10">
        <v>45730</v>
      </c>
      <c r="C4722">
        <v>14</v>
      </c>
      <c r="D4722" t="s">
        <v>140</v>
      </c>
      <c r="E4722" t="s">
        <v>142</v>
      </c>
      <c r="F4722" t="s">
        <v>117</v>
      </c>
      <c r="G4722" t="s">
        <v>118</v>
      </c>
      <c r="H4722" t="s">
        <v>92</v>
      </c>
      <c r="I4722" t="s">
        <v>154</v>
      </c>
      <c r="J4722" t="s">
        <v>103</v>
      </c>
      <c r="K4722">
        <v>26</v>
      </c>
      <c r="L4722">
        <v>130300</v>
      </c>
      <c r="M4722">
        <v>3387800</v>
      </c>
      <c r="N4722" t="s">
        <v>108</v>
      </c>
      <c r="O4722" t="s">
        <v>104</v>
      </c>
    </row>
    <row r="4723" spans="1:15" x14ac:dyDescent="0.25">
      <c r="A4723">
        <v>892</v>
      </c>
      <c r="B4723" s="10">
        <v>45979</v>
      </c>
      <c r="C4723">
        <v>18</v>
      </c>
      <c r="D4723" t="s">
        <v>90</v>
      </c>
      <c r="E4723" t="s">
        <v>98</v>
      </c>
      <c r="F4723" t="s">
        <v>151</v>
      </c>
      <c r="G4723" t="s">
        <v>111</v>
      </c>
      <c r="H4723" t="s">
        <v>92</v>
      </c>
      <c r="I4723" t="s">
        <v>154</v>
      </c>
      <c r="J4723" t="s">
        <v>103</v>
      </c>
      <c r="K4723">
        <v>37</v>
      </c>
      <c r="L4723">
        <v>130700</v>
      </c>
      <c r="M4723">
        <v>4835900</v>
      </c>
      <c r="N4723" t="s">
        <v>95</v>
      </c>
      <c r="O4723" t="s">
        <v>115</v>
      </c>
    </row>
    <row r="4724" spans="1:15" x14ac:dyDescent="0.25">
      <c r="A4724">
        <v>3727</v>
      </c>
      <c r="B4724" s="10">
        <v>46016</v>
      </c>
      <c r="C4724">
        <v>25</v>
      </c>
      <c r="D4724" t="s">
        <v>125</v>
      </c>
      <c r="E4724" t="s">
        <v>121</v>
      </c>
      <c r="F4724" t="s">
        <v>141</v>
      </c>
      <c r="G4724" t="s">
        <v>100</v>
      </c>
      <c r="H4724" t="s">
        <v>92</v>
      </c>
      <c r="I4724" t="s">
        <v>154</v>
      </c>
      <c r="J4724" t="s">
        <v>103</v>
      </c>
      <c r="K4724">
        <v>42</v>
      </c>
      <c r="L4724">
        <v>130700</v>
      </c>
      <c r="M4724">
        <v>5489400</v>
      </c>
      <c r="N4724" t="s">
        <v>95</v>
      </c>
      <c r="O4724" t="s">
        <v>104</v>
      </c>
    </row>
    <row r="4725" spans="1:15" x14ac:dyDescent="0.25">
      <c r="A4725">
        <v>4846</v>
      </c>
      <c r="B4725" s="10">
        <v>46004</v>
      </c>
      <c r="C4725">
        <v>13</v>
      </c>
      <c r="D4725" t="s">
        <v>125</v>
      </c>
      <c r="E4725" t="s">
        <v>25</v>
      </c>
      <c r="F4725" t="s">
        <v>49</v>
      </c>
      <c r="G4725" t="s">
        <v>118</v>
      </c>
      <c r="H4725" t="s">
        <v>92</v>
      </c>
      <c r="I4725" t="s">
        <v>154</v>
      </c>
      <c r="J4725" t="s">
        <v>103</v>
      </c>
      <c r="K4725">
        <v>36</v>
      </c>
      <c r="L4725">
        <v>130900</v>
      </c>
      <c r="M4725">
        <v>4712400</v>
      </c>
      <c r="N4725" t="s">
        <v>108</v>
      </c>
      <c r="O4725" t="s">
        <v>96</v>
      </c>
    </row>
    <row r="4726" spans="1:15" x14ac:dyDescent="0.25">
      <c r="A4726">
        <v>125</v>
      </c>
      <c r="B4726" s="10">
        <v>45977</v>
      </c>
      <c r="C4726">
        <v>16</v>
      </c>
      <c r="D4726" t="s">
        <v>90</v>
      </c>
      <c r="E4726" t="s">
        <v>161</v>
      </c>
      <c r="F4726" t="s">
        <v>134</v>
      </c>
      <c r="G4726" t="s">
        <v>100</v>
      </c>
      <c r="H4726" t="s">
        <v>92</v>
      </c>
      <c r="I4726" t="s">
        <v>154</v>
      </c>
      <c r="J4726" t="s">
        <v>103</v>
      </c>
      <c r="K4726">
        <v>48</v>
      </c>
      <c r="L4726">
        <v>131200</v>
      </c>
      <c r="M4726">
        <v>6297600</v>
      </c>
      <c r="N4726" t="s">
        <v>108</v>
      </c>
      <c r="O4726" t="s">
        <v>115</v>
      </c>
    </row>
    <row r="4727" spans="1:15" x14ac:dyDescent="0.25">
      <c r="A4727">
        <v>4900</v>
      </c>
      <c r="B4727" s="10">
        <v>45887</v>
      </c>
      <c r="C4727">
        <v>18</v>
      </c>
      <c r="D4727" t="s">
        <v>109</v>
      </c>
      <c r="E4727" t="s">
        <v>161</v>
      </c>
      <c r="F4727" t="s">
        <v>49</v>
      </c>
      <c r="G4727" t="s">
        <v>118</v>
      </c>
      <c r="H4727" t="s">
        <v>92</v>
      </c>
      <c r="I4727" t="s">
        <v>154</v>
      </c>
      <c r="J4727" t="s">
        <v>103</v>
      </c>
      <c r="K4727">
        <v>50</v>
      </c>
      <c r="L4727">
        <v>131300</v>
      </c>
      <c r="M4727">
        <v>6565000</v>
      </c>
      <c r="N4727" t="s">
        <v>108</v>
      </c>
      <c r="O4727" t="s">
        <v>96</v>
      </c>
    </row>
    <row r="4728" spans="1:15" x14ac:dyDescent="0.25">
      <c r="A4728">
        <v>2616</v>
      </c>
      <c r="B4728" s="10">
        <v>45667</v>
      </c>
      <c r="C4728">
        <v>10</v>
      </c>
      <c r="D4728" t="s">
        <v>130</v>
      </c>
      <c r="E4728" t="s">
        <v>25</v>
      </c>
      <c r="F4728" t="s">
        <v>107</v>
      </c>
      <c r="G4728" t="s">
        <v>100</v>
      </c>
      <c r="H4728" t="s">
        <v>92</v>
      </c>
      <c r="I4728" t="s">
        <v>154</v>
      </c>
      <c r="J4728" t="s">
        <v>103</v>
      </c>
      <c r="K4728">
        <v>38</v>
      </c>
      <c r="L4728">
        <v>131800</v>
      </c>
      <c r="M4728">
        <v>5008400</v>
      </c>
      <c r="N4728" t="s">
        <v>108</v>
      </c>
      <c r="O4728" t="s">
        <v>104</v>
      </c>
    </row>
    <row r="4729" spans="1:15" x14ac:dyDescent="0.25">
      <c r="A4729">
        <v>771</v>
      </c>
      <c r="B4729" s="10">
        <v>46013</v>
      </c>
      <c r="C4729">
        <v>22</v>
      </c>
      <c r="D4729" t="s">
        <v>125</v>
      </c>
      <c r="E4729" t="s">
        <v>106</v>
      </c>
      <c r="F4729" t="s">
        <v>36</v>
      </c>
      <c r="G4729" t="s">
        <v>100</v>
      </c>
      <c r="H4729" t="s">
        <v>92</v>
      </c>
      <c r="I4729" t="s">
        <v>154</v>
      </c>
      <c r="J4729" t="s">
        <v>103</v>
      </c>
      <c r="K4729">
        <v>12</v>
      </c>
      <c r="L4729">
        <v>132000</v>
      </c>
      <c r="M4729">
        <v>1584000</v>
      </c>
      <c r="N4729" t="s">
        <v>108</v>
      </c>
      <c r="O4729" t="s">
        <v>115</v>
      </c>
    </row>
    <row r="4730" spans="1:15" x14ac:dyDescent="0.25">
      <c r="A4730">
        <v>1393</v>
      </c>
      <c r="B4730" s="10">
        <v>45858</v>
      </c>
      <c r="C4730">
        <v>20</v>
      </c>
      <c r="D4730" t="s">
        <v>145</v>
      </c>
      <c r="E4730" t="s">
        <v>31</v>
      </c>
      <c r="F4730" t="s">
        <v>151</v>
      </c>
      <c r="G4730" t="s">
        <v>111</v>
      </c>
      <c r="H4730" t="s">
        <v>23</v>
      </c>
      <c r="I4730" t="s">
        <v>119</v>
      </c>
      <c r="J4730" t="s">
        <v>94</v>
      </c>
      <c r="K4730">
        <v>8</v>
      </c>
      <c r="L4730">
        <v>132100</v>
      </c>
      <c r="M4730">
        <v>1056800</v>
      </c>
      <c r="N4730" t="s">
        <v>95</v>
      </c>
      <c r="O4730" t="s">
        <v>104</v>
      </c>
    </row>
    <row r="4731" spans="1:15" x14ac:dyDescent="0.25">
      <c r="A4731">
        <v>2179</v>
      </c>
      <c r="B4731" s="10">
        <v>45695</v>
      </c>
      <c r="C4731">
        <v>7</v>
      </c>
      <c r="D4731" t="s">
        <v>97</v>
      </c>
      <c r="E4731" t="s">
        <v>138</v>
      </c>
      <c r="F4731" t="s">
        <v>134</v>
      </c>
      <c r="G4731" t="s">
        <v>100</v>
      </c>
      <c r="H4731" t="s">
        <v>23</v>
      </c>
      <c r="I4731" t="s">
        <v>119</v>
      </c>
      <c r="J4731" t="s">
        <v>94</v>
      </c>
      <c r="K4731">
        <v>3</v>
      </c>
      <c r="L4731">
        <v>132100</v>
      </c>
      <c r="M4731">
        <v>396300</v>
      </c>
      <c r="N4731" t="s">
        <v>108</v>
      </c>
      <c r="O4731" t="s">
        <v>96</v>
      </c>
    </row>
    <row r="4732" spans="1:15" x14ac:dyDescent="0.25">
      <c r="A4732">
        <v>3634</v>
      </c>
      <c r="B4732" s="10">
        <v>45962</v>
      </c>
      <c r="C4732">
        <v>1</v>
      </c>
      <c r="D4732" t="s">
        <v>90</v>
      </c>
      <c r="E4732" t="s">
        <v>161</v>
      </c>
      <c r="F4732" t="s">
        <v>148</v>
      </c>
      <c r="G4732" t="s">
        <v>118</v>
      </c>
      <c r="H4732" t="s">
        <v>92</v>
      </c>
      <c r="I4732" t="s">
        <v>154</v>
      </c>
      <c r="J4732" t="s">
        <v>103</v>
      </c>
      <c r="K4732">
        <v>17</v>
      </c>
      <c r="L4732">
        <v>132200</v>
      </c>
      <c r="M4732">
        <v>2247400</v>
      </c>
      <c r="N4732" t="s">
        <v>95</v>
      </c>
      <c r="O4732" t="s">
        <v>115</v>
      </c>
    </row>
    <row r="4733" spans="1:15" x14ac:dyDescent="0.25">
      <c r="A4733">
        <v>1992</v>
      </c>
      <c r="B4733" s="10">
        <v>45783</v>
      </c>
      <c r="C4733">
        <v>6</v>
      </c>
      <c r="D4733" t="s">
        <v>120</v>
      </c>
      <c r="E4733" t="s">
        <v>161</v>
      </c>
      <c r="F4733" t="s">
        <v>141</v>
      </c>
      <c r="G4733" t="s">
        <v>100</v>
      </c>
      <c r="H4733" t="s">
        <v>92</v>
      </c>
      <c r="I4733" t="s">
        <v>154</v>
      </c>
      <c r="J4733" t="s">
        <v>103</v>
      </c>
      <c r="K4733">
        <v>29</v>
      </c>
      <c r="L4733">
        <v>132300</v>
      </c>
      <c r="M4733">
        <v>3836700</v>
      </c>
      <c r="N4733" t="s">
        <v>108</v>
      </c>
      <c r="O4733" t="s">
        <v>104</v>
      </c>
    </row>
    <row r="4734" spans="1:15" x14ac:dyDescent="0.25">
      <c r="A4734">
        <v>162</v>
      </c>
      <c r="B4734" s="10">
        <v>45945</v>
      </c>
      <c r="C4734">
        <v>15</v>
      </c>
      <c r="D4734" t="s">
        <v>136</v>
      </c>
      <c r="E4734" t="s">
        <v>137</v>
      </c>
      <c r="F4734" t="s">
        <v>113</v>
      </c>
      <c r="G4734" t="s">
        <v>114</v>
      </c>
      <c r="H4734" t="s">
        <v>92</v>
      </c>
      <c r="I4734" t="s">
        <v>154</v>
      </c>
      <c r="J4734" t="s">
        <v>103</v>
      </c>
      <c r="K4734">
        <v>27</v>
      </c>
      <c r="L4734">
        <v>132500</v>
      </c>
      <c r="M4734">
        <v>3577500</v>
      </c>
      <c r="N4734" t="s">
        <v>108</v>
      </c>
      <c r="O4734" t="s">
        <v>96</v>
      </c>
    </row>
    <row r="4735" spans="1:15" x14ac:dyDescent="0.25">
      <c r="A4735">
        <v>4024</v>
      </c>
      <c r="B4735" s="10">
        <v>45963</v>
      </c>
      <c r="C4735">
        <v>2</v>
      </c>
      <c r="D4735" t="s">
        <v>90</v>
      </c>
      <c r="E4735" t="s">
        <v>25</v>
      </c>
      <c r="F4735" t="s">
        <v>113</v>
      </c>
      <c r="G4735" t="s">
        <v>114</v>
      </c>
      <c r="H4735" t="s">
        <v>92</v>
      </c>
      <c r="I4735" t="s">
        <v>154</v>
      </c>
      <c r="J4735" t="s">
        <v>103</v>
      </c>
      <c r="K4735">
        <v>26</v>
      </c>
      <c r="L4735">
        <v>132500</v>
      </c>
      <c r="M4735">
        <v>3445000</v>
      </c>
      <c r="N4735" t="s">
        <v>108</v>
      </c>
      <c r="O4735" t="s">
        <v>96</v>
      </c>
    </row>
    <row r="4736" spans="1:15" x14ac:dyDescent="0.25">
      <c r="A4736">
        <v>2409</v>
      </c>
      <c r="B4736" s="10">
        <v>45739</v>
      </c>
      <c r="C4736">
        <v>23</v>
      </c>
      <c r="D4736" t="s">
        <v>140</v>
      </c>
      <c r="E4736" t="s">
        <v>98</v>
      </c>
      <c r="F4736" t="s">
        <v>122</v>
      </c>
      <c r="G4736" t="s">
        <v>114</v>
      </c>
      <c r="H4736" t="s">
        <v>92</v>
      </c>
      <c r="I4736" t="s">
        <v>154</v>
      </c>
      <c r="J4736" t="s">
        <v>103</v>
      </c>
      <c r="K4736">
        <v>11</v>
      </c>
      <c r="L4736">
        <v>132700</v>
      </c>
      <c r="M4736">
        <v>1459700</v>
      </c>
      <c r="N4736" t="s">
        <v>95</v>
      </c>
      <c r="O4736" t="s">
        <v>104</v>
      </c>
    </row>
    <row r="4737" spans="1:15" x14ac:dyDescent="0.25">
      <c r="A4737">
        <v>2317</v>
      </c>
      <c r="B4737" s="10">
        <v>45794</v>
      </c>
      <c r="C4737">
        <v>17</v>
      </c>
      <c r="D4737" t="s">
        <v>120</v>
      </c>
      <c r="E4737" t="s">
        <v>121</v>
      </c>
      <c r="F4737" t="s">
        <v>36</v>
      </c>
      <c r="G4737" t="s">
        <v>100</v>
      </c>
      <c r="H4737" t="s">
        <v>92</v>
      </c>
      <c r="I4737" t="s">
        <v>154</v>
      </c>
      <c r="J4737" t="s">
        <v>103</v>
      </c>
      <c r="K4737">
        <v>10</v>
      </c>
      <c r="L4737">
        <v>132800</v>
      </c>
      <c r="M4737">
        <v>1328000</v>
      </c>
      <c r="N4737" t="s">
        <v>95</v>
      </c>
      <c r="O4737" t="s">
        <v>115</v>
      </c>
    </row>
    <row r="4738" spans="1:15" x14ac:dyDescent="0.25">
      <c r="A4738">
        <v>4656</v>
      </c>
      <c r="B4738" s="10">
        <v>45973</v>
      </c>
      <c r="C4738">
        <v>12</v>
      </c>
      <c r="D4738" t="s">
        <v>90</v>
      </c>
      <c r="E4738" t="s">
        <v>98</v>
      </c>
      <c r="F4738" t="s">
        <v>49</v>
      </c>
      <c r="G4738" t="s">
        <v>118</v>
      </c>
      <c r="H4738" t="s">
        <v>23</v>
      </c>
      <c r="I4738" t="s">
        <v>119</v>
      </c>
      <c r="J4738" t="s">
        <v>94</v>
      </c>
      <c r="K4738">
        <v>9</v>
      </c>
      <c r="L4738">
        <v>132900</v>
      </c>
      <c r="M4738">
        <v>1196100</v>
      </c>
      <c r="N4738" t="s">
        <v>108</v>
      </c>
      <c r="O4738" t="s">
        <v>96</v>
      </c>
    </row>
    <row r="4739" spans="1:15" x14ac:dyDescent="0.25">
      <c r="A4739">
        <v>4857</v>
      </c>
      <c r="B4739" s="10">
        <v>46000</v>
      </c>
      <c r="C4739">
        <v>9</v>
      </c>
      <c r="D4739" t="s">
        <v>125</v>
      </c>
      <c r="E4739" t="s">
        <v>133</v>
      </c>
      <c r="F4739" t="s">
        <v>107</v>
      </c>
      <c r="G4739" t="s">
        <v>100</v>
      </c>
      <c r="H4739" t="s">
        <v>92</v>
      </c>
      <c r="I4739" t="s">
        <v>154</v>
      </c>
      <c r="J4739" t="s">
        <v>103</v>
      </c>
      <c r="K4739">
        <v>11</v>
      </c>
      <c r="L4739">
        <v>133100</v>
      </c>
      <c r="M4739">
        <v>1464100</v>
      </c>
      <c r="N4739" t="s">
        <v>95</v>
      </c>
      <c r="O4739" t="s">
        <v>96</v>
      </c>
    </row>
    <row r="4740" spans="1:15" x14ac:dyDescent="0.25">
      <c r="A4740">
        <v>2609</v>
      </c>
      <c r="B4740" s="10">
        <v>45847</v>
      </c>
      <c r="C4740">
        <v>9</v>
      </c>
      <c r="D4740" t="s">
        <v>145</v>
      </c>
      <c r="E4740" t="s">
        <v>25</v>
      </c>
      <c r="F4740" t="s">
        <v>107</v>
      </c>
      <c r="G4740" t="s">
        <v>100</v>
      </c>
      <c r="H4740" t="s">
        <v>92</v>
      </c>
      <c r="I4740" t="s">
        <v>154</v>
      </c>
      <c r="J4740" t="s">
        <v>103</v>
      </c>
      <c r="K4740">
        <v>44</v>
      </c>
      <c r="L4740">
        <v>133200</v>
      </c>
      <c r="M4740">
        <v>5860800</v>
      </c>
      <c r="N4740" t="s">
        <v>108</v>
      </c>
      <c r="O4740" t="s">
        <v>96</v>
      </c>
    </row>
    <row r="4741" spans="1:15" x14ac:dyDescent="0.25">
      <c r="A4741">
        <v>1416</v>
      </c>
      <c r="B4741" s="10">
        <v>45890</v>
      </c>
      <c r="C4741">
        <v>21</v>
      </c>
      <c r="D4741" t="s">
        <v>109</v>
      </c>
      <c r="E4741" t="s">
        <v>133</v>
      </c>
      <c r="F4741" t="s">
        <v>141</v>
      </c>
      <c r="G4741" t="s">
        <v>100</v>
      </c>
      <c r="H4741" t="s">
        <v>92</v>
      </c>
      <c r="I4741" t="s">
        <v>154</v>
      </c>
      <c r="J4741" t="s">
        <v>103</v>
      </c>
      <c r="K4741">
        <v>44</v>
      </c>
      <c r="L4741">
        <v>133400</v>
      </c>
      <c r="M4741">
        <v>5869600</v>
      </c>
      <c r="N4741" t="s">
        <v>95</v>
      </c>
      <c r="O4741" t="s">
        <v>104</v>
      </c>
    </row>
    <row r="4742" spans="1:15" x14ac:dyDescent="0.25">
      <c r="A4742">
        <v>4420</v>
      </c>
      <c r="B4742" s="10">
        <v>45775</v>
      </c>
      <c r="C4742">
        <v>28</v>
      </c>
      <c r="D4742" t="s">
        <v>105</v>
      </c>
      <c r="E4742" t="s">
        <v>161</v>
      </c>
      <c r="F4742" t="s">
        <v>151</v>
      </c>
      <c r="G4742" t="s">
        <v>111</v>
      </c>
      <c r="H4742" t="s">
        <v>92</v>
      </c>
      <c r="I4742" t="s">
        <v>154</v>
      </c>
      <c r="J4742" t="s">
        <v>94</v>
      </c>
      <c r="K4742">
        <v>9</v>
      </c>
      <c r="L4742">
        <v>133400</v>
      </c>
      <c r="M4742">
        <v>1200600</v>
      </c>
      <c r="N4742" t="s">
        <v>108</v>
      </c>
      <c r="O4742" t="s">
        <v>104</v>
      </c>
    </row>
    <row r="4743" spans="1:15" x14ac:dyDescent="0.25">
      <c r="A4743">
        <v>1158</v>
      </c>
      <c r="B4743" s="10">
        <v>45684</v>
      </c>
      <c r="C4743">
        <v>27</v>
      </c>
      <c r="D4743" t="s">
        <v>130</v>
      </c>
      <c r="E4743" t="s">
        <v>110</v>
      </c>
      <c r="F4743" t="s">
        <v>22</v>
      </c>
      <c r="G4743" t="s">
        <v>91</v>
      </c>
      <c r="H4743" t="s">
        <v>23</v>
      </c>
      <c r="I4743" t="s">
        <v>119</v>
      </c>
      <c r="J4743" t="s">
        <v>94</v>
      </c>
      <c r="K4743">
        <v>4</v>
      </c>
      <c r="L4743">
        <v>133500</v>
      </c>
      <c r="M4743">
        <v>534000</v>
      </c>
      <c r="N4743" t="s">
        <v>108</v>
      </c>
      <c r="O4743" t="s">
        <v>104</v>
      </c>
    </row>
    <row r="4744" spans="1:15" x14ac:dyDescent="0.25">
      <c r="A4744">
        <v>2171</v>
      </c>
      <c r="B4744" s="10">
        <v>45743</v>
      </c>
      <c r="C4744">
        <v>27</v>
      </c>
      <c r="D4744" t="s">
        <v>140</v>
      </c>
      <c r="E4744" t="s">
        <v>98</v>
      </c>
      <c r="F4744" t="s">
        <v>117</v>
      </c>
      <c r="G4744" t="s">
        <v>118</v>
      </c>
      <c r="H4744" t="s">
        <v>92</v>
      </c>
      <c r="I4744" t="s">
        <v>154</v>
      </c>
      <c r="J4744" t="s">
        <v>103</v>
      </c>
      <c r="K4744">
        <v>18</v>
      </c>
      <c r="L4744">
        <v>133800</v>
      </c>
      <c r="M4744">
        <v>2408400</v>
      </c>
      <c r="N4744" t="s">
        <v>108</v>
      </c>
      <c r="O4744" t="s">
        <v>115</v>
      </c>
    </row>
    <row r="4745" spans="1:15" x14ac:dyDescent="0.25">
      <c r="A4745">
        <v>4155</v>
      </c>
      <c r="B4745" s="10">
        <v>45837</v>
      </c>
      <c r="C4745">
        <v>29</v>
      </c>
      <c r="D4745" t="s">
        <v>153</v>
      </c>
      <c r="E4745" t="s">
        <v>128</v>
      </c>
      <c r="F4745" t="s">
        <v>44</v>
      </c>
      <c r="G4745" t="s">
        <v>111</v>
      </c>
      <c r="H4745" t="s">
        <v>92</v>
      </c>
      <c r="I4745" t="s">
        <v>154</v>
      </c>
      <c r="J4745" t="s">
        <v>103</v>
      </c>
      <c r="K4745">
        <v>36</v>
      </c>
      <c r="L4745">
        <v>133800</v>
      </c>
      <c r="M4745">
        <v>4816800</v>
      </c>
      <c r="N4745" t="s">
        <v>108</v>
      </c>
      <c r="O4745" t="s">
        <v>104</v>
      </c>
    </row>
    <row r="4746" spans="1:15" x14ac:dyDescent="0.25">
      <c r="A4746">
        <v>1499</v>
      </c>
      <c r="B4746" s="10">
        <v>45946</v>
      </c>
      <c r="C4746">
        <v>16</v>
      </c>
      <c r="D4746" t="s">
        <v>136</v>
      </c>
      <c r="E4746" t="s">
        <v>128</v>
      </c>
      <c r="F4746" t="s">
        <v>148</v>
      </c>
      <c r="G4746" t="s">
        <v>118</v>
      </c>
      <c r="H4746" t="s">
        <v>92</v>
      </c>
      <c r="I4746" t="s">
        <v>154</v>
      </c>
      <c r="J4746" t="s">
        <v>103</v>
      </c>
      <c r="K4746">
        <v>9</v>
      </c>
      <c r="L4746">
        <v>134000</v>
      </c>
      <c r="M4746">
        <v>1206000</v>
      </c>
      <c r="N4746" t="s">
        <v>108</v>
      </c>
      <c r="O4746" t="s">
        <v>96</v>
      </c>
    </row>
    <row r="4747" spans="1:15" x14ac:dyDescent="0.25">
      <c r="A4747">
        <v>3104</v>
      </c>
      <c r="B4747" s="10">
        <v>46015</v>
      </c>
      <c r="C4747">
        <v>24</v>
      </c>
      <c r="D4747" t="s">
        <v>125</v>
      </c>
      <c r="E4747" t="s">
        <v>138</v>
      </c>
      <c r="F4747" t="s">
        <v>117</v>
      </c>
      <c r="G4747" t="s">
        <v>118</v>
      </c>
      <c r="H4747" t="s">
        <v>92</v>
      </c>
      <c r="I4747" t="s">
        <v>154</v>
      </c>
      <c r="J4747" t="s">
        <v>103</v>
      </c>
      <c r="K4747">
        <v>39</v>
      </c>
      <c r="L4747">
        <v>134300</v>
      </c>
      <c r="M4747">
        <v>5237700</v>
      </c>
      <c r="N4747" t="s">
        <v>95</v>
      </c>
      <c r="O4747" t="s">
        <v>115</v>
      </c>
    </row>
    <row r="4748" spans="1:15" x14ac:dyDescent="0.25">
      <c r="A4748">
        <v>4958</v>
      </c>
      <c r="B4748" s="10">
        <v>45843</v>
      </c>
      <c r="C4748">
        <v>5</v>
      </c>
      <c r="D4748" t="s">
        <v>145</v>
      </c>
      <c r="E4748" t="s">
        <v>128</v>
      </c>
      <c r="F4748" t="s">
        <v>49</v>
      </c>
      <c r="G4748" t="s">
        <v>118</v>
      </c>
      <c r="H4748" t="s">
        <v>92</v>
      </c>
      <c r="I4748" t="s">
        <v>154</v>
      </c>
      <c r="J4748" t="s">
        <v>103</v>
      </c>
      <c r="K4748">
        <v>11</v>
      </c>
      <c r="L4748">
        <v>134300</v>
      </c>
      <c r="M4748">
        <v>1477300</v>
      </c>
      <c r="N4748" t="s">
        <v>108</v>
      </c>
      <c r="O4748" t="s">
        <v>104</v>
      </c>
    </row>
    <row r="4749" spans="1:15" x14ac:dyDescent="0.25">
      <c r="A4749">
        <v>1970</v>
      </c>
      <c r="B4749" s="10">
        <v>45953</v>
      </c>
      <c r="C4749">
        <v>23</v>
      </c>
      <c r="D4749" t="s">
        <v>136</v>
      </c>
      <c r="E4749" t="s">
        <v>128</v>
      </c>
      <c r="F4749" t="s">
        <v>22</v>
      </c>
      <c r="G4749" t="s">
        <v>91</v>
      </c>
      <c r="H4749" t="s">
        <v>92</v>
      </c>
      <c r="I4749" t="s">
        <v>154</v>
      </c>
      <c r="J4749" t="s">
        <v>103</v>
      </c>
      <c r="K4749">
        <v>50</v>
      </c>
      <c r="L4749">
        <v>134700</v>
      </c>
      <c r="M4749">
        <v>6735000</v>
      </c>
      <c r="N4749" t="s">
        <v>108</v>
      </c>
      <c r="O4749" t="s">
        <v>96</v>
      </c>
    </row>
    <row r="4750" spans="1:15" x14ac:dyDescent="0.25">
      <c r="A4750">
        <v>4845</v>
      </c>
      <c r="B4750" s="10">
        <v>45933</v>
      </c>
      <c r="C4750">
        <v>3</v>
      </c>
      <c r="D4750" t="s">
        <v>136</v>
      </c>
      <c r="E4750" t="s">
        <v>137</v>
      </c>
      <c r="F4750" t="s">
        <v>144</v>
      </c>
      <c r="G4750" t="s">
        <v>91</v>
      </c>
      <c r="H4750" t="s">
        <v>92</v>
      </c>
      <c r="I4750" t="s">
        <v>154</v>
      </c>
      <c r="J4750" t="s">
        <v>103</v>
      </c>
      <c r="K4750">
        <v>42</v>
      </c>
      <c r="L4750">
        <v>134900</v>
      </c>
      <c r="M4750">
        <v>5665800</v>
      </c>
      <c r="N4750" t="s">
        <v>108</v>
      </c>
      <c r="O4750" t="s">
        <v>115</v>
      </c>
    </row>
    <row r="4751" spans="1:15" x14ac:dyDescent="0.25">
      <c r="A4751">
        <v>880</v>
      </c>
      <c r="B4751" s="10">
        <v>45933</v>
      </c>
      <c r="C4751">
        <v>3</v>
      </c>
      <c r="D4751" t="s">
        <v>136</v>
      </c>
      <c r="E4751" t="s">
        <v>121</v>
      </c>
      <c r="F4751" t="s">
        <v>151</v>
      </c>
      <c r="G4751" t="s">
        <v>111</v>
      </c>
      <c r="H4751" t="s">
        <v>92</v>
      </c>
      <c r="I4751" t="s">
        <v>154</v>
      </c>
      <c r="J4751" t="s">
        <v>103</v>
      </c>
      <c r="K4751">
        <v>17</v>
      </c>
      <c r="L4751">
        <v>135100</v>
      </c>
      <c r="M4751">
        <v>2296700</v>
      </c>
      <c r="N4751" t="s">
        <v>108</v>
      </c>
      <c r="O4751" t="s">
        <v>115</v>
      </c>
    </row>
    <row r="4752" spans="1:15" x14ac:dyDescent="0.25">
      <c r="A4752">
        <v>763</v>
      </c>
      <c r="B4752" s="10">
        <v>46001</v>
      </c>
      <c r="C4752">
        <v>10</v>
      </c>
      <c r="D4752" t="s">
        <v>125</v>
      </c>
      <c r="E4752" t="s">
        <v>112</v>
      </c>
      <c r="F4752" t="s">
        <v>107</v>
      </c>
      <c r="G4752" t="s">
        <v>100</v>
      </c>
      <c r="H4752" t="s">
        <v>23</v>
      </c>
      <c r="I4752" t="s">
        <v>119</v>
      </c>
      <c r="J4752" t="s">
        <v>94</v>
      </c>
      <c r="K4752">
        <v>2</v>
      </c>
      <c r="L4752">
        <v>135400</v>
      </c>
      <c r="M4752">
        <v>270800</v>
      </c>
      <c r="N4752" t="s">
        <v>108</v>
      </c>
      <c r="O4752" t="s">
        <v>104</v>
      </c>
    </row>
    <row r="4753" spans="1:15" x14ac:dyDescent="0.25">
      <c r="A4753">
        <v>4095</v>
      </c>
      <c r="B4753" s="10">
        <v>45722</v>
      </c>
      <c r="C4753">
        <v>6</v>
      </c>
      <c r="D4753" t="s">
        <v>140</v>
      </c>
      <c r="E4753" t="s">
        <v>31</v>
      </c>
      <c r="F4753" t="s">
        <v>144</v>
      </c>
      <c r="G4753" t="s">
        <v>91</v>
      </c>
      <c r="H4753" t="s">
        <v>92</v>
      </c>
      <c r="I4753" t="s">
        <v>154</v>
      </c>
      <c r="J4753" t="s">
        <v>103</v>
      </c>
      <c r="K4753">
        <v>13</v>
      </c>
      <c r="L4753">
        <v>135400</v>
      </c>
      <c r="M4753">
        <v>1760200</v>
      </c>
      <c r="N4753" t="s">
        <v>108</v>
      </c>
      <c r="O4753" t="s">
        <v>104</v>
      </c>
    </row>
    <row r="4754" spans="1:15" x14ac:dyDescent="0.25">
      <c r="A4754">
        <v>1216</v>
      </c>
      <c r="B4754" s="10">
        <v>45818</v>
      </c>
      <c r="C4754">
        <v>10</v>
      </c>
      <c r="D4754" t="s">
        <v>153</v>
      </c>
      <c r="E4754" t="s">
        <v>142</v>
      </c>
      <c r="F4754" t="s">
        <v>148</v>
      </c>
      <c r="G4754" t="s">
        <v>118</v>
      </c>
      <c r="H4754" t="s">
        <v>92</v>
      </c>
      <c r="I4754" t="s">
        <v>154</v>
      </c>
      <c r="J4754" t="s">
        <v>103</v>
      </c>
      <c r="K4754">
        <v>8</v>
      </c>
      <c r="L4754">
        <v>135500</v>
      </c>
      <c r="M4754">
        <v>1084000</v>
      </c>
      <c r="N4754" t="s">
        <v>95</v>
      </c>
      <c r="O4754" t="s">
        <v>115</v>
      </c>
    </row>
    <row r="4755" spans="1:15" x14ac:dyDescent="0.25">
      <c r="A4755">
        <v>1650</v>
      </c>
      <c r="B4755" s="10">
        <v>46019</v>
      </c>
      <c r="C4755">
        <v>28</v>
      </c>
      <c r="D4755" t="s">
        <v>125</v>
      </c>
      <c r="E4755" t="s">
        <v>106</v>
      </c>
      <c r="F4755" t="s">
        <v>117</v>
      </c>
      <c r="G4755" t="s">
        <v>118</v>
      </c>
      <c r="H4755" t="s">
        <v>23</v>
      </c>
      <c r="I4755" t="s">
        <v>119</v>
      </c>
      <c r="J4755" t="s">
        <v>94</v>
      </c>
      <c r="K4755">
        <v>6</v>
      </c>
      <c r="L4755">
        <v>135500</v>
      </c>
      <c r="M4755">
        <v>813000</v>
      </c>
      <c r="N4755" t="s">
        <v>95</v>
      </c>
      <c r="O4755" t="s">
        <v>115</v>
      </c>
    </row>
    <row r="4756" spans="1:15" x14ac:dyDescent="0.25">
      <c r="A4756">
        <v>257</v>
      </c>
      <c r="B4756" s="10">
        <v>45666</v>
      </c>
      <c r="C4756">
        <v>9</v>
      </c>
      <c r="D4756" t="s">
        <v>130</v>
      </c>
      <c r="E4756" t="s">
        <v>150</v>
      </c>
      <c r="F4756" t="s">
        <v>113</v>
      </c>
      <c r="G4756" t="s">
        <v>114</v>
      </c>
      <c r="H4756" t="s">
        <v>92</v>
      </c>
      <c r="I4756" t="s">
        <v>154</v>
      </c>
      <c r="J4756" t="s">
        <v>103</v>
      </c>
      <c r="K4756">
        <v>42</v>
      </c>
      <c r="L4756">
        <v>135600</v>
      </c>
      <c r="M4756">
        <v>5695200</v>
      </c>
      <c r="N4756" t="s">
        <v>108</v>
      </c>
      <c r="O4756" t="s">
        <v>96</v>
      </c>
    </row>
    <row r="4757" spans="1:15" x14ac:dyDescent="0.25">
      <c r="A4757">
        <v>1628</v>
      </c>
      <c r="B4757" s="10">
        <v>45832</v>
      </c>
      <c r="C4757">
        <v>24</v>
      </c>
      <c r="D4757" t="s">
        <v>153</v>
      </c>
      <c r="E4757" t="s">
        <v>133</v>
      </c>
      <c r="F4757" t="s">
        <v>148</v>
      </c>
      <c r="G4757" t="s">
        <v>118</v>
      </c>
      <c r="H4757" t="s">
        <v>92</v>
      </c>
      <c r="I4757" t="s">
        <v>154</v>
      </c>
      <c r="J4757" t="s">
        <v>103</v>
      </c>
      <c r="K4757">
        <v>10</v>
      </c>
      <c r="L4757">
        <v>135700</v>
      </c>
      <c r="M4757">
        <v>1357000</v>
      </c>
      <c r="N4757" t="s">
        <v>95</v>
      </c>
      <c r="O4757" t="s">
        <v>104</v>
      </c>
    </row>
    <row r="4758" spans="1:15" x14ac:dyDescent="0.25">
      <c r="A4758">
        <v>2627</v>
      </c>
      <c r="B4758" s="10">
        <v>45861</v>
      </c>
      <c r="C4758">
        <v>23</v>
      </c>
      <c r="D4758" t="s">
        <v>145</v>
      </c>
      <c r="E4758" t="s">
        <v>137</v>
      </c>
      <c r="F4758" t="s">
        <v>117</v>
      </c>
      <c r="G4758" t="s">
        <v>118</v>
      </c>
      <c r="H4758" t="s">
        <v>92</v>
      </c>
      <c r="I4758" t="s">
        <v>154</v>
      </c>
      <c r="J4758" t="s">
        <v>103</v>
      </c>
      <c r="K4758">
        <v>15</v>
      </c>
      <c r="L4758">
        <v>136400</v>
      </c>
      <c r="M4758">
        <v>2046000</v>
      </c>
      <c r="N4758" t="s">
        <v>95</v>
      </c>
      <c r="O4758" t="s">
        <v>104</v>
      </c>
    </row>
    <row r="4759" spans="1:15" x14ac:dyDescent="0.25">
      <c r="A4759">
        <v>4809</v>
      </c>
      <c r="B4759" s="10">
        <v>45817</v>
      </c>
      <c r="C4759">
        <v>9</v>
      </c>
      <c r="D4759" t="s">
        <v>153</v>
      </c>
      <c r="E4759" t="s">
        <v>161</v>
      </c>
      <c r="F4759" t="s">
        <v>151</v>
      </c>
      <c r="G4759" t="s">
        <v>111</v>
      </c>
      <c r="H4759" t="s">
        <v>92</v>
      </c>
      <c r="I4759" t="s">
        <v>154</v>
      </c>
      <c r="J4759" t="s">
        <v>103</v>
      </c>
      <c r="K4759">
        <v>5</v>
      </c>
      <c r="L4759">
        <v>136600</v>
      </c>
      <c r="M4759">
        <v>683000</v>
      </c>
      <c r="N4759" t="s">
        <v>108</v>
      </c>
      <c r="O4759" t="s">
        <v>96</v>
      </c>
    </row>
    <row r="4760" spans="1:15" x14ac:dyDescent="0.25">
      <c r="A4760">
        <v>2620</v>
      </c>
      <c r="B4760" s="10">
        <v>45987</v>
      </c>
      <c r="C4760">
        <v>26</v>
      </c>
      <c r="D4760" t="s">
        <v>90</v>
      </c>
      <c r="E4760" t="s">
        <v>138</v>
      </c>
      <c r="F4760" t="s">
        <v>141</v>
      </c>
      <c r="G4760" t="s">
        <v>100</v>
      </c>
      <c r="H4760" t="s">
        <v>92</v>
      </c>
      <c r="I4760" t="s">
        <v>154</v>
      </c>
      <c r="J4760" t="s">
        <v>103</v>
      </c>
      <c r="K4760">
        <v>26</v>
      </c>
      <c r="L4760">
        <v>136800</v>
      </c>
      <c r="M4760">
        <v>3556800</v>
      </c>
      <c r="N4760" t="s">
        <v>95</v>
      </c>
      <c r="O4760" t="s">
        <v>104</v>
      </c>
    </row>
    <row r="4761" spans="1:15" x14ac:dyDescent="0.25">
      <c r="A4761">
        <v>987</v>
      </c>
      <c r="B4761" s="10">
        <v>45671</v>
      </c>
      <c r="C4761">
        <v>14</v>
      </c>
      <c r="D4761" t="s">
        <v>130</v>
      </c>
      <c r="E4761" t="s">
        <v>116</v>
      </c>
      <c r="F4761" t="s">
        <v>122</v>
      </c>
      <c r="G4761" t="s">
        <v>114</v>
      </c>
      <c r="H4761" t="s">
        <v>92</v>
      </c>
      <c r="I4761" t="s">
        <v>154</v>
      </c>
      <c r="J4761" t="s">
        <v>103</v>
      </c>
      <c r="K4761">
        <v>28</v>
      </c>
      <c r="L4761">
        <v>137100</v>
      </c>
      <c r="M4761">
        <v>3838800</v>
      </c>
      <c r="N4761" t="s">
        <v>95</v>
      </c>
      <c r="O4761" t="s">
        <v>115</v>
      </c>
    </row>
    <row r="4762" spans="1:15" x14ac:dyDescent="0.25">
      <c r="A4762">
        <v>1079</v>
      </c>
      <c r="B4762" s="10">
        <v>45885</v>
      </c>
      <c r="C4762">
        <v>16</v>
      </c>
      <c r="D4762" t="s">
        <v>109</v>
      </c>
      <c r="E4762" t="s">
        <v>25</v>
      </c>
      <c r="F4762" t="s">
        <v>49</v>
      </c>
      <c r="G4762" t="s">
        <v>118</v>
      </c>
      <c r="H4762" t="s">
        <v>92</v>
      </c>
      <c r="I4762" t="s">
        <v>154</v>
      </c>
      <c r="J4762" t="s">
        <v>103</v>
      </c>
      <c r="K4762">
        <v>48</v>
      </c>
      <c r="L4762">
        <v>137100</v>
      </c>
      <c r="M4762">
        <v>6580800</v>
      </c>
      <c r="N4762" t="s">
        <v>108</v>
      </c>
      <c r="O4762" t="s">
        <v>104</v>
      </c>
    </row>
    <row r="4763" spans="1:15" x14ac:dyDescent="0.25">
      <c r="A4763">
        <v>3242</v>
      </c>
      <c r="B4763" s="10">
        <v>45937</v>
      </c>
      <c r="C4763">
        <v>7</v>
      </c>
      <c r="D4763" t="s">
        <v>136</v>
      </c>
      <c r="E4763" t="s">
        <v>121</v>
      </c>
      <c r="F4763" t="s">
        <v>44</v>
      </c>
      <c r="G4763" t="s">
        <v>111</v>
      </c>
      <c r="H4763" t="s">
        <v>23</v>
      </c>
      <c r="I4763" t="s">
        <v>119</v>
      </c>
      <c r="J4763" t="s">
        <v>94</v>
      </c>
      <c r="K4763">
        <v>7</v>
      </c>
      <c r="L4763">
        <v>137200</v>
      </c>
      <c r="M4763">
        <v>960400</v>
      </c>
      <c r="N4763" t="s">
        <v>95</v>
      </c>
      <c r="O4763" t="s">
        <v>96</v>
      </c>
    </row>
    <row r="4764" spans="1:15" x14ac:dyDescent="0.25">
      <c r="A4764">
        <v>1125</v>
      </c>
      <c r="B4764" s="10">
        <v>45884</v>
      </c>
      <c r="C4764">
        <v>15</v>
      </c>
      <c r="D4764" t="s">
        <v>109</v>
      </c>
      <c r="E4764" t="s">
        <v>106</v>
      </c>
      <c r="F4764" t="s">
        <v>44</v>
      </c>
      <c r="G4764" t="s">
        <v>111</v>
      </c>
      <c r="H4764" t="s">
        <v>92</v>
      </c>
      <c r="I4764" t="s">
        <v>154</v>
      </c>
      <c r="J4764" t="s">
        <v>103</v>
      </c>
      <c r="K4764">
        <v>10</v>
      </c>
      <c r="L4764">
        <v>137900</v>
      </c>
      <c r="M4764">
        <v>1379000</v>
      </c>
      <c r="N4764" t="s">
        <v>108</v>
      </c>
      <c r="O4764" t="s">
        <v>96</v>
      </c>
    </row>
    <row r="4765" spans="1:15" x14ac:dyDescent="0.25">
      <c r="A4765">
        <v>1483</v>
      </c>
      <c r="B4765" s="10">
        <v>45739</v>
      </c>
      <c r="C4765">
        <v>23</v>
      </c>
      <c r="D4765" t="s">
        <v>140</v>
      </c>
      <c r="E4765" t="s">
        <v>106</v>
      </c>
      <c r="F4765" t="s">
        <v>28</v>
      </c>
      <c r="G4765" t="s">
        <v>126</v>
      </c>
      <c r="H4765" t="s">
        <v>92</v>
      </c>
      <c r="I4765" t="s">
        <v>154</v>
      </c>
      <c r="J4765" t="s">
        <v>103</v>
      </c>
      <c r="K4765">
        <v>48</v>
      </c>
      <c r="L4765">
        <v>138500</v>
      </c>
      <c r="M4765">
        <v>6648000</v>
      </c>
      <c r="N4765" t="s">
        <v>108</v>
      </c>
      <c r="O4765" t="s">
        <v>115</v>
      </c>
    </row>
    <row r="4766" spans="1:15" x14ac:dyDescent="0.25">
      <c r="A4766">
        <v>1489</v>
      </c>
      <c r="B4766" s="10">
        <v>45956</v>
      </c>
      <c r="C4766">
        <v>26</v>
      </c>
      <c r="D4766" t="s">
        <v>136</v>
      </c>
      <c r="E4766" t="s">
        <v>25</v>
      </c>
      <c r="F4766" t="s">
        <v>122</v>
      </c>
      <c r="G4766" t="s">
        <v>114</v>
      </c>
      <c r="H4766" t="s">
        <v>92</v>
      </c>
      <c r="I4766" t="s">
        <v>154</v>
      </c>
      <c r="J4766" t="s">
        <v>94</v>
      </c>
      <c r="K4766">
        <v>1</v>
      </c>
      <c r="L4766">
        <v>138600</v>
      </c>
      <c r="M4766">
        <v>138600</v>
      </c>
      <c r="N4766" t="s">
        <v>95</v>
      </c>
      <c r="O4766" t="s">
        <v>104</v>
      </c>
    </row>
    <row r="4767" spans="1:15" x14ac:dyDescent="0.25">
      <c r="A4767">
        <v>2363</v>
      </c>
      <c r="B4767" s="10">
        <v>45716</v>
      </c>
      <c r="C4767">
        <v>28</v>
      </c>
      <c r="D4767" t="s">
        <v>97</v>
      </c>
      <c r="E4767" t="s">
        <v>110</v>
      </c>
      <c r="F4767" t="s">
        <v>117</v>
      </c>
      <c r="G4767" t="s">
        <v>118</v>
      </c>
      <c r="H4767" t="s">
        <v>92</v>
      </c>
      <c r="I4767" t="s">
        <v>154</v>
      </c>
      <c r="J4767" t="s">
        <v>94</v>
      </c>
      <c r="K4767">
        <v>2</v>
      </c>
      <c r="L4767">
        <v>138600</v>
      </c>
      <c r="M4767">
        <v>277200</v>
      </c>
      <c r="N4767" t="s">
        <v>108</v>
      </c>
      <c r="O4767" t="s">
        <v>115</v>
      </c>
    </row>
    <row r="4768" spans="1:15" x14ac:dyDescent="0.25">
      <c r="A4768">
        <v>768</v>
      </c>
      <c r="B4768" s="10">
        <v>45712</v>
      </c>
      <c r="C4768">
        <v>24</v>
      </c>
      <c r="D4768" t="s">
        <v>97</v>
      </c>
      <c r="E4768" t="s">
        <v>150</v>
      </c>
      <c r="F4768" t="s">
        <v>107</v>
      </c>
      <c r="G4768" t="s">
        <v>100</v>
      </c>
      <c r="H4768" t="s">
        <v>92</v>
      </c>
      <c r="I4768" t="s">
        <v>154</v>
      </c>
      <c r="J4768" t="s">
        <v>103</v>
      </c>
      <c r="K4768">
        <v>39</v>
      </c>
      <c r="L4768">
        <v>138800</v>
      </c>
      <c r="M4768">
        <v>5413200</v>
      </c>
      <c r="N4768" t="s">
        <v>108</v>
      </c>
      <c r="O4768" t="s">
        <v>115</v>
      </c>
    </row>
    <row r="4769" spans="1:15" x14ac:dyDescent="0.25">
      <c r="A4769">
        <v>1346</v>
      </c>
      <c r="B4769" s="10">
        <v>46007</v>
      </c>
      <c r="C4769">
        <v>16</v>
      </c>
      <c r="D4769" t="s">
        <v>125</v>
      </c>
      <c r="E4769" t="s">
        <v>133</v>
      </c>
      <c r="F4769" t="s">
        <v>28</v>
      </c>
      <c r="G4769" t="s">
        <v>126</v>
      </c>
      <c r="H4769" t="s">
        <v>92</v>
      </c>
      <c r="I4769" t="s">
        <v>154</v>
      </c>
      <c r="J4769" t="s">
        <v>94</v>
      </c>
      <c r="K4769">
        <v>4</v>
      </c>
      <c r="L4769">
        <v>138900</v>
      </c>
      <c r="M4769">
        <v>555600</v>
      </c>
      <c r="N4769" t="s">
        <v>95</v>
      </c>
      <c r="O4769" t="s">
        <v>96</v>
      </c>
    </row>
    <row r="4770" spans="1:15" x14ac:dyDescent="0.25">
      <c r="A4770">
        <v>3911</v>
      </c>
      <c r="B4770" s="10">
        <v>46007</v>
      </c>
      <c r="C4770">
        <v>16</v>
      </c>
      <c r="D4770" t="s">
        <v>125</v>
      </c>
      <c r="E4770" t="s">
        <v>121</v>
      </c>
      <c r="F4770" t="s">
        <v>148</v>
      </c>
      <c r="G4770" t="s">
        <v>118</v>
      </c>
      <c r="H4770" t="s">
        <v>92</v>
      </c>
      <c r="I4770" t="s">
        <v>154</v>
      </c>
      <c r="J4770" t="s">
        <v>94</v>
      </c>
      <c r="K4770">
        <v>7</v>
      </c>
      <c r="L4770">
        <v>139400</v>
      </c>
      <c r="M4770">
        <v>975800</v>
      </c>
      <c r="N4770" t="s">
        <v>108</v>
      </c>
      <c r="O4770" t="s">
        <v>115</v>
      </c>
    </row>
    <row r="4771" spans="1:15" x14ac:dyDescent="0.25">
      <c r="A4771">
        <v>3506</v>
      </c>
      <c r="B4771" s="10">
        <v>45929</v>
      </c>
      <c r="C4771">
        <v>29</v>
      </c>
      <c r="D4771" t="s">
        <v>147</v>
      </c>
      <c r="E4771" t="s">
        <v>161</v>
      </c>
      <c r="F4771" t="s">
        <v>99</v>
      </c>
      <c r="G4771" t="s">
        <v>100</v>
      </c>
      <c r="H4771" t="s">
        <v>92</v>
      </c>
      <c r="I4771" t="s">
        <v>154</v>
      </c>
      <c r="J4771" t="s">
        <v>94</v>
      </c>
      <c r="K4771">
        <v>4</v>
      </c>
      <c r="L4771">
        <v>139700</v>
      </c>
      <c r="M4771">
        <v>558800</v>
      </c>
      <c r="N4771" t="s">
        <v>95</v>
      </c>
      <c r="O4771" t="s">
        <v>115</v>
      </c>
    </row>
    <row r="4772" spans="1:15" x14ac:dyDescent="0.25">
      <c r="A4772">
        <v>2055</v>
      </c>
      <c r="B4772" s="10">
        <v>45783</v>
      </c>
      <c r="C4772">
        <v>6</v>
      </c>
      <c r="D4772" t="s">
        <v>120</v>
      </c>
      <c r="E4772" t="s">
        <v>133</v>
      </c>
      <c r="F4772" t="s">
        <v>36</v>
      </c>
      <c r="G4772" t="s">
        <v>100</v>
      </c>
      <c r="H4772" t="s">
        <v>92</v>
      </c>
      <c r="I4772" t="s">
        <v>154</v>
      </c>
      <c r="J4772" t="s">
        <v>94</v>
      </c>
      <c r="K4772">
        <v>3</v>
      </c>
      <c r="L4772">
        <v>139900</v>
      </c>
      <c r="M4772">
        <v>419700</v>
      </c>
      <c r="N4772" t="s">
        <v>95</v>
      </c>
      <c r="O4772" t="s">
        <v>104</v>
      </c>
    </row>
    <row r="4773" spans="1:15" x14ac:dyDescent="0.25">
      <c r="A4773">
        <v>4343</v>
      </c>
      <c r="B4773" s="10">
        <v>45991</v>
      </c>
      <c r="C4773">
        <v>30</v>
      </c>
      <c r="D4773" t="s">
        <v>90</v>
      </c>
      <c r="E4773" t="s">
        <v>121</v>
      </c>
      <c r="F4773" t="s">
        <v>122</v>
      </c>
      <c r="G4773" t="s">
        <v>114</v>
      </c>
      <c r="H4773" t="s">
        <v>92</v>
      </c>
      <c r="I4773" t="s">
        <v>154</v>
      </c>
      <c r="J4773" t="s">
        <v>103</v>
      </c>
      <c r="K4773">
        <v>49</v>
      </c>
      <c r="L4773">
        <v>139900</v>
      </c>
      <c r="M4773">
        <v>6855100</v>
      </c>
      <c r="N4773" t="s">
        <v>108</v>
      </c>
      <c r="O4773" t="s">
        <v>104</v>
      </c>
    </row>
    <row r="4774" spans="1:15" x14ac:dyDescent="0.25">
      <c r="A4774">
        <v>3466</v>
      </c>
      <c r="B4774" s="10">
        <v>45758</v>
      </c>
      <c r="C4774">
        <v>11</v>
      </c>
      <c r="D4774" t="s">
        <v>105</v>
      </c>
      <c r="E4774" t="s">
        <v>98</v>
      </c>
      <c r="F4774" t="s">
        <v>148</v>
      </c>
      <c r="G4774" t="s">
        <v>118</v>
      </c>
      <c r="H4774" t="s">
        <v>92</v>
      </c>
      <c r="I4774" t="s">
        <v>154</v>
      </c>
      <c r="J4774" t="s">
        <v>94</v>
      </c>
      <c r="K4774">
        <v>8</v>
      </c>
      <c r="L4774">
        <v>140000</v>
      </c>
      <c r="M4774">
        <v>1120000</v>
      </c>
      <c r="N4774" t="s">
        <v>108</v>
      </c>
      <c r="O4774" t="s">
        <v>115</v>
      </c>
    </row>
    <row r="4775" spans="1:15" x14ac:dyDescent="0.25">
      <c r="A4775">
        <v>1776</v>
      </c>
      <c r="B4775" s="10">
        <v>45751</v>
      </c>
      <c r="C4775">
        <v>4</v>
      </c>
      <c r="D4775" t="s">
        <v>105</v>
      </c>
      <c r="E4775" t="s">
        <v>25</v>
      </c>
      <c r="F4775" t="s">
        <v>36</v>
      </c>
      <c r="G4775" t="s">
        <v>100</v>
      </c>
      <c r="H4775" t="s">
        <v>92</v>
      </c>
      <c r="I4775" t="s">
        <v>154</v>
      </c>
      <c r="J4775" t="s">
        <v>94</v>
      </c>
      <c r="K4775">
        <v>3</v>
      </c>
      <c r="L4775">
        <v>140100</v>
      </c>
      <c r="M4775">
        <v>420300</v>
      </c>
      <c r="N4775" t="s">
        <v>108</v>
      </c>
      <c r="O4775" t="s">
        <v>115</v>
      </c>
    </row>
    <row r="4776" spans="1:15" x14ac:dyDescent="0.25">
      <c r="A4776">
        <v>3173</v>
      </c>
      <c r="B4776" s="10">
        <v>45963</v>
      </c>
      <c r="C4776">
        <v>2</v>
      </c>
      <c r="D4776" t="s">
        <v>90</v>
      </c>
      <c r="E4776" t="s">
        <v>138</v>
      </c>
      <c r="F4776" t="s">
        <v>22</v>
      </c>
      <c r="G4776" t="s">
        <v>91</v>
      </c>
      <c r="H4776" t="s">
        <v>92</v>
      </c>
      <c r="I4776" t="s">
        <v>154</v>
      </c>
      <c r="J4776" t="s">
        <v>94</v>
      </c>
      <c r="K4776">
        <v>9</v>
      </c>
      <c r="L4776">
        <v>140100</v>
      </c>
      <c r="M4776">
        <v>1260900</v>
      </c>
      <c r="N4776" t="s">
        <v>108</v>
      </c>
      <c r="O4776" t="s">
        <v>104</v>
      </c>
    </row>
    <row r="4777" spans="1:15" x14ac:dyDescent="0.25">
      <c r="A4777">
        <v>3953</v>
      </c>
      <c r="B4777" s="10">
        <v>45923</v>
      </c>
      <c r="C4777">
        <v>23</v>
      </c>
      <c r="D4777" t="s">
        <v>147</v>
      </c>
      <c r="E4777" t="s">
        <v>133</v>
      </c>
      <c r="F4777" t="s">
        <v>49</v>
      </c>
      <c r="G4777" t="s">
        <v>118</v>
      </c>
      <c r="H4777" t="s">
        <v>92</v>
      </c>
      <c r="I4777" t="s">
        <v>154</v>
      </c>
      <c r="J4777" t="s">
        <v>103</v>
      </c>
      <c r="K4777">
        <v>15</v>
      </c>
      <c r="L4777">
        <v>141400</v>
      </c>
      <c r="M4777">
        <v>2121000</v>
      </c>
      <c r="N4777" t="s">
        <v>108</v>
      </c>
      <c r="O4777" t="s">
        <v>96</v>
      </c>
    </row>
    <row r="4778" spans="1:15" x14ac:dyDescent="0.25">
      <c r="A4778">
        <v>3435</v>
      </c>
      <c r="B4778" s="10">
        <v>45800</v>
      </c>
      <c r="C4778">
        <v>23</v>
      </c>
      <c r="D4778" t="s">
        <v>120</v>
      </c>
      <c r="E4778" t="s">
        <v>138</v>
      </c>
      <c r="F4778" t="s">
        <v>148</v>
      </c>
      <c r="G4778" t="s">
        <v>118</v>
      </c>
      <c r="H4778" t="s">
        <v>92</v>
      </c>
      <c r="I4778" t="s">
        <v>154</v>
      </c>
      <c r="J4778" t="s">
        <v>103</v>
      </c>
      <c r="K4778">
        <v>43</v>
      </c>
      <c r="L4778">
        <v>142000</v>
      </c>
      <c r="M4778">
        <v>6106000</v>
      </c>
      <c r="N4778" t="s">
        <v>108</v>
      </c>
      <c r="O4778" t="s">
        <v>96</v>
      </c>
    </row>
    <row r="4779" spans="1:15" x14ac:dyDescent="0.25">
      <c r="A4779">
        <v>3034</v>
      </c>
      <c r="B4779" s="10">
        <v>45689</v>
      </c>
      <c r="C4779">
        <v>1</v>
      </c>
      <c r="D4779" t="s">
        <v>97</v>
      </c>
      <c r="E4779" t="s">
        <v>106</v>
      </c>
      <c r="F4779" t="s">
        <v>36</v>
      </c>
      <c r="G4779" t="s">
        <v>100</v>
      </c>
      <c r="H4779" t="s">
        <v>92</v>
      </c>
      <c r="I4779" t="s">
        <v>154</v>
      </c>
      <c r="J4779" t="s">
        <v>94</v>
      </c>
      <c r="K4779">
        <v>6</v>
      </c>
      <c r="L4779">
        <v>142600</v>
      </c>
      <c r="M4779">
        <v>855600</v>
      </c>
      <c r="N4779" t="s">
        <v>95</v>
      </c>
      <c r="O4779" t="s">
        <v>115</v>
      </c>
    </row>
    <row r="4780" spans="1:15" x14ac:dyDescent="0.25">
      <c r="A4780">
        <v>518</v>
      </c>
      <c r="B4780" s="10">
        <v>45718</v>
      </c>
      <c r="C4780">
        <v>2</v>
      </c>
      <c r="D4780" t="s">
        <v>140</v>
      </c>
      <c r="E4780" t="s">
        <v>133</v>
      </c>
      <c r="F4780" t="s">
        <v>99</v>
      </c>
      <c r="G4780" t="s">
        <v>100</v>
      </c>
      <c r="H4780" t="s">
        <v>92</v>
      </c>
      <c r="I4780" t="s">
        <v>154</v>
      </c>
      <c r="J4780" t="s">
        <v>94</v>
      </c>
      <c r="K4780">
        <v>7</v>
      </c>
      <c r="L4780">
        <v>142700</v>
      </c>
      <c r="M4780">
        <v>998900</v>
      </c>
      <c r="N4780" t="s">
        <v>108</v>
      </c>
      <c r="O4780" t="s">
        <v>104</v>
      </c>
    </row>
    <row r="4781" spans="1:15" x14ac:dyDescent="0.25">
      <c r="A4781">
        <v>3703</v>
      </c>
      <c r="B4781" s="10">
        <v>45796</v>
      </c>
      <c r="C4781">
        <v>19</v>
      </c>
      <c r="D4781" t="s">
        <v>120</v>
      </c>
      <c r="E4781" t="s">
        <v>138</v>
      </c>
      <c r="F4781" t="s">
        <v>122</v>
      </c>
      <c r="G4781" t="s">
        <v>114</v>
      </c>
      <c r="H4781" t="s">
        <v>92</v>
      </c>
      <c r="I4781" t="s">
        <v>154</v>
      </c>
      <c r="J4781" t="s">
        <v>94</v>
      </c>
      <c r="K4781">
        <v>5</v>
      </c>
      <c r="L4781">
        <v>143100</v>
      </c>
      <c r="M4781">
        <v>715500</v>
      </c>
      <c r="N4781" t="s">
        <v>95</v>
      </c>
      <c r="O4781" t="s">
        <v>115</v>
      </c>
    </row>
    <row r="4782" spans="1:15" x14ac:dyDescent="0.25">
      <c r="A4782">
        <v>3414</v>
      </c>
      <c r="B4782" s="10">
        <v>45662</v>
      </c>
      <c r="C4782">
        <v>5</v>
      </c>
      <c r="D4782" t="s">
        <v>130</v>
      </c>
      <c r="E4782" t="s">
        <v>133</v>
      </c>
      <c r="F4782" t="s">
        <v>22</v>
      </c>
      <c r="G4782" t="s">
        <v>91</v>
      </c>
      <c r="H4782" t="s">
        <v>92</v>
      </c>
      <c r="I4782" t="s">
        <v>154</v>
      </c>
      <c r="J4782" t="s">
        <v>94</v>
      </c>
      <c r="K4782">
        <v>5</v>
      </c>
      <c r="L4782">
        <v>143800</v>
      </c>
      <c r="M4782">
        <v>719000</v>
      </c>
      <c r="N4782" t="s">
        <v>108</v>
      </c>
      <c r="O4782" t="s">
        <v>104</v>
      </c>
    </row>
    <row r="4783" spans="1:15" x14ac:dyDescent="0.25">
      <c r="A4783">
        <v>456</v>
      </c>
      <c r="B4783" s="10">
        <v>45860</v>
      </c>
      <c r="C4783">
        <v>22</v>
      </c>
      <c r="D4783" t="s">
        <v>145</v>
      </c>
      <c r="E4783" t="s">
        <v>128</v>
      </c>
      <c r="F4783" t="s">
        <v>141</v>
      </c>
      <c r="G4783" t="s">
        <v>100</v>
      </c>
      <c r="H4783" t="s">
        <v>92</v>
      </c>
      <c r="I4783" t="s">
        <v>154</v>
      </c>
      <c r="J4783" t="s">
        <v>94</v>
      </c>
      <c r="K4783">
        <v>2</v>
      </c>
      <c r="L4783">
        <v>144100</v>
      </c>
      <c r="M4783">
        <v>288200</v>
      </c>
      <c r="N4783" t="s">
        <v>108</v>
      </c>
      <c r="O4783" t="s">
        <v>104</v>
      </c>
    </row>
    <row r="4784" spans="1:15" x14ac:dyDescent="0.25">
      <c r="A4784">
        <v>2575</v>
      </c>
      <c r="B4784" s="10">
        <v>45898</v>
      </c>
      <c r="C4784">
        <v>29</v>
      </c>
      <c r="D4784" t="s">
        <v>109</v>
      </c>
      <c r="E4784" t="s">
        <v>138</v>
      </c>
      <c r="F4784" t="s">
        <v>99</v>
      </c>
      <c r="G4784" t="s">
        <v>100</v>
      </c>
      <c r="H4784" t="s">
        <v>92</v>
      </c>
      <c r="I4784" t="s">
        <v>154</v>
      </c>
      <c r="J4784" t="s">
        <v>103</v>
      </c>
      <c r="K4784">
        <v>40</v>
      </c>
      <c r="L4784">
        <v>144200</v>
      </c>
      <c r="M4784">
        <v>5768000</v>
      </c>
      <c r="N4784" t="s">
        <v>95</v>
      </c>
      <c r="O4784" t="s">
        <v>96</v>
      </c>
    </row>
    <row r="4785" spans="1:15" x14ac:dyDescent="0.25">
      <c r="A4785">
        <v>385</v>
      </c>
      <c r="B4785" s="10">
        <v>45729</v>
      </c>
      <c r="C4785">
        <v>13</v>
      </c>
      <c r="D4785" t="s">
        <v>140</v>
      </c>
      <c r="E4785" t="s">
        <v>106</v>
      </c>
      <c r="F4785" t="s">
        <v>44</v>
      </c>
      <c r="G4785" t="s">
        <v>111</v>
      </c>
      <c r="H4785" t="s">
        <v>92</v>
      </c>
      <c r="I4785" t="s">
        <v>154</v>
      </c>
      <c r="J4785" t="s">
        <v>94</v>
      </c>
      <c r="K4785">
        <v>9</v>
      </c>
      <c r="L4785">
        <v>144300</v>
      </c>
      <c r="M4785">
        <v>1298700</v>
      </c>
      <c r="N4785" t="s">
        <v>108</v>
      </c>
      <c r="O4785" t="s">
        <v>96</v>
      </c>
    </row>
    <row r="4786" spans="1:15" x14ac:dyDescent="0.25">
      <c r="A4786">
        <v>2913</v>
      </c>
      <c r="B4786" s="10">
        <v>45879</v>
      </c>
      <c r="C4786">
        <v>10</v>
      </c>
      <c r="D4786" t="s">
        <v>109</v>
      </c>
      <c r="E4786" t="s">
        <v>133</v>
      </c>
      <c r="F4786" t="s">
        <v>36</v>
      </c>
      <c r="G4786" t="s">
        <v>100</v>
      </c>
      <c r="H4786" t="s">
        <v>92</v>
      </c>
      <c r="I4786" t="s">
        <v>154</v>
      </c>
      <c r="J4786" t="s">
        <v>94</v>
      </c>
      <c r="K4786">
        <v>1</v>
      </c>
      <c r="L4786">
        <v>144500</v>
      </c>
      <c r="M4786">
        <v>144500</v>
      </c>
      <c r="N4786" t="s">
        <v>95</v>
      </c>
      <c r="O4786" t="s">
        <v>115</v>
      </c>
    </row>
    <row r="4787" spans="1:15" x14ac:dyDescent="0.25">
      <c r="A4787">
        <v>4383</v>
      </c>
      <c r="B4787" s="10">
        <v>45921</v>
      </c>
      <c r="C4787">
        <v>21</v>
      </c>
      <c r="D4787" t="s">
        <v>147</v>
      </c>
      <c r="E4787" t="s">
        <v>110</v>
      </c>
      <c r="F4787" t="s">
        <v>151</v>
      </c>
      <c r="G4787" t="s">
        <v>111</v>
      </c>
      <c r="H4787" t="s">
        <v>92</v>
      </c>
      <c r="I4787" t="s">
        <v>154</v>
      </c>
      <c r="J4787" t="s">
        <v>94</v>
      </c>
      <c r="K4787">
        <v>1</v>
      </c>
      <c r="L4787">
        <v>145000</v>
      </c>
      <c r="M4787">
        <v>145000</v>
      </c>
      <c r="N4787" t="s">
        <v>95</v>
      </c>
      <c r="O4787" t="s">
        <v>115</v>
      </c>
    </row>
    <row r="4788" spans="1:15" x14ac:dyDescent="0.25">
      <c r="A4788">
        <v>29</v>
      </c>
      <c r="B4788" s="10">
        <v>45685</v>
      </c>
      <c r="C4788">
        <v>28</v>
      </c>
      <c r="D4788" t="s">
        <v>130</v>
      </c>
      <c r="E4788" t="s">
        <v>98</v>
      </c>
      <c r="F4788" t="s">
        <v>122</v>
      </c>
      <c r="G4788" t="s">
        <v>114</v>
      </c>
      <c r="H4788" t="s">
        <v>92</v>
      </c>
      <c r="I4788" t="s">
        <v>154</v>
      </c>
      <c r="J4788" t="s">
        <v>94</v>
      </c>
      <c r="K4788">
        <v>7</v>
      </c>
      <c r="L4788">
        <v>145500</v>
      </c>
      <c r="M4788">
        <v>1018500</v>
      </c>
      <c r="N4788" t="s">
        <v>108</v>
      </c>
      <c r="O4788" t="s">
        <v>104</v>
      </c>
    </row>
    <row r="4789" spans="1:15" x14ac:dyDescent="0.25">
      <c r="A4789">
        <v>2736</v>
      </c>
      <c r="B4789" s="10">
        <v>45738</v>
      </c>
      <c r="C4789">
        <v>22</v>
      </c>
      <c r="D4789" t="s">
        <v>140</v>
      </c>
      <c r="E4789" t="s">
        <v>31</v>
      </c>
      <c r="F4789" t="s">
        <v>141</v>
      </c>
      <c r="G4789" t="s">
        <v>100</v>
      </c>
      <c r="H4789" t="s">
        <v>92</v>
      </c>
      <c r="I4789" t="s">
        <v>154</v>
      </c>
      <c r="J4789" t="s">
        <v>94</v>
      </c>
      <c r="K4789">
        <v>3</v>
      </c>
      <c r="L4789">
        <v>146000</v>
      </c>
      <c r="M4789">
        <v>438000</v>
      </c>
      <c r="N4789" t="s">
        <v>95</v>
      </c>
      <c r="O4789" t="s">
        <v>104</v>
      </c>
    </row>
    <row r="4790" spans="1:15" x14ac:dyDescent="0.25">
      <c r="A4790">
        <v>3707</v>
      </c>
      <c r="B4790" s="10">
        <v>45975</v>
      </c>
      <c r="C4790">
        <v>14</v>
      </c>
      <c r="D4790" t="s">
        <v>90</v>
      </c>
      <c r="E4790" t="s">
        <v>137</v>
      </c>
      <c r="F4790" t="s">
        <v>148</v>
      </c>
      <c r="G4790" t="s">
        <v>118</v>
      </c>
      <c r="H4790" t="s">
        <v>92</v>
      </c>
      <c r="I4790" t="s">
        <v>154</v>
      </c>
      <c r="J4790" t="s">
        <v>94</v>
      </c>
      <c r="K4790">
        <v>8</v>
      </c>
      <c r="L4790">
        <v>146100</v>
      </c>
      <c r="M4790">
        <v>1168800</v>
      </c>
      <c r="N4790" t="s">
        <v>95</v>
      </c>
      <c r="O4790" t="s">
        <v>115</v>
      </c>
    </row>
    <row r="4791" spans="1:15" x14ac:dyDescent="0.25">
      <c r="A4791">
        <v>2629</v>
      </c>
      <c r="B4791" s="10">
        <v>45858</v>
      </c>
      <c r="C4791">
        <v>20</v>
      </c>
      <c r="D4791" t="s">
        <v>145</v>
      </c>
      <c r="E4791" t="s">
        <v>138</v>
      </c>
      <c r="F4791" t="s">
        <v>144</v>
      </c>
      <c r="G4791" t="s">
        <v>91</v>
      </c>
      <c r="H4791" t="s">
        <v>92</v>
      </c>
      <c r="I4791" t="s">
        <v>154</v>
      </c>
      <c r="J4791" t="s">
        <v>94</v>
      </c>
      <c r="K4791">
        <v>10</v>
      </c>
      <c r="L4791">
        <v>146700</v>
      </c>
      <c r="M4791">
        <v>1467000</v>
      </c>
      <c r="N4791" t="s">
        <v>108</v>
      </c>
      <c r="O4791" t="s">
        <v>104</v>
      </c>
    </row>
    <row r="4792" spans="1:15" x14ac:dyDescent="0.25">
      <c r="A4792">
        <v>1078</v>
      </c>
      <c r="B4792" s="10">
        <v>45841</v>
      </c>
      <c r="C4792">
        <v>3</v>
      </c>
      <c r="D4792" t="s">
        <v>145</v>
      </c>
      <c r="E4792" t="s">
        <v>142</v>
      </c>
      <c r="F4792" t="s">
        <v>36</v>
      </c>
      <c r="G4792" t="s">
        <v>100</v>
      </c>
      <c r="H4792" t="s">
        <v>92</v>
      </c>
      <c r="I4792" t="s">
        <v>154</v>
      </c>
      <c r="J4792" t="s">
        <v>94</v>
      </c>
      <c r="K4792">
        <v>8</v>
      </c>
      <c r="L4792">
        <v>146800</v>
      </c>
      <c r="M4792">
        <v>1174400</v>
      </c>
      <c r="N4792" t="s">
        <v>108</v>
      </c>
      <c r="O4792" t="s">
        <v>104</v>
      </c>
    </row>
    <row r="4793" spans="1:15" x14ac:dyDescent="0.25">
      <c r="A4793">
        <v>2379</v>
      </c>
      <c r="B4793" s="10">
        <v>45739</v>
      </c>
      <c r="C4793">
        <v>23</v>
      </c>
      <c r="D4793" t="s">
        <v>140</v>
      </c>
      <c r="E4793" t="s">
        <v>121</v>
      </c>
      <c r="F4793" t="s">
        <v>144</v>
      </c>
      <c r="G4793" t="s">
        <v>91</v>
      </c>
      <c r="H4793" t="s">
        <v>92</v>
      </c>
      <c r="I4793" t="s">
        <v>154</v>
      </c>
      <c r="J4793" t="s">
        <v>94</v>
      </c>
      <c r="K4793">
        <v>5</v>
      </c>
      <c r="L4793">
        <v>146900</v>
      </c>
      <c r="M4793">
        <v>734500</v>
      </c>
      <c r="N4793" t="s">
        <v>95</v>
      </c>
      <c r="O4793" t="s">
        <v>104</v>
      </c>
    </row>
    <row r="4794" spans="1:15" x14ac:dyDescent="0.25">
      <c r="A4794">
        <v>4961</v>
      </c>
      <c r="B4794" s="10">
        <v>45670</v>
      </c>
      <c r="C4794">
        <v>13</v>
      </c>
      <c r="D4794" t="s">
        <v>130</v>
      </c>
      <c r="E4794" t="s">
        <v>25</v>
      </c>
      <c r="F4794" t="s">
        <v>151</v>
      </c>
      <c r="G4794" t="s">
        <v>111</v>
      </c>
      <c r="H4794" t="s">
        <v>92</v>
      </c>
      <c r="I4794" t="s">
        <v>154</v>
      </c>
      <c r="J4794" t="s">
        <v>94</v>
      </c>
      <c r="K4794">
        <v>3</v>
      </c>
      <c r="L4794">
        <v>147600</v>
      </c>
      <c r="M4794">
        <v>442800</v>
      </c>
      <c r="N4794" t="s">
        <v>95</v>
      </c>
      <c r="O4794" t="s">
        <v>115</v>
      </c>
    </row>
    <row r="4795" spans="1:15" x14ac:dyDescent="0.25">
      <c r="A4795">
        <v>696</v>
      </c>
      <c r="B4795" s="10">
        <v>46008</v>
      </c>
      <c r="C4795">
        <v>17</v>
      </c>
      <c r="D4795" t="s">
        <v>125</v>
      </c>
      <c r="E4795" t="s">
        <v>150</v>
      </c>
      <c r="F4795" t="s">
        <v>36</v>
      </c>
      <c r="G4795" t="s">
        <v>100</v>
      </c>
      <c r="H4795" t="s">
        <v>92</v>
      </c>
      <c r="I4795" t="s">
        <v>154</v>
      </c>
      <c r="J4795" t="s">
        <v>94</v>
      </c>
      <c r="K4795">
        <v>1</v>
      </c>
      <c r="L4795">
        <v>147700</v>
      </c>
      <c r="M4795">
        <v>147700</v>
      </c>
      <c r="N4795" t="s">
        <v>95</v>
      </c>
      <c r="O4795" t="s">
        <v>96</v>
      </c>
    </row>
    <row r="4796" spans="1:15" x14ac:dyDescent="0.25">
      <c r="A4796">
        <v>2497</v>
      </c>
      <c r="B4796" s="10">
        <v>45811</v>
      </c>
      <c r="C4796">
        <v>3</v>
      </c>
      <c r="D4796" t="s">
        <v>153</v>
      </c>
      <c r="E4796" t="s">
        <v>121</v>
      </c>
      <c r="F4796" t="s">
        <v>28</v>
      </c>
      <c r="G4796" t="s">
        <v>126</v>
      </c>
      <c r="H4796" t="s">
        <v>92</v>
      </c>
      <c r="I4796" t="s">
        <v>154</v>
      </c>
      <c r="J4796" t="s">
        <v>94</v>
      </c>
      <c r="K4796">
        <v>5</v>
      </c>
      <c r="L4796">
        <v>147900</v>
      </c>
      <c r="M4796">
        <v>739500</v>
      </c>
      <c r="N4796" t="s">
        <v>95</v>
      </c>
      <c r="O4796" t="s">
        <v>115</v>
      </c>
    </row>
    <row r="4797" spans="1:15" x14ac:dyDescent="0.25">
      <c r="A4797">
        <v>1858</v>
      </c>
      <c r="B4797" s="10">
        <v>46011</v>
      </c>
      <c r="C4797">
        <v>20</v>
      </c>
      <c r="D4797" t="s">
        <v>125</v>
      </c>
      <c r="E4797" t="s">
        <v>106</v>
      </c>
      <c r="F4797" t="s">
        <v>28</v>
      </c>
      <c r="G4797" t="s">
        <v>126</v>
      </c>
      <c r="H4797" t="s">
        <v>92</v>
      </c>
      <c r="I4797" t="s">
        <v>154</v>
      </c>
      <c r="J4797" t="s">
        <v>94</v>
      </c>
      <c r="K4797">
        <v>3</v>
      </c>
      <c r="L4797">
        <v>148100</v>
      </c>
      <c r="M4797">
        <v>444300</v>
      </c>
      <c r="N4797" t="s">
        <v>108</v>
      </c>
      <c r="O4797" t="s">
        <v>104</v>
      </c>
    </row>
    <row r="4798" spans="1:15" x14ac:dyDescent="0.25">
      <c r="A4798">
        <v>100</v>
      </c>
      <c r="B4798" s="10">
        <v>45978</v>
      </c>
      <c r="C4798">
        <v>17</v>
      </c>
      <c r="D4798" t="s">
        <v>90</v>
      </c>
      <c r="E4798" t="s">
        <v>106</v>
      </c>
      <c r="F4798" t="s">
        <v>44</v>
      </c>
      <c r="G4798" t="s">
        <v>111</v>
      </c>
      <c r="H4798" t="s">
        <v>92</v>
      </c>
      <c r="I4798" t="s">
        <v>154</v>
      </c>
      <c r="J4798" t="s">
        <v>94</v>
      </c>
      <c r="K4798">
        <v>4</v>
      </c>
      <c r="L4798">
        <v>148200</v>
      </c>
      <c r="M4798">
        <v>592800</v>
      </c>
      <c r="N4798" t="s">
        <v>95</v>
      </c>
      <c r="O4798" t="s">
        <v>96</v>
      </c>
    </row>
    <row r="4799" spans="1:15" x14ac:dyDescent="0.25">
      <c r="A4799">
        <v>4414</v>
      </c>
      <c r="B4799" s="10">
        <v>45921</v>
      </c>
      <c r="C4799">
        <v>21</v>
      </c>
      <c r="D4799" t="s">
        <v>147</v>
      </c>
      <c r="E4799" t="s">
        <v>150</v>
      </c>
      <c r="F4799" t="s">
        <v>36</v>
      </c>
      <c r="G4799" t="s">
        <v>100</v>
      </c>
      <c r="H4799" t="s">
        <v>92</v>
      </c>
      <c r="I4799" t="s">
        <v>158</v>
      </c>
      <c r="J4799" t="s">
        <v>103</v>
      </c>
      <c r="K4799">
        <v>34</v>
      </c>
      <c r="L4799">
        <v>148800</v>
      </c>
      <c r="M4799">
        <v>5059200</v>
      </c>
      <c r="N4799" t="s">
        <v>108</v>
      </c>
      <c r="O4799" t="s">
        <v>96</v>
      </c>
    </row>
    <row r="4800" spans="1:15" x14ac:dyDescent="0.25">
      <c r="A4800">
        <v>3780</v>
      </c>
      <c r="B4800" s="10">
        <v>45925</v>
      </c>
      <c r="C4800">
        <v>25</v>
      </c>
      <c r="D4800" t="s">
        <v>147</v>
      </c>
      <c r="E4800" t="s">
        <v>116</v>
      </c>
      <c r="F4800" t="s">
        <v>99</v>
      </c>
      <c r="G4800" t="s">
        <v>100</v>
      </c>
      <c r="H4800" t="s">
        <v>92</v>
      </c>
      <c r="I4800" t="s">
        <v>154</v>
      </c>
      <c r="J4800" t="s">
        <v>94</v>
      </c>
      <c r="K4800">
        <v>9</v>
      </c>
      <c r="L4800">
        <v>149400</v>
      </c>
      <c r="M4800">
        <v>1344600</v>
      </c>
      <c r="N4800" t="s">
        <v>108</v>
      </c>
      <c r="O4800" t="s">
        <v>115</v>
      </c>
    </row>
    <row r="4801" spans="1:15" x14ac:dyDescent="0.25">
      <c r="A4801">
        <v>2828</v>
      </c>
      <c r="B4801" s="10">
        <v>45751</v>
      </c>
      <c r="C4801">
        <v>4</v>
      </c>
      <c r="D4801" t="s">
        <v>105</v>
      </c>
      <c r="E4801" t="s">
        <v>161</v>
      </c>
      <c r="F4801" t="s">
        <v>49</v>
      </c>
      <c r="G4801" t="s">
        <v>118</v>
      </c>
      <c r="H4801" t="s">
        <v>92</v>
      </c>
      <c r="I4801" t="s">
        <v>154</v>
      </c>
      <c r="J4801" t="s">
        <v>94</v>
      </c>
      <c r="K4801">
        <v>9</v>
      </c>
      <c r="L4801">
        <v>149500</v>
      </c>
      <c r="M4801">
        <v>1345500</v>
      </c>
      <c r="N4801" t="s">
        <v>108</v>
      </c>
      <c r="O4801" t="s">
        <v>115</v>
      </c>
    </row>
    <row r="4802" spans="1:15" x14ac:dyDescent="0.25">
      <c r="A4802">
        <v>903</v>
      </c>
      <c r="B4802" s="10">
        <v>45724</v>
      </c>
      <c r="C4802">
        <v>8</v>
      </c>
      <c r="D4802" t="s">
        <v>140</v>
      </c>
      <c r="E4802" t="s">
        <v>31</v>
      </c>
      <c r="F4802" t="s">
        <v>134</v>
      </c>
      <c r="G4802" t="s">
        <v>100</v>
      </c>
      <c r="H4802" t="s">
        <v>92</v>
      </c>
      <c r="I4802" t="s">
        <v>154</v>
      </c>
      <c r="J4802" t="s">
        <v>94</v>
      </c>
      <c r="K4802">
        <v>1</v>
      </c>
      <c r="L4802">
        <v>150200</v>
      </c>
      <c r="M4802">
        <v>150200</v>
      </c>
      <c r="N4802" t="s">
        <v>108</v>
      </c>
      <c r="O4802" t="s">
        <v>115</v>
      </c>
    </row>
    <row r="4803" spans="1:15" x14ac:dyDescent="0.25">
      <c r="A4803">
        <v>3354</v>
      </c>
      <c r="B4803" s="10">
        <v>45848</v>
      </c>
      <c r="C4803">
        <v>10</v>
      </c>
      <c r="D4803" t="s">
        <v>145</v>
      </c>
      <c r="E4803" t="s">
        <v>142</v>
      </c>
      <c r="F4803" t="s">
        <v>36</v>
      </c>
      <c r="G4803" t="s">
        <v>100</v>
      </c>
      <c r="H4803" t="s">
        <v>92</v>
      </c>
      <c r="I4803" t="s">
        <v>154</v>
      </c>
      <c r="J4803" t="s">
        <v>94</v>
      </c>
      <c r="K4803">
        <v>10</v>
      </c>
      <c r="L4803">
        <v>150600</v>
      </c>
      <c r="M4803">
        <v>1506000</v>
      </c>
      <c r="N4803" t="s">
        <v>95</v>
      </c>
      <c r="O4803" t="s">
        <v>104</v>
      </c>
    </row>
    <row r="4804" spans="1:15" x14ac:dyDescent="0.25">
      <c r="A4804">
        <v>79</v>
      </c>
      <c r="B4804" s="10">
        <v>45743</v>
      </c>
      <c r="C4804">
        <v>27</v>
      </c>
      <c r="D4804" t="s">
        <v>140</v>
      </c>
      <c r="E4804" t="s">
        <v>110</v>
      </c>
      <c r="F4804" t="s">
        <v>148</v>
      </c>
      <c r="G4804" t="s">
        <v>118</v>
      </c>
      <c r="H4804" t="s">
        <v>92</v>
      </c>
      <c r="I4804" t="s">
        <v>154</v>
      </c>
      <c r="J4804" t="s">
        <v>94</v>
      </c>
      <c r="K4804">
        <v>5</v>
      </c>
      <c r="L4804">
        <v>150700</v>
      </c>
      <c r="M4804">
        <v>753500</v>
      </c>
      <c r="N4804" t="s">
        <v>95</v>
      </c>
      <c r="O4804" t="s">
        <v>96</v>
      </c>
    </row>
    <row r="4805" spans="1:15" x14ac:dyDescent="0.25">
      <c r="A4805">
        <v>1191</v>
      </c>
      <c r="B4805" s="10">
        <v>45868</v>
      </c>
      <c r="C4805">
        <v>30</v>
      </c>
      <c r="D4805" t="s">
        <v>145</v>
      </c>
      <c r="E4805" t="s">
        <v>112</v>
      </c>
      <c r="F4805" t="s">
        <v>144</v>
      </c>
      <c r="G4805" t="s">
        <v>91</v>
      </c>
      <c r="H4805" t="s">
        <v>92</v>
      </c>
      <c r="I4805" t="s">
        <v>154</v>
      </c>
      <c r="J4805" t="s">
        <v>94</v>
      </c>
      <c r="K4805">
        <v>10</v>
      </c>
      <c r="L4805">
        <v>150800</v>
      </c>
      <c r="M4805">
        <v>1508000</v>
      </c>
      <c r="N4805" t="s">
        <v>108</v>
      </c>
      <c r="O4805" t="s">
        <v>104</v>
      </c>
    </row>
    <row r="4806" spans="1:15" x14ac:dyDescent="0.25">
      <c r="A4806">
        <v>905</v>
      </c>
      <c r="B4806" s="10">
        <v>45680</v>
      </c>
      <c r="C4806">
        <v>23</v>
      </c>
      <c r="D4806" t="s">
        <v>130</v>
      </c>
      <c r="E4806" t="s">
        <v>31</v>
      </c>
      <c r="F4806" t="s">
        <v>44</v>
      </c>
      <c r="G4806" t="s">
        <v>111</v>
      </c>
      <c r="H4806" t="s">
        <v>92</v>
      </c>
      <c r="I4806" t="s">
        <v>154</v>
      </c>
      <c r="J4806" t="s">
        <v>94</v>
      </c>
      <c r="K4806">
        <v>2</v>
      </c>
      <c r="L4806">
        <v>151400</v>
      </c>
      <c r="M4806">
        <v>302800</v>
      </c>
      <c r="N4806" t="s">
        <v>95</v>
      </c>
      <c r="O4806" t="s">
        <v>96</v>
      </c>
    </row>
    <row r="4807" spans="1:15" x14ac:dyDescent="0.25">
      <c r="A4807">
        <v>4041</v>
      </c>
      <c r="B4807" s="10">
        <v>45960</v>
      </c>
      <c r="C4807">
        <v>30</v>
      </c>
      <c r="D4807" t="s">
        <v>136</v>
      </c>
      <c r="E4807" t="s">
        <v>25</v>
      </c>
      <c r="F4807" t="s">
        <v>107</v>
      </c>
      <c r="G4807" t="s">
        <v>100</v>
      </c>
      <c r="H4807" t="s">
        <v>92</v>
      </c>
      <c r="I4807" t="s">
        <v>154</v>
      </c>
      <c r="J4807" t="s">
        <v>94</v>
      </c>
      <c r="K4807">
        <v>10</v>
      </c>
      <c r="L4807">
        <v>151500</v>
      </c>
      <c r="M4807">
        <v>1515000</v>
      </c>
      <c r="N4807" t="s">
        <v>108</v>
      </c>
      <c r="O4807" t="s">
        <v>115</v>
      </c>
    </row>
    <row r="4808" spans="1:15" x14ac:dyDescent="0.25">
      <c r="A4808">
        <v>2765</v>
      </c>
      <c r="B4808" s="10">
        <v>45996</v>
      </c>
      <c r="C4808">
        <v>5</v>
      </c>
      <c r="D4808" t="s">
        <v>125</v>
      </c>
      <c r="E4808" t="s">
        <v>133</v>
      </c>
      <c r="F4808" t="s">
        <v>36</v>
      </c>
      <c r="G4808" t="s">
        <v>100</v>
      </c>
      <c r="H4808" t="s">
        <v>92</v>
      </c>
      <c r="I4808" t="s">
        <v>154</v>
      </c>
      <c r="J4808" t="s">
        <v>94</v>
      </c>
      <c r="K4808">
        <v>7</v>
      </c>
      <c r="L4808">
        <v>151900</v>
      </c>
      <c r="M4808">
        <v>1063300</v>
      </c>
      <c r="N4808" t="s">
        <v>108</v>
      </c>
      <c r="O4808" t="s">
        <v>115</v>
      </c>
    </row>
    <row r="4809" spans="1:15" x14ac:dyDescent="0.25">
      <c r="A4809">
        <v>3142</v>
      </c>
      <c r="B4809" s="10">
        <v>45739</v>
      </c>
      <c r="C4809">
        <v>23</v>
      </c>
      <c r="D4809" t="s">
        <v>140</v>
      </c>
      <c r="E4809" t="s">
        <v>161</v>
      </c>
      <c r="F4809" t="s">
        <v>117</v>
      </c>
      <c r="G4809" t="s">
        <v>118</v>
      </c>
      <c r="H4809" t="s">
        <v>92</v>
      </c>
      <c r="I4809" t="s">
        <v>158</v>
      </c>
      <c r="J4809" t="s">
        <v>103</v>
      </c>
      <c r="K4809">
        <v>5</v>
      </c>
      <c r="L4809">
        <v>151900</v>
      </c>
      <c r="M4809">
        <v>759500</v>
      </c>
      <c r="N4809" t="s">
        <v>108</v>
      </c>
      <c r="O4809" t="s">
        <v>96</v>
      </c>
    </row>
    <row r="4810" spans="1:15" x14ac:dyDescent="0.25">
      <c r="A4810">
        <v>3714</v>
      </c>
      <c r="B4810" s="10">
        <v>45722</v>
      </c>
      <c r="C4810">
        <v>6</v>
      </c>
      <c r="D4810" t="s">
        <v>140</v>
      </c>
      <c r="E4810" t="s">
        <v>116</v>
      </c>
      <c r="F4810" t="s">
        <v>122</v>
      </c>
      <c r="G4810" t="s">
        <v>114</v>
      </c>
      <c r="H4810" t="s">
        <v>92</v>
      </c>
      <c r="I4810" t="s">
        <v>158</v>
      </c>
      <c r="J4810" t="s">
        <v>103</v>
      </c>
      <c r="K4810">
        <v>5</v>
      </c>
      <c r="L4810">
        <v>151900</v>
      </c>
      <c r="M4810">
        <v>759500</v>
      </c>
      <c r="N4810" t="s">
        <v>108</v>
      </c>
      <c r="O4810" t="s">
        <v>115</v>
      </c>
    </row>
    <row r="4811" spans="1:15" x14ac:dyDescent="0.25">
      <c r="A4811">
        <v>3759</v>
      </c>
      <c r="B4811" s="10">
        <v>46007</v>
      </c>
      <c r="C4811">
        <v>16</v>
      </c>
      <c r="D4811" t="s">
        <v>125</v>
      </c>
      <c r="E4811" t="s">
        <v>128</v>
      </c>
      <c r="F4811" t="s">
        <v>144</v>
      </c>
      <c r="G4811" t="s">
        <v>91</v>
      </c>
      <c r="H4811" t="s">
        <v>92</v>
      </c>
      <c r="I4811" t="s">
        <v>154</v>
      </c>
      <c r="J4811" t="s">
        <v>94</v>
      </c>
      <c r="K4811">
        <v>5</v>
      </c>
      <c r="L4811">
        <v>152100</v>
      </c>
      <c r="M4811">
        <v>760500</v>
      </c>
      <c r="N4811" t="s">
        <v>108</v>
      </c>
      <c r="O4811" t="s">
        <v>104</v>
      </c>
    </row>
    <row r="4812" spans="1:15" x14ac:dyDescent="0.25">
      <c r="A4812">
        <v>1548</v>
      </c>
      <c r="B4812" s="10">
        <v>45969</v>
      </c>
      <c r="C4812">
        <v>8</v>
      </c>
      <c r="D4812" t="s">
        <v>90</v>
      </c>
      <c r="E4812" t="s">
        <v>110</v>
      </c>
      <c r="F4812" t="s">
        <v>28</v>
      </c>
      <c r="G4812" t="s">
        <v>126</v>
      </c>
      <c r="H4812" t="s">
        <v>92</v>
      </c>
      <c r="I4812" t="s">
        <v>154</v>
      </c>
      <c r="J4812" t="s">
        <v>94</v>
      </c>
      <c r="K4812">
        <v>6</v>
      </c>
      <c r="L4812">
        <v>152300</v>
      </c>
      <c r="M4812">
        <v>913800</v>
      </c>
      <c r="N4812" t="s">
        <v>108</v>
      </c>
      <c r="O4812" t="s">
        <v>115</v>
      </c>
    </row>
    <row r="4813" spans="1:15" x14ac:dyDescent="0.25">
      <c r="A4813">
        <v>2475</v>
      </c>
      <c r="B4813" s="10">
        <v>45664</v>
      </c>
      <c r="C4813">
        <v>7</v>
      </c>
      <c r="D4813" t="s">
        <v>130</v>
      </c>
      <c r="E4813" t="s">
        <v>25</v>
      </c>
      <c r="F4813" t="s">
        <v>141</v>
      </c>
      <c r="G4813" t="s">
        <v>100</v>
      </c>
      <c r="H4813" t="s">
        <v>92</v>
      </c>
      <c r="I4813" t="s">
        <v>154</v>
      </c>
      <c r="J4813" t="s">
        <v>94</v>
      </c>
      <c r="K4813">
        <v>7</v>
      </c>
      <c r="L4813">
        <v>152300</v>
      </c>
      <c r="M4813">
        <v>1066100</v>
      </c>
      <c r="N4813" t="s">
        <v>108</v>
      </c>
      <c r="O4813" t="s">
        <v>115</v>
      </c>
    </row>
    <row r="4814" spans="1:15" x14ac:dyDescent="0.25">
      <c r="A4814">
        <v>3061</v>
      </c>
      <c r="B4814" s="10">
        <v>45733</v>
      </c>
      <c r="C4814">
        <v>17</v>
      </c>
      <c r="D4814" t="s">
        <v>140</v>
      </c>
      <c r="E4814" t="s">
        <v>121</v>
      </c>
      <c r="F4814" t="s">
        <v>49</v>
      </c>
      <c r="G4814" t="s">
        <v>118</v>
      </c>
      <c r="H4814" t="s">
        <v>92</v>
      </c>
      <c r="I4814" t="s">
        <v>154</v>
      </c>
      <c r="J4814" t="s">
        <v>94</v>
      </c>
      <c r="K4814">
        <v>4</v>
      </c>
      <c r="L4814">
        <v>152400</v>
      </c>
      <c r="M4814">
        <v>609600</v>
      </c>
      <c r="N4814" t="s">
        <v>108</v>
      </c>
      <c r="O4814" t="s">
        <v>104</v>
      </c>
    </row>
    <row r="4815" spans="1:15" x14ac:dyDescent="0.25">
      <c r="A4815">
        <v>4393</v>
      </c>
      <c r="B4815" s="10">
        <v>45788</v>
      </c>
      <c r="C4815">
        <v>11</v>
      </c>
      <c r="D4815" t="s">
        <v>120</v>
      </c>
      <c r="E4815" t="s">
        <v>142</v>
      </c>
      <c r="F4815" t="s">
        <v>99</v>
      </c>
      <c r="G4815" t="s">
        <v>100</v>
      </c>
      <c r="H4815" t="s">
        <v>92</v>
      </c>
      <c r="I4815" t="s">
        <v>154</v>
      </c>
      <c r="J4815" t="s">
        <v>94</v>
      </c>
      <c r="K4815">
        <v>10</v>
      </c>
      <c r="L4815">
        <v>152400</v>
      </c>
      <c r="M4815">
        <v>1524000</v>
      </c>
      <c r="N4815" t="s">
        <v>95</v>
      </c>
      <c r="O4815" t="s">
        <v>104</v>
      </c>
    </row>
    <row r="4816" spans="1:15" x14ac:dyDescent="0.25">
      <c r="A4816">
        <v>3553</v>
      </c>
      <c r="B4816" s="10">
        <v>45863</v>
      </c>
      <c r="C4816">
        <v>25</v>
      </c>
      <c r="D4816" t="s">
        <v>145</v>
      </c>
      <c r="E4816" t="s">
        <v>98</v>
      </c>
      <c r="F4816" t="s">
        <v>49</v>
      </c>
      <c r="G4816" t="s">
        <v>118</v>
      </c>
      <c r="H4816" t="s">
        <v>92</v>
      </c>
      <c r="I4816" t="s">
        <v>154</v>
      </c>
      <c r="J4816" t="s">
        <v>94</v>
      </c>
      <c r="K4816">
        <v>4</v>
      </c>
      <c r="L4816">
        <v>152600</v>
      </c>
      <c r="M4816">
        <v>610400</v>
      </c>
      <c r="N4816" t="s">
        <v>108</v>
      </c>
      <c r="O4816" t="s">
        <v>115</v>
      </c>
    </row>
    <row r="4817" spans="1:15" x14ac:dyDescent="0.25">
      <c r="A4817">
        <v>2749</v>
      </c>
      <c r="B4817" s="10">
        <v>46010</v>
      </c>
      <c r="C4817">
        <v>19</v>
      </c>
      <c r="D4817" t="s">
        <v>125</v>
      </c>
      <c r="E4817" t="s">
        <v>161</v>
      </c>
      <c r="F4817" t="s">
        <v>36</v>
      </c>
      <c r="G4817" t="s">
        <v>100</v>
      </c>
      <c r="H4817" t="s">
        <v>92</v>
      </c>
      <c r="I4817" t="s">
        <v>154</v>
      </c>
      <c r="J4817" t="s">
        <v>94</v>
      </c>
      <c r="K4817">
        <v>1</v>
      </c>
      <c r="L4817">
        <v>152900</v>
      </c>
      <c r="M4817">
        <v>152900</v>
      </c>
      <c r="N4817" t="s">
        <v>108</v>
      </c>
      <c r="O4817" t="s">
        <v>104</v>
      </c>
    </row>
    <row r="4818" spans="1:15" x14ac:dyDescent="0.25">
      <c r="A4818">
        <v>1906</v>
      </c>
      <c r="B4818" s="10">
        <v>45699</v>
      </c>
      <c r="C4818">
        <v>11</v>
      </c>
      <c r="D4818" t="s">
        <v>97</v>
      </c>
      <c r="E4818" t="s">
        <v>138</v>
      </c>
      <c r="F4818" t="s">
        <v>28</v>
      </c>
      <c r="G4818" t="s">
        <v>126</v>
      </c>
      <c r="H4818" t="s">
        <v>92</v>
      </c>
      <c r="I4818" t="s">
        <v>154</v>
      </c>
      <c r="J4818" t="s">
        <v>94</v>
      </c>
      <c r="K4818">
        <v>7</v>
      </c>
      <c r="L4818">
        <v>153400</v>
      </c>
      <c r="M4818">
        <v>1073800</v>
      </c>
      <c r="N4818" t="s">
        <v>95</v>
      </c>
      <c r="O4818" t="s">
        <v>104</v>
      </c>
    </row>
    <row r="4819" spans="1:15" x14ac:dyDescent="0.25">
      <c r="A4819">
        <v>1986</v>
      </c>
      <c r="B4819" s="10">
        <v>45764</v>
      </c>
      <c r="C4819">
        <v>17</v>
      </c>
      <c r="D4819" t="s">
        <v>105</v>
      </c>
      <c r="E4819" t="s">
        <v>138</v>
      </c>
      <c r="F4819" t="s">
        <v>141</v>
      </c>
      <c r="G4819" t="s">
        <v>100</v>
      </c>
      <c r="H4819" t="s">
        <v>92</v>
      </c>
      <c r="I4819" t="s">
        <v>154</v>
      </c>
      <c r="J4819" t="s">
        <v>94</v>
      </c>
      <c r="K4819">
        <v>5</v>
      </c>
      <c r="L4819">
        <v>153800</v>
      </c>
      <c r="M4819">
        <v>769000</v>
      </c>
      <c r="N4819" t="s">
        <v>108</v>
      </c>
      <c r="O4819" t="s">
        <v>104</v>
      </c>
    </row>
    <row r="4820" spans="1:15" x14ac:dyDescent="0.25">
      <c r="A4820">
        <v>4234</v>
      </c>
      <c r="B4820" s="10">
        <v>45678</v>
      </c>
      <c r="C4820">
        <v>21</v>
      </c>
      <c r="D4820" t="s">
        <v>130</v>
      </c>
      <c r="E4820" t="s">
        <v>133</v>
      </c>
      <c r="F4820" t="s">
        <v>151</v>
      </c>
      <c r="G4820" t="s">
        <v>111</v>
      </c>
      <c r="H4820" t="s">
        <v>92</v>
      </c>
      <c r="I4820" t="s">
        <v>154</v>
      </c>
      <c r="J4820" t="s">
        <v>94</v>
      </c>
      <c r="K4820">
        <v>8</v>
      </c>
      <c r="L4820">
        <v>153800</v>
      </c>
      <c r="M4820">
        <v>1230400</v>
      </c>
      <c r="N4820" t="s">
        <v>108</v>
      </c>
      <c r="O4820" t="s">
        <v>104</v>
      </c>
    </row>
    <row r="4821" spans="1:15" x14ac:dyDescent="0.25">
      <c r="A4821">
        <v>2005</v>
      </c>
      <c r="B4821" s="10">
        <v>45792</v>
      </c>
      <c r="C4821">
        <v>15</v>
      </c>
      <c r="D4821" t="s">
        <v>120</v>
      </c>
      <c r="E4821" t="s">
        <v>133</v>
      </c>
      <c r="F4821" t="s">
        <v>28</v>
      </c>
      <c r="G4821" t="s">
        <v>126</v>
      </c>
      <c r="H4821" t="s">
        <v>92</v>
      </c>
      <c r="I4821" t="s">
        <v>158</v>
      </c>
      <c r="J4821" t="s">
        <v>103</v>
      </c>
      <c r="K4821">
        <v>12</v>
      </c>
      <c r="L4821">
        <v>153900</v>
      </c>
      <c r="M4821">
        <v>1846800</v>
      </c>
      <c r="N4821" t="s">
        <v>95</v>
      </c>
      <c r="O4821" t="s">
        <v>104</v>
      </c>
    </row>
    <row r="4822" spans="1:15" x14ac:dyDescent="0.25">
      <c r="A4822">
        <v>3005</v>
      </c>
      <c r="B4822" s="10">
        <v>45678</v>
      </c>
      <c r="C4822">
        <v>21</v>
      </c>
      <c r="D4822" t="s">
        <v>130</v>
      </c>
      <c r="E4822" t="s">
        <v>128</v>
      </c>
      <c r="F4822" t="s">
        <v>113</v>
      </c>
      <c r="G4822" t="s">
        <v>114</v>
      </c>
      <c r="H4822" t="s">
        <v>92</v>
      </c>
      <c r="I4822" t="s">
        <v>154</v>
      </c>
      <c r="J4822" t="s">
        <v>94</v>
      </c>
      <c r="K4822">
        <v>5</v>
      </c>
      <c r="L4822">
        <v>154200</v>
      </c>
      <c r="M4822">
        <v>771000</v>
      </c>
      <c r="N4822" t="s">
        <v>95</v>
      </c>
      <c r="O4822" t="s">
        <v>104</v>
      </c>
    </row>
    <row r="4823" spans="1:15" x14ac:dyDescent="0.25">
      <c r="A4823">
        <v>2528</v>
      </c>
      <c r="B4823" s="10">
        <v>45933</v>
      </c>
      <c r="C4823">
        <v>3</v>
      </c>
      <c r="D4823" t="s">
        <v>136</v>
      </c>
      <c r="E4823" t="s">
        <v>31</v>
      </c>
      <c r="F4823" t="s">
        <v>49</v>
      </c>
      <c r="G4823" t="s">
        <v>118</v>
      </c>
      <c r="H4823" t="s">
        <v>92</v>
      </c>
      <c r="I4823" t="s">
        <v>154</v>
      </c>
      <c r="J4823" t="s">
        <v>94</v>
      </c>
      <c r="K4823">
        <v>5</v>
      </c>
      <c r="L4823">
        <v>154600</v>
      </c>
      <c r="M4823">
        <v>773000</v>
      </c>
      <c r="N4823" t="s">
        <v>108</v>
      </c>
      <c r="O4823" t="s">
        <v>104</v>
      </c>
    </row>
    <row r="4824" spans="1:15" x14ac:dyDescent="0.25">
      <c r="A4824">
        <v>2240</v>
      </c>
      <c r="B4824" s="10">
        <v>45988</v>
      </c>
      <c r="C4824">
        <v>27</v>
      </c>
      <c r="D4824" t="s">
        <v>90</v>
      </c>
      <c r="E4824" t="s">
        <v>150</v>
      </c>
      <c r="F4824" t="s">
        <v>148</v>
      </c>
      <c r="G4824" t="s">
        <v>118</v>
      </c>
      <c r="H4824" t="s">
        <v>92</v>
      </c>
      <c r="I4824" t="s">
        <v>154</v>
      </c>
      <c r="J4824" t="s">
        <v>94</v>
      </c>
      <c r="K4824">
        <v>2</v>
      </c>
      <c r="L4824">
        <v>155100</v>
      </c>
      <c r="M4824">
        <v>310200</v>
      </c>
      <c r="N4824" t="s">
        <v>108</v>
      </c>
      <c r="O4824" t="s">
        <v>115</v>
      </c>
    </row>
    <row r="4825" spans="1:15" x14ac:dyDescent="0.25">
      <c r="A4825">
        <v>2444</v>
      </c>
      <c r="B4825" s="10">
        <v>45698</v>
      </c>
      <c r="C4825">
        <v>10</v>
      </c>
      <c r="D4825" t="s">
        <v>97</v>
      </c>
      <c r="E4825" t="s">
        <v>142</v>
      </c>
      <c r="F4825" t="s">
        <v>122</v>
      </c>
      <c r="G4825" t="s">
        <v>114</v>
      </c>
      <c r="H4825" t="s">
        <v>92</v>
      </c>
      <c r="I4825" t="s">
        <v>154</v>
      </c>
      <c r="J4825" t="s">
        <v>94</v>
      </c>
      <c r="K4825">
        <v>10</v>
      </c>
      <c r="L4825">
        <v>155200</v>
      </c>
      <c r="M4825">
        <v>1552000</v>
      </c>
      <c r="N4825" t="s">
        <v>108</v>
      </c>
      <c r="O4825" t="s">
        <v>104</v>
      </c>
    </row>
    <row r="4826" spans="1:15" x14ac:dyDescent="0.25">
      <c r="A4826">
        <v>4304</v>
      </c>
      <c r="B4826" s="10">
        <v>45688</v>
      </c>
      <c r="C4826">
        <v>31</v>
      </c>
      <c r="D4826" t="s">
        <v>130</v>
      </c>
      <c r="E4826" t="s">
        <v>31</v>
      </c>
      <c r="F4826" t="s">
        <v>36</v>
      </c>
      <c r="G4826" t="s">
        <v>100</v>
      </c>
      <c r="H4826" t="s">
        <v>92</v>
      </c>
      <c r="I4826" t="s">
        <v>154</v>
      </c>
      <c r="J4826" t="s">
        <v>94</v>
      </c>
      <c r="K4826">
        <v>4</v>
      </c>
      <c r="L4826">
        <v>155300</v>
      </c>
      <c r="M4826">
        <v>621200</v>
      </c>
      <c r="N4826" t="s">
        <v>95</v>
      </c>
      <c r="O4826" t="s">
        <v>96</v>
      </c>
    </row>
    <row r="4827" spans="1:15" x14ac:dyDescent="0.25">
      <c r="A4827">
        <v>4061</v>
      </c>
      <c r="B4827" s="10">
        <v>45914</v>
      </c>
      <c r="C4827">
        <v>14</v>
      </c>
      <c r="D4827" t="s">
        <v>147</v>
      </c>
      <c r="E4827" t="s">
        <v>110</v>
      </c>
      <c r="F4827" t="s">
        <v>141</v>
      </c>
      <c r="G4827" t="s">
        <v>100</v>
      </c>
      <c r="H4827" t="s">
        <v>92</v>
      </c>
      <c r="I4827" t="s">
        <v>154</v>
      </c>
      <c r="J4827" t="s">
        <v>94</v>
      </c>
      <c r="K4827">
        <v>10</v>
      </c>
      <c r="L4827">
        <v>155600</v>
      </c>
      <c r="M4827">
        <v>1556000</v>
      </c>
      <c r="N4827" t="s">
        <v>95</v>
      </c>
      <c r="O4827" t="s">
        <v>96</v>
      </c>
    </row>
    <row r="4828" spans="1:15" x14ac:dyDescent="0.25">
      <c r="A4828">
        <v>2232</v>
      </c>
      <c r="B4828" s="10">
        <v>45877</v>
      </c>
      <c r="C4828">
        <v>8</v>
      </c>
      <c r="D4828" t="s">
        <v>109</v>
      </c>
      <c r="E4828" t="s">
        <v>142</v>
      </c>
      <c r="F4828" t="s">
        <v>117</v>
      </c>
      <c r="G4828" t="s">
        <v>118</v>
      </c>
      <c r="H4828" t="s">
        <v>92</v>
      </c>
      <c r="I4828" t="s">
        <v>154</v>
      </c>
      <c r="J4828" t="s">
        <v>94</v>
      </c>
      <c r="K4828">
        <v>2</v>
      </c>
      <c r="L4828">
        <v>155900</v>
      </c>
      <c r="M4828">
        <v>311800</v>
      </c>
      <c r="N4828" t="s">
        <v>95</v>
      </c>
      <c r="O4828" t="s">
        <v>115</v>
      </c>
    </row>
    <row r="4829" spans="1:15" x14ac:dyDescent="0.25">
      <c r="A4829">
        <v>1862</v>
      </c>
      <c r="B4829" s="10">
        <v>45856</v>
      </c>
      <c r="C4829">
        <v>18</v>
      </c>
      <c r="D4829" t="s">
        <v>145</v>
      </c>
      <c r="E4829" t="s">
        <v>138</v>
      </c>
      <c r="F4829" t="s">
        <v>28</v>
      </c>
      <c r="G4829" t="s">
        <v>126</v>
      </c>
      <c r="H4829" t="s">
        <v>92</v>
      </c>
      <c r="I4829" t="s">
        <v>154</v>
      </c>
      <c r="J4829" t="s">
        <v>94</v>
      </c>
      <c r="K4829">
        <v>7</v>
      </c>
      <c r="L4829">
        <v>156100</v>
      </c>
      <c r="M4829">
        <v>1092700</v>
      </c>
      <c r="N4829" t="s">
        <v>108</v>
      </c>
      <c r="O4829" t="s">
        <v>115</v>
      </c>
    </row>
    <row r="4830" spans="1:15" x14ac:dyDescent="0.25">
      <c r="A4830">
        <v>294</v>
      </c>
      <c r="B4830" s="10">
        <v>45737</v>
      </c>
      <c r="C4830">
        <v>21</v>
      </c>
      <c r="D4830" t="s">
        <v>140</v>
      </c>
      <c r="E4830" t="s">
        <v>116</v>
      </c>
      <c r="F4830" t="s">
        <v>49</v>
      </c>
      <c r="G4830" t="s">
        <v>118</v>
      </c>
      <c r="H4830" t="s">
        <v>92</v>
      </c>
      <c r="I4830" t="s">
        <v>154</v>
      </c>
      <c r="J4830" t="s">
        <v>94</v>
      </c>
      <c r="K4830">
        <v>7</v>
      </c>
      <c r="L4830">
        <v>156400</v>
      </c>
      <c r="M4830">
        <v>1094800</v>
      </c>
      <c r="N4830" t="s">
        <v>95</v>
      </c>
      <c r="O4830" t="s">
        <v>104</v>
      </c>
    </row>
    <row r="4831" spans="1:15" x14ac:dyDescent="0.25">
      <c r="A4831">
        <v>353</v>
      </c>
      <c r="B4831" s="10">
        <v>45767</v>
      </c>
      <c r="C4831">
        <v>20</v>
      </c>
      <c r="D4831" t="s">
        <v>105</v>
      </c>
      <c r="E4831" t="s">
        <v>106</v>
      </c>
      <c r="F4831" t="s">
        <v>44</v>
      </c>
      <c r="G4831" t="s">
        <v>111</v>
      </c>
      <c r="H4831" t="s">
        <v>92</v>
      </c>
      <c r="I4831" t="s">
        <v>154</v>
      </c>
      <c r="J4831" t="s">
        <v>94</v>
      </c>
      <c r="K4831">
        <v>9</v>
      </c>
      <c r="L4831">
        <v>156400</v>
      </c>
      <c r="M4831">
        <v>1407600</v>
      </c>
      <c r="N4831" t="s">
        <v>95</v>
      </c>
      <c r="O4831" t="s">
        <v>115</v>
      </c>
    </row>
    <row r="4832" spans="1:15" x14ac:dyDescent="0.25">
      <c r="A4832">
        <v>2740</v>
      </c>
      <c r="B4832" s="10">
        <v>45726</v>
      </c>
      <c r="C4832">
        <v>10</v>
      </c>
      <c r="D4832" t="s">
        <v>140</v>
      </c>
      <c r="E4832" t="s">
        <v>121</v>
      </c>
      <c r="F4832" t="s">
        <v>141</v>
      </c>
      <c r="G4832" t="s">
        <v>100</v>
      </c>
      <c r="H4832" t="s">
        <v>92</v>
      </c>
      <c r="I4832" t="s">
        <v>154</v>
      </c>
      <c r="J4832" t="s">
        <v>94</v>
      </c>
      <c r="K4832">
        <v>7</v>
      </c>
      <c r="L4832">
        <v>156400</v>
      </c>
      <c r="M4832">
        <v>1094800</v>
      </c>
      <c r="N4832" t="s">
        <v>95</v>
      </c>
      <c r="O4832" t="s">
        <v>96</v>
      </c>
    </row>
    <row r="4833" spans="1:15" x14ac:dyDescent="0.25">
      <c r="A4833">
        <v>1564</v>
      </c>
      <c r="B4833" s="10">
        <v>45943</v>
      </c>
      <c r="C4833">
        <v>13</v>
      </c>
      <c r="D4833" t="s">
        <v>136</v>
      </c>
      <c r="E4833" t="s">
        <v>98</v>
      </c>
      <c r="F4833" t="s">
        <v>141</v>
      </c>
      <c r="G4833" t="s">
        <v>100</v>
      </c>
      <c r="H4833" t="s">
        <v>92</v>
      </c>
      <c r="I4833" t="s">
        <v>154</v>
      </c>
      <c r="J4833" t="s">
        <v>94</v>
      </c>
      <c r="K4833">
        <v>4</v>
      </c>
      <c r="L4833">
        <v>156600</v>
      </c>
      <c r="M4833">
        <v>626400</v>
      </c>
      <c r="N4833" t="s">
        <v>95</v>
      </c>
      <c r="O4833" t="s">
        <v>96</v>
      </c>
    </row>
    <row r="4834" spans="1:15" x14ac:dyDescent="0.25">
      <c r="A4834">
        <v>2538</v>
      </c>
      <c r="B4834" s="10">
        <v>45980</v>
      </c>
      <c r="C4834">
        <v>19</v>
      </c>
      <c r="D4834" t="s">
        <v>90</v>
      </c>
      <c r="E4834" t="s">
        <v>161</v>
      </c>
      <c r="F4834" t="s">
        <v>44</v>
      </c>
      <c r="G4834" t="s">
        <v>111</v>
      </c>
      <c r="H4834" t="s">
        <v>92</v>
      </c>
      <c r="I4834" t="s">
        <v>154</v>
      </c>
      <c r="J4834" t="s">
        <v>94</v>
      </c>
      <c r="K4834">
        <v>4</v>
      </c>
      <c r="L4834">
        <v>156900</v>
      </c>
      <c r="M4834">
        <v>627600</v>
      </c>
      <c r="N4834" t="s">
        <v>95</v>
      </c>
      <c r="O4834" t="s">
        <v>104</v>
      </c>
    </row>
    <row r="4835" spans="1:15" x14ac:dyDescent="0.25">
      <c r="A4835">
        <v>4736</v>
      </c>
      <c r="B4835" s="10">
        <v>46014</v>
      </c>
      <c r="C4835">
        <v>23</v>
      </c>
      <c r="D4835" t="s">
        <v>125</v>
      </c>
      <c r="E4835" t="s">
        <v>112</v>
      </c>
      <c r="F4835" t="s">
        <v>148</v>
      </c>
      <c r="G4835" t="s">
        <v>118</v>
      </c>
      <c r="H4835" t="s">
        <v>92</v>
      </c>
      <c r="I4835" t="s">
        <v>154</v>
      </c>
      <c r="J4835" t="s">
        <v>94</v>
      </c>
      <c r="K4835">
        <v>3</v>
      </c>
      <c r="L4835">
        <v>157200</v>
      </c>
      <c r="M4835">
        <v>471600</v>
      </c>
      <c r="N4835" t="s">
        <v>95</v>
      </c>
      <c r="O4835" t="s">
        <v>115</v>
      </c>
    </row>
    <row r="4836" spans="1:15" x14ac:dyDescent="0.25">
      <c r="A4836">
        <v>4169</v>
      </c>
      <c r="B4836" s="10">
        <v>45892</v>
      </c>
      <c r="C4836">
        <v>23</v>
      </c>
      <c r="D4836" t="s">
        <v>109</v>
      </c>
      <c r="E4836" t="s">
        <v>142</v>
      </c>
      <c r="F4836" t="s">
        <v>122</v>
      </c>
      <c r="G4836" t="s">
        <v>114</v>
      </c>
      <c r="H4836" t="s">
        <v>92</v>
      </c>
      <c r="I4836" t="s">
        <v>154</v>
      </c>
      <c r="J4836" t="s">
        <v>94</v>
      </c>
      <c r="K4836">
        <v>9</v>
      </c>
      <c r="L4836">
        <v>157400</v>
      </c>
      <c r="M4836">
        <v>1416600</v>
      </c>
      <c r="N4836" t="s">
        <v>95</v>
      </c>
      <c r="O4836" t="s">
        <v>104</v>
      </c>
    </row>
    <row r="4837" spans="1:15" x14ac:dyDescent="0.25">
      <c r="A4837">
        <v>2578</v>
      </c>
      <c r="B4837" s="10">
        <v>45817</v>
      </c>
      <c r="C4837">
        <v>9</v>
      </c>
      <c r="D4837" t="s">
        <v>153</v>
      </c>
      <c r="E4837" t="s">
        <v>121</v>
      </c>
      <c r="F4837" t="s">
        <v>22</v>
      </c>
      <c r="G4837" t="s">
        <v>91</v>
      </c>
      <c r="H4837" t="s">
        <v>92</v>
      </c>
      <c r="I4837" t="s">
        <v>154</v>
      </c>
      <c r="J4837" t="s">
        <v>94</v>
      </c>
      <c r="K4837">
        <v>3</v>
      </c>
      <c r="L4837">
        <v>157500</v>
      </c>
      <c r="M4837">
        <v>472500</v>
      </c>
      <c r="N4837" t="s">
        <v>108</v>
      </c>
      <c r="O4837" t="s">
        <v>104</v>
      </c>
    </row>
    <row r="4838" spans="1:15" x14ac:dyDescent="0.25">
      <c r="A4838">
        <v>1156</v>
      </c>
      <c r="B4838" s="10">
        <v>45841</v>
      </c>
      <c r="C4838">
        <v>3</v>
      </c>
      <c r="D4838" t="s">
        <v>145</v>
      </c>
      <c r="E4838" t="s">
        <v>138</v>
      </c>
      <c r="F4838" t="s">
        <v>49</v>
      </c>
      <c r="G4838" t="s">
        <v>118</v>
      </c>
      <c r="H4838" t="s">
        <v>92</v>
      </c>
      <c r="I4838" t="s">
        <v>154</v>
      </c>
      <c r="J4838" t="s">
        <v>94</v>
      </c>
      <c r="K4838">
        <v>8</v>
      </c>
      <c r="L4838">
        <v>157600</v>
      </c>
      <c r="M4838">
        <v>1260800</v>
      </c>
      <c r="N4838" t="s">
        <v>95</v>
      </c>
      <c r="O4838" t="s">
        <v>96</v>
      </c>
    </row>
    <row r="4839" spans="1:15" x14ac:dyDescent="0.25">
      <c r="A4839">
        <v>2415</v>
      </c>
      <c r="B4839" s="10">
        <v>45900</v>
      </c>
      <c r="C4839">
        <v>31</v>
      </c>
      <c r="D4839" t="s">
        <v>109</v>
      </c>
      <c r="E4839" t="s">
        <v>150</v>
      </c>
      <c r="F4839" t="s">
        <v>151</v>
      </c>
      <c r="G4839" t="s">
        <v>111</v>
      </c>
      <c r="H4839" t="s">
        <v>92</v>
      </c>
      <c r="I4839" t="s">
        <v>154</v>
      </c>
      <c r="J4839" t="s">
        <v>94</v>
      </c>
      <c r="K4839">
        <v>4</v>
      </c>
      <c r="L4839">
        <v>157600</v>
      </c>
      <c r="M4839">
        <v>630400</v>
      </c>
      <c r="N4839" t="s">
        <v>108</v>
      </c>
      <c r="O4839" t="s">
        <v>96</v>
      </c>
    </row>
    <row r="4840" spans="1:15" x14ac:dyDescent="0.25">
      <c r="A4840">
        <v>2549</v>
      </c>
      <c r="B4840" s="10">
        <v>45976</v>
      </c>
      <c r="C4840">
        <v>15</v>
      </c>
      <c r="D4840" t="s">
        <v>90</v>
      </c>
      <c r="E4840" t="s">
        <v>106</v>
      </c>
      <c r="F4840" t="s">
        <v>44</v>
      </c>
      <c r="G4840" t="s">
        <v>111</v>
      </c>
      <c r="H4840" t="s">
        <v>92</v>
      </c>
      <c r="I4840" t="s">
        <v>154</v>
      </c>
      <c r="J4840" t="s">
        <v>94</v>
      </c>
      <c r="K4840">
        <v>10</v>
      </c>
      <c r="L4840">
        <v>157700</v>
      </c>
      <c r="M4840">
        <v>1577000</v>
      </c>
      <c r="N4840" t="s">
        <v>95</v>
      </c>
      <c r="O4840" t="s">
        <v>104</v>
      </c>
    </row>
    <row r="4841" spans="1:15" x14ac:dyDescent="0.25">
      <c r="A4841">
        <v>429</v>
      </c>
      <c r="B4841" s="10">
        <v>45931</v>
      </c>
      <c r="C4841">
        <v>1</v>
      </c>
      <c r="D4841" t="s">
        <v>136</v>
      </c>
      <c r="E4841" t="s">
        <v>121</v>
      </c>
      <c r="F4841" t="s">
        <v>117</v>
      </c>
      <c r="G4841" t="s">
        <v>118</v>
      </c>
      <c r="H4841" t="s">
        <v>92</v>
      </c>
      <c r="I4841" t="s">
        <v>154</v>
      </c>
      <c r="J4841" t="s">
        <v>94</v>
      </c>
      <c r="K4841">
        <v>10</v>
      </c>
      <c r="L4841">
        <v>157900</v>
      </c>
      <c r="M4841">
        <v>1579000</v>
      </c>
      <c r="N4841" t="s">
        <v>108</v>
      </c>
      <c r="O4841" t="s">
        <v>115</v>
      </c>
    </row>
    <row r="4842" spans="1:15" x14ac:dyDescent="0.25">
      <c r="A4842">
        <v>2351</v>
      </c>
      <c r="B4842" s="10">
        <v>45734</v>
      </c>
      <c r="C4842">
        <v>18</v>
      </c>
      <c r="D4842" t="s">
        <v>140</v>
      </c>
      <c r="E4842" t="s">
        <v>25</v>
      </c>
      <c r="F4842" t="s">
        <v>117</v>
      </c>
      <c r="G4842" t="s">
        <v>118</v>
      </c>
      <c r="H4842" t="s">
        <v>92</v>
      </c>
      <c r="I4842" t="s">
        <v>154</v>
      </c>
      <c r="J4842" t="s">
        <v>94</v>
      </c>
      <c r="K4842">
        <v>6</v>
      </c>
      <c r="L4842">
        <v>157900</v>
      </c>
      <c r="M4842">
        <v>947400</v>
      </c>
      <c r="N4842" t="s">
        <v>108</v>
      </c>
      <c r="O4842" t="s">
        <v>96</v>
      </c>
    </row>
    <row r="4843" spans="1:15" x14ac:dyDescent="0.25">
      <c r="A4843">
        <v>675</v>
      </c>
      <c r="B4843" s="10">
        <v>45994</v>
      </c>
      <c r="C4843">
        <v>3</v>
      </c>
      <c r="D4843" t="s">
        <v>125</v>
      </c>
      <c r="E4843" t="s">
        <v>106</v>
      </c>
      <c r="F4843" t="s">
        <v>148</v>
      </c>
      <c r="G4843" t="s">
        <v>118</v>
      </c>
      <c r="H4843" t="s">
        <v>92</v>
      </c>
      <c r="I4843" t="s">
        <v>158</v>
      </c>
      <c r="J4843" t="s">
        <v>103</v>
      </c>
      <c r="K4843">
        <v>11</v>
      </c>
      <c r="L4843">
        <v>158000</v>
      </c>
      <c r="M4843">
        <v>1738000</v>
      </c>
      <c r="N4843" t="s">
        <v>108</v>
      </c>
      <c r="O4843" t="s">
        <v>96</v>
      </c>
    </row>
    <row r="4844" spans="1:15" x14ac:dyDescent="0.25">
      <c r="A4844">
        <v>3959</v>
      </c>
      <c r="B4844" s="10">
        <v>45913</v>
      </c>
      <c r="C4844">
        <v>13</v>
      </c>
      <c r="D4844" t="s">
        <v>147</v>
      </c>
      <c r="E4844" t="s">
        <v>110</v>
      </c>
      <c r="F4844" t="s">
        <v>36</v>
      </c>
      <c r="G4844" t="s">
        <v>100</v>
      </c>
      <c r="H4844" t="s">
        <v>92</v>
      </c>
      <c r="I4844" t="s">
        <v>154</v>
      </c>
      <c r="J4844" t="s">
        <v>94</v>
      </c>
      <c r="K4844">
        <v>5</v>
      </c>
      <c r="L4844">
        <v>158400</v>
      </c>
      <c r="M4844">
        <v>792000</v>
      </c>
      <c r="N4844" t="s">
        <v>108</v>
      </c>
      <c r="O4844" t="s">
        <v>115</v>
      </c>
    </row>
    <row r="4845" spans="1:15" x14ac:dyDescent="0.25">
      <c r="A4845">
        <v>580</v>
      </c>
      <c r="B4845" s="10">
        <v>45738</v>
      </c>
      <c r="C4845">
        <v>22</v>
      </c>
      <c r="D4845" t="s">
        <v>140</v>
      </c>
      <c r="E4845" t="s">
        <v>150</v>
      </c>
      <c r="F4845" t="s">
        <v>148</v>
      </c>
      <c r="G4845" t="s">
        <v>118</v>
      </c>
      <c r="H4845" t="s">
        <v>92</v>
      </c>
      <c r="I4845" t="s">
        <v>154</v>
      </c>
      <c r="J4845" t="s">
        <v>94</v>
      </c>
      <c r="K4845">
        <v>7</v>
      </c>
      <c r="L4845">
        <v>158600</v>
      </c>
      <c r="M4845">
        <v>1110200</v>
      </c>
      <c r="N4845" t="s">
        <v>108</v>
      </c>
      <c r="O4845" t="s">
        <v>96</v>
      </c>
    </row>
    <row r="4846" spans="1:15" x14ac:dyDescent="0.25">
      <c r="A4846">
        <v>3382</v>
      </c>
      <c r="B4846" s="10">
        <v>45951</v>
      </c>
      <c r="C4846">
        <v>21</v>
      </c>
      <c r="D4846" t="s">
        <v>136</v>
      </c>
      <c r="E4846" t="s">
        <v>116</v>
      </c>
      <c r="F4846" t="s">
        <v>107</v>
      </c>
      <c r="G4846" t="s">
        <v>100</v>
      </c>
      <c r="H4846" t="s">
        <v>92</v>
      </c>
      <c r="I4846" t="s">
        <v>154</v>
      </c>
      <c r="J4846" t="s">
        <v>94</v>
      </c>
      <c r="K4846">
        <v>3</v>
      </c>
      <c r="L4846">
        <v>158900</v>
      </c>
      <c r="M4846">
        <v>476700</v>
      </c>
      <c r="N4846" t="s">
        <v>108</v>
      </c>
      <c r="O4846" t="s">
        <v>96</v>
      </c>
    </row>
    <row r="4847" spans="1:15" x14ac:dyDescent="0.25">
      <c r="A4847">
        <v>3235</v>
      </c>
      <c r="B4847" s="10">
        <v>45768</v>
      </c>
      <c r="C4847">
        <v>21</v>
      </c>
      <c r="D4847" t="s">
        <v>105</v>
      </c>
      <c r="E4847" t="s">
        <v>138</v>
      </c>
      <c r="F4847" t="s">
        <v>36</v>
      </c>
      <c r="G4847" t="s">
        <v>100</v>
      </c>
      <c r="H4847" t="s">
        <v>92</v>
      </c>
      <c r="I4847" t="s">
        <v>158</v>
      </c>
      <c r="J4847" t="s">
        <v>103</v>
      </c>
      <c r="K4847">
        <v>29</v>
      </c>
      <c r="L4847">
        <v>159100</v>
      </c>
      <c r="M4847">
        <v>4613900</v>
      </c>
      <c r="N4847" t="s">
        <v>95</v>
      </c>
      <c r="O4847" t="s">
        <v>104</v>
      </c>
    </row>
    <row r="4848" spans="1:15" x14ac:dyDescent="0.25">
      <c r="A4848">
        <v>2464</v>
      </c>
      <c r="B4848" s="10">
        <v>45941</v>
      </c>
      <c r="C4848">
        <v>11</v>
      </c>
      <c r="D4848" t="s">
        <v>136</v>
      </c>
      <c r="E4848" t="s">
        <v>150</v>
      </c>
      <c r="F4848" t="s">
        <v>141</v>
      </c>
      <c r="G4848" t="s">
        <v>100</v>
      </c>
      <c r="H4848" t="s">
        <v>92</v>
      </c>
      <c r="I4848" t="s">
        <v>158</v>
      </c>
      <c r="J4848" t="s">
        <v>103</v>
      </c>
      <c r="K4848">
        <v>21</v>
      </c>
      <c r="L4848">
        <v>159500</v>
      </c>
      <c r="M4848">
        <v>3349500</v>
      </c>
      <c r="N4848" t="s">
        <v>95</v>
      </c>
      <c r="O4848" t="s">
        <v>115</v>
      </c>
    </row>
    <row r="4849" spans="1:15" x14ac:dyDescent="0.25">
      <c r="A4849">
        <v>36</v>
      </c>
      <c r="B4849" s="10">
        <v>45693</v>
      </c>
      <c r="C4849">
        <v>5</v>
      </c>
      <c r="D4849" t="s">
        <v>97</v>
      </c>
      <c r="E4849" t="s">
        <v>110</v>
      </c>
      <c r="F4849" t="s">
        <v>28</v>
      </c>
      <c r="G4849" t="s">
        <v>126</v>
      </c>
      <c r="H4849" t="s">
        <v>92</v>
      </c>
      <c r="I4849" t="s">
        <v>158</v>
      </c>
      <c r="J4849" t="s">
        <v>103</v>
      </c>
      <c r="K4849">
        <v>12</v>
      </c>
      <c r="L4849">
        <v>159600</v>
      </c>
      <c r="M4849">
        <v>1915200</v>
      </c>
      <c r="N4849" t="s">
        <v>95</v>
      </c>
      <c r="O4849" t="s">
        <v>96</v>
      </c>
    </row>
    <row r="4850" spans="1:15" x14ac:dyDescent="0.25">
      <c r="A4850">
        <v>3361</v>
      </c>
      <c r="B4850" s="10">
        <v>45983</v>
      </c>
      <c r="C4850">
        <v>22</v>
      </c>
      <c r="D4850" t="s">
        <v>90</v>
      </c>
      <c r="E4850" t="s">
        <v>98</v>
      </c>
      <c r="F4850" t="s">
        <v>151</v>
      </c>
      <c r="G4850" t="s">
        <v>111</v>
      </c>
      <c r="H4850" t="s">
        <v>92</v>
      </c>
      <c r="I4850" t="s">
        <v>158</v>
      </c>
      <c r="J4850" t="s">
        <v>103</v>
      </c>
      <c r="K4850">
        <v>47</v>
      </c>
      <c r="L4850">
        <v>160200</v>
      </c>
      <c r="M4850">
        <v>7529400</v>
      </c>
      <c r="N4850" t="s">
        <v>108</v>
      </c>
      <c r="O4850" t="s">
        <v>104</v>
      </c>
    </row>
    <row r="4851" spans="1:15" x14ac:dyDescent="0.25">
      <c r="A4851">
        <v>1511</v>
      </c>
      <c r="B4851" s="10">
        <v>45940</v>
      </c>
      <c r="C4851">
        <v>10</v>
      </c>
      <c r="D4851" t="s">
        <v>136</v>
      </c>
      <c r="E4851" t="s">
        <v>116</v>
      </c>
      <c r="F4851" t="s">
        <v>141</v>
      </c>
      <c r="G4851" t="s">
        <v>100</v>
      </c>
      <c r="H4851" t="s">
        <v>92</v>
      </c>
      <c r="I4851" t="s">
        <v>158</v>
      </c>
      <c r="J4851" t="s">
        <v>103</v>
      </c>
      <c r="K4851">
        <v>25</v>
      </c>
      <c r="L4851">
        <v>160300</v>
      </c>
      <c r="M4851">
        <v>4007500</v>
      </c>
      <c r="N4851" t="s">
        <v>95</v>
      </c>
      <c r="O4851" t="s">
        <v>104</v>
      </c>
    </row>
    <row r="4852" spans="1:15" x14ac:dyDescent="0.25">
      <c r="A4852">
        <v>2413</v>
      </c>
      <c r="B4852" s="10">
        <v>45840</v>
      </c>
      <c r="C4852">
        <v>2</v>
      </c>
      <c r="D4852" t="s">
        <v>145</v>
      </c>
      <c r="E4852" t="s">
        <v>137</v>
      </c>
      <c r="F4852" t="s">
        <v>107</v>
      </c>
      <c r="G4852" t="s">
        <v>100</v>
      </c>
      <c r="H4852" t="s">
        <v>92</v>
      </c>
      <c r="I4852" t="s">
        <v>158</v>
      </c>
      <c r="J4852" t="s">
        <v>103</v>
      </c>
      <c r="K4852">
        <v>37</v>
      </c>
      <c r="L4852">
        <v>160500</v>
      </c>
      <c r="M4852">
        <v>5938500</v>
      </c>
      <c r="N4852" t="s">
        <v>108</v>
      </c>
      <c r="O4852" t="s">
        <v>115</v>
      </c>
    </row>
    <row r="4853" spans="1:15" x14ac:dyDescent="0.25">
      <c r="A4853">
        <v>458</v>
      </c>
      <c r="B4853" s="10">
        <v>45880</v>
      </c>
      <c r="C4853">
        <v>11</v>
      </c>
      <c r="D4853" t="s">
        <v>109</v>
      </c>
      <c r="E4853" t="s">
        <v>106</v>
      </c>
      <c r="F4853" t="s">
        <v>141</v>
      </c>
      <c r="G4853" t="s">
        <v>100</v>
      </c>
      <c r="H4853" t="s">
        <v>92</v>
      </c>
      <c r="I4853" t="s">
        <v>158</v>
      </c>
      <c r="J4853" t="s">
        <v>103</v>
      </c>
      <c r="K4853">
        <v>25</v>
      </c>
      <c r="L4853">
        <v>161200</v>
      </c>
      <c r="M4853">
        <v>4030000</v>
      </c>
      <c r="N4853" t="s">
        <v>95</v>
      </c>
      <c r="O4853" t="s">
        <v>104</v>
      </c>
    </row>
    <row r="4854" spans="1:15" x14ac:dyDescent="0.25">
      <c r="A4854">
        <v>1334</v>
      </c>
      <c r="B4854" s="10">
        <v>45714</v>
      </c>
      <c r="C4854">
        <v>26</v>
      </c>
      <c r="D4854" t="s">
        <v>97</v>
      </c>
      <c r="E4854" t="s">
        <v>138</v>
      </c>
      <c r="F4854" t="s">
        <v>22</v>
      </c>
      <c r="G4854" t="s">
        <v>91</v>
      </c>
      <c r="H4854" t="s">
        <v>92</v>
      </c>
      <c r="I4854" t="s">
        <v>154</v>
      </c>
      <c r="J4854" t="s">
        <v>94</v>
      </c>
      <c r="K4854">
        <v>9</v>
      </c>
      <c r="L4854">
        <v>161200</v>
      </c>
      <c r="M4854">
        <v>1450800</v>
      </c>
      <c r="N4854" t="s">
        <v>95</v>
      </c>
      <c r="O4854" t="s">
        <v>104</v>
      </c>
    </row>
    <row r="4855" spans="1:15" x14ac:dyDescent="0.25">
      <c r="A4855">
        <v>3932</v>
      </c>
      <c r="B4855" s="10">
        <v>45917</v>
      </c>
      <c r="C4855">
        <v>17</v>
      </c>
      <c r="D4855" t="s">
        <v>147</v>
      </c>
      <c r="E4855" t="s">
        <v>150</v>
      </c>
      <c r="F4855" t="s">
        <v>44</v>
      </c>
      <c r="G4855" t="s">
        <v>111</v>
      </c>
      <c r="H4855" t="s">
        <v>92</v>
      </c>
      <c r="I4855" t="s">
        <v>154</v>
      </c>
      <c r="J4855" t="s">
        <v>94</v>
      </c>
      <c r="K4855">
        <v>10</v>
      </c>
      <c r="L4855">
        <v>161500</v>
      </c>
      <c r="M4855">
        <v>1615000</v>
      </c>
      <c r="N4855" t="s">
        <v>95</v>
      </c>
      <c r="O4855" t="s">
        <v>96</v>
      </c>
    </row>
    <row r="4856" spans="1:15" x14ac:dyDescent="0.25">
      <c r="A4856">
        <v>4701</v>
      </c>
      <c r="B4856" s="10">
        <v>45729</v>
      </c>
      <c r="C4856">
        <v>13</v>
      </c>
      <c r="D4856" t="s">
        <v>140</v>
      </c>
      <c r="E4856" t="s">
        <v>128</v>
      </c>
      <c r="F4856" t="s">
        <v>22</v>
      </c>
      <c r="G4856" t="s">
        <v>91</v>
      </c>
      <c r="H4856" t="s">
        <v>92</v>
      </c>
      <c r="I4856" t="s">
        <v>158</v>
      </c>
      <c r="J4856" t="s">
        <v>103</v>
      </c>
      <c r="K4856">
        <v>45</v>
      </c>
      <c r="L4856">
        <v>161600</v>
      </c>
      <c r="M4856">
        <v>7272000</v>
      </c>
      <c r="N4856" t="s">
        <v>108</v>
      </c>
      <c r="O4856" t="s">
        <v>96</v>
      </c>
    </row>
    <row r="4857" spans="1:15" x14ac:dyDescent="0.25">
      <c r="A4857">
        <v>2955</v>
      </c>
      <c r="B4857" s="10">
        <v>45964</v>
      </c>
      <c r="C4857">
        <v>3</v>
      </c>
      <c r="D4857" t="s">
        <v>90</v>
      </c>
      <c r="E4857" t="s">
        <v>112</v>
      </c>
      <c r="F4857" t="s">
        <v>22</v>
      </c>
      <c r="G4857" t="s">
        <v>91</v>
      </c>
      <c r="H4857" t="s">
        <v>92</v>
      </c>
      <c r="I4857" t="s">
        <v>158</v>
      </c>
      <c r="J4857" t="s">
        <v>103</v>
      </c>
      <c r="K4857">
        <v>12</v>
      </c>
      <c r="L4857">
        <v>161900</v>
      </c>
      <c r="M4857">
        <v>1942800</v>
      </c>
      <c r="N4857" t="s">
        <v>108</v>
      </c>
      <c r="O4857" t="s">
        <v>104</v>
      </c>
    </row>
    <row r="4858" spans="1:15" x14ac:dyDescent="0.25">
      <c r="A4858">
        <v>1674</v>
      </c>
      <c r="B4858" s="10">
        <v>45667</v>
      </c>
      <c r="C4858">
        <v>10</v>
      </c>
      <c r="D4858" t="s">
        <v>130</v>
      </c>
      <c r="E4858" t="s">
        <v>112</v>
      </c>
      <c r="F4858" t="s">
        <v>134</v>
      </c>
      <c r="G4858" t="s">
        <v>100</v>
      </c>
      <c r="H4858" t="s">
        <v>92</v>
      </c>
      <c r="I4858" t="s">
        <v>158</v>
      </c>
      <c r="J4858" t="s">
        <v>103</v>
      </c>
      <c r="K4858">
        <v>22</v>
      </c>
      <c r="L4858">
        <v>162200</v>
      </c>
      <c r="M4858">
        <v>3568400</v>
      </c>
      <c r="N4858" t="s">
        <v>108</v>
      </c>
      <c r="O4858" t="s">
        <v>96</v>
      </c>
    </row>
    <row r="4859" spans="1:15" x14ac:dyDescent="0.25">
      <c r="A4859">
        <v>122</v>
      </c>
      <c r="B4859" s="10">
        <v>45853</v>
      </c>
      <c r="C4859">
        <v>15</v>
      </c>
      <c r="D4859" t="s">
        <v>145</v>
      </c>
      <c r="E4859" t="s">
        <v>142</v>
      </c>
      <c r="F4859" t="s">
        <v>122</v>
      </c>
      <c r="G4859" t="s">
        <v>114</v>
      </c>
      <c r="H4859" t="s">
        <v>92</v>
      </c>
      <c r="I4859" t="s">
        <v>158</v>
      </c>
      <c r="J4859" t="s">
        <v>103</v>
      </c>
      <c r="K4859">
        <v>7</v>
      </c>
      <c r="L4859">
        <v>162300</v>
      </c>
      <c r="M4859">
        <v>1136100</v>
      </c>
      <c r="N4859" t="s">
        <v>95</v>
      </c>
      <c r="O4859" t="s">
        <v>96</v>
      </c>
    </row>
    <row r="4860" spans="1:15" x14ac:dyDescent="0.25">
      <c r="A4860">
        <v>1998</v>
      </c>
      <c r="B4860" s="10">
        <v>45785</v>
      </c>
      <c r="C4860">
        <v>8</v>
      </c>
      <c r="D4860" t="s">
        <v>120</v>
      </c>
      <c r="E4860" t="s">
        <v>25</v>
      </c>
      <c r="F4860" t="s">
        <v>134</v>
      </c>
      <c r="G4860" t="s">
        <v>100</v>
      </c>
      <c r="H4860" t="s">
        <v>92</v>
      </c>
      <c r="I4860" t="s">
        <v>158</v>
      </c>
      <c r="J4860" t="s">
        <v>103</v>
      </c>
      <c r="K4860">
        <v>7</v>
      </c>
      <c r="L4860">
        <v>162500</v>
      </c>
      <c r="M4860">
        <v>1137500</v>
      </c>
      <c r="N4860" t="s">
        <v>108</v>
      </c>
      <c r="O4860" t="s">
        <v>104</v>
      </c>
    </row>
    <row r="4861" spans="1:15" x14ac:dyDescent="0.25">
      <c r="A4861">
        <v>4483</v>
      </c>
      <c r="B4861" s="10">
        <v>45862</v>
      </c>
      <c r="C4861">
        <v>24</v>
      </c>
      <c r="D4861" t="s">
        <v>145</v>
      </c>
      <c r="E4861" t="s">
        <v>31</v>
      </c>
      <c r="F4861" t="s">
        <v>28</v>
      </c>
      <c r="G4861" t="s">
        <v>126</v>
      </c>
      <c r="H4861" t="s">
        <v>92</v>
      </c>
      <c r="I4861" t="s">
        <v>158</v>
      </c>
      <c r="J4861" t="s">
        <v>103</v>
      </c>
      <c r="K4861">
        <v>13</v>
      </c>
      <c r="L4861">
        <v>162800</v>
      </c>
      <c r="M4861">
        <v>2116400</v>
      </c>
      <c r="N4861" t="s">
        <v>95</v>
      </c>
      <c r="O4861" t="s">
        <v>96</v>
      </c>
    </row>
    <row r="4862" spans="1:15" x14ac:dyDescent="0.25">
      <c r="A4862">
        <v>2848</v>
      </c>
      <c r="B4862" s="10">
        <v>46014</v>
      </c>
      <c r="C4862">
        <v>23</v>
      </c>
      <c r="D4862" t="s">
        <v>125</v>
      </c>
      <c r="E4862" t="s">
        <v>133</v>
      </c>
      <c r="F4862" t="s">
        <v>113</v>
      </c>
      <c r="G4862" t="s">
        <v>114</v>
      </c>
      <c r="H4862" t="s">
        <v>92</v>
      </c>
      <c r="I4862" t="s">
        <v>158</v>
      </c>
      <c r="J4862" t="s">
        <v>103</v>
      </c>
      <c r="K4862">
        <v>39</v>
      </c>
      <c r="L4862">
        <v>162900</v>
      </c>
      <c r="M4862">
        <v>6353100</v>
      </c>
      <c r="N4862" t="s">
        <v>108</v>
      </c>
      <c r="O4862" t="s">
        <v>115</v>
      </c>
    </row>
    <row r="4863" spans="1:15" x14ac:dyDescent="0.25">
      <c r="A4863">
        <v>3579</v>
      </c>
      <c r="B4863" s="10">
        <v>45796</v>
      </c>
      <c r="C4863">
        <v>19</v>
      </c>
      <c r="D4863" t="s">
        <v>120</v>
      </c>
      <c r="E4863" t="s">
        <v>110</v>
      </c>
      <c r="F4863" t="s">
        <v>99</v>
      </c>
      <c r="G4863" t="s">
        <v>100</v>
      </c>
      <c r="H4863" t="s">
        <v>92</v>
      </c>
      <c r="I4863" t="s">
        <v>158</v>
      </c>
      <c r="J4863" t="s">
        <v>103</v>
      </c>
      <c r="K4863">
        <v>40</v>
      </c>
      <c r="L4863">
        <v>163100</v>
      </c>
      <c r="M4863">
        <v>6524000</v>
      </c>
      <c r="N4863" t="s">
        <v>108</v>
      </c>
      <c r="O4863" t="s">
        <v>115</v>
      </c>
    </row>
    <row r="4864" spans="1:15" x14ac:dyDescent="0.25">
      <c r="A4864">
        <v>376</v>
      </c>
      <c r="B4864" s="10">
        <v>45658</v>
      </c>
      <c r="C4864">
        <v>1</v>
      </c>
      <c r="D4864" t="s">
        <v>130</v>
      </c>
      <c r="E4864" t="s">
        <v>142</v>
      </c>
      <c r="F4864" t="s">
        <v>49</v>
      </c>
      <c r="G4864" t="s">
        <v>118</v>
      </c>
      <c r="H4864" t="s">
        <v>92</v>
      </c>
      <c r="I4864" t="s">
        <v>158</v>
      </c>
      <c r="J4864" t="s">
        <v>103</v>
      </c>
      <c r="K4864">
        <v>15</v>
      </c>
      <c r="L4864">
        <v>163500</v>
      </c>
      <c r="M4864">
        <v>2452500</v>
      </c>
      <c r="N4864" t="s">
        <v>108</v>
      </c>
      <c r="O4864" t="s">
        <v>104</v>
      </c>
    </row>
    <row r="4865" spans="1:15" x14ac:dyDescent="0.25">
      <c r="A4865">
        <v>4217</v>
      </c>
      <c r="B4865" s="10">
        <v>45996</v>
      </c>
      <c r="C4865">
        <v>5</v>
      </c>
      <c r="D4865" t="s">
        <v>125</v>
      </c>
      <c r="E4865" t="s">
        <v>137</v>
      </c>
      <c r="F4865" t="s">
        <v>141</v>
      </c>
      <c r="G4865" t="s">
        <v>100</v>
      </c>
      <c r="H4865" t="s">
        <v>92</v>
      </c>
      <c r="I4865" t="s">
        <v>154</v>
      </c>
      <c r="J4865" t="s">
        <v>94</v>
      </c>
      <c r="K4865">
        <v>3</v>
      </c>
      <c r="L4865">
        <v>163900</v>
      </c>
      <c r="M4865">
        <v>491700</v>
      </c>
      <c r="N4865" t="s">
        <v>108</v>
      </c>
      <c r="O4865" t="s">
        <v>96</v>
      </c>
    </row>
    <row r="4866" spans="1:15" x14ac:dyDescent="0.25">
      <c r="A4866">
        <v>1625</v>
      </c>
      <c r="B4866" s="10">
        <v>45864</v>
      </c>
      <c r="C4866">
        <v>26</v>
      </c>
      <c r="D4866" t="s">
        <v>145</v>
      </c>
      <c r="E4866" t="s">
        <v>142</v>
      </c>
      <c r="F4866" t="s">
        <v>141</v>
      </c>
      <c r="G4866" t="s">
        <v>100</v>
      </c>
      <c r="H4866" t="s">
        <v>92</v>
      </c>
      <c r="I4866" t="s">
        <v>154</v>
      </c>
      <c r="J4866" t="s">
        <v>94</v>
      </c>
      <c r="K4866">
        <v>4</v>
      </c>
      <c r="L4866">
        <v>164000</v>
      </c>
      <c r="M4866">
        <v>656000</v>
      </c>
      <c r="N4866" t="s">
        <v>95</v>
      </c>
      <c r="O4866" t="s">
        <v>96</v>
      </c>
    </row>
    <row r="4867" spans="1:15" x14ac:dyDescent="0.25">
      <c r="A4867">
        <v>2837</v>
      </c>
      <c r="B4867" s="10">
        <v>45709</v>
      </c>
      <c r="C4867">
        <v>21</v>
      </c>
      <c r="D4867" t="s">
        <v>97</v>
      </c>
      <c r="E4867" t="s">
        <v>121</v>
      </c>
      <c r="F4867" t="s">
        <v>107</v>
      </c>
      <c r="G4867" t="s">
        <v>100</v>
      </c>
      <c r="H4867" t="s">
        <v>92</v>
      </c>
      <c r="I4867" t="s">
        <v>154</v>
      </c>
      <c r="J4867" t="s">
        <v>94</v>
      </c>
      <c r="K4867">
        <v>5</v>
      </c>
      <c r="L4867">
        <v>164300</v>
      </c>
      <c r="M4867">
        <v>821500</v>
      </c>
      <c r="N4867" t="s">
        <v>108</v>
      </c>
      <c r="O4867" t="s">
        <v>104</v>
      </c>
    </row>
    <row r="4868" spans="1:15" x14ac:dyDescent="0.25">
      <c r="A4868">
        <v>3386</v>
      </c>
      <c r="B4868" s="10">
        <v>45672</v>
      </c>
      <c r="C4868">
        <v>15</v>
      </c>
      <c r="D4868" t="s">
        <v>130</v>
      </c>
      <c r="E4868" t="s">
        <v>31</v>
      </c>
      <c r="F4868" t="s">
        <v>134</v>
      </c>
      <c r="G4868" t="s">
        <v>100</v>
      </c>
      <c r="H4868" t="s">
        <v>92</v>
      </c>
      <c r="I4868" t="s">
        <v>158</v>
      </c>
      <c r="J4868" t="s">
        <v>103</v>
      </c>
      <c r="K4868">
        <v>42</v>
      </c>
      <c r="L4868">
        <v>165200</v>
      </c>
      <c r="M4868">
        <v>6938400</v>
      </c>
      <c r="N4868" t="s">
        <v>95</v>
      </c>
      <c r="O4868" t="s">
        <v>104</v>
      </c>
    </row>
    <row r="4869" spans="1:15" x14ac:dyDescent="0.25">
      <c r="A4869">
        <v>4530</v>
      </c>
      <c r="B4869" s="10">
        <v>45848</v>
      </c>
      <c r="C4869">
        <v>10</v>
      </c>
      <c r="D4869" t="s">
        <v>145</v>
      </c>
      <c r="E4869" t="s">
        <v>112</v>
      </c>
      <c r="F4869" t="s">
        <v>117</v>
      </c>
      <c r="G4869" t="s">
        <v>118</v>
      </c>
      <c r="H4869" t="s">
        <v>92</v>
      </c>
      <c r="I4869" t="s">
        <v>158</v>
      </c>
      <c r="J4869" t="s">
        <v>103</v>
      </c>
      <c r="K4869">
        <v>13</v>
      </c>
      <c r="L4869">
        <v>165300</v>
      </c>
      <c r="M4869">
        <v>2148900</v>
      </c>
      <c r="N4869" t="s">
        <v>95</v>
      </c>
      <c r="O4869" t="s">
        <v>96</v>
      </c>
    </row>
    <row r="4870" spans="1:15" x14ac:dyDescent="0.25">
      <c r="A4870">
        <v>3851</v>
      </c>
      <c r="B4870" s="10">
        <v>45935</v>
      </c>
      <c r="C4870">
        <v>5</v>
      </c>
      <c r="D4870" t="s">
        <v>136</v>
      </c>
      <c r="E4870" t="s">
        <v>138</v>
      </c>
      <c r="F4870" t="s">
        <v>107</v>
      </c>
      <c r="G4870" t="s">
        <v>100</v>
      </c>
      <c r="H4870" t="s">
        <v>92</v>
      </c>
      <c r="I4870" t="s">
        <v>158</v>
      </c>
      <c r="J4870" t="s">
        <v>103</v>
      </c>
      <c r="K4870">
        <v>47</v>
      </c>
      <c r="L4870">
        <v>165500</v>
      </c>
      <c r="M4870">
        <v>7778500</v>
      </c>
      <c r="N4870" t="s">
        <v>108</v>
      </c>
      <c r="O4870" t="s">
        <v>115</v>
      </c>
    </row>
    <row r="4871" spans="1:15" x14ac:dyDescent="0.25">
      <c r="A4871">
        <v>4870</v>
      </c>
      <c r="B4871" s="10">
        <v>45893</v>
      </c>
      <c r="C4871">
        <v>24</v>
      </c>
      <c r="D4871" t="s">
        <v>109</v>
      </c>
      <c r="E4871" t="s">
        <v>116</v>
      </c>
      <c r="F4871" t="s">
        <v>49</v>
      </c>
      <c r="G4871" t="s">
        <v>118</v>
      </c>
      <c r="H4871" t="s">
        <v>92</v>
      </c>
      <c r="I4871" t="s">
        <v>158</v>
      </c>
      <c r="J4871" t="s">
        <v>103</v>
      </c>
      <c r="K4871">
        <v>29</v>
      </c>
      <c r="L4871">
        <v>165600</v>
      </c>
      <c r="M4871">
        <v>4802400</v>
      </c>
      <c r="N4871" t="s">
        <v>108</v>
      </c>
      <c r="O4871" t="s">
        <v>115</v>
      </c>
    </row>
    <row r="4872" spans="1:15" x14ac:dyDescent="0.25">
      <c r="A4872">
        <v>1692</v>
      </c>
      <c r="B4872" s="10">
        <v>45780</v>
      </c>
      <c r="C4872">
        <v>3</v>
      </c>
      <c r="D4872" t="s">
        <v>120</v>
      </c>
      <c r="E4872" t="s">
        <v>138</v>
      </c>
      <c r="F4872" t="s">
        <v>151</v>
      </c>
      <c r="G4872" t="s">
        <v>111</v>
      </c>
      <c r="H4872" t="s">
        <v>92</v>
      </c>
      <c r="I4872" t="s">
        <v>158</v>
      </c>
      <c r="J4872" t="s">
        <v>103</v>
      </c>
      <c r="K4872">
        <v>13</v>
      </c>
      <c r="L4872">
        <v>166000</v>
      </c>
      <c r="M4872">
        <v>2158000</v>
      </c>
      <c r="N4872" t="s">
        <v>108</v>
      </c>
      <c r="O4872" t="s">
        <v>104</v>
      </c>
    </row>
    <row r="4873" spans="1:15" x14ac:dyDescent="0.25">
      <c r="A4873">
        <v>3199</v>
      </c>
      <c r="B4873" s="10">
        <v>45809</v>
      </c>
      <c r="C4873">
        <v>1</v>
      </c>
      <c r="D4873" t="s">
        <v>153</v>
      </c>
      <c r="E4873" t="s">
        <v>133</v>
      </c>
      <c r="F4873" t="s">
        <v>141</v>
      </c>
      <c r="G4873" t="s">
        <v>100</v>
      </c>
      <c r="H4873" t="s">
        <v>92</v>
      </c>
      <c r="I4873" t="s">
        <v>158</v>
      </c>
      <c r="J4873" t="s">
        <v>103</v>
      </c>
      <c r="K4873">
        <v>30</v>
      </c>
      <c r="L4873">
        <v>166800</v>
      </c>
      <c r="M4873">
        <v>5004000</v>
      </c>
      <c r="N4873" t="s">
        <v>95</v>
      </c>
      <c r="O4873" t="s">
        <v>104</v>
      </c>
    </row>
    <row r="4874" spans="1:15" x14ac:dyDescent="0.25">
      <c r="A4874">
        <v>3939</v>
      </c>
      <c r="B4874" s="10">
        <v>45674</v>
      </c>
      <c r="C4874">
        <v>17</v>
      </c>
      <c r="D4874" t="s">
        <v>130</v>
      </c>
      <c r="E4874" t="s">
        <v>142</v>
      </c>
      <c r="F4874" t="s">
        <v>107</v>
      </c>
      <c r="G4874" t="s">
        <v>100</v>
      </c>
      <c r="H4874" t="s">
        <v>92</v>
      </c>
      <c r="I4874" t="s">
        <v>158</v>
      </c>
      <c r="J4874" t="s">
        <v>103</v>
      </c>
      <c r="K4874">
        <v>17</v>
      </c>
      <c r="L4874">
        <v>167000</v>
      </c>
      <c r="M4874">
        <v>2839000</v>
      </c>
      <c r="N4874" t="s">
        <v>95</v>
      </c>
      <c r="O4874" t="s">
        <v>104</v>
      </c>
    </row>
    <row r="4875" spans="1:15" x14ac:dyDescent="0.25">
      <c r="A4875">
        <v>1944</v>
      </c>
      <c r="B4875" s="10">
        <v>45686</v>
      </c>
      <c r="C4875">
        <v>29</v>
      </c>
      <c r="D4875" t="s">
        <v>130</v>
      </c>
      <c r="E4875" t="s">
        <v>161</v>
      </c>
      <c r="F4875" t="s">
        <v>99</v>
      </c>
      <c r="G4875" t="s">
        <v>100</v>
      </c>
      <c r="H4875" t="s">
        <v>92</v>
      </c>
      <c r="I4875" t="s">
        <v>158</v>
      </c>
      <c r="J4875" t="s">
        <v>103</v>
      </c>
      <c r="K4875">
        <v>9</v>
      </c>
      <c r="L4875">
        <v>167100</v>
      </c>
      <c r="M4875">
        <v>1503900</v>
      </c>
      <c r="N4875" t="s">
        <v>95</v>
      </c>
      <c r="O4875" t="s">
        <v>104</v>
      </c>
    </row>
    <row r="4876" spans="1:15" x14ac:dyDescent="0.25">
      <c r="A4876">
        <v>2004</v>
      </c>
      <c r="B4876" s="10">
        <v>45702</v>
      </c>
      <c r="C4876">
        <v>14</v>
      </c>
      <c r="D4876" t="s">
        <v>97</v>
      </c>
      <c r="E4876" t="s">
        <v>110</v>
      </c>
      <c r="F4876" t="s">
        <v>36</v>
      </c>
      <c r="G4876" t="s">
        <v>100</v>
      </c>
      <c r="H4876" t="s">
        <v>92</v>
      </c>
      <c r="I4876" t="s">
        <v>158</v>
      </c>
      <c r="J4876" t="s">
        <v>103</v>
      </c>
      <c r="K4876">
        <v>47</v>
      </c>
      <c r="L4876">
        <v>167400</v>
      </c>
      <c r="M4876">
        <v>7867800</v>
      </c>
      <c r="N4876" t="s">
        <v>108</v>
      </c>
      <c r="O4876" t="s">
        <v>96</v>
      </c>
    </row>
    <row r="4877" spans="1:15" x14ac:dyDescent="0.25">
      <c r="A4877">
        <v>1089</v>
      </c>
      <c r="B4877" s="10">
        <v>45950</v>
      </c>
      <c r="C4877">
        <v>20</v>
      </c>
      <c r="D4877" t="s">
        <v>136</v>
      </c>
      <c r="E4877" t="s">
        <v>112</v>
      </c>
      <c r="F4877" t="s">
        <v>22</v>
      </c>
      <c r="G4877" t="s">
        <v>91</v>
      </c>
      <c r="H4877" t="s">
        <v>92</v>
      </c>
      <c r="I4877" t="s">
        <v>158</v>
      </c>
      <c r="J4877" t="s">
        <v>103</v>
      </c>
      <c r="K4877">
        <v>9</v>
      </c>
      <c r="L4877">
        <v>167800</v>
      </c>
      <c r="M4877">
        <v>1510200</v>
      </c>
      <c r="N4877" t="s">
        <v>95</v>
      </c>
      <c r="O4877" t="s">
        <v>104</v>
      </c>
    </row>
    <row r="4878" spans="1:15" x14ac:dyDescent="0.25">
      <c r="A4878">
        <v>2470</v>
      </c>
      <c r="B4878" s="10">
        <v>45998</v>
      </c>
      <c r="C4878">
        <v>7</v>
      </c>
      <c r="D4878" t="s">
        <v>125</v>
      </c>
      <c r="E4878" t="s">
        <v>116</v>
      </c>
      <c r="F4878" t="s">
        <v>122</v>
      </c>
      <c r="G4878" t="s">
        <v>114</v>
      </c>
      <c r="H4878" t="s">
        <v>92</v>
      </c>
      <c r="I4878" t="s">
        <v>158</v>
      </c>
      <c r="J4878" t="s">
        <v>103</v>
      </c>
      <c r="K4878">
        <v>15</v>
      </c>
      <c r="L4878">
        <v>168200</v>
      </c>
      <c r="M4878">
        <v>2523000</v>
      </c>
      <c r="N4878" t="s">
        <v>95</v>
      </c>
      <c r="O4878" t="s">
        <v>104</v>
      </c>
    </row>
    <row r="4879" spans="1:15" x14ac:dyDescent="0.25">
      <c r="A4879">
        <v>4156</v>
      </c>
      <c r="B4879" s="10">
        <v>45832</v>
      </c>
      <c r="C4879">
        <v>24</v>
      </c>
      <c r="D4879" t="s">
        <v>153</v>
      </c>
      <c r="E4879" t="s">
        <v>161</v>
      </c>
      <c r="F4879" t="s">
        <v>141</v>
      </c>
      <c r="G4879" t="s">
        <v>100</v>
      </c>
      <c r="H4879" t="s">
        <v>92</v>
      </c>
      <c r="I4879" t="s">
        <v>158</v>
      </c>
      <c r="J4879" t="s">
        <v>103</v>
      </c>
      <c r="K4879">
        <v>7</v>
      </c>
      <c r="L4879">
        <v>168200</v>
      </c>
      <c r="M4879">
        <v>1177400</v>
      </c>
      <c r="N4879" t="s">
        <v>95</v>
      </c>
      <c r="O4879" t="s">
        <v>104</v>
      </c>
    </row>
    <row r="4880" spans="1:15" x14ac:dyDescent="0.25">
      <c r="A4880">
        <v>3356</v>
      </c>
      <c r="B4880" s="10">
        <v>45709</v>
      </c>
      <c r="C4880">
        <v>21</v>
      </c>
      <c r="D4880" t="s">
        <v>97</v>
      </c>
      <c r="E4880" t="s">
        <v>106</v>
      </c>
      <c r="F4880" t="s">
        <v>49</v>
      </c>
      <c r="G4880" t="s">
        <v>118</v>
      </c>
      <c r="H4880" t="s">
        <v>92</v>
      </c>
      <c r="I4880" t="s">
        <v>158</v>
      </c>
      <c r="J4880" t="s">
        <v>103</v>
      </c>
      <c r="K4880">
        <v>16</v>
      </c>
      <c r="L4880">
        <v>168600</v>
      </c>
      <c r="M4880">
        <v>2697600</v>
      </c>
      <c r="N4880" t="s">
        <v>108</v>
      </c>
      <c r="O4880" t="s">
        <v>104</v>
      </c>
    </row>
    <row r="4881" spans="1:15" x14ac:dyDescent="0.25">
      <c r="A4881">
        <v>3149</v>
      </c>
      <c r="B4881" s="10">
        <v>45909</v>
      </c>
      <c r="C4881">
        <v>9</v>
      </c>
      <c r="D4881" t="s">
        <v>147</v>
      </c>
      <c r="E4881" t="s">
        <v>116</v>
      </c>
      <c r="F4881" t="s">
        <v>28</v>
      </c>
      <c r="G4881" t="s">
        <v>126</v>
      </c>
      <c r="H4881" t="s">
        <v>92</v>
      </c>
      <c r="I4881" t="s">
        <v>158</v>
      </c>
      <c r="J4881" t="s">
        <v>103</v>
      </c>
      <c r="K4881">
        <v>19</v>
      </c>
      <c r="L4881">
        <v>169100</v>
      </c>
      <c r="M4881">
        <v>3212900</v>
      </c>
      <c r="N4881" t="s">
        <v>95</v>
      </c>
      <c r="O4881" t="s">
        <v>96</v>
      </c>
    </row>
    <row r="4882" spans="1:15" x14ac:dyDescent="0.25">
      <c r="A4882">
        <v>1174</v>
      </c>
      <c r="B4882" s="10">
        <v>45785</v>
      </c>
      <c r="C4882">
        <v>8</v>
      </c>
      <c r="D4882" t="s">
        <v>120</v>
      </c>
      <c r="E4882" t="s">
        <v>112</v>
      </c>
      <c r="F4882" t="s">
        <v>122</v>
      </c>
      <c r="G4882" t="s">
        <v>114</v>
      </c>
      <c r="H4882" t="s">
        <v>92</v>
      </c>
      <c r="I4882" t="s">
        <v>158</v>
      </c>
      <c r="J4882" t="s">
        <v>103</v>
      </c>
      <c r="K4882">
        <v>38</v>
      </c>
      <c r="L4882">
        <v>169500</v>
      </c>
      <c r="M4882">
        <v>6441000</v>
      </c>
      <c r="N4882" t="s">
        <v>108</v>
      </c>
      <c r="O4882" t="s">
        <v>104</v>
      </c>
    </row>
    <row r="4883" spans="1:15" x14ac:dyDescent="0.25">
      <c r="A4883">
        <v>4583</v>
      </c>
      <c r="B4883" s="10">
        <v>45698</v>
      </c>
      <c r="C4883">
        <v>10</v>
      </c>
      <c r="D4883" t="s">
        <v>97</v>
      </c>
      <c r="E4883" t="s">
        <v>150</v>
      </c>
      <c r="F4883" t="s">
        <v>113</v>
      </c>
      <c r="G4883" t="s">
        <v>114</v>
      </c>
      <c r="H4883" t="s">
        <v>92</v>
      </c>
      <c r="I4883" t="s">
        <v>158</v>
      </c>
      <c r="J4883" t="s">
        <v>103</v>
      </c>
      <c r="K4883">
        <v>33</v>
      </c>
      <c r="L4883">
        <v>169900</v>
      </c>
      <c r="M4883">
        <v>5606700</v>
      </c>
      <c r="N4883" t="s">
        <v>108</v>
      </c>
      <c r="O4883" t="s">
        <v>115</v>
      </c>
    </row>
    <row r="4884" spans="1:15" x14ac:dyDescent="0.25">
      <c r="A4884">
        <v>1307</v>
      </c>
      <c r="B4884" s="10">
        <v>45754</v>
      </c>
      <c r="C4884">
        <v>7</v>
      </c>
      <c r="D4884" t="s">
        <v>105</v>
      </c>
      <c r="E4884" t="s">
        <v>110</v>
      </c>
      <c r="F4884" t="s">
        <v>151</v>
      </c>
      <c r="G4884" t="s">
        <v>111</v>
      </c>
      <c r="H4884" t="s">
        <v>92</v>
      </c>
      <c r="I4884" t="s">
        <v>158</v>
      </c>
      <c r="J4884" t="s">
        <v>103</v>
      </c>
      <c r="K4884">
        <v>6</v>
      </c>
      <c r="L4884">
        <v>170200</v>
      </c>
      <c r="M4884">
        <v>1021200</v>
      </c>
      <c r="N4884" t="s">
        <v>108</v>
      </c>
      <c r="O4884" t="s">
        <v>104</v>
      </c>
    </row>
    <row r="4885" spans="1:15" x14ac:dyDescent="0.25">
      <c r="A4885">
        <v>4352</v>
      </c>
      <c r="B4885" s="10">
        <v>45824</v>
      </c>
      <c r="C4885">
        <v>16</v>
      </c>
      <c r="D4885" t="s">
        <v>153</v>
      </c>
      <c r="E4885" t="s">
        <v>128</v>
      </c>
      <c r="F4885" t="s">
        <v>107</v>
      </c>
      <c r="G4885" t="s">
        <v>100</v>
      </c>
      <c r="H4885" t="s">
        <v>92</v>
      </c>
      <c r="I4885" t="s">
        <v>158</v>
      </c>
      <c r="J4885" t="s">
        <v>103</v>
      </c>
      <c r="K4885">
        <v>40</v>
      </c>
      <c r="L4885">
        <v>170400</v>
      </c>
      <c r="M4885">
        <v>6816000</v>
      </c>
      <c r="N4885" t="s">
        <v>108</v>
      </c>
      <c r="O4885" t="s">
        <v>96</v>
      </c>
    </row>
    <row r="4886" spans="1:15" x14ac:dyDescent="0.25">
      <c r="A4886">
        <v>4205</v>
      </c>
      <c r="B4886" s="10">
        <v>45672</v>
      </c>
      <c r="C4886">
        <v>15</v>
      </c>
      <c r="D4886" t="s">
        <v>130</v>
      </c>
      <c r="E4886" t="s">
        <v>137</v>
      </c>
      <c r="F4886" t="s">
        <v>36</v>
      </c>
      <c r="G4886" t="s">
        <v>100</v>
      </c>
      <c r="H4886" t="s">
        <v>92</v>
      </c>
      <c r="I4886" t="s">
        <v>158</v>
      </c>
      <c r="J4886" t="s">
        <v>103</v>
      </c>
      <c r="K4886">
        <v>41</v>
      </c>
      <c r="L4886">
        <v>170900</v>
      </c>
      <c r="M4886">
        <v>7006900</v>
      </c>
      <c r="N4886" t="s">
        <v>108</v>
      </c>
      <c r="O4886" t="s">
        <v>96</v>
      </c>
    </row>
    <row r="4887" spans="1:15" x14ac:dyDescent="0.25">
      <c r="A4887">
        <v>963</v>
      </c>
      <c r="B4887" s="10">
        <v>45922</v>
      </c>
      <c r="C4887">
        <v>22</v>
      </c>
      <c r="D4887" t="s">
        <v>147</v>
      </c>
      <c r="E4887" t="s">
        <v>161</v>
      </c>
      <c r="F4887" t="s">
        <v>117</v>
      </c>
      <c r="G4887" t="s">
        <v>118</v>
      </c>
      <c r="H4887" t="s">
        <v>92</v>
      </c>
      <c r="I4887" t="s">
        <v>158</v>
      </c>
      <c r="J4887" t="s">
        <v>103</v>
      </c>
      <c r="K4887">
        <v>25</v>
      </c>
      <c r="L4887">
        <v>171700</v>
      </c>
      <c r="M4887">
        <v>4292500</v>
      </c>
      <c r="N4887" t="s">
        <v>108</v>
      </c>
      <c r="O4887" t="s">
        <v>115</v>
      </c>
    </row>
    <row r="4888" spans="1:15" x14ac:dyDescent="0.25">
      <c r="A4888">
        <v>2260</v>
      </c>
      <c r="B4888" s="10">
        <v>45761</v>
      </c>
      <c r="C4888">
        <v>14</v>
      </c>
      <c r="D4888" t="s">
        <v>105</v>
      </c>
      <c r="E4888" t="s">
        <v>31</v>
      </c>
      <c r="F4888" t="s">
        <v>28</v>
      </c>
      <c r="G4888" t="s">
        <v>126</v>
      </c>
      <c r="H4888" t="s">
        <v>92</v>
      </c>
      <c r="I4888" t="s">
        <v>158</v>
      </c>
      <c r="J4888" t="s">
        <v>103</v>
      </c>
      <c r="K4888">
        <v>6</v>
      </c>
      <c r="L4888">
        <v>171700</v>
      </c>
      <c r="M4888">
        <v>1030200</v>
      </c>
      <c r="N4888" t="s">
        <v>95</v>
      </c>
      <c r="O4888" t="s">
        <v>104</v>
      </c>
    </row>
    <row r="4889" spans="1:15" x14ac:dyDescent="0.25">
      <c r="A4889">
        <v>4592</v>
      </c>
      <c r="B4889" s="10">
        <v>45818</v>
      </c>
      <c r="C4889">
        <v>10</v>
      </c>
      <c r="D4889" t="s">
        <v>153</v>
      </c>
      <c r="E4889" t="s">
        <v>31</v>
      </c>
      <c r="F4889" t="s">
        <v>22</v>
      </c>
      <c r="G4889" t="s">
        <v>91</v>
      </c>
      <c r="H4889" t="s">
        <v>92</v>
      </c>
      <c r="I4889" t="s">
        <v>158</v>
      </c>
      <c r="J4889" t="s">
        <v>103</v>
      </c>
      <c r="K4889">
        <v>28</v>
      </c>
      <c r="L4889">
        <v>171700</v>
      </c>
      <c r="M4889">
        <v>4807600</v>
      </c>
      <c r="N4889" t="s">
        <v>95</v>
      </c>
      <c r="O4889" t="s">
        <v>96</v>
      </c>
    </row>
    <row r="4890" spans="1:15" x14ac:dyDescent="0.25">
      <c r="A4890">
        <v>2598</v>
      </c>
      <c r="B4890" s="10">
        <v>45768</v>
      </c>
      <c r="C4890">
        <v>21</v>
      </c>
      <c r="D4890" t="s">
        <v>105</v>
      </c>
      <c r="E4890" t="s">
        <v>112</v>
      </c>
      <c r="F4890" t="s">
        <v>134</v>
      </c>
      <c r="G4890" t="s">
        <v>100</v>
      </c>
      <c r="H4890" t="s">
        <v>92</v>
      </c>
      <c r="I4890" t="s">
        <v>158</v>
      </c>
      <c r="J4890" t="s">
        <v>103</v>
      </c>
      <c r="K4890">
        <v>46</v>
      </c>
      <c r="L4890">
        <v>171800</v>
      </c>
      <c r="M4890">
        <v>7902800</v>
      </c>
      <c r="N4890" t="s">
        <v>108</v>
      </c>
      <c r="O4890" t="s">
        <v>115</v>
      </c>
    </row>
    <row r="4891" spans="1:15" x14ac:dyDescent="0.25">
      <c r="A4891">
        <v>2928</v>
      </c>
      <c r="B4891" s="10">
        <v>45845</v>
      </c>
      <c r="C4891">
        <v>7</v>
      </c>
      <c r="D4891" t="s">
        <v>145</v>
      </c>
      <c r="E4891" t="s">
        <v>133</v>
      </c>
      <c r="F4891" t="s">
        <v>99</v>
      </c>
      <c r="G4891" t="s">
        <v>100</v>
      </c>
      <c r="H4891" t="s">
        <v>92</v>
      </c>
      <c r="I4891" t="s">
        <v>158</v>
      </c>
      <c r="J4891" t="s">
        <v>103</v>
      </c>
      <c r="K4891">
        <v>36</v>
      </c>
      <c r="L4891">
        <v>171800</v>
      </c>
      <c r="M4891">
        <v>6184800</v>
      </c>
      <c r="N4891" t="s">
        <v>95</v>
      </c>
      <c r="O4891" t="s">
        <v>115</v>
      </c>
    </row>
    <row r="4892" spans="1:15" x14ac:dyDescent="0.25">
      <c r="A4892">
        <v>2981</v>
      </c>
      <c r="B4892" s="10">
        <v>45991</v>
      </c>
      <c r="C4892">
        <v>30</v>
      </c>
      <c r="D4892" t="s">
        <v>90</v>
      </c>
      <c r="E4892" t="s">
        <v>133</v>
      </c>
      <c r="F4892" t="s">
        <v>107</v>
      </c>
      <c r="G4892" t="s">
        <v>100</v>
      </c>
      <c r="H4892" t="s">
        <v>92</v>
      </c>
      <c r="I4892" t="s">
        <v>158</v>
      </c>
      <c r="J4892" t="s">
        <v>103</v>
      </c>
      <c r="K4892">
        <v>47</v>
      </c>
      <c r="L4892">
        <v>172200</v>
      </c>
      <c r="M4892">
        <v>8093400</v>
      </c>
      <c r="N4892" t="s">
        <v>95</v>
      </c>
      <c r="O4892" t="s">
        <v>104</v>
      </c>
    </row>
    <row r="4893" spans="1:15" x14ac:dyDescent="0.25">
      <c r="A4893">
        <v>2997</v>
      </c>
      <c r="B4893" s="10">
        <v>46019</v>
      </c>
      <c r="C4893">
        <v>28</v>
      </c>
      <c r="D4893" t="s">
        <v>125</v>
      </c>
      <c r="E4893" t="s">
        <v>138</v>
      </c>
      <c r="F4893" t="s">
        <v>36</v>
      </c>
      <c r="G4893" t="s">
        <v>100</v>
      </c>
      <c r="H4893" t="s">
        <v>92</v>
      </c>
      <c r="I4893" t="s">
        <v>158</v>
      </c>
      <c r="J4893" t="s">
        <v>103</v>
      </c>
      <c r="K4893">
        <v>11</v>
      </c>
      <c r="L4893">
        <v>172200</v>
      </c>
      <c r="M4893">
        <v>1894200</v>
      </c>
      <c r="N4893" t="s">
        <v>95</v>
      </c>
      <c r="O4893" t="s">
        <v>104</v>
      </c>
    </row>
    <row r="4894" spans="1:15" x14ac:dyDescent="0.25">
      <c r="A4894">
        <v>3308</v>
      </c>
      <c r="B4894" s="10">
        <v>45740</v>
      </c>
      <c r="C4894">
        <v>24</v>
      </c>
      <c r="D4894" t="s">
        <v>140</v>
      </c>
      <c r="E4894" t="s">
        <v>110</v>
      </c>
      <c r="F4894" t="s">
        <v>144</v>
      </c>
      <c r="G4894" t="s">
        <v>91</v>
      </c>
      <c r="H4894" t="s">
        <v>92</v>
      </c>
      <c r="I4894" t="s">
        <v>158</v>
      </c>
      <c r="J4894" t="s">
        <v>103</v>
      </c>
      <c r="K4894">
        <v>19</v>
      </c>
      <c r="L4894">
        <v>173100</v>
      </c>
      <c r="M4894">
        <v>3288900</v>
      </c>
      <c r="N4894" t="s">
        <v>95</v>
      </c>
      <c r="O4894" t="s">
        <v>96</v>
      </c>
    </row>
    <row r="4895" spans="1:15" x14ac:dyDescent="0.25">
      <c r="A4895">
        <v>3936</v>
      </c>
      <c r="B4895" s="10">
        <v>45849</v>
      </c>
      <c r="C4895">
        <v>11</v>
      </c>
      <c r="D4895" t="s">
        <v>145</v>
      </c>
      <c r="E4895" t="s">
        <v>133</v>
      </c>
      <c r="F4895" t="s">
        <v>22</v>
      </c>
      <c r="G4895" t="s">
        <v>91</v>
      </c>
      <c r="H4895" t="s">
        <v>92</v>
      </c>
      <c r="I4895" t="s">
        <v>158</v>
      </c>
      <c r="J4895" t="s">
        <v>103</v>
      </c>
      <c r="K4895">
        <v>14</v>
      </c>
      <c r="L4895">
        <v>173300</v>
      </c>
      <c r="M4895">
        <v>2426200</v>
      </c>
      <c r="N4895" t="s">
        <v>108</v>
      </c>
      <c r="O4895" t="s">
        <v>104</v>
      </c>
    </row>
    <row r="4896" spans="1:15" x14ac:dyDescent="0.25">
      <c r="A4896">
        <v>4449</v>
      </c>
      <c r="B4896" s="10">
        <v>45884</v>
      </c>
      <c r="C4896">
        <v>15</v>
      </c>
      <c r="D4896" t="s">
        <v>109</v>
      </c>
      <c r="E4896" t="s">
        <v>106</v>
      </c>
      <c r="F4896" t="s">
        <v>141</v>
      </c>
      <c r="G4896" t="s">
        <v>100</v>
      </c>
      <c r="H4896" t="s">
        <v>92</v>
      </c>
      <c r="I4896" t="s">
        <v>158</v>
      </c>
      <c r="J4896" t="s">
        <v>103</v>
      </c>
      <c r="K4896">
        <v>24</v>
      </c>
      <c r="L4896">
        <v>174100</v>
      </c>
      <c r="M4896">
        <v>4178400</v>
      </c>
      <c r="N4896" t="s">
        <v>108</v>
      </c>
      <c r="O4896" t="s">
        <v>115</v>
      </c>
    </row>
    <row r="4897" spans="1:15" x14ac:dyDescent="0.25">
      <c r="A4897">
        <v>1755</v>
      </c>
      <c r="B4897" s="10">
        <v>45850</v>
      </c>
      <c r="C4897">
        <v>12</v>
      </c>
      <c r="D4897" t="s">
        <v>145</v>
      </c>
      <c r="E4897" t="s">
        <v>25</v>
      </c>
      <c r="F4897" t="s">
        <v>151</v>
      </c>
      <c r="G4897" t="s">
        <v>111</v>
      </c>
      <c r="H4897" t="s">
        <v>92</v>
      </c>
      <c r="I4897" t="s">
        <v>158</v>
      </c>
      <c r="J4897" t="s">
        <v>103</v>
      </c>
      <c r="K4897">
        <v>8</v>
      </c>
      <c r="L4897">
        <v>174300</v>
      </c>
      <c r="M4897">
        <v>1394400</v>
      </c>
      <c r="N4897" t="s">
        <v>108</v>
      </c>
      <c r="O4897" t="s">
        <v>115</v>
      </c>
    </row>
    <row r="4898" spans="1:15" x14ac:dyDescent="0.25">
      <c r="A4898">
        <v>4994</v>
      </c>
      <c r="B4898" s="10">
        <v>45737</v>
      </c>
      <c r="C4898">
        <v>21</v>
      </c>
      <c r="D4898" t="s">
        <v>140</v>
      </c>
      <c r="E4898" t="s">
        <v>116</v>
      </c>
      <c r="F4898" t="s">
        <v>49</v>
      </c>
      <c r="G4898" t="s">
        <v>118</v>
      </c>
      <c r="H4898" t="s">
        <v>92</v>
      </c>
      <c r="I4898" t="s">
        <v>158</v>
      </c>
      <c r="J4898" t="s">
        <v>103</v>
      </c>
      <c r="K4898">
        <v>13</v>
      </c>
      <c r="L4898">
        <v>174800</v>
      </c>
      <c r="M4898">
        <v>2272400</v>
      </c>
      <c r="N4898" t="s">
        <v>108</v>
      </c>
      <c r="O4898" t="s">
        <v>104</v>
      </c>
    </row>
    <row r="4899" spans="1:15" x14ac:dyDescent="0.25">
      <c r="A4899">
        <v>1964</v>
      </c>
      <c r="B4899" s="10">
        <v>45685</v>
      </c>
      <c r="C4899">
        <v>28</v>
      </c>
      <c r="D4899" t="s">
        <v>130</v>
      </c>
      <c r="E4899" t="s">
        <v>150</v>
      </c>
      <c r="F4899" t="s">
        <v>49</v>
      </c>
      <c r="G4899" t="s">
        <v>118</v>
      </c>
      <c r="H4899" t="s">
        <v>92</v>
      </c>
      <c r="I4899" t="s">
        <v>158</v>
      </c>
      <c r="J4899" t="s">
        <v>103</v>
      </c>
      <c r="K4899">
        <v>28</v>
      </c>
      <c r="L4899">
        <v>175500</v>
      </c>
      <c r="M4899">
        <v>4914000</v>
      </c>
      <c r="N4899" t="s">
        <v>95</v>
      </c>
      <c r="O4899" t="s">
        <v>115</v>
      </c>
    </row>
    <row r="4900" spans="1:15" x14ac:dyDescent="0.25">
      <c r="A4900">
        <v>3270</v>
      </c>
      <c r="B4900" s="10">
        <v>45659</v>
      </c>
      <c r="C4900">
        <v>2</v>
      </c>
      <c r="D4900" t="s">
        <v>130</v>
      </c>
      <c r="E4900" t="s">
        <v>137</v>
      </c>
      <c r="F4900" t="s">
        <v>107</v>
      </c>
      <c r="G4900" t="s">
        <v>100</v>
      </c>
      <c r="H4900" t="s">
        <v>92</v>
      </c>
      <c r="I4900" t="s">
        <v>158</v>
      </c>
      <c r="J4900" t="s">
        <v>103</v>
      </c>
      <c r="K4900">
        <v>46</v>
      </c>
      <c r="L4900">
        <v>175500</v>
      </c>
      <c r="M4900">
        <v>8073000</v>
      </c>
      <c r="N4900" t="s">
        <v>108</v>
      </c>
      <c r="O4900" t="s">
        <v>96</v>
      </c>
    </row>
    <row r="4901" spans="1:15" x14ac:dyDescent="0.25">
      <c r="A4901">
        <v>230</v>
      </c>
      <c r="B4901" s="10">
        <v>46021</v>
      </c>
      <c r="C4901">
        <v>30</v>
      </c>
      <c r="D4901" t="s">
        <v>125</v>
      </c>
      <c r="E4901" t="s">
        <v>128</v>
      </c>
      <c r="F4901" t="s">
        <v>99</v>
      </c>
      <c r="G4901" t="s">
        <v>100</v>
      </c>
      <c r="H4901" t="s">
        <v>92</v>
      </c>
      <c r="I4901" t="s">
        <v>158</v>
      </c>
      <c r="J4901" t="s">
        <v>103</v>
      </c>
      <c r="K4901">
        <v>37</v>
      </c>
      <c r="L4901">
        <v>175800</v>
      </c>
      <c r="M4901">
        <v>6504600</v>
      </c>
      <c r="N4901" t="s">
        <v>95</v>
      </c>
      <c r="O4901" t="s">
        <v>104</v>
      </c>
    </row>
    <row r="4902" spans="1:15" x14ac:dyDescent="0.25">
      <c r="A4902">
        <v>1565</v>
      </c>
      <c r="B4902" s="10">
        <v>45850</v>
      </c>
      <c r="C4902">
        <v>12</v>
      </c>
      <c r="D4902" t="s">
        <v>145</v>
      </c>
      <c r="E4902" t="s">
        <v>121</v>
      </c>
      <c r="F4902" t="s">
        <v>49</v>
      </c>
      <c r="G4902" t="s">
        <v>118</v>
      </c>
      <c r="H4902" t="s">
        <v>92</v>
      </c>
      <c r="I4902" t="s">
        <v>158</v>
      </c>
      <c r="J4902" t="s">
        <v>103</v>
      </c>
      <c r="K4902">
        <v>35</v>
      </c>
      <c r="L4902">
        <v>176300</v>
      </c>
      <c r="M4902">
        <v>6170500</v>
      </c>
      <c r="N4902" t="s">
        <v>95</v>
      </c>
      <c r="O4902" t="s">
        <v>115</v>
      </c>
    </row>
    <row r="4903" spans="1:15" x14ac:dyDescent="0.25">
      <c r="A4903">
        <v>3174</v>
      </c>
      <c r="B4903" s="10">
        <v>45698</v>
      </c>
      <c r="C4903">
        <v>10</v>
      </c>
      <c r="D4903" t="s">
        <v>97</v>
      </c>
      <c r="E4903" t="s">
        <v>31</v>
      </c>
      <c r="F4903" t="s">
        <v>49</v>
      </c>
      <c r="G4903" t="s">
        <v>118</v>
      </c>
      <c r="H4903" t="s">
        <v>92</v>
      </c>
      <c r="I4903" t="s">
        <v>158</v>
      </c>
      <c r="J4903" t="s">
        <v>103</v>
      </c>
      <c r="K4903">
        <v>29</v>
      </c>
      <c r="L4903">
        <v>176600</v>
      </c>
      <c r="M4903">
        <v>5121400</v>
      </c>
      <c r="N4903" t="s">
        <v>95</v>
      </c>
      <c r="O4903" t="s">
        <v>104</v>
      </c>
    </row>
    <row r="4904" spans="1:15" x14ac:dyDescent="0.25">
      <c r="A4904">
        <v>4584</v>
      </c>
      <c r="B4904" s="10">
        <v>45989</v>
      </c>
      <c r="C4904">
        <v>28</v>
      </c>
      <c r="D4904" t="s">
        <v>90</v>
      </c>
      <c r="E4904" t="s">
        <v>25</v>
      </c>
      <c r="F4904" t="s">
        <v>99</v>
      </c>
      <c r="G4904" t="s">
        <v>100</v>
      </c>
      <c r="H4904" t="s">
        <v>92</v>
      </c>
      <c r="I4904" t="s">
        <v>158</v>
      </c>
      <c r="J4904" t="s">
        <v>103</v>
      </c>
      <c r="K4904">
        <v>6</v>
      </c>
      <c r="L4904">
        <v>176700</v>
      </c>
      <c r="M4904">
        <v>1060200</v>
      </c>
      <c r="N4904" t="s">
        <v>108</v>
      </c>
      <c r="O4904" t="s">
        <v>104</v>
      </c>
    </row>
    <row r="4905" spans="1:15" x14ac:dyDescent="0.25">
      <c r="A4905">
        <v>299</v>
      </c>
      <c r="B4905" s="10">
        <v>45689</v>
      </c>
      <c r="C4905">
        <v>1</v>
      </c>
      <c r="D4905" t="s">
        <v>97</v>
      </c>
      <c r="E4905" t="s">
        <v>137</v>
      </c>
      <c r="F4905" t="s">
        <v>148</v>
      </c>
      <c r="G4905" t="s">
        <v>118</v>
      </c>
      <c r="H4905" t="s">
        <v>92</v>
      </c>
      <c r="I4905" t="s">
        <v>158</v>
      </c>
      <c r="J4905" t="s">
        <v>103</v>
      </c>
      <c r="K4905">
        <v>40</v>
      </c>
      <c r="L4905">
        <v>176900</v>
      </c>
      <c r="M4905">
        <v>7076000</v>
      </c>
      <c r="N4905" t="s">
        <v>108</v>
      </c>
      <c r="O4905" t="s">
        <v>104</v>
      </c>
    </row>
    <row r="4906" spans="1:15" x14ac:dyDescent="0.25">
      <c r="A4906">
        <v>1294</v>
      </c>
      <c r="B4906" s="10">
        <v>45681</v>
      </c>
      <c r="C4906">
        <v>24</v>
      </c>
      <c r="D4906" t="s">
        <v>130</v>
      </c>
      <c r="E4906" t="s">
        <v>110</v>
      </c>
      <c r="F4906" t="s">
        <v>22</v>
      </c>
      <c r="G4906" t="s">
        <v>91</v>
      </c>
      <c r="H4906" t="s">
        <v>92</v>
      </c>
      <c r="I4906" t="s">
        <v>158</v>
      </c>
      <c r="J4906" t="s">
        <v>103</v>
      </c>
      <c r="K4906">
        <v>36</v>
      </c>
      <c r="L4906">
        <v>177100</v>
      </c>
      <c r="M4906">
        <v>6375600</v>
      </c>
      <c r="N4906" t="s">
        <v>95</v>
      </c>
      <c r="O4906" t="s">
        <v>104</v>
      </c>
    </row>
    <row r="4907" spans="1:15" x14ac:dyDescent="0.25">
      <c r="A4907">
        <v>2389</v>
      </c>
      <c r="B4907" s="10">
        <v>45784</v>
      </c>
      <c r="C4907">
        <v>7</v>
      </c>
      <c r="D4907" t="s">
        <v>120</v>
      </c>
      <c r="E4907" t="s">
        <v>25</v>
      </c>
      <c r="F4907" t="s">
        <v>151</v>
      </c>
      <c r="G4907" t="s">
        <v>111</v>
      </c>
      <c r="H4907" t="s">
        <v>92</v>
      </c>
      <c r="I4907" t="s">
        <v>158</v>
      </c>
      <c r="J4907" t="s">
        <v>103</v>
      </c>
      <c r="K4907">
        <v>10</v>
      </c>
      <c r="L4907">
        <v>177600</v>
      </c>
      <c r="M4907">
        <v>1776000</v>
      </c>
      <c r="N4907" t="s">
        <v>95</v>
      </c>
      <c r="O4907" t="s">
        <v>115</v>
      </c>
    </row>
    <row r="4908" spans="1:15" x14ac:dyDescent="0.25">
      <c r="A4908">
        <v>2525</v>
      </c>
      <c r="B4908" s="10">
        <v>45808</v>
      </c>
      <c r="C4908">
        <v>31</v>
      </c>
      <c r="D4908" t="s">
        <v>120</v>
      </c>
      <c r="E4908" t="s">
        <v>106</v>
      </c>
      <c r="F4908" t="s">
        <v>117</v>
      </c>
      <c r="G4908" t="s">
        <v>118</v>
      </c>
      <c r="H4908" t="s">
        <v>92</v>
      </c>
      <c r="I4908" t="s">
        <v>158</v>
      </c>
      <c r="J4908" t="s">
        <v>103</v>
      </c>
      <c r="K4908">
        <v>31</v>
      </c>
      <c r="L4908">
        <v>177800</v>
      </c>
      <c r="M4908">
        <v>5511800</v>
      </c>
      <c r="N4908" t="s">
        <v>95</v>
      </c>
      <c r="O4908" t="s">
        <v>115</v>
      </c>
    </row>
    <row r="4909" spans="1:15" x14ac:dyDescent="0.25">
      <c r="A4909">
        <v>1978</v>
      </c>
      <c r="B4909" s="10">
        <v>45833</v>
      </c>
      <c r="C4909">
        <v>25</v>
      </c>
      <c r="D4909" t="s">
        <v>153</v>
      </c>
      <c r="E4909" t="s">
        <v>137</v>
      </c>
      <c r="F4909" t="s">
        <v>144</v>
      </c>
      <c r="G4909" t="s">
        <v>91</v>
      </c>
      <c r="H4909" t="s">
        <v>92</v>
      </c>
      <c r="I4909" t="s">
        <v>158</v>
      </c>
      <c r="J4909" t="s">
        <v>103</v>
      </c>
      <c r="K4909">
        <v>39</v>
      </c>
      <c r="L4909">
        <v>178100</v>
      </c>
      <c r="M4909">
        <v>6945900</v>
      </c>
      <c r="N4909" t="s">
        <v>95</v>
      </c>
      <c r="O4909" t="s">
        <v>96</v>
      </c>
    </row>
    <row r="4910" spans="1:15" x14ac:dyDescent="0.25">
      <c r="A4910">
        <v>1747</v>
      </c>
      <c r="B4910" s="10">
        <v>45889</v>
      </c>
      <c r="C4910">
        <v>20</v>
      </c>
      <c r="D4910" t="s">
        <v>109</v>
      </c>
      <c r="E4910" t="s">
        <v>128</v>
      </c>
      <c r="F4910" t="s">
        <v>144</v>
      </c>
      <c r="G4910" t="s">
        <v>91</v>
      </c>
      <c r="H4910" t="s">
        <v>92</v>
      </c>
      <c r="I4910" t="s">
        <v>158</v>
      </c>
      <c r="J4910" t="s">
        <v>103</v>
      </c>
      <c r="K4910">
        <v>9</v>
      </c>
      <c r="L4910">
        <v>178300</v>
      </c>
      <c r="M4910">
        <v>1604700</v>
      </c>
      <c r="N4910" t="s">
        <v>95</v>
      </c>
      <c r="O4910" t="s">
        <v>96</v>
      </c>
    </row>
    <row r="4911" spans="1:15" x14ac:dyDescent="0.25">
      <c r="A4911">
        <v>4284</v>
      </c>
      <c r="B4911" s="10">
        <v>46000</v>
      </c>
      <c r="C4911">
        <v>9</v>
      </c>
      <c r="D4911" t="s">
        <v>125</v>
      </c>
      <c r="E4911" t="s">
        <v>106</v>
      </c>
      <c r="F4911" t="s">
        <v>141</v>
      </c>
      <c r="G4911" t="s">
        <v>100</v>
      </c>
      <c r="H4911" t="s">
        <v>92</v>
      </c>
      <c r="I4911" t="s">
        <v>158</v>
      </c>
      <c r="J4911" t="s">
        <v>103</v>
      </c>
      <c r="K4911">
        <v>10</v>
      </c>
      <c r="L4911">
        <v>178300</v>
      </c>
      <c r="M4911">
        <v>1783000</v>
      </c>
      <c r="N4911" t="s">
        <v>95</v>
      </c>
      <c r="O4911" t="s">
        <v>104</v>
      </c>
    </row>
    <row r="4912" spans="1:15" x14ac:dyDescent="0.25">
      <c r="A4912">
        <v>2930</v>
      </c>
      <c r="B4912" s="10">
        <v>45820</v>
      </c>
      <c r="C4912">
        <v>12</v>
      </c>
      <c r="D4912" t="s">
        <v>153</v>
      </c>
      <c r="E4912" t="s">
        <v>112</v>
      </c>
      <c r="F4912" t="s">
        <v>28</v>
      </c>
      <c r="G4912" t="s">
        <v>126</v>
      </c>
      <c r="H4912" t="s">
        <v>92</v>
      </c>
      <c r="I4912" t="s">
        <v>158</v>
      </c>
      <c r="J4912" t="s">
        <v>103</v>
      </c>
      <c r="K4912">
        <v>47</v>
      </c>
      <c r="L4912">
        <v>178400</v>
      </c>
      <c r="M4912">
        <v>8384800</v>
      </c>
      <c r="N4912" t="s">
        <v>95</v>
      </c>
      <c r="O4912" t="s">
        <v>115</v>
      </c>
    </row>
    <row r="4913" spans="1:15" x14ac:dyDescent="0.25">
      <c r="A4913">
        <v>3715</v>
      </c>
      <c r="B4913" s="10">
        <v>46002</v>
      </c>
      <c r="C4913">
        <v>11</v>
      </c>
      <c r="D4913" t="s">
        <v>125</v>
      </c>
      <c r="E4913" t="s">
        <v>138</v>
      </c>
      <c r="F4913" t="s">
        <v>107</v>
      </c>
      <c r="G4913" t="s">
        <v>100</v>
      </c>
      <c r="H4913" t="s">
        <v>92</v>
      </c>
      <c r="I4913" t="s">
        <v>158</v>
      </c>
      <c r="J4913" t="s">
        <v>103</v>
      </c>
      <c r="K4913">
        <v>31</v>
      </c>
      <c r="L4913">
        <v>178600</v>
      </c>
      <c r="M4913">
        <v>5536600</v>
      </c>
      <c r="N4913" t="s">
        <v>95</v>
      </c>
      <c r="O4913" t="s">
        <v>104</v>
      </c>
    </row>
    <row r="4914" spans="1:15" x14ac:dyDescent="0.25">
      <c r="A4914">
        <v>3119</v>
      </c>
      <c r="B4914" s="10">
        <v>45809</v>
      </c>
      <c r="C4914">
        <v>1</v>
      </c>
      <c r="D4914" t="s">
        <v>153</v>
      </c>
      <c r="E4914" t="s">
        <v>112</v>
      </c>
      <c r="F4914" t="s">
        <v>122</v>
      </c>
      <c r="G4914" t="s">
        <v>114</v>
      </c>
      <c r="H4914" t="s">
        <v>92</v>
      </c>
      <c r="I4914" t="s">
        <v>158</v>
      </c>
      <c r="J4914" t="s">
        <v>103</v>
      </c>
      <c r="K4914">
        <v>15</v>
      </c>
      <c r="L4914">
        <v>178900</v>
      </c>
      <c r="M4914">
        <v>2683500</v>
      </c>
      <c r="N4914" t="s">
        <v>108</v>
      </c>
      <c r="O4914" t="s">
        <v>104</v>
      </c>
    </row>
    <row r="4915" spans="1:15" x14ac:dyDescent="0.25">
      <c r="A4915">
        <v>1711</v>
      </c>
      <c r="B4915" s="10">
        <v>45926</v>
      </c>
      <c r="C4915">
        <v>26</v>
      </c>
      <c r="D4915" t="s">
        <v>147</v>
      </c>
      <c r="E4915" t="s">
        <v>128</v>
      </c>
      <c r="F4915" t="s">
        <v>49</v>
      </c>
      <c r="G4915" t="s">
        <v>118</v>
      </c>
      <c r="H4915" t="s">
        <v>92</v>
      </c>
      <c r="I4915" t="s">
        <v>158</v>
      </c>
      <c r="J4915" t="s">
        <v>103</v>
      </c>
      <c r="K4915">
        <v>47</v>
      </c>
      <c r="L4915">
        <v>179400</v>
      </c>
      <c r="M4915">
        <v>8431800</v>
      </c>
      <c r="N4915" t="s">
        <v>95</v>
      </c>
      <c r="O4915" t="s">
        <v>115</v>
      </c>
    </row>
    <row r="4916" spans="1:15" x14ac:dyDescent="0.25">
      <c r="A4916">
        <v>1275</v>
      </c>
      <c r="B4916" s="10">
        <v>45911</v>
      </c>
      <c r="C4916">
        <v>11</v>
      </c>
      <c r="D4916" t="s">
        <v>147</v>
      </c>
      <c r="E4916" t="s">
        <v>112</v>
      </c>
      <c r="F4916" t="s">
        <v>122</v>
      </c>
      <c r="G4916" t="s">
        <v>114</v>
      </c>
      <c r="H4916" t="s">
        <v>92</v>
      </c>
      <c r="I4916" t="s">
        <v>158</v>
      </c>
      <c r="J4916" t="s">
        <v>103</v>
      </c>
      <c r="K4916">
        <v>30</v>
      </c>
      <c r="L4916">
        <v>180300</v>
      </c>
      <c r="M4916">
        <v>5409000</v>
      </c>
      <c r="N4916" t="s">
        <v>108</v>
      </c>
      <c r="O4916" t="s">
        <v>104</v>
      </c>
    </row>
    <row r="4917" spans="1:15" x14ac:dyDescent="0.25">
      <c r="A4917">
        <v>4450</v>
      </c>
      <c r="B4917" s="10">
        <v>45943</v>
      </c>
      <c r="C4917">
        <v>13</v>
      </c>
      <c r="D4917" t="s">
        <v>136</v>
      </c>
      <c r="E4917" t="s">
        <v>128</v>
      </c>
      <c r="F4917" t="s">
        <v>148</v>
      </c>
      <c r="G4917" t="s">
        <v>118</v>
      </c>
      <c r="H4917" t="s">
        <v>92</v>
      </c>
      <c r="I4917" t="s">
        <v>158</v>
      </c>
      <c r="J4917" t="s">
        <v>103</v>
      </c>
      <c r="K4917">
        <v>37</v>
      </c>
      <c r="L4917">
        <v>182700</v>
      </c>
      <c r="M4917">
        <v>6759900</v>
      </c>
      <c r="N4917" t="s">
        <v>108</v>
      </c>
      <c r="O4917" t="s">
        <v>96</v>
      </c>
    </row>
    <row r="4918" spans="1:15" x14ac:dyDescent="0.25">
      <c r="A4918">
        <v>3214</v>
      </c>
      <c r="B4918" s="10">
        <v>45974</v>
      </c>
      <c r="C4918">
        <v>13</v>
      </c>
      <c r="D4918" t="s">
        <v>90</v>
      </c>
      <c r="E4918" t="s">
        <v>121</v>
      </c>
      <c r="F4918" t="s">
        <v>148</v>
      </c>
      <c r="G4918" t="s">
        <v>118</v>
      </c>
      <c r="H4918" t="s">
        <v>92</v>
      </c>
      <c r="I4918" t="s">
        <v>158</v>
      </c>
      <c r="J4918" t="s">
        <v>103</v>
      </c>
      <c r="K4918">
        <v>15</v>
      </c>
      <c r="L4918">
        <v>182900</v>
      </c>
      <c r="M4918">
        <v>2743500</v>
      </c>
      <c r="N4918" t="s">
        <v>108</v>
      </c>
      <c r="O4918" t="s">
        <v>115</v>
      </c>
    </row>
    <row r="4919" spans="1:15" x14ac:dyDescent="0.25">
      <c r="A4919">
        <v>1177</v>
      </c>
      <c r="B4919" s="10">
        <v>45897</v>
      </c>
      <c r="C4919">
        <v>28</v>
      </c>
      <c r="D4919" t="s">
        <v>109</v>
      </c>
      <c r="E4919" t="s">
        <v>116</v>
      </c>
      <c r="F4919" t="s">
        <v>36</v>
      </c>
      <c r="G4919" t="s">
        <v>100</v>
      </c>
      <c r="H4919" t="s">
        <v>92</v>
      </c>
      <c r="I4919" t="s">
        <v>158</v>
      </c>
      <c r="J4919" t="s">
        <v>94</v>
      </c>
      <c r="K4919">
        <v>7</v>
      </c>
      <c r="L4919">
        <v>183100</v>
      </c>
      <c r="M4919">
        <v>1281700</v>
      </c>
      <c r="N4919" t="s">
        <v>95</v>
      </c>
      <c r="O4919" t="s">
        <v>96</v>
      </c>
    </row>
    <row r="4920" spans="1:15" x14ac:dyDescent="0.25">
      <c r="A4920">
        <v>1388</v>
      </c>
      <c r="B4920" s="10">
        <v>45853</v>
      </c>
      <c r="C4920">
        <v>15</v>
      </c>
      <c r="D4920" t="s">
        <v>145</v>
      </c>
      <c r="E4920" t="s">
        <v>25</v>
      </c>
      <c r="F4920" t="s">
        <v>99</v>
      </c>
      <c r="G4920" t="s">
        <v>100</v>
      </c>
      <c r="H4920" t="s">
        <v>92</v>
      </c>
      <c r="I4920" t="s">
        <v>158</v>
      </c>
      <c r="J4920" t="s">
        <v>103</v>
      </c>
      <c r="K4920">
        <v>45</v>
      </c>
      <c r="L4920">
        <v>183300</v>
      </c>
      <c r="M4920">
        <v>8248500</v>
      </c>
      <c r="N4920" t="s">
        <v>108</v>
      </c>
      <c r="O4920" t="s">
        <v>104</v>
      </c>
    </row>
    <row r="4921" spans="1:15" x14ac:dyDescent="0.25">
      <c r="A4921">
        <v>2150</v>
      </c>
      <c r="B4921" s="10">
        <v>45997</v>
      </c>
      <c r="C4921">
        <v>6</v>
      </c>
      <c r="D4921" t="s">
        <v>125</v>
      </c>
      <c r="E4921" t="s">
        <v>106</v>
      </c>
      <c r="F4921" t="s">
        <v>141</v>
      </c>
      <c r="G4921" t="s">
        <v>100</v>
      </c>
      <c r="H4921" t="s">
        <v>92</v>
      </c>
      <c r="I4921" t="s">
        <v>158</v>
      </c>
      <c r="J4921" t="s">
        <v>94</v>
      </c>
      <c r="K4921">
        <v>7</v>
      </c>
      <c r="L4921">
        <v>183600</v>
      </c>
      <c r="M4921">
        <v>1285200</v>
      </c>
      <c r="N4921" t="s">
        <v>108</v>
      </c>
      <c r="O4921" t="s">
        <v>104</v>
      </c>
    </row>
    <row r="4922" spans="1:15" x14ac:dyDescent="0.25">
      <c r="A4922">
        <v>3868</v>
      </c>
      <c r="B4922" s="10">
        <v>45960</v>
      </c>
      <c r="C4922">
        <v>30</v>
      </c>
      <c r="D4922" t="s">
        <v>136</v>
      </c>
      <c r="E4922" t="s">
        <v>133</v>
      </c>
      <c r="F4922" t="s">
        <v>99</v>
      </c>
      <c r="G4922" t="s">
        <v>100</v>
      </c>
      <c r="H4922" t="s">
        <v>92</v>
      </c>
      <c r="I4922" t="s">
        <v>158</v>
      </c>
      <c r="J4922" t="s">
        <v>103</v>
      </c>
      <c r="K4922">
        <v>12</v>
      </c>
      <c r="L4922">
        <v>184100</v>
      </c>
      <c r="M4922">
        <v>2209200</v>
      </c>
      <c r="N4922" t="s">
        <v>108</v>
      </c>
      <c r="O4922" t="s">
        <v>96</v>
      </c>
    </row>
    <row r="4923" spans="1:15" x14ac:dyDescent="0.25">
      <c r="A4923">
        <v>4486</v>
      </c>
      <c r="B4923" s="10">
        <v>45699</v>
      </c>
      <c r="C4923">
        <v>11</v>
      </c>
      <c r="D4923" t="s">
        <v>97</v>
      </c>
      <c r="E4923" t="s">
        <v>128</v>
      </c>
      <c r="F4923" t="s">
        <v>28</v>
      </c>
      <c r="G4923" t="s">
        <v>126</v>
      </c>
      <c r="H4923" t="s">
        <v>92</v>
      </c>
      <c r="I4923" t="s">
        <v>158</v>
      </c>
      <c r="J4923" t="s">
        <v>94</v>
      </c>
      <c r="K4923">
        <v>10</v>
      </c>
      <c r="L4923">
        <v>184100</v>
      </c>
      <c r="M4923">
        <v>1841000</v>
      </c>
      <c r="N4923" t="s">
        <v>95</v>
      </c>
      <c r="O4923" t="s">
        <v>104</v>
      </c>
    </row>
    <row r="4924" spans="1:15" x14ac:dyDescent="0.25">
      <c r="A4924">
        <v>1452</v>
      </c>
      <c r="B4924" s="10">
        <v>45806</v>
      </c>
      <c r="C4924">
        <v>29</v>
      </c>
      <c r="D4924" t="s">
        <v>120</v>
      </c>
      <c r="E4924" t="s">
        <v>110</v>
      </c>
      <c r="F4924" t="s">
        <v>107</v>
      </c>
      <c r="G4924" t="s">
        <v>100</v>
      </c>
      <c r="H4924" t="s">
        <v>92</v>
      </c>
      <c r="I4924" t="s">
        <v>158</v>
      </c>
      <c r="J4924" t="s">
        <v>103</v>
      </c>
      <c r="K4924">
        <v>36</v>
      </c>
      <c r="L4924">
        <v>184500</v>
      </c>
      <c r="M4924">
        <v>6642000</v>
      </c>
      <c r="N4924" t="s">
        <v>108</v>
      </c>
      <c r="O4924" t="s">
        <v>104</v>
      </c>
    </row>
    <row r="4925" spans="1:15" x14ac:dyDescent="0.25">
      <c r="A4925">
        <v>876</v>
      </c>
      <c r="B4925" s="10">
        <v>45806</v>
      </c>
      <c r="C4925">
        <v>29</v>
      </c>
      <c r="D4925" t="s">
        <v>120</v>
      </c>
      <c r="E4925" t="s">
        <v>112</v>
      </c>
      <c r="F4925" t="s">
        <v>148</v>
      </c>
      <c r="G4925" t="s">
        <v>118</v>
      </c>
      <c r="H4925" t="s">
        <v>92</v>
      </c>
      <c r="I4925" t="s">
        <v>158</v>
      </c>
      <c r="J4925" t="s">
        <v>103</v>
      </c>
      <c r="K4925">
        <v>26</v>
      </c>
      <c r="L4925">
        <v>185300</v>
      </c>
      <c r="M4925">
        <v>4817800</v>
      </c>
      <c r="N4925" t="s">
        <v>95</v>
      </c>
      <c r="O4925" t="s">
        <v>96</v>
      </c>
    </row>
    <row r="4926" spans="1:15" x14ac:dyDescent="0.25">
      <c r="A4926">
        <v>4975</v>
      </c>
      <c r="B4926" s="10">
        <v>45757</v>
      </c>
      <c r="C4926">
        <v>10</v>
      </c>
      <c r="D4926" t="s">
        <v>105</v>
      </c>
      <c r="E4926" t="s">
        <v>31</v>
      </c>
      <c r="F4926" t="s">
        <v>107</v>
      </c>
      <c r="G4926" t="s">
        <v>100</v>
      </c>
      <c r="H4926" t="s">
        <v>92</v>
      </c>
      <c r="I4926" t="s">
        <v>158</v>
      </c>
      <c r="J4926" t="s">
        <v>94</v>
      </c>
      <c r="K4926">
        <v>4</v>
      </c>
      <c r="L4926">
        <v>185300</v>
      </c>
      <c r="M4926">
        <v>741200</v>
      </c>
      <c r="N4926" t="s">
        <v>95</v>
      </c>
      <c r="O4926" t="s">
        <v>104</v>
      </c>
    </row>
    <row r="4927" spans="1:15" x14ac:dyDescent="0.25">
      <c r="A4927">
        <v>124</v>
      </c>
      <c r="B4927" s="10">
        <v>45731</v>
      </c>
      <c r="C4927">
        <v>15</v>
      </c>
      <c r="D4927" t="s">
        <v>140</v>
      </c>
      <c r="E4927" t="s">
        <v>142</v>
      </c>
      <c r="F4927" t="s">
        <v>141</v>
      </c>
      <c r="G4927" t="s">
        <v>100</v>
      </c>
      <c r="H4927" t="s">
        <v>92</v>
      </c>
      <c r="I4927" t="s">
        <v>158</v>
      </c>
      <c r="J4927" t="s">
        <v>94</v>
      </c>
      <c r="K4927">
        <v>8</v>
      </c>
      <c r="L4927">
        <v>186000</v>
      </c>
      <c r="M4927">
        <v>1488000</v>
      </c>
      <c r="N4927" t="s">
        <v>108</v>
      </c>
      <c r="O4927" t="s">
        <v>115</v>
      </c>
    </row>
    <row r="4928" spans="1:15" x14ac:dyDescent="0.25">
      <c r="A4928">
        <v>3844</v>
      </c>
      <c r="B4928" s="10">
        <v>45840</v>
      </c>
      <c r="C4928">
        <v>2</v>
      </c>
      <c r="D4928" t="s">
        <v>145</v>
      </c>
      <c r="E4928" t="s">
        <v>150</v>
      </c>
      <c r="F4928" t="s">
        <v>99</v>
      </c>
      <c r="G4928" t="s">
        <v>100</v>
      </c>
      <c r="H4928" t="s">
        <v>92</v>
      </c>
      <c r="I4928" t="s">
        <v>158</v>
      </c>
      <c r="J4928" t="s">
        <v>94</v>
      </c>
      <c r="K4928">
        <v>1</v>
      </c>
      <c r="L4928">
        <v>186300</v>
      </c>
      <c r="M4928">
        <v>186300</v>
      </c>
      <c r="N4928" t="s">
        <v>108</v>
      </c>
      <c r="O4928" t="s">
        <v>115</v>
      </c>
    </row>
    <row r="4929" spans="1:15" x14ac:dyDescent="0.25">
      <c r="A4929">
        <v>4948</v>
      </c>
      <c r="B4929" s="10">
        <v>45992</v>
      </c>
      <c r="C4929">
        <v>1</v>
      </c>
      <c r="D4929" t="s">
        <v>125</v>
      </c>
      <c r="E4929" t="s">
        <v>110</v>
      </c>
      <c r="F4929" t="s">
        <v>22</v>
      </c>
      <c r="G4929" t="s">
        <v>91</v>
      </c>
      <c r="H4929" t="s">
        <v>92</v>
      </c>
      <c r="I4929" t="s">
        <v>158</v>
      </c>
      <c r="J4929" t="s">
        <v>94</v>
      </c>
      <c r="K4929">
        <v>4</v>
      </c>
      <c r="L4929">
        <v>186700</v>
      </c>
      <c r="M4929">
        <v>746800</v>
      </c>
      <c r="N4929" t="s">
        <v>108</v>
      </c>
      <c r="O4929" t="s">
        <v>104</v>
      </c>
    </row>
    <row r="4930" spans="1:15" x14ac:dyDescent="0.25">
      <c r="A4930">
        <v>742</v>
      </c>
      <c r="B4930" s="10">
        <v>45837</v>
      </c>
      <c r="C4930">
        <v>29</v>
      </c>
      <c r="D4930" t="s">
        <v>153</v>
      </c>
      <c r="E4930" t="s">
        <v>137</v>
      </c>
      <c r="F4930" t="s">
        <v>117</v>
      </c>
      <c r="G4930" t="s">
        <v>118</v>
      </c>
      <c r="H4930" t="s">
        <v>92</v>
      </c>
      <c r="I4930" t="s">
        <v>158</v>
      </c>
      <c r="J4930" t="s">
        <v>94</v>
      </c>
      <c r="K4930">
        <v>4</v>
      </c>
      <c r="L4930">
        <v>187200</v>
      </c>
      <c r="M4930">
        <v>748800</v>
      </c>
      <c r="N4930" t="s">
        <v>108</v>
      </c>
      <c r="O4930" t="s">
        <v>115</v>
      </c>
    </row>
    <row r="4931" spans="1:15" x14ac:dyDescent="0.25">
      <c r="A4931">
        <v>2176</v>
      </c>
      <c r="B4931" s="10">
        <v>45718</v>
      </c>
      <c r="C4931">
        <v>2</v>
      </c>
      <c r="D4931" t="s">
        <v>140</v>
      </c>
      <c r="E4931" t="s">
        <v>161</v>
      </c>
      <c r="F4931" t="s">
        <v>144</v>
      </c>
      <c r="G4931" t="s">
        <v>91</v>
      </c>
      <c r="H4931" t="s">
        <v>92</v>
      </c>
      <c r="I4931" t="s">
        <v>158</v>
      </c>
      <c r="J4931" t="s">
        <v>103</v>
      </c>
      <c r="K4931">
        <v>45</v>
      </c>
      <c r="L4931">
        <v>187800</v>
      </c>
      <c r="M4931">
        <v>8451000</v>
      </c>
      <c r="N4931" t="s">
        <v>108</v>
      </c>
      <c r="O4931" t="s">
        <v>96</v>
      </c>
    </row>
    <row r="4932" spans="1:15" x14ac:dyDescent="0.25">
      <c r="A4932">
        <v>2219</v>
      </c>
      <c r="B4932" s="10">
        <v>45961</v>
      </c>
      <c r="C4932">
        <v>31</v>
      </c>
      <c r="D4932" t="s">
        <v>136</v>
      </c>
      <c r="E4932" t="s">
        <v>31</v>
      </c>
      <c r="F4932" t="s">
        <v>122</v>
      </c>
      <c r="G4932" t="s">
        <v>114</v>
      </c>
      <c r="H4932" t="s">
        <v>92</v>
      </c>
      <c r="I4932" t="s">
        <v>158</v>
      </c>
      <c r="J4932" t="s">
        <v>103</v>
      </c>
      <c r="K4932">
        <v>18</v>
      </c>
      <c r="L4932">
        <v>187800</v>
      </c>
      <c r="M4932">
        <v>3380400</v>
      </c>
      <c r="N4932" t="s">
        <v>95</v>
      </c>
      <c r="O4932" t="s">
        <v>115</v>
      </c>
    </row>
    <row r="4933" spans="1:15" x14ac:dyDescent="0.25">
      <c r="A4933">
        <v>4091</v>
      </c>
      <c r="B4933" s="10">
        <v>45850</v>
      </c>
      <c r="C4933">
        <v>12</v>
      </c>
      <c r="D4933" t="s">
        <v>145</v>
      </c>
      <c r="E4933" t="s">
        <v>121</v>
      </c>
      <c r="F4933" t="s">
        <v>113</v>
      </c>
      <c r="G4933" t="s">
        <v>114</v>
      </c>
      <c r="H4933" t="s">
        <v>92</v>
      </c>
      <c r="I4933" t="s">
        <v>158</v>
      </c>
      <c r="J4933" t="s">
        <v>94</v>
      </c>
      <c r="K4933">
        <v>8</v>
      </c>
      <c r="L4933">
        <v>189000</v>
      </c>
      <c r="M4933">
        <v>1512000</v>
      </c>
      <c r="N4933" t="s">
        <v>108</v>
      </c>
      <c r="O4933" t="s">
        <v>96</v>
      </c>
    </row>
    <row r="4934" spans="1:15" x14ac:dyDescent="0.25">
      <c r="A4934">
        <v>1869</v>
      </c>
      <c r="B4934" s="10">
        <v>45731</v>
      </c>
      <c r="C4934">
        <v>15</v>
      </c>
      <c r="D4934" t="s">
        <v>140</v>
      </c>
      <c r="E4934" t="s">
        <v>128</v>
      </c>
      <c r="F4934" t="s">
        <v>28</v>
      </c>
      <c r="G4934" t="s">
        <v>126</v>
      </c>
      <c r="H4934" t="s">
        <v>92</v>
      </c>
      <c r="I4934" t="s">
        <v>158</v>
      </c>
      <c r="J4934" t="s">
        <v>94</v>
      </c>
      <c r="K4934">
        <v>7</v>
      </c>
      <c r="L4934">
        <v>189100</v>
      </c>
      <c r="M4934">
        <v>1323700</v>
      </c>
      <c r="N4934" t="s">
        <v>95</v>
      </c>
      <c r="O4934" t="s">
        <v>96</v>
      </c>
    </row>
    <row r="4935" spans="1:15" x14ac:dyDescent="0.25">
      <c r="A4935">
        <v>4748</v>
      </c>
      <c r="B4935" s="10">
        <v>45827</v>
      </c>
      <c r="C4935">
        <v>19</v>
      </c>
      <c r="D4935" t="s">
        <v>153</v>
      </c>
      <c r="E4935" t="s">
        <v>138</v>
      </c>
      <c r="F4935" t="s">
        <v>134</v>
      </c>
      <c r="G4935" t="s">
        <v>100</v>
      </c>
      <c r="H4935" t="s">
        <v>92</v>
      </c>
      <c r="I4935" t="s">
        <v>158</v>
      </c>
      <c r="J4935" t="s">
        <v>94</v>
      </c>
      <c r="K4935">
        <v>3</v>
      </c>
      <c r="L4935">
        <v>189100</v>
      </c>
      <c r="M4935">
        <v>567300</v>
      </c>
      <c r="N4935" t="s">
        <v>108</v>
      </c>
      <c r="O4935" t="s">
        <v>96</v>
      </c>
    </row>
    <row r="4936" spans="1:15" x14ac:dyDescent="0.25">
      <c r="A4936">
        <v>3580</v>
      </c>
      <c r="B4936" s="10">
        <v>45985</v>
      </c>
      <c r="C4936">
        <v>24</v>
      </c>
      <c r="D4936" t="s">
        <v>90</v>
      </c>
      <c r="E4936" t="s">
        <v>133</v>
      </c>
      <c r="F4936" t="s">
        <v>22</v>
      </c>
      <c r="G4936" t="s">
        <v>91</v>
      </c>
      <c r="H4936" t="s">
        <v>92</v>
      </c>
      <c r="I4936" t="s">
        <v>158</v>
      </c>
      <c r="J4936" t="s">
        <v>94</v>
      </c>
      <c r="K4936">
        <v>3</v>
      </c>
      <c r="L4936">
        <v>189300</v>
      </c>
      <c r="M4936">
        <v>567900</v>
      </c>
      <c r="N4936" t="s">
        <v>95</v>
      </c>
      <c r="O4936" t="s">
        <v>104</v>
      </c>
    </row>
    <row r="4937" spans="1:15" x14ac:dyDescent="0.25">
      <c r="A4937">
        <v>3376</v>
      </c>
      <c r="B4937" s="10">
        <v>45852</v>
      </c>
      <c r="C4937">
        <v>14</v>
      </c>
      <c r="D4937" t="s">
        <v>145</v>
      </c>
      <c r="E4937" t="s">
        <v>25</v>
      </c>
      <c r="F4937" t="s">
        <v>151</v>
      </c>
      <c r="G4937" t="s">
        <v>111</v>
      </c>
      <c r="H4937" t="s">
        <v>92</v>
      </c>
      <c r="I4937" t="s">
        <v>158</v>
      </c>
      <c r="J4937" t="s">
        <v>94</v>
      </c>
      <c r="K4937">
        <v>2</v>
      </c>
      <c r="L4937">
        <v>189800</v>
      </c>
      <c r="M4937">
        <v>379600</v>
      </c>
      <c r="N4937" t="s">
        <v>108</v>
      </c>
      <c r="O4937" t="s">
        <v>96</v>
      </c>
    </row>
    <row r="4938" spans="1:15" x14ac:dyDescent="0.25">
      <c r="A4938">
        <v>4300</v>
      </c>
      <c r="B4938" s="10">
        <v>45774</v>
      </c>
      <c r="C4938">
        <v>27</v>
      </c>
      <c r="D4938" t="s">
        <v>105</v>
      </c>
      <c r="E4938" t="s">
        <v>106</v>
      </c>
      <c r="F4938" t="s">
        <v>36</v>
      </c>
      <c r="G4938" t="s">
        <v>100</v>
      </c>
      <c r="H4938" t="s">
        <v>92</v>
      </c>
      <c r="I4938" t="s">
        <v>158</v>
      </c>
      <c r="J4938" t="s">
        <v>94</v>
      </c>
      <c r="K4938">
        <v>3</v>
      </c>
      <c r="L4938">
        <v>192100</v>
      </c>
      <c r="M4938">
        <v>576300</v>
      </c>
      <c r="N4938" t="s">
        <v>108</v>
      </c>
      <c r="O4938" t="s">
        <v>96</v>
      </c>
    </row>
    <row r="4939" spans="1:15" x14ac:dyDescent="0.25">
      <c r="A4939">
        <v>137</v>
      </c>
      <c r="B4939" s="10">
        <v>45675</v>
      </c>
      <c r="C4939">
        <v>18</v>
      </c>
      <c r="D4939" t="s">
        <v>130</v>
      </c>
      <c r="E4939" t="s">
        <v>110</v>
      </c>
      <c r="F4939" t="s">
        <v>113</v>
      </c>
      <c r="G4939" t="s">
        <v>114</v>
      </c>
      <c r="H4939" t="s">
        <v>92</v>
      </c>
      <c r="I4939" t="s">
        <v>158</v>
      </c>
      <c r="J4939" t="s">
        <v>94</v>
      </c>
      <c r="K4939">
        <v>5</v>
      </c>
      <c r="L4939">
        <v>192200</v>
      </c>
      <c r="M4939">
        <v>961000</v>
      </c>
      <c r="N4939" t="s">
        <v>108</v>
      </c>
      <c r="O4939" t="s">
        <v>96</v>
      </c>
    </row>
    <row r="4940" spans="1:15" x14ac:dyDescent="0.25">
      <c r="A4940">
        <v>2467</v>
      </c>
      <c r="B4940" s="10">
        <v>45991</v>
      </c>
      <c r="C4940">
        <v>30</v>
      </c>
      <c r="D4940" t="s">
        <v>90</v>
      </c>
      <c r="E4940" t="s">
        <v>133</v>
      </c>
      <c r="F4940" t="s">
        <v>113</v>
      </c>
      <c r="G4940" t="s">
        <v>114</v>
      </c>
      <c r="H4940" t="s">
        <v>92</v>
      </c>
      <c r="I4940" t="s">
        <v>158</v>
      </c>
      <c r="J4940" t="s">
        <v>94</v>
      </c>
      <c r="K4940">
        <v>2</v>
      </c>
      <c r="L4940">
        <v>192400</v>
      </c>
      <c r="M4940">
        <v>384800</v>
      </c>
      <c r="N4940" t="s">
        <v>95</v>
      </c>
      <c r="O4940" t="s">
        <v>104</v>
      </c>
    </row>
    <row r="4941" spans="1:15" x14ac:dyDescent="0.25">
      <c r="A4941">
        <v>3774</v>
      </c>
      <c r="B4941" s="10">
        <v>45710</v>
      </c>
      <c r="C4941">
        <v>22</v>
      </c>
      <c r="D4941" t="s">
        <v>97</v>
      </c>
      <c r="E4941" t="s">
        <v>25</v>
      </c>
      <c r="F4941" t="s">
        <v>144</v>
      </c>
      <c r="G4941" t="s">
        <v>91</v>
      </c>
      <c r="H4941" t="s">
        <v>92</v>
      </c>
      <c r="I4941" t="s">
        <v>158</v>
      </c>
      <c r="J4941" t="s">
        <v>94</v>
      </c>
      <c r="K4941">
        <v>9</v>
      </c>
      <c r="L4941">
        <v>192400</v>
      </c>
      <c r="M4941">
        <v>1731600</v>
      </c>
      <c r="N4941" t="s">
        <v>108</v>
      </c>
      <c r="O4941" t="s">
        <v>96</v>
      </c>
    </row>
    <row r="4942" spans="1:15" x14ac:dyDescent="0.25">
      <c r="A4942">
        <v>4325</v>
      </c>
      <c r="B4942" s="10">
        <v>45727</v>
      </c>
      <c r="C4942">
        <v>11</v>
      </c>
      <c r="D4942" t="s">
        <v>140</v>
      </c>
      <c r="E4942" t="s">
        <v>112</v>
      </c>
      <c r="F4942" t="s">
        <v>144</v>
      </c>
      <c r="G4942" t="s">
        <v>91</v>
      </c>
      <c r="H4942" t="s">
        <v>92</v>
      </c>
      <c r="I4942" t="s">
        <v>158</v>
      </c>
      <c r="J4942" t="s">
        <v>94</v>
      </c>
      <c r="K4942">
        <v>6</v>
      </c>
      <c r="L4942">
        <v>192400</v>
      </c>
      <c r="M4942">
        <v>1154400</v>
      </c>
      <c r="N4942" t="s">
        <v>108</v>
      </c>
      <c r="O4942" t="s">
        <v>115</v>
      </c>
    </row>
    <row r="4943" spans="1:15" x14ac:dyDescent="0.25">
      <c r="A4943">
        <v>4385</v>
      </c>
      <c r="B4943" s="10">
        <v>45865</v>
      </c>
      <c r="C4943">
        <v>27</v>
      </c>
      <c r="D4943" t="s">
        <v>145</v>
      </c>
      <c r="E4943" t="s">
        <v>31</v>
      </c>
      <c r="F4943" t="s">
        <v>99</v>
      </c>
      <c r="G4943" t="s">
        <v>100</v>
      </c>
      <c r="H4943" t="s">
        <v>92</v>
      </c>
      <c r="I4943" t="s">
        <v>158</v>
      </c>
      <c r="J4943" t="s">
        <v>94</v>
      </c>
      <c r="K4943">
        <v>5</v>
      </c>
      <c r="L4943">
        <v>193900</v>
      </c>
      <c r="M4943">
        <v>969500</v>
      </c>
      <c r="N4943" t="s">
        <v>108</v>
      </c>
      <c r="O4943" t="s">
        <v>96</v>
      </c>
    </row>
    <row r="4944" spans="1:15" x14ac:dyDescent="0.25">
      <c r="A4944">
        <v>3494</v>
      </c>
      <c r="B4944" s="10">
        <v>45807</v>
      </c>
      <c r="C4944">
        <v>30</v>
      </c>
      <c r="D4944" t="s">
        <v>120</v>
      </c>
      <c r="E4944" t="s">
        <v>133</v>
      </c>
      <c r="F4944" t="s">
        <v>107</v>
      </c>
      <c r="G4944" t="s">
        <v>100</v>
      </c>
      <c r="H4944" t="s">
        <v>92</v>
      </c>
      <c r="I4944" t="s">
        <v>158</v>
      </c>
      <c r="J4944" t="s">
        <v>94</v>
      </c>
      <c r="K4944">
        <v>4</v>
      </c>
      <c r="L4944">
        <v>194600</v>
      </c>
      <c r="M4944">
        <v>778400</v>
      </c>
      <c r="N4944" t="s">
        <v>108</v>
      </c>
      <c r="O4944" t="s">
        <v>96</v>
      </c>
    </row>
    <row r="4945" spans="1:15" x14ac:dyDescent="0.25">
      <c r="A4945">
        <v>1920</v>
      </c>
      <c r="B4945" s="10">
        <v>45880</v>
      </c>
      <c r="C4945">
        <v>11</v>
      </c>
      <c r="D4945" t="s">
        <v>109</v>
      </c>
      <c r="E4945" t="s">
        <v>112</v>
      </c>
      <c r="F4945" t="s">
        <v>141</v>
      </c>
      <c r="G4945" t="s">
        <v>100</v>
      </c>
      <c r="H4945" t="s">
        <v>92</v>
      </c>
      <c r="I4945" t="s">
        <v>158</v>
      </c>
      <c r="J4945" t="s">
        <v>94</v>
      </c>
      <c r="K4945">
        <v>10</v>
      </c>
      <c r="L4945">
        <v>195300</v>
      </c>
      <c r="M4945">
        <v>1953000</v>
      </c>
      <c r="N4945" t="s">
        <v>95</v>
      </c>
      <c r="O4945" t="s">
        <v>104</v>
      </c>
    </row>
    <row r="4946" spans="1:15" x14ac:dyDescent="0.25">
      <c r="A4946">
        <v>4837</v>
      </c>
      <c r="B4946" s="10">
        <v>45899</v>
      </c>
      <c r="C4946">
        <v>30</v>
      </c>
      <c r="D4946" t="s">
        <v>109</v>
      </c>
      <c r="E4946" t="s">
        <v>112</v>
      </c>
      <c r="F4946" t="s">
        <v>36</v>
      </c>
      <c r="G4946" t="s">
        <v>100</v>
      </c>
      <c r="H4946" t="s">
        <v>92</v>
      </c>
      <c r="I4946" t="s">
        <v>158</v>
      </c>
      <c r="J4946" t="s">
        <v>94</v>
      </c>
      <c r="K4946">
        <v>10</v>
      </c>
      <c r="L4946">
        <v>195300</v>
      </c>
      <c r="M4946">
        <v>1953000</v>
      </c>
      <c r="N4946" t="s">
        <v>108</v>
      </c>
      <c r="O4946" t="s">
        <v>115</v>
      </c>
    </row>
    <row r="4947" spans="1:15" x14ac:dyDescent="0.25">
      <c r="A4947">
        <v>2907</v>
      </c>
      <c r="B4947" s="10">
        <v>45959</v>
      </c>
      <c r="C4947">
        <v>29</v>
      </c>
      <c r="D4947" t="s">
        <v>136</v>
      </c>
      <c r="E4947" t="s">
        <v>137</v>
      </c>
      <c r="F4947" t="s">
        <v>44</v>
      </c>
      <c r="G4947" t="s">
        <v>111</v>
      </c>
      <c r="H4947" t="s">
        <v>92</v>
      </c>
      <c r="I4947" t="s">
        <v>158</v>
      </c>
      <c r="J4947" t="s">
        <v>94</v>
      </c>
      <c r="K4947">
        <v>7</v>
      </c>
      <c r="L4947">
        <v>195800</v>
      </c>
      <c r="M4947">
        <v>1370600</v>
      </c>
      <c r="N4947" t="s">
        <v>95</v>
      </c>
      <c r="O4947" t="s">
        <v>104</v>
      </c>
    </row>
    <row r="4948" spans="1:15" x14ac:dyDescent="0.25">
      <c r="A4948">
        <v>3792</v>
      </c>
      <c r="B4948" s="10">
        <v>45719</v>
      </c>
      <c r="C4948">
        <v>3</v>
      </c>
      <c r="D4948" t="s">
        <v>140</v>
      </c>
      <c r="E4948" t="s">
        <v>112</v>
      </c>
      <c r="F4948" t="s">
        <v>107</v>
      </c>
      <c r="G4948" t="s">
        <v>100</v>
      </c>
      <c r="H4948" t="s">
        <v>92</v>
      </c>
      <c r="I4948" t="s">
        <v>158</v>
      </c>
      <c r="J4948" t="s">
        <v>94</v>
      </c>
      <c r="K4948">
        <v>3</v>
      </c>
      <c r="L4948">
        <v>195900</v>
      </c>
      <c r="M4948">
        <v>587700</v>
      </c>
      <c r="N4948" t="s">
        <v>108</v>
      </c>
      <c r="O4948" t="s">
        <v>96</v>
      </c>
    </row>
    <row r="4949" spans="1:15" x14ac:dyDescent="0.25">
      <c r="A4949">
        <v>1484</v>
      </c>
      <c r="B4949" s="10">
        <v>45776</v>
      </c>
      <c r="C4949">
        <v>29</v>
      </c>
      <c r="D4949" t="s">
        <v>105</v>
      </c>
      <c r="E4949" t="s">
        <v>112</v>
      </c>
      <c r="F4949" t="s">
        <v>117</v>
      </c>
      <c r="G4949" t="s">
        <v>118</v>
      </c>
      <c r="H4949" t="s">
        <v>92</v>
      </c>
      <c r="I4949" t="s">
        <v>158</v>
      </c>
      <c r="J4949" t="s">
        <v>94</v>
      </c>
      <c r="K4949">
        <v>3</v>
      </c>
      <c r="L4949">
        <v>196000</v>
      </c>
      <c r="M4949">
        <v>588000</v>
      </c>
      <c r="N4949" t="s">
        <v>108</v>
      </c>
      <c r="O4949" t="s">
        <v>115</v>
      </c>
    </row>
    <row r="4950" spans="1:15" x14ac:dyDescent="0.25">
      <c r="A4950">
        <v>902</v>
      </c>
      <c r="B4950" s="10">
        <v>45718</v>
      </c>
      <c r="C4950">
        <v>2</v>
      </c>
      <c r="D4950" t="s">
        <v>140</v>
      </c>
      <c r="E4950" t="s">
        <v>106</v>
      </c>
      <c r="F4950" t="s">
        <v>36</v>
      </c>
      <c r="G4950" t="s">
        <v>100</v>
      </c>
      <c r="H4950" t="s">
        <v>92</v>
      </c>
      <c r="I4950" t="s">
        <v>158</v>
      </c>
      <c r="J4950" t="s">
        <v>94</v>
      </c>
      <c r="K4950">
        <v>5</v>
      </c>
      <c r="L4950">
        <v>196100</v>
      </c>
      <c r="M4950">
        <v>980500</v>
      </c>
      <c r="N4950" t="s">
        <v>95</v>
      </c>
      <c r="O4950" t="s">
        <v>104</v>
      </c>
    </row>
    <row r="4951" spans="1:15" x14ac:dyDescent="0.25">
      <c r="A4951">
        <v>3682</v>
      </c>
      <c r="B4951" s="10">
        <v>45836</v>
      </c>
      <c r="C4951">
        <v>28</v>
      </c>
      <c r="D4951" t="s">
        <v>153</v>
      </c>
      <c r="E4951" t="s">
        <v>106</v>
      </c>
      <c r="F4951" t="s">
        <v>117</v>
      </c>
      <c r="G4951" t="s">
        <v>118</v>
      </c>
      <c r="H4951" t="s">
        <v>92</v>
      </c>
      <c r="I4951" t="s">
        <v>158</v>
      </c>
      <c r="J4951" t="s">
        <v>94</v>
      </c>
      <c r="K4951">
        <v>7</v>
      </c>
      <c r="L4951">
        <v>196100</v>
      </c>
      <c r="M4951">
        <v>1372700</v>
      </c>
      <c r="N4951" t="s">
        <v>95</v>
      </c>
      <c r="O4951" t="s">
        <v>96</v>
      </c>
    </row>
    <row r="4952" spans="1:15" x14ac:dyDescent="0.25">
      <c r="A4952">
        <v>4090</v>
      </c>
      <c r="B4952" s="10">
        <v>45917</v>
      </c>
      <c r="C4952">
        <v>17</v>
      </c>
      <c r="D4952" t="s">
        <v>147</v>
      </c>
      <c r="E4952" t="s">
        <v>133</v>
      </c>
      <c r="F4952" t="s">
        <v>99</v>
      </c>
      <c r="G4952" t="s">
        <v>100</v>
      </c>
      <c r="H4952" t="s">
        <v>92</v>
      </c>
      <c r="I4952" t="s">
        <v>158</v>
      </c>
      <c r="J4952" t="s">
        <v>94</v>
      </c>
      <c r="K4952">
        <v>9</v>
      </c>
      <c r="L4952">
        <v>196100</v>
      </c>
      <c r="M4952">
        <v>1764900</v>
      </c>
      <c r="N4952" t="s">
        <v>108</v>
      </c>
      <c r="O4952" t="s">
        <v>96</v>
      </c>
    </row>
    <row r="4953" spans="1:15" x14ac:dyDescent="0.25">
      <c r="A4953">
        <v>1031</v>
      </c>
      <c r="B4953" s="10">
        <v>45859</v>
      </c>
      <c r="C4953">
        <v>21</v>
      </c>
      <c r="D4953" t="s">
        <v>145</v>
      </c>
      <c r="E4953" t="s">
        <v>112</v>
      </c>
      <c r="F4953" t="s">
        <v>22</v>
      </c>
      <c r="G4953" t="s">
        <v>91</v>
      </c>
      <c r="H4953" t="s">
        <v>92</v>
      </c>
      <c r="I4953" t="s">
        <v>158</v>
      </c>
      <c r="J4953" t="s">
        <v>94</v>
      </c>
      <c r="K4953">
        <v>9</v>
      </c>
      <c r="L4953">
        <v>197400</v>
      </c>
      <c r="M4953">
        <v>1776600</v>
      </c>
      <c r="N4953" t="s">
        <v>108</v>
      </c>
      <c r="O4953" t="s">
        <v>115</v>
      </c>
    </row>
    <row r="4954" spans="1:15" x14ac:dyDescent="0.25">
      <c r="A4954">
        <v>81</v>
      </c>
      <c r="B4954" s="10">
        <v>45961</v>
      </c>
      <c r="C4954">
        <v>31</v>
      </c>
      <c r="D4954" t="s">
        <v>136</v>
      </c>
      <c r="E4954" t="s">
        <v>161</v>
      </c>
      <c r="F4954" t="s">
        <v>141</v>
      </c>
      <c r="G4954" t="s">
        <v>100</v>
      </c>
      <c r="H4954" t="s">
        <v>92</v>
      </c>
      <c r="I4954" t="s">
        <v>158</v>
      </c>
      <c r="J4954" t="s">
        <v>94</v>
      </c>
      <c r="K4954">
        <v>5</v>
      </c>
      <c r="L4954">
        <v>197800</v>
      </c>
      <c r="M4954">
        <v>989000</v>
      </c>
      <c r="N4954" t="s">
        <v>95</v>
      </c>
      <c r="O4954" t="s">
        <v>96</v>
      </c>
    </row>
    <row r="4955" spans="1:15" x14ac:dyDescent="0.25">
      <c r="A4955">
        <v>2145</v>
      </c>
      <c r="B4955" s="10">
        <v>45755</v>
      </c>
      <c r="C4955">
        <v>8</v>
      </c>
      <c r="D4955" t="s">
        <v>105</v>
      </c>
      <c r="E4955" t="s">
        <v>161</v>
      </c>
      <c r="F4955" t="s">
        <v>44</v>
      </c>
      <c r="G4955" t="s">
        <v>111</v>
      </c>
      <c r="H4955" t="s">
        <v>92</v>
      </c>
      <c r="I4955" t="s">
        <v>158</v>
      </c>
      <c r="J4955" t="s">
        <v>94</v>
      </c>
      <c r="K4955">
        <v>10</v>
      </c>
      <c r="L4955">
        <v>197800</v>
      </c>
      <c r="M4955">
        <v>1978000</v>
      </c>
      <c r="N4955" t="s">
        <v>95</v>
      </c>
      <c r="O4955" t="s">
        <v>96</v>
      </c>
    </row>
    <row r="4956" spans="1:15" x14ac:dyDescent="0.25">
      <c r="A4956">
        <v>1840</v>
      </c>
      <c r="B4956" s="10">
        <v>45807</v>
      </c>
      <c r="C4956">
        <v>30</v>
      </c>
      <c r="D4956" t="s">
        <v>120</v>
      </c>
      <c r="E4956" t="s">
        <v>31</v>
      </c>
      <c r="F4956" t="s">
        <v>113</v>
      </c>
      <c r="G4956" t="s">
        <v>114</v>
      </c>
      <c r="H4956" t="s">
        <v>92</v>
      </c>
      <c r="I4956" t="s">
        <v>158</v>
      </c>
      <c r="J4956" t="s">
        <v>94</v>
      </c>
      <c r="K4956">
        <v>2</v>
      </c>
      <c r="L4956">
        <v>197900</v>
      </c>
      <c r="M4956">
        <v>395800</v>
      </c>
      <c r="N4956" t="s">
        <v>108</v>
      </c>
      <c r="O4956" t="s">
        <v>104</v>
      </c>
    </row>
    <row r="4957" spans="1:15" x14ac:dyDescent="0.25">
      <c r="A4957">
        <v>4294</v>
      </c>
      <c r="B4957" s="10">
        <v>45770</v>
      </c>
      <c r="C4957">
        <v>23</v>
      </c>
      <c r="D4957" t="s">
        <v>105</v>
      </c>
      <c r="E4957" t="s">
        <v>161</v>
      </c>
      <c r="F4957" t="s">
        <v>122</v>
      </c>
      <c r="G4957" t="s">
        <v>114</v>
      </c>
      <c r="H4957" t="s">
        <v>92</v>
      </c>
      <c r="I4957" t="s">
        <v>158</v>
      </c>
      <c r="J4957" t="s">
        <v>94</v>
      </c>
      <c r="K4957">
        <v>9</v>
      </c>
      <c r="L4957">
        <v>197900</v>
      </c>
      <c r="M4957">
        <v>1781100</v>
      </c>
      <c r="N4957" t="s">
        <v>108</v>
      </c>
      <c r="O4957" t="s">
        <v>115</v>
      </c>
    </row>
    <row r="4958" spans="1:15" x14ac:dyDescent="0.25">
      <c r="A4958">
        <v>2923</v>
      </c>
      <c r="B4958" s="10">
        <v>45702</v>
      </c>
      <c r="C4958">
        <v>14</v>
      </c>
      <c r="D4958" t="s">
        <v>97</v>
      </c>
      <c r="E4958" t="s">
        <v>25</v>
      </c>
      <c r="F4958" t="s">
        <v>28</v>
      </c>
      <c r="G4958" t="s">
        <v>126</v>
      </c>
      <c r="H4958" t="s">
        <v>92</v>
      </c>
      <c r="I4958" t="s">
        <v>158</v>
      </c>
      <c r="J4958" t="s">
        <v>94</v>
      </c>
      <c r="K4958">
        <v>3</v>
      </c>
      <c r="L4958">
        <v>198100</v>
      </c>
      <c r="M4958">
        <v>594300</v>
      </c>
      <c r="N4958" t="s">
        <v>108</v>
      </c>
      <c r="O4958" t="s">
        <v>104</v>
      </c>
    </row>
    <row r="4959" spans="1:15" x14ac:dyDescent="0.25">
      <c r="A4959">
        <v>2944</v>
      </c>
      <c r="B4959" s="10">
        <v>45800</v>
      </c>
      <c r="C4959">
        <v>23</v>
      </c>
      <c r="D4959" t="s">
        <v>120</v>
      </c>
      <c r="E4959" t="s">
        <v>31</v>
      </c>
      <c r="F4959" t="s">
        <v>117</v>
      </c>
      <c r="G4959" t="s">
        <v>118</v>
      </c>
      <c r="H4959" t="s">
        <v>92</v>
      </c>
      <c r="I4959" t="s">
        <v>158</v>
      </c>
      <c r="J4959" t="s">
        <v>94</v>
      </c>
      <c r="K4959">
        <v>1</v>
      </c>
      <c r="L4959">
        <v>198100</v>
      </c>
      <c r="M4959">
        <v>198100</v>
      </c>
      <c r="N4959" t="s">
        <v>95</v>
      </c>
      <c r="O4959" t="s">
        <v>96</v>
      </c>
    </row>
    <row r="4960" spans="1:15" x14ac:dyDescent="0.25">
      <c r="A4960">
        <v>871</v>
      </c>
      <c r="B4960" s="10">
        <v>45747</v>
      </c>
      <c r="C4960">
        <v>31</v>
      </c>
      <c r="D4960" t="s">
        <v>140</v>
      </c>
      <c r="E4960" t="s">
        <v>121</v>
      </c>
      <c r="F4960" t="s">
        <v>99</v>
      </c>
      <c r="G4960" t="s">
        <v>100</v>
      </c>
      <c r="H4960" t="s">
        <v>92</v>
      </c>
      <c r="I4960" t="s">
        <v>158</v>
      </c>
      <c r="J4960" t="s">
        <v>94</v>
      </c>
      <c r="K4960">
        <v>4</v>
      </c>
      <c r="L4960">
        <v>198200</v>
      </c>
      <c r="M4960">
        <v>792800</v>
      </c>
      <c r="N4960" t="s">
        <v>95</v>
      </c>
      <c r="O4960" t="s">
        <v>104</v>
      </c>
    </row>
    <row r="4961" spans="1:15" x14ac:dyDescent="0.25">
      <c r="A4961">
        <v>1968</v>
      </c>
      <c r="B4961" s="10">
        <v>45946</v>
      </c>
      <c r="C4961">
        <v>16</v>
      </c>
      <c r="D4961" t="s">
        <v>136</v>
      </c>
      <c r="E4961" t="s">
        <v>133</v>
      </c>
      <c r="F4961" t="s">
        <v>28</v>
      </c>
      <c r="G4961" t="s">
        <v>126</v>
      </c>
      <c r="H4961" t="s">
        <v>92</v>
      </c>
      <c r="I4961" t="s">
        <v>158</v>
      </c>
      <c r="J4961" t="s">
        <v>94</v>
      </c>
      <c r="K4961">
        <v>2</v>
      </c>
      <c r="L4961">
        <v>198500</v>
      </c>
      <c r="M4961">
        <v>397000</v>
      </c>
      <c r="N4961" t="s">
        <v>108</v>
      </c>
      <c r="O4961" t="s">
        <v>96</v>
      </c>
    </row>
    <row r="4962" spans="1:15" x14ac:dyDescent="0.25">
      <c r="A4962">
        <v>4930</v>
      </c>
      <c r="B4962" s="10">
        <v>45721</v>
      </c>
      <c r="C4962">
        <v>5</v>
      </c>
      <c r="D4962" t="s">
        <v>140</v>
      </c>
      <c r="E4962" t="s">
        <v>116</v>
      </c>
      <c r="F4962" t="s">
        <v>117</v>
      </c>
      <c r="G4962" t="s">
        <v>118</v>
      </c>
      <c r="H4962" t="s">
        <v>92</v>
      </c>
      <c r="I4962" t="s">
        <v>158</v>
      </c>
      <c r="J4962" t="s">
        <v>94</v>
      </c>
      <c r="K4962">
        <v>5</v>
      </c>
      <c r="L4962">
        <v>198600</v>
      </c>
      <c r="M4962">
        <v>993000</v>
      </c>
      <c r="N4962" t="s">
        <v>95</v>
      </c>
      <c r="O4962" t="s">
        <v>96</v>
      </c>
    </row>
    <row r="4963" spans="1:15" x14ac:dyDescent="0.25">
      <c r="A4963">
        <v>4706</v>
      </c>
      <c r="B4963" s="10">
        <v>45952</v>
      </c>
      <c r="C4963">
        <v>22</v>
      </c>
      <c r="D4963" t="s">
        <v>136</v>
      </c>
      <c r="E4963" t="s">
        <v>112</v>
      </c>
      <c r="F4963" t="s">
        <v>49</v>
      </c>
      <c r="G4963" t="s">
        <v>118</v>
      </c>
      <c r="H4963" t="s">
        <v>92</v>
      </c>
      <c r="I4963" t="s">
        <v>158</v>
      </c>
      <c r="J4963" t="s">
        <v>94</v>
      </c>
      <c r="K4963">
        <v>6</v>
      </c>
      <c r="L4963">
        <v>198700</v>
      </c>
      <c r="M4963">
        <v>1192200</v>
      </c>
      <c r="N4963" t="s">
        <v>108</v>
      </c>
      <c r="O4963" t="s">
        <v>96</v>
      </c>
    </row>
    <row r="4964" spans="1:15" x14ac:dyDescent="0.25">
      <c r="A4964">
        <v>1829</v>
      </c>
      <c r="B4964" s="10">
        <v>45869</v>
      </c>
      <c r="C4964">
        <v>31</v>
      </c>
      <c r="D4964" t="s">
        <v>145</v>
      </c>
      <c r="E4964" t="s">
        <v>161</v>
      </c>
      <c r="F4964" t="s">
        <v>36</v>
      </c>
      <c r="G4964" t="s">
        <v>100</v>
      </c>
      <c r="H4964" t="s">
        <v>92</v>
      </c>
      <c r="I4964" t="s">
        <v>158</v>
      </c>
      <c r="J4964" t="s">
        <v>94</v>
      </c>
      <c r="K4964">
        <v>10</v>
      </c>
      <c r="L4964">
        <v>199000</v>
      </c>
      <c r="M4964">
        <v>1990000</v>
      </c>
      <c r="N4964" t="s">
        <v>95</v>
      </c>
      <c r="O4964" t="s">
        <v>104</v>
      </c>
    </row>
    <row r="4965" spans="1:15" x14ac:dyDescent="0.25">
      <c r="A4965">
        <v>2755</v>
      </c>
      <c r="B4965" s="10">
        <v>45970</v>
      </c>
      <c r="C4965">
        <v>9</v>
      </c>
      <c r="D4965" t="s">
        <v>90</v>
      </c>
      <c r="E4965" t="s">
        <v>128</v>
      </c>
      <c r="F4965" t="s">
        <v>134</v>
      </c>
      <c r="G4965" t="s">
        <v>100</v>
      </c>
      <c r="H4965" t="s">
        <v>92</v>
      </c>
      <c r="I4965" t="s">
        <v>158</v>
      </c>
      <c r="J4965" t="s">
        <v>94</v>
      </c>
      <c r="K4965">
        <v>8</v>
      </c>
      <c r="L4965">
        <v>199300</v>
      </c>
      <c r="M4965">
        <v>1594400</v>
      </c>
      <c r="N4965" t="s">
        <v>108</v>
      </c>
      <c r="O4965" t="s">
        <v>96</v>
      </c>
    </row>
    <row r="4966" spans="1:15" x14ac:dyDescent="0.25">
      <c r="A4966">
        <v>4802</v>
      </c>
      <c r="B4966" s="10">
        <v>45999</v>
      </c>
      <c r="C4966">
        <v>8</v>
      </c>
      <c r="D4966" t="s">
        <v>125</v>
      </c>
      <c r="E4966" t="s">
        <v>137</v>
      </c>
      <c r="F4966" t="s">
        <v>148</v>
      </c>
      <c r="G4966" t="s">
        <v>118</v>
      </c>
      <c r="H4966" t="s">
        <v>92</v>
      </c>
      <c r="I4966" t="s">
        <v>158</v>
      </c>
      <c r="J4966" t="s">
        <v>94</v>
      </c>
      <c r="K4966">
        <v>8</v>
      </c>
      <c r="L4966">
        <v>199400</v>
      </c>
      <c r="M4966">
        <v>1595200</v>
      </c>
      <c r="N4966" t="s">
        <v>108</v>
      </c>
      <c r="O4966" t="s">
        <v>96</v>
      </c>
    </row>
    <row r="4967" spans="1:15" x14ac:dyDescent="0.25">
      <c r="A4967">
        <v>797</v>
      </c>
      <c r="B4967" s="10">
        <v>45779</v>
      </c>
      <c r="C4967">
        <v>2</v>
      </c>
      <c r="D4967" t="s">
        <v>120</v>
      </c>
      <c r="E4967" t="s">
        <v>98</v>
      </c>
      <c r="F4967" t="s">
        <v>151</v>
      </c>
      <c r="G4967" t="s">
        <v>111</v>
      </c>
      <c r="H4967" t="s">
        <v>92</v>
      </c>
      <c r="I4967" t="s">
        <v>158</v>
      </c>
      <c r="J4967" t="s">
        <v>94</v>
      </c>
      <c r="K4967">
        <v>10</v>
      </c>
      <c r="L4967">
        <v>199600</v>
      </c>
      <c r="M4967">
        <v>1996000</v>
      </c>
      <c r="N4967" t="s">
        <v>108</v>
      </c>
      <c r="O4967" t="s">
        <v>104</v>
      </c>
    </row>
    <row r="4968" spans="1:15" x14ac:dyDescent="0.25">
      <c r="A4968">
        <v>3550</v>
      </c>
      <c r="B4968" s="10">
        <v>45675</v>
      </c>
      <c r="C4968">
        <v>18</v>
      </c>
      <c r="D4968" t="s">
        <v>130</v>
      </c>
      <c r="E4968" t="s">
        <v>161</v>
      </c>
      <c r="F4968" t="s">
        <v>144</v>
      </c>
      <c r="G4968" t="s">
        <v>91</v>
      </c>
      <c r="H4968" t="s">
        <v>92</v>
      </c>
      <c r="I4968" t="s">
        <v>158</v>
      </c>
      <c r="J4968" t="s">
        <v>94</v>
      </c>
      <c r="K4968">
        <v>9</v>
      </c>
      <c r="L4968">
        <v>199600</v>
      </c>
      <c r="M4968">
        <v>1796400</v>
      </c>
      <c r="N4968" t="s">
        <v>108</v>
      </c>
      <c r="O4968" t="s">
        <v>96</v>
      </c>
    </row>
    <row r="4969" spans="1:15" x14ac:dyDescent="0.25">
      <c r="A4969">
        <v>1997</v>
      </c>
      <c r="B4969" s="10">
        <v>45827</v>
      </c>
      <c r="C4969">
        <v>19</v>
      </c>
      <c r="D4969" t="s">
        <v>153</v>
      </c>
      <c r="E4969" t="s">
        <v>142</v>
      </c>
      <c r="F4969" t="s">
        <v>28</v>
      </c>
      <c r="G4969" t="s">
        <v>126</v>
      </c>
      <c r="H4969" t="s">
        <v>92</v>
      </c>
      <c r="I4969" t="s">
        <v>158</v>
      </c>
      <c r="J4969" t="s">
        <v>94</v>
      </c>
      <c r="K4969">
        <v>4</v>
      </c>
      <c r="L4969">
        <v>199700</v>
      </c>
      <c r="M4969">
        <v>798800</v>
      </c>
      <c r="N4969" t="s">
        <v>108</v>
      </c>
      <c r="O4969" t="s">
        <v>115</v>
      </c>
    </row>
    <row r="4970" spans="1:15" x14ac:dyDescent="0.25">
      <c r="A4970">
        <v>4002</v>
      </c>
      <c r="B4970" s="10">
        <v>45785</v>
      </c>
      <c r="C4970">
        <v>8</v>
      </c>
      <c r="D4970" t="s">
        <v>120</v>
      </c>
      <c r="E4970" t="s">
        <v>98</v>
      </c>
      <c r="F4970" t="s">
        <v>144</v>
      </c>
      <c r="G4970" t="s">
        <v>91</v>
      </c>
      <c r="H4970" t="s">
        <v>92</v>
      </c>
      <c r="I4970" t="s">
        <v>158</v>
      </c>
      <c r="J4970" t="s">
        <v>94</v>
      </c>
      <c r="K4970">
        <v>3</v>
      </c>
      <c r="L4970">
        <v>199700</v>
      </c>
      <c r="M4970">
        <v>599100</v>
      </c>
      <c r="N4970" t="s">
        <v>95</v>
      </c>
      <c r="O4970" t="s">
        <v>115</v>
      </c>
    </row>
    <row r="4971" spans="1:15" x14ac:dyDescent="0.25">
      <c r="A4971">
        <v>3030</v>
      </c>
      <c r="B4971" s="10">
        <v>45860</v>
      </c>
      <c r="C4971">
        <v>22</v>
      </c>
      <c r="D4971" t="s">
        <v>145</v>
      </c>
      <c r="E4971" t="s">
        <v>133</v>
      </c>
      <c r="F4971" t="s">
        <v>28</v>
      </c>
      <c r="G4971" t="s">
        <v>126</v>
      </c>
      <c r="H4971" t="s">
        <v>92</v>
      </c>
      <c r="I4971" t="s">
        <v>158</v>
      </c>
      <c r="J4971" t="s">
        <v>94</v>
      </c>
      <c r="K4971">
        <v>8</v>
      </c>
      <c r="L4971">
        <v>200300</v>
      </c>
      <c r="M4971">
        <v>1602400</v>
      </c>
      <c r="N4971" t="s">
        <v>108</v>
      </c>
      <c r="O4971" t="s">
        <v>104</v>
      </c>
    </row>
    <row r="4972" spans="1:15" x14ac:dyDescent="0.25">
      <c r="A4972">
        <v>2743</v>
      </c>
      <c r="B4972" s="10">
        <v>45718</v>
      </c>
      <c r="C4972">
        <v>2</v>
      </c>
      <c r="D4972" t="s">
        <v>140</v>
      </c>
      <c r="E4972" t="s">
        <v>110</v>
      </c>
      <c r="F4972" t="s">
        <v>134</v>
      </c>
      <c r="G4972" t="s">
        <v>100</v>
      </c>
      <c r="H4972" t="s">
        <v>92</v>
      </c>
      <c r="I4972" t="s">
        <v>158</v>
      </c>
      <c r="J4972" t="s">
        <v>94</v>
      </c>
      <c r="K4972">
        <v>5</v>
      </c>
      <c r="L4972">
        <v>200400</v>
      </c>
      <c r="M4972">
        <v>1002000</v>
      </c>
      <c r="N4972" t="s">
        <v>95</v>
      </c>
      <c r="O4972" t="s">
        <v>104</v>
      </c>
    </row>
    <row r="4973" spans="1:15" x14ac:dyDescent="0.25">
      <c r="A4973">
        <v>4153</v>
      </c>
      <c r="B4973" s="10">
        <v>45827</v>
      </c>
      <c r="C4973">
        <v>19</v>
      </c>
      <c r="D4973" t="s">
        <v>153</v>
      </c>
      <c r="E4973" t="s">
        <v>150</v>
      </c>
      <c r="F4973" t="s">
        <v>36</v>
      </c>
      <c r="G4973" t="s">
        <v>100</v>
      </c>
      <c r="H4973" t="s">
        <v>92</v>
      </c>
      <c r="I4973" t="s">
        <v>158</v>
      </c>
      <c r="J4973" t="s">
        <v>94</v>
      </c>
      <c r="K4973">
        <v>3</v>
      </c>
      <c r="L4973">
        <v>200900</v>
      </c>
      <c r="M4973">
        <v>602700</v>
      </c>
      <c r="N4973" t="s">
        <v>95</v>
      </c>
      <c r="O4973" t="s">
        <v>115</v>
      </c>
    </row>
    <row r="4974" spans="1:15" x14ac:dyDescent="0.25">
      <c r="A4974">
        <v>725</v>
      </c>
      <c r="B4974" s="10">
        <v>46012</v>
      </c>
      <c r="C4974">
        <v>21</v>
      </c>
      <c r="D4974" t="s">
        <v>125</v>
      </c>
      <c r="E4974" t="s">
        <v>98</v>
      </c>
      <c r="F4974" t="s">
        <v>144</v>
      </c>
      <c r="G4974" t="s">
        <v>91</v>
      </c>
      <c r="H4974" t="s">
        <v>92</v>
      </c>
      <c r="I4974" t="s">
        <v>158</v>
      </c>
      <c r="J4974" t="s">
        <v>94</v>
      </c>
      <c r="K4974">
        <v>2</v>
      </c>
      <c r="L4974">
        <v>201700</v>
      </c>
      <c r="M4974">
        <v>403400</v>
      </c>
      <c r="N4974" t="s">
        <v>95</v>
      </c>
      <c r="O4974" t="s">
        <v>96</v>
      </c>
    </row>
    <row r="4975" spans="1:15" x14ac:dyDescent="0.25">
      <c r="A4975">
        <v>4382</v>
      </c>
      <c r="B4975" s="10">
        <v>45718</v>
      </c>
      <c r="C4975">
        <v>2</v>
      </c>
      <c r="D4975" t="s">
        <v>140</v>
      </c>
      <c r="E4975" t="s">
        <v>121</v>
      </c>
      <c r="F4975" t="s">
        <v>134</v>
      </c>
      <c r="G4975" t="s">
        <v>100</v>
      </c>
      <c r="H4975" t="s">
        <v>92</v>
      </c>
      <c r="I4975" t="s">
        <v>158</v>
      </c>
      <c r="J4975" t="s">
        <v>94</v>
      </c>
      <c r="K4975">
        <v>3</v>
      </c>
      <c r="L4975">
        <v>201800</v>
      </c>
      <c r="M4975">
        <v>605400</v>
      </c>
      <c r="N4975" t="s">
        <v>108</v>
      </c>
      <c r="O4975" t="s">
        <v>115</v>
      </c>
    </row>
    <row r="4976" spans="1:15" x14ac:dyDescent="0.25">
      <c r="A4976">
        <v>4110</v>
      </c>
      <c r="B4976" s="10">
        <v>45854</v>
      </c>
      <c r="C4976">
        <v>16</v>
      </c>
      <c r="D4976" t="s">
        <v>145</v>
      </c>
      <c r="E4976" t="s">
        <v>31</v>
      </c>
      <c r="F4976" t="s">
        <v>122</v>
      </c>
      <c r="G4976" t="s">
        <v>114</v>
      </c>
      <c r="H4976" t="s">
        <v>92</v>
      </c>
      <c r="I4976" t="s">
        <v>158</v>
      </c>
      <c r="J4976" t="s">
        <v>94</v>
      </c>
      <c r="K4976">
        <v>3</v>
      </c>
      <c r="L4976">
        <v>202300</v>
      </c>
      <c r="M4976">
        <v>606900</v>
      </c>
      <c r="N4976" t="s">
        <v>95</v>
      </c>
      <c r="O4976" t="s">
        <v>115</v>
      </c>
    </row>
    <row r="4977" spans="1:15" x14ac:dyDescent="0.25">
      <c r="A4977">
        <v>4150</v>
      </c>
      <c r="B4977" s="10">
        <v>45731</v>
      </c>
      <c r="C4977">
        <v>15</v>
      </c>
      <c r="D4977" t="s">
        <v>140</v>
      </c>
      <c r="E4977" t="s">
        <v>110</v>
      </c>
      <c r="F4977" t="s">
        <v>134</v>
      </c>
      <c r="G4977" t="s">
        <v>100</v>
      </c>
      <c r="H4977" t="s">
        <v>92</v>
      </c>
      <c r="I4977" t="s">
        <v>158</v>
      </c>
      <c r="J4977" t="s">
        <v>94</v>
      </c>
      <c r="K4977">
        <v>10</v>
      </c>
      <c r="L4977">
        <v>202400</v>
      </c>
      <c r="M4977">
        <v>2024000</v>
      </c>
      <c r="N4977" t="s">
        <v>95</v>
      </c>
      <c r="O4977" t="s">
        <v>115</v>
      </c>
    </row>
    <row r="4978" spans="1:15" x14ac:dyDescent="0.25">
      <c r="A4978">
        <v>2926</v>
      </c>
      <c r="B4978" s="10">
        <v>45681</v>
      </c>
      <c r="C4978">
        <v>24</v>
      </c>
      <c r="D4978" t="s">
        <v>130</v>
      </c>
      <c r="E4978" t="s">
        <v>128</v>
      </c>
      <c r="F4978" t="s">
        <v>44</v>
      </c>
      <c r="G4978" t="s">
        <v>111</v>
      </c>
      <c r="H4978" t="s">
        <v>92</v>
      </c>
      <c r="I4978" t="s">
        <v>158</v>
      </c>
      <c r="J4978" t="s">
        <v>94</v>
      </c>
      <c r="K4978">
        <v>8</v>
      </c>
      <c r="L4978">
        <v>202500</v>
      </c>
      <c r="M4978">
        <v>1620000</v>
      </c>
      <c r="N4978" t="s">
        <v>108</v>
      </c>
      <c r="O4978" t="s">
        <v>104</v>
      </c>
    </row>
    <row r="4979" spans="1:15" x14ac:dyDescent="0.25">
      <c r="A4979">
        <v>3622</v>
      </c>
      <c r="B4979" s="10">
        <v>45810</v>
      </c>
      <c r="C4979">
        <v>2</v>
      </c>
      <c r="D4979" t="s">
        <v>153</v>
      </c>
      <c r="E4979" t="s">
        <v>150</v>
      </c>
      <c r="F4979" t="s">
        <v>22</v>
      </c>
      <c r="G4979" t="s">
        <v>91</v>
      </c>
      <c r="H4979" t="s">
        <v>92</v>
      </c>
      <c r="I4979" t="s">
        <v>158</v>
      </c>
      <c r="J4979" t="s">
        <v>94</v>
      </c>
      <c r="K4979">
        <v>4</v>
      </c>
      <c r="L4979">
        <v>203500</v>
      </c>
      <c r="M4979">
        <v>814000</v>
      </c>
      <c r="N4979" t="s">
        <v>95</v>
      </c>
      <c r="O4979" t="s">
        <v>104</v>
      </c>
    </row>
    <row r="4980" spans="1:15" x14ac:dyDescent="0.25">
      <c r="A4980">
        <v>4427</v>
      </c>
      <c r="B4980" s="10">
        <v>45812</v>
      </c>
      <c r="C4980">
        <v>4</v>
      </c>
      <c r="D4980" t="s">
        <v>153</v>
      </c>
      <c r="E4980" t="s">
        <v>161</v>
      </c>
      <c r="F4980" t="s">
        <v>141</v>
      </c>
      <c r="G4980" t="s">
        <v>100</v>
      </c>
      <c r="H4980" t="s">
        <v>92</v>
      </c>
      <c r="I4980" t="s">
        <v>158</v>
      </c>
      <c r="J4980" t="s">
        <v>94</v>
      </c>
      <c r="K4980">
        <v>6</v>
      </c>
      <c r="L4980">
        <v>203500</v>
      </c>
      <c r="M4980">
        <v>1221000</v>
      </c>
      <c r="N4980" t="s">
        <v>108</v>
      </c>
      <c r="O4980" t="s">
        <v>96</v>
      </c>
    </row>
    <row r="4981" spans="1:15" x14ac:dyDescent="0.25">
      <c r="A4981">
        <v>69</v>
      </c>
      <c r="B4981" s="10">
        <v>45854</v>
      </c>
      <c r="C4981">
        <v>16</v>
      </c>
      <c r="D4981" t="s">
        <v>145</v>
      </c>
      <c r="E4981" t="s">
        <v>161</v>
      </c>
      <c r="F4981" t="s">
        <v>36</v>
      </c>
      <c r="G4981" t="s">
        <v>100</v>
      </c>
      <c r="H4981" t="s">
        <v>92</v>
      </c>
      <c r="I4981" t="s">
        <v>158</v>
      </c>
      <c r="J4981" t="s">
        <v>94</v>
      </c>
      <c r="K4981">
        <v>7</v>
      </c>
      <c r="L4981">
        <v>203600</v>
      </c>
      <c r="M4981">
        <v>1425200</v>
      </c>
      <c r="N4981" t="s">
        <v>108</v>
      </c>
      <c r="O4981" t="s">
        <v>115</v>
      </c>
    </row>
    <row r="4982" spans="1:15" x14ac:dyDescent="0.25">
      <c r="A4982">
        <v>4546</v>
      </c>
      <c r="B4982" s="10">
        <v>46002</v>
      </c>
      <c r="C4982">
        <v>11</v>
      </c>
      <c r="D4982" t="s">
        <v>125</v>
      </c>
      <c r="E4982" t="s">
        <v>133</v>
      </c>
      <c r="F4982" t="s">
        <v>134</v>
      </c>
      <c r="G4982" t="s">
        <v>100</v>
      </c>
      <c r="H4982" t="s">
        <v>92</v>
      </c>
      <c r="I4982" t="s">
        <v>158</v>
      </c>
      <c r="J4982" t="s">
        <v>94</v>
      </c>
      <c r="K4982">
        <v>9</v>
      </c>
      <c r="L4982">
        <v>205800</v>
      </c>
      <c r="M4982">
        <v>1852200</v>
      </c>
      <c r="N4982" t="s">
        <v>95</v>
      </c>
      <c r="O4982" t="s">
        <v>104</v>
      </c>
    </row>
    <row r="4983" spans="1:15" x14ac:dyDescent="0.25">
      <c r="A4983">
        <v>531</v>
      </c>
      <c r="B4983" s="10">
        <v>45806</v>
      </c>
      <c r="C4983">
        <v>29</v>
      </c>
      <c r="D4983" t="s">
        <v>120</v>
      </c>
      <c r="E4983" t="s">
        <v>98</v>
      </c>
      <c r="F4983" t="s">
        <v>113</v>
      </c>
      <c r="G4983" t="s">
        <v>114</v>
      </c>
      <c r="H4983" t="s">
        <v>92</v>
      </c>
      <c r="I4983" t="s">
        <v>158</v>
      </c>
      <c r="J4983" t="s">
        <v>94</v>
      </c>
      <c r="K4983">
        <v>9</v>
      </c>
      <c r="L4983">
        <v>206400</v>
      </c>
      <c r="M4983">
        <v>1857600</v>
      </c>
      <c r="N4983" t="s">
        <v>108</v>
      </c>
      <c r="O4983" t="s">
        <v>96</v>
      </c>
    </row>
    <row r="4984" spans="1:15" x14ac:dyDescent="0.25">
      <c r="A4984">
        <v>2341</v>
      </c>
      <c r="B4984" s="10">
        <v>45768</v>
      </c>
      <c r="C4984">
        <v>21</v>
      </c>
      <c r="D4984" t="s">
        <v>105</v>
      </c>
      <c r="E4984" t="s">
        <v>106</v>
      </c>
      <c r="F4984" t="s">
        <v>151</v>
      </c>
      <c r="G4984" t="s">
        <v>111</v>
      </c>
      <c r="H4984" t="s">
        <v>92</v>
      </c>
      <c r="I4984" t="s">
        <v>158</v>
      </c>
      <c r="J4984" t="s">
        <v>94</v>
      </c>
      <c r="K4984">
        <v>1</v>
      </c>
      <c r="L4984">
        <v>207000</v>
      </c>
      <c r="M4984">
        <v>207000</v>
      </c>
      <c r="N4984" t="s">
        <v>108</v>
      </c>
      <c r="O4984" t="s">
        <v>104</v>
      </c>
    </row>
    <row r="4985" spans="1:15" x14ac:dyDescent="0.25">
      <c r="A4985">
        <v>3215</v>
      </c>
      <c r="B4985" s="10">
        <v>45779</v>
      </c>
      <c r="C4985">
        <v>2</v>
      </c>
      <c r="D4985" t="s">
        <v>120</v>
      </c>
      <c r="E4985" t="s">
        <v>110</v>
      </c>
      <c r="F4985" t="s">
        <v>144</v>
      </c>
      <c r="G4985" t="s">
        <v>91</v>
      </c>
      <c r="H4985" t="s">
        <v>92</v>
      </c>
      <c r="I4985" t="s">
        <v>158</v>
      </c>
      <c r="J4985" t="s">
        <v>94</v>
      </c>
      <c r="K4985">
        <v>9</v>
      </c>
      <c r="L4985">
        <v>207400</v>
      </c>
      <c r="M4985">
        <v>1866600</v>
      </c>
      <c r="N4985" t="s">
        <v>108</v>
      </c>
      <c r="O4985" t="s">
        <v>96</v>
      </c>
    </row>
    <row r="4986" spans="1:15" x14ac:dyDescent="0.25">
      <c r="A4986">
        <v>314</v>
      </c>
      <c r="B4986" s="10">
        <v>45869</v>
      </c>
      <c r="C4986">
        <v>31</v>
      </c>
      <c r="D4986" t="s">
        <v>145</v>
      </c>
      <c r="E4986" t="s">
        <v>138</v>
      </c>
      <c r="F4986" t="s">
        <v>141</v>
      </c>
      <c r="G4986" t="s">
        <v>100</v>
      </c>
      <c r="H4986" t="s">
        <v>92</v>
      </c>
      <c r="I4986" t="s">
        <v>158</v>
      </c>
      <c r="J4986" t="s">
        <v>94</v>
      </c>
      <c r="K4986">
        <v>3</v>
      </c>
      <c r="L4986">
        <v>208100</v>
      </c>
      <c r="M4986">
        <v>624300</v>
      </c>
      <c r="N4986" t="s">
        <v>95</v>
      </c>
      <c r="O4986" t="s">
        <v>104</v>
      </c>
    </row>
    <row r="4987" spans="1:15" x14ac:dyDescent="0.25">
      <c r="A4987">
        <v>4831</v>
      </c>
      <c r="B4987" s="10">
        <v>45886</v>
      </c>
      <c r="C4987">
        <v>17</v>
      </c>
      <c r="D4987" t="s">
        <v>109</v>
      </c>
      <c r="E4987" t="s">
        <v>98</v>
      </c>
      <c r="F4987" t="s">
        <v>117</v>
      </c>
      <c r="G4987" t="s">
        <v>118</v>
      </c>
      <c r="H4987" t="s">
        <v>92</v>
      </c>
      <c r="I4987" t="s">
        <v>158</v>
      </c>
      <c r="J4987" t="s">
        <v>94</v>
      </c>
      <c r="K4987">
        <v>2</v>
      </c>
      <c r="L4987">
        <v>208700</v>
      </c>
      <c r="M4987">
        <v>417400</v>
      </c>
      <c r="N4987" t="s">
        <v>108</v>
      </c>
      <c r="O4987" t="s">
        <v>96</v>
      </c>
    </row>
    <row r="4988" spans="1:15" x14ac:dyDescent="0.25">
      <c r="A4988">
        <v>1634</v>
      </c>
      <c r="B4988" s="10">
        <v>45986</v>
      </c>
      <c r="C4988">
        <v>25</v>
      </c>
      <c r="D4988" t="s">
        <v>90</v>
      </c>
      <c r="E4988" t="s">
        <v>137</v>
      </c>
      <c r="F4988" t="s">
        <v>151</v>
      </c>
      <c r="G4988" t="s">
        <v>111</v>
      </c>
      <c r="H4988" t="s">
        <v>92</v>
      </c>
      <c r="I4988" t="s">
        <v>158</v>
      </c>
      <c r="J4988" t="s">
        <v>94</v>
      </c>
      <c r="K4988">
        <v>10</v>
      </c>
      <c r="L4988">
        <v>210300</v>
      </c>
      <c r="M4988">
        <v>2103000</v>
      </c>
      <c r="N4988" t="s">
        <v>108</v>
      </c>
      <c r="O4988" t="s">
        <v>104</v>
      </c>
    </row>
    <row r="4989" spans="1:15" x14ac:dyDescent="0.25">
      <c r="A4989">
        <v>3833</v>
      </c>
      <c r="B4989" s="10">
        <v>45825</v>
      </c>
      <c r="C4989">
        <v>17</v>
      </c>
      <c r="D4989" t="s">
        <v>153</v>
      </c>
      <c r="E4989" t="s">
        <v>110</v>
      </c>
      <c r="F4989" t="s">
        <v>151</v>
      </c>
      <c r="G4989" t="s">
        <v>111</v>
      </c>
      <c r="H4989" t="s">
        <v>92</v>
      </c>
      <c r="I4989" t="s">
        <v>158</v>
      </c>
      <c r="J4989" t="s">
        <v>94</v>
      </c>
      <c r="K4989">
        <v>5</v>
      </c>
      <c r="L4989">
        <v>210400</v>
      </c>
      <c r="M4989">
        <v>1052000</v>
      </c>
      <c r="N4989" t="s">
        <v>95</v>
      </c>
      <c r="O4989" t="s">
        <v>104</v>
      </c>
    </row>
    <row r="4990" spans="1:15" x14ac:dyDescent="0.25">
      <c r="A4990">
        <v>2471</v>
      </c>
      <c r="B4990" s="10">
        <v>45942</v>
      </c>
      <c r="C4990">
        <v>12</v>
      </c>
      <c r="D4990" t="s">
        <v>136</v>
      </c>
      <c r="E4990" t="s">
        <v>137</v>
      </c>
      <c r="F4990" t="s">
        <v>134</v>
      </c>
      <c r="G4990" t="s">
        <v>100</v>
      </c>
      <c r="H4990" t="s">
        <v>92</v>
      </c>
      <c r="I4990" t="s">
        <v>158</v>
      </c>
      <c r="J4990" t="s">
        <v>94</v>
      </c>
      <c r="K4990">
        <v>8</v>
      </c>
      <c r="L4990">
        <v>210700</v>
      </c>
      <c r="M4990">
        <v>1685600</v>
      </c>
      <c r="N4990" t="s">
        <v>108</v>
      </c>
      <c r="O4990" t="s">
        <v>96</v>
      </c>
    </row>
    <row r="4991" spans="1:15" x14ac:dyDescent="0.25">
      <c r="A4991">
        <v>890</v>
      </c>
      <c r="B4991" s="10">
        <v>45909</v>
      </c>
      <c r="C4991">
        <v>9</v>
      </c>
      <c r="D4991" t="s">
        <v>147</v>
      </c>
      <c r="E4991" t="s">
        <v>128</v>
      </c>
      <c r="F4991" t="s">
        <v>99</v>
      </c>
      <c r="G4991" t="s">
        <v>100</v>
      </c>
      <c r="H4991" t="s">
        <v>92</v>
      </c>
      <c r="I4991" t="s">
        <v>158</v>
      </c>
      <c r="J4991" t="s">
        <v>94</v>
      </c>
      <c r="K4991">
        <v>2</v>
      </c>
      <c r="L4991">
        <v>211100</v>
      </c>
      <c r="M4991">
        <v>422200</v>
      </c>
      <c r="N4991" t="s">
        <v>108</v>
      </c>
      <c r="O4991" t="s">
        <v>115</v>
      </c>
    </row>
    <row r="4992" spans="1:15" x14ac:dyDescent="0.25">
      <c r="A4992">
        <v>1704</v>
      </c>
      <c r="B4992" s="10">
        <v>45808</v>
      </c>
      <c r="C4992">
        <v>31</v>
      </c>
      <c r="D4992" t="s">
        <v>120</v>
      </c>
      <c r="E4992" t="s">
        <v>138</v>
      </c>
      <c r="F4992" t="s">
        <v>99</v>
      </c>
      <c r="G4992" t="s">
        <v>100</v>
      </c>
      <c r="H4992" t="s">
        <v>92</v>
      </c>
      <c r="I4992" t="s">
        <v>158</v>
      </c>
      <c r="J4992" t="s">
        <v>94</v>
      </c>
      <c r="K4992">
        <v>10</v>
      </c>
      <c r="L4992">
        <v>211100</v>
      </c>
      <c r="M4992">
        <v>2111000</v>
      </c>
      <c r="N4992" t="s">
        <v>108</v>
      </c>
      <c r="O4992" t="s">
        <v>115</v>
      </c>
    </row>
    <row r="4993" spans="1:15" x14ac:dyDescent="0.25">
      <c r="A4993">
        <v>1582</v>
      </c>
      <c r="B4993" s="10">
        <v>45775</v>
      </c>
      <c r="C4993">
        <v>28</v>
      </c>
      <c r="D4993" t="s">
        <v>105</v>
      </c>
      <c r="E4993" t="s">
        <v>98</v>
      </c>
      <c r="F4993" t="s">
        <v>117</v>
      </c>
      <c r="G4993" t="s">
        <v>118</v>
      </c>
      <c r="H4993" t="s">
        <v>92</v>
      </c>
      <c r="I4993" t="s">
        <v>158</v>
      </c>
      <c r="J4993" t="s">
        <v>94</v>
      </c>
      <c r="K4993">
        <v>5</v>
      </c>
      <c r="L4993">
        <v>211500</v>
      </c>
      <c r="M4993">
        <v>1057500</v>
      </c>
      <c r="N4993" t="s">
        <v>95</v>
      </c>
      <c r="O4993" t="s">
        <v>115</v>
      </c>
    </row>
    <row r="4994" spans="1:15" x14ac:dyDescent="0.25">
      <c r="A4994">
        <v>4872</v>
      </c>
      <c r="B4994" s="10">
        <v>45704</v>
      </c>
      <c r="C4994">
        <v>16</v>
      </c>
      <c r="D4994" t="s">
        <v>97</v>
      </c>
      <c r="E4994" t="s">
        <v>128</v>
      </c>
      <c r="F4994" t="s">
        <v>122</v>
      </c>
      <c r="G4994" t="s">
        <v>114</v>
      </c>
      <c r="H4994" t="s">
        <v>92</v>
      </c>
      <c r="I4994" t="s">
        <v>158</v>
      </c>
      <c r="J4994" t="s">
        <v>94</v>
      </c>
      <c r="K4994">
        <v>2</v>
      </c>
      <c r="L4994">
        <v>213600</v>
      </c>
      <c r="M4994">
        <v>427200</v>
      </c>
      <c r="N4994" t="s">
        <v>95</v>
      </c>
      <c r="O4994" t="s">
        <v>115</v>
      </c>
    </row>
    <row r="4995" spans="1:15" x14ac:dyDescent="0.25">
      <c r="A4995">
        <v>492</v>
      </c>
      <c r="B4995" s="10">
        <v>46004</v>
      </c>
      <c r="C4995">
        <v>13</v>
      </c>
      <c r="D4995" t="s">
        <v>125</v>
      </c>
      <c r="E4995" t="s">
        <v>25</v>
      </c>
      <c r="F4995" t="s">
        <v>122</v>
      </c>
      <c r="G4995" t="s">
        <v>114</v>
      </c>
      <c r="H4995" t="s">
        <v>92</v>
      </c>
      <c r="I4995" t="s">
        <v>158</v>
      </c>
      <c r="J4995" t="s">
        <v>94</v>
      </c>
      <c r="K4995">
        <v>6</v>
      </c>
      <c r="L4995">
        <v>214800</v>
      </c>
      <c r="M4995">
        <v>1288800</v>
      </c>
      <c r="N4995" t="s">
        <v>108</v>
      </c>
      <c r="O4995" t="s">
        <v>104</v>
      </c>
    </row>
    <row r="4996" spans="1:15" x14ac:dyDescent="0.25">
      <c r="A4996">
        <v>2712</v>
      </c>
      <c r="B4996" s="10">
        <v>45788</v>
      </c>
      <c r="C4996">
        <v>11</v>
      </c>
      <c r="D4996" t="s">
        <v>120</v>
      </c>
      <c r="E4996" t="s">
        <v>128</v>
      </c>
      <c r="F4996" t="s">
        <v>107</v>
      </c>
      <c r="G4996" t="s">
        <v>100</v>
      </c>
      <c r="H4996" t="s">
        <v>92</v>
      </c>
      <c r="I4996" t="s">
        <v>158</v>
      </c>
      <c r="J4996" t="s">
        <v>94</v>
      </c>
      <c r="K4996">
        <v>8</v>
      </c>
      <c r="L4996">
        <v>215300</v>
      </c>
      <c r="M4996">
        <v>1722400</v>
      </c>
      <c r="N4996" t="s">
        <v>95</v>
      </c>
      <c r="O4996" t="s">
        <v>96</v>
      </c>
    </row>
    <row r="4997" spans="1:15" x14ac:dyDescent="0.25">
      <c r="A4997">
        <v>136</v>
      </c>
      <c r="B4997" s="10">
        <v>45786</v>
      </c>
      <c r="C4997">
        <v>9</v>
      </c>
      <c r="D4997" t="s">
        <v>120</v>
      </c>
      <c r="E4997" t="s">
        <v>98</v>
      </c>
      <c r="F4997" t="s">
        <v>117</v>
      </c>
      <c r="G4997" t="s">
        <v>118</v>
      </c>
      <c r="H4997" t="s">
        <v>92</v>
      </c>
      <c r="I4997" t="s">
        <v>158</v>
      </c>
      <c r="J4997" t="s">
        <v>94</v>
      </c>
      <c r="K4997">
        <v>1</v>
      </c>
      <c r="L4997">
        <v>215500</v>
      </c>
      <c r="M4997">
        <v>215500</v>
      </c>
      <c r="N4997" t="s">
        <v>108</v>
      </c>
      <c r="O4997" t="s">
        <v>115</v>
      </c>
    </row>
    <row r="4998" spans="1:15" x14ac:dyDescent="0.25">
      <c r="A4998">
        <v>572</v>
      </c>
      <c r="B4998" s="10">
        <v>45844</v>
      </c>
      <c r="C4998">
        <v>6</v>
      </c>
      <c r="D4998" t="s">
        <v>145</v>
      </c>
      <c r="E4998" t="s">
        <v>137</v>
      </c>
      <c r="F4998" t="s">
        <v>22</v>
      </c>
      <c r="G4998" t="s">
        <v>91</v>
      </c>
      <c r="H4998" t="s">
        <v>92</v>
      </c>
      <c r="I4998" t="s">
        <v>158</v>
      </c>
      <c r="J4998" t="s">
        <v>94</v>
      </c>
      <c r="K4998">
        <v>9</v>
      </c>
      <c r="L4998">
        <v>216800</v>
      </c>
      <c r="M4998">
        <v>1951200</v>
      </c>
      <c r="N4998" t="s">
        <v>95</v>
      </c>
      <c r="O4998" t="s">
        <v>115</v>
      </c>
    </row>
    <row r="4999" spans="1:15" x14ac:dyDescent="0.25">
      <c r="A4999">
        <v>3309</v>
      </c>
      <c r="B4999" s="10">
        <v>45859</v>
      </c>
      <c r="C4999">
        <v>21</v>
      </c>
      <c r="D4999" t="s">
        <v>145</v>
      </c>
      <c r="E4999" t="s">
        <v>137</v>
      </c>
      <c r="F4999" t="s">
        <v>117</v>
      </c>
      <c r="G4999" t="s">
        <v>118</v>
      </c>
      <c r="H4999" t="s">
        <v>92</v>
      </c>
      <c r="I4999" t="s">
        <v>158</v>
      </c>
      <c r="J4999" t="s">
        <v>94</v>
      </c>
      <c r="K4999">
        <v>3</v>
      </c>
      <c r="L4999">
        <v>217600</v>
      </c>
      <c r="M4999">
        <v>652800</v>
      </c>
      <c r="N4999" t="s">
        <v>95</v>
      </c>
      <c r="O4999" t="s">
        <v>115</v>
      </c>
    </row>
    <row r="5000" spans="1:15" x14ac:dyDescent="0.25">
      <c r="A5000">
        <v>623</v>
      </c>
      <c r="B5000" s="10">
        <v>45950</v>
      </c>
      <c r="C5000">
        <v>20</v>
      </c>
      <c r="D5000" t="s">
        <v>136</v>
      </c>
      <c r="E5000" t="s">
        <v>138</v>
      </c>
      <c r="F5000" t="s">
        <v>148</v>
      </c>
      <c r="G5000" t="s">
        <v>118</v>
      </c>
      <c r="H5000" t="s">
        <v>92</v>
      </c>
      <c r="I5000" t="s">
        <v>158</v>
      </c>
      <c r="J5000" t="s">
        <v>94</v>
      </c>
      <c r="K5000">
        <v>5</v>
      </c>
      <c r="L5000">
        <v>218800</v>
      </c>
      <c r="M5000">
        <v>1094000</v>
      </c>
      <c r="N5000" t="s">
        <v>95</v>
      </c>
      <c r="O5000" t="s">
        <v>96</v>
      </c>
    </row>
    <row r="5001" spans="1:15" x14ac:dyDescent="0.25">
      <c r="A5001">
        <v>3320</v>
      </c>
      <c r="B5001" s="10">
        <v>45865</v>
      </c>
      <c r="C5001">
        <v>27</v>
      </c>
      <c r="D5001" t="s">
        <v>145</v>
      </c>
      <c r="E5001" t="s">
        <v>116</v>
      </c>
      <c r="F5001" t="s">
        <v>122</v>
      </c>
      <c r="G5001" t="s">
        <v>114</v>
      </c>
      <c r="H5001" t="s">
        <v>92</v>
      </c>
      <c r="I5001" t="s">
        <v>158</v>
      </c>
      <c r="J5001" t="s">
        <v>94</v>
      </c>
      <c r="K5001">
        <v>1</v>
      </c>
      <c r="L5001">
        <v>223200</v>
      </c>
      <c r="M5001">
        <v>223200</v>
      </c>
      <c r="N5001" t="s">
        <v>95</v>
      </c>
      <c r="O5001" t="s">
        <v>115</v>
      </c>
    </row>
    <row r="5002" spans="1:15" x14ac:dyDescent="0.25">
      <c r="A5002">
        <v>180</v>
      </c>
      <c r="B5002" s="10">
        <v>45837</v>
      </c>
      <c r="C5002">
        <v>29</v>
      </c>
      <c r="D5002" t="s">
        <v>153</v>
      </c>
      <c r="E5002" t="s">
        <v>161</v>
      </c>
      <c r="F5002" t="s">
        <v>141</v>
      </c>
      <c r="G5002" t="s">
        <v>100</v>
      </c>
      <c r="H5002" t="s">
        <v>92</v>
      </c>
      <c r="I5002" t="s">
        <v>158</v>
      </c>
      <c r="J5002" t="s">
        <v>94</v>
      </c>
      <c r="K5002">
        <v>2</v>
      </c>
      <c r="L5002">
        <v>227200</v>
      </c>
      <c r="M5002">
        <v>454400</v>
      </c>
      <c r="N5002" t="s">
        <v>95</v>
      </c>
      <c r="O5002" t="s">
        <v>115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selection activeCell="F11" sqref="F11:T166"/>
    </sheetView>
  </sheetViews>
  <sheetFormatPr defaultRowHeight="15" x14ac:dyDescent="0.25"/>
  <cols>
    <col min="1" max="1" width="26" customWidth="1"/>
    <col min="2" max="2" width="16" customWidth="1"/>
    <col min="3" max="3" width="3" customWidth="1"/>
    <col min="4" max="4" width="10" customWidth="1"/>
    <col min="5" max="5" width="20" customWidth="1"/>
    <col min="6" max="6" width="18" customWidth="1"/>
    <col min="7" max="7" width="16" customWidth="1"/>
    <col min="8" max="8" width="18" customWidth="1"/>
    <col min="9" max="9" width="10" customWidth="1"/>
    <col min="10" max="10" width="12" customWidth="1"/>
    <col min="11" max="12" width="14" customWidth="1"/>
  </cols>
  <sheetData>
    <row r="1" spans="1:12" ht="26.1" customHeight="1" x14ac:dyDescent="0.25">
      <c r="A1" s="23" t="s">
        <v>52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2" ht="21.95" customHeight="1" x14ac:dyDescent="0.25"/>
    <row r="3" spans="1:12" ht="24" customHeight="1" x14ac:dyDescent="0.25">
      <c r="A3" s="7" t="s">
        <v>53</v>
      </c>
      <c r="B3" s="7" t="s">
        <v>54</v>
      </c>
      <c r="D3" s="8" t="s">
        <v>12</v>
      </c>
      <c r="E3" s="8" t="s">
        <v>85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</row>
    <row r="4" spans="1:12" ht="21.95" customHeight="1" x14ac:dyDescent="0.25">
      <c r="A4" s="5" t="s">
        <v>55</v>
      </c>
      <c r="B4" s="5">
        <f>COUNTA(sales_data!A3:A5002)</f>
        <v>5000</v>
      </c>
      <c r="D4" s="4">
        <f>sales_data!A3</f>
        <v>85</v>
      </c>
      <c r="E4" s="5" t="str">
        <f>sales_data!D3</f>
        <v>Август</v>
      </c>
      <c r="F4" s="5" t="str">
        <f>sales_data!F3</f>
        <v>Уфа</v>
      </c>
      <c r="G4" s="5" t="str">
        <f>sales_data!H3</f>
        <v>Аксессуары</v>
      </c>
      <c r="H4" s="5" t="str">
        <f>sales_data!I3</f>
        <v>Screen Protector</v>
      </c>
      <c r="I4" s="4">
        <f>sales_data!K3</f>
        <v>20</v>
      </c>
      <c r="J4" s="6">
        <f>sales_data!L3</f>
        <v>800</v>
      </c>
      <c r="K4" s="5" t="str">
        <f>sales_data!E3</f>
        <v>Владимир</v>
      </c>
      <c r="L4" s="5" t="str">
        <f>sales_data!N3</f>
        <v>Интернет-магазин</v>
      </c>
    </row>
    <row r="5" spans="1:12" ht="21.95" customHeight="1" x14ac:dyDescent="0.25">
      <c r="A5" s="5" t="s">
        <v>56</v>
      </c>
      <c r="B5" s="5">
        <f>COUNTA(sales_data!A2:'sales_data'!O2)</f>
        <v>15</v>
      </c>
      <c r="D5" s="4">
        <f>sales_data!A4</f>
        <v>225</v>
      </c>
      <c r="E5" s="5" t="str">
        <f>sales_data!D4</f>
        <v>Февраль</v>
      </c>
      <c r="F5" s="5" t="str">
        <f>sales_data!F4</f>
        <v>Казань</v>
      </c>
      <c r="G5" s="5" t="str">
        <f>sales_data!H4</f>
        <v>Аксессуары</v>
      </c>
      <c r="H5" s="5" t="str">
        <f>sales_data!I4</f>
        <v>Screen Protector</v>
      </c>
      <c r="I5" s="4">
        <f>sales_data!K4</f>
        <v>25</v>
      </c>
      <c r="J5" s="6">
        <f>sales_data!L4</f>
        <v>800</v>
      </c>
      <c r="K5" s="5" t="str">
        <f>sales_data!E4</f>
        <v>Сергей</v>
      </c>
      <c r="L5" s="5" t="str">
        <f>sales_data!N4</f>
        <v>Офлайн-точка</v>
      </c>
    </row>
    <row r="6" spans="1:12" ht="21.95" customHeight="1" x14ac:dyDescent="0.25">
      <c r="A6" s="5" t="s">
        <v>57</v>
      </c>
      <c r="B6" s="5">
        <f>COUNTA(_xlfn.UNIQUE(sales_data!H3:H5002))</f>
        <v>6</v>
      </c>
      <c r="D6" s="4">
        <f>sales_data!A5</f>
        <v>332</v>
      </c>
      <c r="E6" s="5" t="str">
        <f>sales_data!D5</f>
        <v>Октябрь</v>
      </c>
      <c r="F6" s="5" t="str">
        <f>sales_data!F5</f>
        <v>Омск</v>
      </c>
      <c r="G6" s="5" t="str">
        <f>sales_data!H5</f>
        <v>Аксессуары</v>
      </c>
      <c r="H6" s="5" t="str">
        <f>sales_data!I5</f>
        <v>Screen Protector</v>
      </c>
      <c r="I6" s="4">
        <f>sales_data!K5</f>
        <v>5</v>
      </c>
      <c r="J6" s="6">
        <f>sales_data!L5</f>
        <v>800</v>
      </c>
      <c r="K6" s="5" t="str">
        <f>sales_data!E5</f>
        <v>Борис</v>
      </c>
      <c r="L6" s="5" t="str">
        <f>sales_data!N5</f>
        <v>Офлайн-точка</v>
      </c>
    </row>
    <row r="7" spans="1:12" ht="21.95" customHeight="1" x14ac:dyDescent="0.25">
      <c r="A7" s="5" t="s">
        <v>58</v>
      </c>
      <c r="B7" s="5" t="str">
        <f>IF(COUNTIF(sales_data!N3:N5002,"Интернет-магазин")&gt;0,"Да","Нет")</f>
        <v>Да</v>
      </c>
      <c r="D7" s="4">
        <f>sales_data!A6</f>
        <v>430</v>
      </c>
      <c r="E7" s="5" t="str">
        <f>sales_data!D6</f>
        <v>Март</v>
      </c>
      <c r="F7" s="5" t="str">
        <f>sales_data!F6</f>
        <v>Новосибирск</v>
      </c>
      <c r="G7" s="5" t="str">
        <f>sales_data!H6</f>
        <v>Аксессуары</v>
      </c>
      <c r="H7" s="5" t="str">
        <f>sales_data!I6</f>
        <v>Screen Protector</v>
      </c>
      <c r="I7" s="4">
        <f>sales_data!K6</f>
        <v>42</v>
      </c>
      <c r="J7" s="6">
        <f>sales_data!L6</f>
        <v>800</v>
      </c>
      <c r="K7" s="5" t="str">
        <f>sales_data!E6</f>
        <v>Светлана</v>
      </c>
      <c r="L7" s="5" t="str">
        <f>sales_data!N6</f>
        <v>Интернет-магазин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16"/>
  <sheetViews>
    <sheetView topLeftCell="B779" workbookViewId="0">
      <selection activeCell="L4" sqref="L4:L816"/>
    </sheetView>
  </sheetViews>
  <sheetFormatPr defaultRowHeight="15" x14ac:dyDescent="0.25"/>
  <cols>
    <col min="1" max="1" width="10" customWidth="1"/>
    <col min="2" max="2" width="18" customWidth="1"/>
    <col min="3" max="3" width="17" customWidth="1"/>
    <col min="4" max="4" width="14" customWidth="1"/>
    <col min="5" max="5" width="18" customWidth="1"/>
    <col min="6" max="6" width="10" customWidth="1"/>
    <col min="7" max="7" width="11" customWidth="1"/>
    <col min="8" max="8" width="12" customWidth="1"/>
    <col min="9" max="10" width="14" customWidth="1"/>
    <col min="11" max="11" width="3" customWidth="1"/>
    <col min="12" max="12" width="8.5703125" bestFit="1" customWidth="1"/>
    <col min="13" max="13" width="6" bestFit="1" customWidth="1"/>
    <col min="14" max="14" width="4.140625" bestFit="1" customWidth="1"/>
    <col min="15" max="15" width="9.5703125" bestFit="1" customWidth="1"/>
    <col min="16" max="16" width="10.28515625" bestFit="1" customWidth="1"/>
    <col min="17" max="18" width="17.7109375" bestFit="1" customWidth="1"/>
    <col min="19" max="19" width="9.5703125" bestFit="1" customWidth="1"/>
    <col min="20" max="20" width="15.140625" bestFit="1" customWidth="1"/>
    <col min="21" max="21" width="11" bestFit="1" customWidth="1"/>
    <col min="22" max="22" width="8.42578125" bestFit="1" customWidth="1"/>
    <col min="23" max="23" width="14.140625" bestFit="1" customWidth="1"/>
  </cols>
  <sheetData>
    <row r="1" spans="1:26" ht="26.1" customHeight="1" x14ac:dyDescent="0.25">
      <c r="A1" s="23" t="s">
        <v>59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26" ht="21.95" customHeight="1" x14ac:dyDescent="0.25"/>
    <row r="3" spans="1:26" ht="24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60</v>
      </c>
      <c r="L3" s="11" t="s">
        <v>12</v>
      </c>
      <c r="M3" s="12" t="s">
        <v>83</v>
      </c>
      <c r="N3" s="12" t="s">
        <v>84</v>
      </c>
      <c r="O3" s="12" t="s">
        <v>85</v>
      </c>
      <c r="P3" s="12" t="s">
        <v>19</v>
      </c>
      <c r="Q3" s="12" t="s">
        <v>14</v>
      </c>
      <c r="R3" s="12" t="s">
        <v>86</v>
      </c>
      <c r="S3" s="12" t="s">
        <v>15</v>
      </c>
      <c r="T3" s="12" t="s">
        <v>16</v>
      </c>
      <c r="U3" s="12" t="s">
        <v>87</v>
      </c>
      <c r="V3" s="12" t="s">
        <v>17</v>
      </c>
      <c r="W3" s="12" t="s">
        <v>88</v>
      </c>
      <c r="X3" s="12" t="s">
        <v>66</v>
      </c>
      <c r="Y3" s="12" t="s">
        <v>20</v>
      </c>
      <c r="Z3" s="13" t="s">
        <v>89</v>
      </c>
    </row>
    <row r="4" spans="1:26" ht="21.95" customHeight="1" x14ac:dyDescent="0.25">
      <c r="A4" s="4">
        <v>201</v>
      </c>
      <c r="B4" s="5" t="s">
        <v>21</v>
      </c>
      <c r="C4" s="5" t="s">
        <v>22</v>
      </c>
      <c r="D4" s="5" t="s">
        <v>23</v>
      </c>
      <c r="E4" s="5" t="s">
        <v>24</v>
      </c>
      <c r="F4" s="4">
        <v>2</v>
      </c>
      <c r="G4" s="6">
        <v>55000</v>
      </c>
      <c r="H4" s="5" t="s">
        <v>25</v>
      </c>
      <c r="I4" s="5" t="s">
        <v>26</v>
      </c>
      <c r="J4" s="4" t="str">
        <f t="shared" ref="J4:J12" si="0">IF(D4="Ноутбуки","Да","Нет")</f>
        <v>Да</v>
      </c>
      <c r="L4">
        <f>sales_data!A6</f>
        <v>430</v>
      </c>
      <c r="M4">
        <f>sales_data!B6</f>
        <v>45746</v>
      </c>
      <c r="N4">
        <f>sales_data!C6</f>
        <v>30</v>
      </c>
      <c r="O4" s="14" t="str">
        <f>sales_data!D6</f>
        <v>Март</v>
      </c>
      <c r="P4" s="14" t="str">
        <f>sales_data!E6</f>
        <v>Светлана</v>
      </c>
      <c r="Q4" s="14" t="str">
        <f>sales_data!F6</f>
        <v>Новосибирск</v>
      </c>
      <c r="R4" s="14" t="str">
        <f>sales_data!G6</f>
        <v>Сибирский</v>
      </c>
      <c r="S4" s="15" t="str">
        <f>sales_data!H6</f>
        <v>Аксессуары</v>
      </c>
      <c r="T4" s="14" t="str">
        <f>sales_data!I6</f>
        <v>Screen Protector</v>
      </c>
      <c r="U4" t="str">
        <f>sales_data!J6</f>
        <v>Опт</v>
      </c>
      <c r="V4">
        <f>sales_data!K6</f>
        <v>42</v>
      </c>
      <c r="W4">
        <f>sales_data!L6</f>
        <v>800</v>
      </c>
      <c r="X4">
        <f>sales_data!M6</f>
        <v>33600</v>
      </c>
      <c r="Y4" t="str">
        <f>sales_data!N6</f>
        <v>Интернет-магазин</v>
      </c>
      <c r="Z4" t="str">
        <f>sales_data!O6</f>
        <v>Отменён</v>
      </c>
    </row>
    <row r="5" spans="1:26" ht="21.95" customHeight="1" x14ac:dyDescent="0.25">
      <c r="A5" s="4">
        <v>202</v>
      </c>
      <c r="B5" s="5" t="s">
        <v>27</v>
      </c>
      <c r="C5" s="5" t="s">
        <v>28</v>
      </c>
      <c r="D5" s="5" t="s">
        <v>29</v>
      </c>
      <c r="E5" s="5" t="s">
        <v>30</v>
      </c>
      <c r="F5" s="4">
        <v>1</v>
      </c>
      <c r="G5" s="6">
        <v>23000</v>
      </c>
      <c r="H5" s="5" t="s">
        <v>31</v>
      </c>
      <c r="I5" s="5" t="s">
        <v>32</v>
      </c>
      <c r="J5" s="4" t="str">
        <f t="shared" si="0"/>
        <v>Нет</v>
      </c>
      <c r="L5">
        <f>sales_data!A7</f>
        <v>459</v>
      </c>
      <c r="M5">
        <f>sales_data!B7</f>
        <v>45856</v>
      </c>
      <c r="N5">
        <f>sales_data!C7</f>
        <v>18</v>
      </c>
      <c r="O5" s="14" t="str">
        <f>sales_data!D7</f>
        <v>Июль</v>
      </c>
      <c r="P5" s="14" t="str">
        <f>sales_data!E7</f>
        <v>Мария</v>
      </c>
      <c r="Q5" s="14" t="str">
        <f>sales_data!F7</f>
        <v>Нижний Новгород</v>
      </c>
      <c r="R5" s="14" t="str">
        <f>sales_data!G7</f>
        <v>Приволжский</v>
      </c>
      <c r="S5" s="15" t="str">
        <f>sales_data!H7</f>
        <v>Аксессуары</v>
      </c>
      <c r="T5" s="5" t="str">
        <f>sales_data!I7</f>
        <v>Screen Protector</v>
      </c>
      <c r="U5" t="str">
        <f>sales_data!J7</f>
        <v>Опт</v>
      </c>
      <c r="V5">
        <f>sales_data!K7</f>
        <v>38</v>
      </c>
      <c r="W5">
        <f>sales_data!L7</f>
        <v>800</v>
      </c>
      <c r="X5">
        <f>sales_data!M7</f>
        <v>30400</v>
      </c>
      <c r="Y5" t="str">
        <f>sales_data!N7</f>
        <v>Офлайн-точка</v>
      </c>
      <c r="Z5" t="str">
        <f>sales_data!O7</f>
        <v>Доставлен</v>
      </c>
    </row>
    <row r="6" spans="1:26" ht="21.95" customHeight="1" x14ac:dyDescent="0.25">
      <c r="A6" s="4">
        <v>203</v>
      </c>
      <c r="B6" s="5" t="s">
        <v>33</v>
      </c>
      <c r="C6" s="5" t="s">
        <v>22</v>
      </c>
      <c r="D6" s="5" t="s">
        <v>23</v>
      </c>
      <c r="E6" s="5" t="s">
        <v>34</v>
      </c>
      <c r="F6" s="4">
        <v>3</v>
      </c>
      <c r="G6" s="6">
        <v>72000</v>
      </c>
      <c r="H6" s="5" t="s">
        <v>25</v>
      </c>
      <c r="I6" s="5" t="s">
        <v>26</v>
      </c>
      <c r="J6" s="4" t="str">
        <f t="shared" si="0"/>
        <v>Да</v>
      </c>
      <c r="L6">
        <f>sales_data!A8</f>
        <v>570</v>
      </c>
      <c r="M6">
        <f>sales_data!B8</f>
        <v>45766</v>
      </c>
      <c r="N6">
        <f>sales_data!C8</f>
        <v>19</v>
      </c>
      <c r="O6" s="5" t="str">
        <f>sales_data!D8</f>
        <v>Апрель</v>
      </c>
      <c r="P6" s="5" t="str">
        <f>sales_data!E8</f>
        <v>Ксения</v>
      </c>
      <c r="Q6" s="4" t="str">
        <f>sales_data!F8</f>
        <v>Москва</v>
      </c>
      <c r="R6" s="6" t="str">
        <f>sales_data!G8</f>
        <v>Центральный</v>
      </c>
      <c r="S6" s="5" t="str">
        <f>sales_data!H8</f>
        <v>Аксессуары</v>
      </c>
      <c r="T6" s="5" t="str">
        <f>sales_data!I8</f>
        <v>Screen Protector</v>
      </c>
      <c r="U6" t="str">
        <f>sales_data!J8</f>
        <v>Опт</v>
      </c>
      <c r="V6">
        <f>sales_data!K8</f>
        <v>46</v>
      </c>
      <c r="W6">
        <f>sales_data!L8</f>
        <v>800</v>
      </c>
      <c r="X6">
        <f>sales_data!M8</f>
        <v>36800</v>
      </c>
      <c r="Y6" t="str">
        <f>sales_data!N8</f>
        <v>Интернет-магазин</v>
      </c>
      <c r="Z6" t="str">
        <f>sales_data!O8</f>
        <v>В пути</v>
      </c>
    </row>
    <row r="7" spans="1:26" ht="21.95" customHeight="1" x14ac:dyDescent="0.25">
      <c r="A7" s="4">
        <v>204</v>
      </c>
      <c r="B7" s="5" t="s">
        <v>35</v>
      </c>
      <c r="C7" s="5" t="s">
        <v>36</v>
      </c>
      <c r="D7" s="5" t="s">
        <v>37</v>
      </c>
      <c r="E7" s="5" t="s">
        <v>38</v>
      </c>
      <c r="F7" s="4">
        <v>5</v>
      </c>
      <c r="G7" s="6">
        <v>2500</v>
      </c>
      <c r="H7" s="5" t="s">
        <v>39</v>
      </c>
      <c r="I7" s="5" t="s">
        <v>40</v>
      </c>
      <c r="J7" s="4" t="str">
        <f t="shared" si="0"/>
        <v>Нет</v>
      </c>
      <c r="L7">
        <f>sales_data!A10</f>
        <v>665</v>
      </c>
      <c r="M7">
        <f>sales_data!B10</f>
        <v>45809</v>
      </c>
      <c r="N7">
        <f>sales_data!C10</f>
        <v>1</v>
      </c>
      <c r="O7" s="5" t="str">
        <f>sales_data!D10</f>
        <v>Июнь</v>
      </c>
      <c r="P7" s="5" t="str">
        <f>sales_data!E10</f>
        <v>Владимир</v>
      </c>
      <c r="Q7" s="4" t="str">
        <f>sales_data!F10</f>
        <v>Екатеринбург</v>
      </c>
      <c r="R7" s="6" t="str">
        <f>sales_data!G10</f>
        <v>Уральский</v>
      </c>
      <c r="S7" s="5" t="str">
        <f>sales_data!H10</f>
        <v>Аксессуары</v>
      </c>
      <c r="T7" s="5" t="str">
        <f>sales_data!I10</f>
        <v>Screen Protector</v>
      </c>
      <c r="U7" t="str">
        <f>sales_data!J10</f>
        <v>Опт</v>
      </c>
      <c r="V7">
        <f>sales_data!K10</f>
        <v>5</v>
      </c>
      <c r="W7">
        <f>sales_data!L10</f>
        <v>800</v>
      </c>
      <c r="X7">
        <f>sales_data!M10</f>
        <v>4000</v>
      </c>
      <c r="Y7" t="str">
        <f>sales_data!N10</f>
        <v>Офлайн-точка</v>
      </c>
      <c r="Z7" t="str">
        <f>sales_data!O10</f>
        <v>Отменён</v>
      </c>
    </row>
    <row r="8" spans="1:26" ht="21.95" customHeight="1" x14ac:dyDescent="0.25">
      <c r="A8" s="4">
        <v>205</v>
      </c>
      <c r="B8" s="5" t="s">
        <v>41</v>
      </c>
      <c r="C8" s="5" t="s">
        <v>22</v>
      </c>
      <c r="D8" s="5" t="s">
        <v>29</v>
      </c>
      <c r="E8" s="5" t="s">
        <v>42</v>
      </c>
      <c r="F8" s="4">
        <v>2</v>
      </c>
      <c r="G8" s="6">
        <v>18000</v>
      </c>
      <c r="H8" s="5" t="s">
        <v>25</v>
      </c>
      <c r="I8" s="5" t="s">
        <v>26</v>
      </c>
      <c r="J8" s="4" t="str">
        <f t="shared" si="0"/>
        <v>Нет</v>
      </c>
      <c r="L8">
        <f>sales_data!A19</f>
        <v>2086</v>
      </c>
      <c r="M8">
        <f>sales_data!B19</f>
        <v>45742</v>
      </c>
      <c r="N8">
        <f>sales_data!C19</f>
        <v>26</v>
      </c>
      <c r="O8" s="5" t="str">
        <f>sales_data!D19</f>
        <v>Март</v>
      </c>
      <c r="P8" s="5" t="str">
        <f>sales_data!E19</f>
        <v>Игорь</v>
      </c>
      <c r="Q8" s="4" t="str">
        <f>sales_data!F19</f>
        <v>Казань</v>
      </c>
      <c r="R8" s="6" t="str">
        <f>sales_data!G19</f>
        <v>Приволжский</v>
      </c>
      <c r="S8" s="5" t="str">
        <f>sales_data!H19</f>
        <v>Аксессуары</v>
      </c>
      <c r="T8" s="5" t="str">
        <f>sales_data!I19</f>
        <v>Screen Protector</v>
      </c>
      <c r="U8" t="str">
        <f>sales_data!J19</f>
        <v>Опт</v>
      </c>
      <c r="V8">
        <f>sales_data!K19</f>
        <v>10</v>
      </c>
      <c r="W8">
        <f>sales_data!L19</f>
        <v>800</v>
      </c>
      <c r="X8">
        <f>sales_data!M19</f>
        <v>8000</v>
      </c>
      <c r="Y8" t="str">
        <f>sales_data!N19</f>
        <v>Интернет-магазин</v>
      </c>
      <c r="Z8" t="str">
        <f>sales_data!O19</f>
        <v>Доставлен</v>
      </c>
    </row>
    <row r="9" spans="1:26" ht="21.95" customHeight="1" x14ac:dyDescent="0.25">
      <c r="A9" s="4">
        <v>206</v>
      </c>
      <c r="B9" s="5" t="s">
        <v>43</v>
      </c>
      <c r="C9" s="5" t="s">
        <v>44</v>
      </c>
      <c r="D9" s="5" t="s">
        <v>23</v>
      </c>
      <c r="E9" s="5" t="s">
        <v>45</v>
      </c>
      <c r="F9" s="4">
        <v>1</v>
      </c>
      <c r="G9" s="6">
        <v>49000</v>
      </c>
      <c r="H9" s="5" t="s">
        <v>31</v>
      </c>
      <c r="I9" s="5" t="s">
        <v>32</v>
      </c>
      <c r="J9" s="4" t="str">
        <f t="shared" si="0"/>
        <v>Да</v>
      </c>
      <c r="L9">
        <f>sales_data!A28</f>
        <v>3062</v>
      </c>
      <c r="M9">
        <f>sales_data!B28</f>
        <v>45664</v>
      </c>
      <c r="N9">
        <f>sales_data!C28</f>
        <v>7</v>
      </c>
      <c r="O9" s="5" t="str">
        <f>sales_data!D28</f>
        <v>Январь</v>
      </c>
      <c r="P9" s="5" t="str">
        <f>sales_data!E28</f>
        <v>Татьяна</v>
      </c>
      <c r="Q9" s="4" t="str">
        <f>sales_data!F28</f>
        <v>Воронеж</v>
      </c>
      <c r="R9" s="6" t="str">
        <f>sales_data!G28</f>
        <v>Центральный</v>
      </c>
      <c r="S9" s="5" t="str">
        <f>sales_data!H28</f>
        <v>Аксессуары</v>
      </c>
      <c r="T9" s="5" t="str">
        <f>sales_data!I28</f>
        <v>Screen Protector</v>
      </c>
      <c r="U9" t="str">
        <f>sales_data!J28</f>
        <v>Опт</v>
      </c>
      <c r="V9">
        <f>sales_data!K28</f>
        <v>50</v>
      </c>
      <c r="W9">
        <f>sales_data!L28</f>
        <v>800</v>
      </c>
      <c r="X9">
        <f>sales_data!M28</f>
        <v>40000</v>
      </c>
      <c r="Y9" t="str">
        <f>sales_data!N28</f>
        <v>Интернет-магазин</v>
      </c>
      <c r="Z9" t="str">
        <f>sales_data!O28</f>
        <v>В пути</v>
      </c>
    </row>
    <row r="10" spans="1:26" ht="21.95" customHeight="1" x14ac:dyDescent="0.25">
      <c r="A10" s="4">
        <v>207</v>
      </c>
      <c r="B10" s="5" t="s">
        <v>46</v>
      </c>
      <c r="C10" s="5" t="s">
        <v>22</v>
      </c>
      <c r="D10" s="5" t="s">
        <v>37</v>
      </c>
      <c r="E10" s="5" t="s">
        <v>47</v>
      </c>
      <c r="F10" s="4">
        <v>4</v>
      </c>
      <c r="G10" s="6">
        <v>4000</v>
      </c>
      <c r="H10" s="5" t="s">
        <v>39</v>
      </c>
      <c r="I10" s="5" t="s">
        <v>26</v>
      </c>
      <c r="J10" s="4" t="str">
        <f t="shared" si="0"/>
        <v>Нет</v>
      </c>
      <c r="L10">
        <f>sales_data!A33</f>
        <v>3945</v>
      </c>
      <c r="M10">
        <f>sales_data!B33</f>
        <v>45787</v>
      </c>
      <c r="N10">
        <f>sales_data!C33</f>
        <v>10</v>
      </c>
      <c r="O10" t="str">
        <f>sales_data!D33</f>
        <v>Май</v>
      </c>
      <c r="P10" t="str">
        <f>sales_data!E33</f>
        <v>Мария</v>
      </c>
      <c r="Q10" t="str">
        <f>sales_data!F33</f>
        <v>Воронеж</v>
      </c>
      <c r="R10" t="str">
        <f>sales_data!G33</f>
        <v>Центральный</v>
      </c>
      <c r="S10" t="str">
        <f>sales_data!H33</f>
        <v>Аксессуары</v>
      </c>
      <c r="T10" t="str">
        <f>sales_data!I33</f>
        <v>Screen Protector</v>
      </c>
      <c r="U10" t="str">
        <f>sales_data!J33</f>
        <v>Опт</v>
      </c>
      <c r="V10">
        <f>sales_data!K33</f>
        <v>39</v>
      </c>
      <c r="W10">
        <f>sales_data!L33</f>
        <v>800</v>
      </c>
      <c r="X10">
        <f>sales_data!M33</f>
        <v>31200</v>
      </c>
      <c r="Y10" t="str">
        <f>sales_data!N33</f>
        <v>Офлайн-точка</v>
      </c>
      <c r="Z10" t="str">
        <f>sales_data!O33</f>
        <v>В пути</v>
      </c>
    </row>
    <row r="11" spans="1:26" ht="21.95" customHeight="1" x14ac:dyDescent="0.25">
      <c r="A11" s="4">
        <v>208</v>
      </c>
      <c r="B11" s="5" t="s">
        <v>48</v>
      </c>
      <c r="C11" s="5" t="s">
        <v>49</v>
      </c>
      <c r="D11" s="5" t="s">
        <v>23</v>
      </c>
      <c r="E11" s="5" t="s">
        <v>24</v>
      </c>
      <c r="F11" s="4">
        <v>2</v>
      </c>
      <c r="G11" s="6">
        <v>55000</v>
      </c>
      <c r="H11" s="5" t="s">
        <v>25</v>
      </c>
      <c r="I11" s="5" t="s">
        <v>40</v>
      </c>
      <c r="J11" s="4" t="str">
        <f t="shared" si="0"/>
        <v>Да</v>
      </c>
      <c r="L11">
        <f>sales_data!A36</f>
        <v>4279</v>
      </c>
      <c r="M11">
        <f>sales_data!B36</f>
        <v>45810</v>
      </c>
      <c r="N11">
        <f>sales_data!C36</f>
        <v>2</v>
      </c>
      <c r="O11" t="str">
        <f>sales_data!D36</f>
        <v>Июнь</v>
      </c>
      <c r="P11" t="str">
        <f>sales_data!E36</f>
        <v>Игорь</v>
      </c>
      <c r="Q11" t="str">
        <f>sales_data!F36</f>
        <v>Омск</v>
      </c>
      <c r="R11" t="str">
        <f>sales_data!G36</f>
        <v>Сибирский</v>
      </c>
      <c r="S11" t="str">
        <f>sales_data!H36</f>
        <v>Аксессуары</v>
      </c>
      <c r="T11" t="str">
        <f>sales_data!I36</f>
        <v>Screen Protector</v>
      </c>
      <c r="U11" t="str">
        <f>sales_data!J36</f>
        <v>Опт</v>
      </c>
      <c r="V11">
        <f>sales_data!K36</f>
        <v>29</v>
      </c>
      <c r="W11">
        <f>sales_data!L36</f>
        <v>800</v>
      </c>
      <c r="X11">
        <f>sales_data!M36</f>
        <v>23200</v>
      </c>
      <c r="Y11" t="str">
        <f>sales_data!N36</f>
        <v>Интернет-магазин</v>
      </c>
      <c r="Z11" t="str">
        <f>sales_data!O36</f>
        <v>В пути</v>
      </c>
    </row>
    <row r="12" spans="1:26" ht="21.95" customHeight="1" x14ac:dyDescent="0.25">
      <c r="A12" s="4">
        <v>209</v>
      </c>
      <c r="B12" s="5" t="s">
        <v>50</v>
      </c>
      <c r="C12" s="5" t="s">
        <v>22</v>
      </c>
      <c r="D12" s="5" t="s">
        <v>23</v>
      </c>
      <c r="E12" s="5" t="s">
        <v>51</v>
      </c>
      <c r="F12" s="4">
        <v>1</v>
      </c>
      <c r="G12" s="6">
        <v>43000</v>
      </c>
      <c r="H12" s="5" t="s">
        <v>31</v>
      </c>
      <c r="I12" s="5" t="s">
        <v>32</v>
      </c>
      <c r="J12" s="4" t="str">
        <f t="shared" si="0"/>
        <v>Да</v>
      </c>
      <c r="L12">
        <f>sales_data!A39</f>
        <v>500</v>
      </c>
      <c r="M12">
        <f>sales_data!B39</f>
        <v>45996</v>
      </c>
      <c r="N12">
        <f>sales_data!C39</f>
        <v>5</v>
      </c>
      <c r="O12" t="str">
        <f>sales_data!D39</f>
        <v>Декабрь</v>
      </c>
      <c r="P12" t="str">
        <f>sales_data!E39</f>
        <v>Борис</v>
      </c>
      <c r="Q12" t="str">
        <f>sales_data!F39</f>
        <v>Ростов-на-Дону</v>
      </c>
      <c r="R12" t="str">
        <f>sales_data!G39</f>
        <v>Южный</v>
      </c>
      <c r="S12" t="str">
        <f>sales_data!H39</f>
        <v>Аксессуары</v>
      </c>
      <c r="T12" t="str">
        <f>sales_data!I39</f>
        <v>Screen Protector</v>
      </c>
      <c r="U12" t="str">
        <f>sales_data!J39</f>
        <v>Розница</v>
      </c>
      <c r="V12">
        <f>sales_data!K39</f>
        <v>7</v>
      </c>
      <c r="W12">
        <f>sales_data!L39</f>
        <v>900</v>
      </c>
      <c r="X12">
        <f>sales_data!M39</f>
        <v>6300</v>
      </c>
      <c r="Y12" t="str">
        <f>sales_data!N39</f>
        <v>Интернет-магазин</v>
      </c>
      <c r="Z12" t="str">
        <f>sales_data!O39</f>
        <v>Отменён</v>
      </c>
    </row>
    <row r="13" spans="1:26" x14ac:dyDescent="0.25">
      <c r="L13">
        <f>sales_data!A52</f>
        <v>1518</v>
      </c>
      <c r="M13">
        <f>sales_data!B52</f>
        <v>45836</v>
      </c>
      <c r="N13">
        <f>sales_data!C52</f>
        <v>28</v>
      </c>
      <c r="O13" t="str">
        <f>sales_data!D52</f>
        <v>Июнь</v>
      </c>
      <c r="P13" t="str">
        <f>sales_data!E52</f>
        <v>Ксения</v>
      </c>
      <c r="Q13" t="str">
        <f>sales_data!F52</f>
        <v>Москва</v>
      </c>
      <c r="R13" t="str">
        <f>sales_data!G52</f>
        <v>Центральный</v>
      </c>
      <c r="S13" t="str">
        <f>sales_data!H52</f>
        <v>Аксессуары</v>
      </c>
      <c r="T13" t="str">
        <f>sales_data!I52</f>
        <v>Screen Protector</v>
      </c>
      <c r="U13" t="str">
        <f>sales_data!J52</f>
        <v>Опт</v>
      </c>
      <c r="V13">
        <f>sales_data!K52</f>
        <v>42</v>
      </c>
      <c r="W13">
        <f>sales_data!L52</f>
        <v>900</v>
      </c>
      <c r="X13">
        <f>sales_data!M52</f>
        <v>37800</v>
      </c>
      <c r="Y13" t="str">
        <f>sales_data!N52</f>
        <v>Интернет-магазин</v>
      </c>
      <c r="Z13" t="str">
        <f>sales_data!O52</f>
        <v>Доставлен</v>
      </c>
    </row>
    <row r="14" spans="1:26" x14ac:dyDescent="0.25">
      <c r="L14">
        <f>sales_data!A57</f>
        <v>1911</v>
      </c>
      <c r="M14">
        <f>sales_data!B57</f>
        <v>45741</v>
      </c>
      <c r="N14">
        <f>sales_data!C57</f>
        <v>25</v>
      </c>
      <c r="O14" t="str">
        <f>sales_data!D57</f>
        <v>Март</v>
      </c>
      <c r="P14" t="str">
        <f>sales_data!E57</f>
        <v>Ольга</v>
      </c>
      <c r="Q14" t="str">
        <f>sales_data!F57</f>
        <v>Ростов-на-Дону</v>
      </c>
      <c r="R14" t="str">
        <f>sales_data!G57</f>
        <v>Южный</v>
      </c>
      <c r="S14" t="str">
        <f>sales_data!H57</f>
        <v>Аксессуары</v>
      </c>
      <c r="T14" t="str">
        <f>sales_data!I57</f>
        <v>Screen Protector</v>
      </c>
      <c r="U14" t="str">
        <f>sales_data!J57</f>
        <v>Опт</v>
      </c>
      <c r="V14">
        <f>sales_data!K57</f>
        <v>37</v>
      </c>
      <c r="W14">
        <f>sales_data!L57</f>
        <v>900</v>
      </c>
      <c r="X14">
        <f>sales_data!M57</f>
        <v>33300</v>
      </c>
      <c r="Y14" t="str">
        <f>sales_data!N57</f>
        <v>Офлайн-точка</v>
      </c>
      <c r="Z14" t="str">
        <f>sales_data!O57</f>
        <v>Доставлен</v>
      </c>
    </row>
    <row r="15" spans="1:26" x14ac:dyDescent="0.25">
      <c r="L15">
        <f>sales_data!A64</f>
        <v>2460</v>
      </c>
      <c r="M15">
        <f>sales_data!B64</f>
        <v>45698</v>
      </c>
      <c r="N15">
        <f>sales_data!C64</f>
        <v>10</v>
      </c>
      <c r="O15" t="str">
        <f>sales_data!D64</f>
        <v>Февраль</v>
      </c>
      <c r="P15" t="str">
        <f>sales_data!E64</f>
        <v>Светлана</v>
      </c>
      <c r="Q15" t="str">
        <f>sales_data!F64</f>
        <v>Омск</v>
      </c>
      <c r="R15" t="str">
        <f>sales_data!G64</f>
        <v>Сибирский</v>
      </c>
      <c r="S15" t="str">
        <f>sales_data!H64</f>
        <v>Аксессуары</v>
      </c>
      <c r="T15" t="str">
        <f>sales_data!I64</f>
        <v>Screen Protector</v>
      </c>
      <c r="U15" t="str">
        <f>sales_data!J64</f>
        <v>Опт</v>
      </c>
      <c r="V15">
        <f>sales_data!K64</f>
        <v>5</v>
      </c>
      <c r="W15">
        <f>sales_data!L64</f>
        <v>900</v>
      </c>
      <c r="X15">
        <f>sales_data!M64</f>
        <v>4500</v>
      </c>
      <c r="Y15" t="str">
        <f>sales_data!N64</f>
        <v>Офлайн-точка</v>
      </c>
      <c r="Z15" t="str">
        <f>sales_data!O64</f>
        <v>В пути</v>
      </c>
    </row>
    <row r="16" spans="1:26" x14ac:dyDescent="0.25">
      <c r="L16">
        <f>sales_data!A72</f>
        <v>2688</v>
      </c>
      <c r="M16">
        <f>sales_data!B72</f>
        <v>45791</v>
      </c>
      <c r="N16">
        <f>sales_data!C72</f>
        <v>14</v>
      </c>
      <c r="O16" t="str">
        <f>sales_data!D72</f>
        <v>Май</v>
      </c>
      <c r="P16" t="str">
        <f>sales_data!E72</f>
        <v>Алексей</v>
      </c>
      <c r="Q16" t="str">
        <f>sales_data!F72</f>
        <v>Краснодар</v>
      </c>
      <c r="R16" t="str">
        <f>sales_data!G72</f>
        <v>Южный</v>
      </c>
      <c r="S16" t="str">
        <f>sales_data!H72</f>
        <v>Аксессуары</v>
      </c>
      <c r="T16" t="str">
        <f>sales_data!I72</f>
        <v>Screen Protector</v>
      </c>
      <c r="U16" t="str">
        <f>sales_data!J72</f>
        <v>Розница</v>
      </c>
      <c r="V16">
        <f>sales_data!K72</f>
        <v>5</v>
      </c>
      <c r="W16">
        <f>sales_data!L72</f>
        <v>900</v>
      </c>
      <c r="X16">
        <f>sales_data!M72</f>
        <v>4500</v>
      </c>
      <c r="Y16" t="str">
        <f>sales_data!N72</f>
        <v>Офлайн-точка</v>
      </c>
      <c r="Z16" t="str">
        <f>sales_data!O72</f>
        <v>В пути</v>
      </c>
    </row>
    <row r="17" spans="12:26" x14ac:dyDescent="0.25">
      <c r="L17">
        <f>sales_data!A80</f>
        <v>3183</v>
      </c>
      <c r="M17">
        <f>sales_data!B80</f>
        <v>45854</v>
      </c>
      <c r="N17">
        <f>sales_data!C80</f>
        <v>16</v>
      </c>
      <c r="O17" t="str">
        <f>sales_data!D80</f>
        <v>Июль</v>
      </c>
      <c r="P17" t="str">
        <f>sales_data!E80</f>
        <v>Борис</v>
      </c>
      <c r="Q17" t="str">
        <f>sales_data!F80</f>
        <v>Уфа</v>
      </c>
      <c r="R17" t="str">
        <f>sales_data!G80</f>
        <v>Приволжский</v>
      </c>
      <c r="S17" t="str">
        <f>sales_data!H80</f>
        <v>Аксессуары</v>
      </c>
      <c r="T17" t="str">
        <f>sales_data!I80</f>
        <v>Screen Protector</v>
      </c>
      <c r="U17" t="str">
        <f>sales_data!J80</f>
        <v>Розница</v>
      </c>
      <c r="V17">
        <f>sales_data!K80</f>
        <v>3</v>
      </c>
      <c r="W17">
        <f>sales_data!L80</f>
        <v>900</v>
      </c>
      <c r="X17">
        <f>sales_data!M80</f>
        <v>2700</v>
      </c>
      <c r="Y17" t="str">
        <f>sales_data!N80</f>
        <v>Офлайн-точка</v>
      </c>
      <c r="Z17" t="str">
        <f>sales_data!O80</f>
        <v>В пути</v>
      </c>
    </row>
    <row r="18" spans="12:26" x14ac:dyDescent="0.25">
      <c r="L18">
        <f>sales_data!A85</f>
        <v>3892</v>
      </c>
      <c r="M18">
        <f>sales_data!B85</f>
        <v>45812</v>
      </c>
      <c r="N18">
        <f>sales_data!C85</f>
        <v>4</v>
      </c>
      <c r="O18" t="str">
        <f>sales_data!D85</f>
        <v>Июнь</v>
      </c>
      <c r="P18" t="str">
        <f>sales_data!E85</f>
        <v>Наталья</v>
      </c>
      <c r="Q18" t="str">
        <f>sales_data!F85</f>
        <v>Санкт-Петербург</v>
      </c>
      <c r="R18" t="str">
        <f>sales_data!G85</f>
        <v>Северо-Западный</v>
      </c>
      <c r="S18" t="str">
        <f>sales_data!H85</f>
        <v>Аксессуары</v>
      </c>
      <c r="T18" t="str">
        <f>sales_data!I85</f>
        <v>Screen Protector</v>
      </c>
      <c r="U18" t="str">
        <f>sales_data!J85</f>
        <v>Опт</v>
      </c>
      <c r="V18">
        <f>sales_data!K85</f>
        <v>10</v>
      </c>
      <c r="W18">
        <f>sales_data!L85</f>
        <v>900</v>
      </c>
      <c r="X18">
        <f>sales_data!M85</f>
        <v>9000</v>
      </c>
      <c r="Y18" t="str">
        <f>sales_data!N85</f>
        <v>Офлайн-точка</v>
      </c>
      <c r="Z18" t="str">
        <f>sales_data!O85</f>
        <v>В пути</v>
      </c>
    </row>
    <row r="19" spans="12:26" x14ac:dyDescent="0.25">
      <c r="L19">
        <f>sales_data!A90</f>
        <v>4115</v>
      </c>
      <c r="M19">
        <f>sales_data!B90</f>
        <v>45966</v>
      </c>
      <c r="N19">
        <f>sales_data!C90</f>
        <v>5</v>
      </c>
      <c r="O19" t="str">
        <f>sales_data!D90</f>
        <v>Ноябрь</v>
      </c>
      <c r="P19" t="str">
        <f>sales_data!E90</f>
        <v>Дмитрий</v>
      </c>
      <c r="Q19" t="str">
        <f>sales_data!F90</f>
        <v>Челябинск</v>
      </c>
      <c r="R19" t="str">
        <f>sales_data!G90</f>
        <v>Уральский</v>
      </c>
      <c r="S19" t="str">
        <f>sales_data!H90</f>
        <v>Аксессуары</v>
      </c>
      <c r="T19" t="str">
        <f>sales_data!I90</f>
        <v>Screen Protector</v>
      </c>
      <c r="U19" t="str">
        <f>sales_data!J90</f>
        <v>Опт</v>
      </c>
      <c r="V19">
        <f>sales_data!K90</f>
        <v>15</v>
      </c>
      <c r="W19">
        <f>sales_data!L90</f>
        <v>900</v>
      </c>
      <c r="X19">
        <f>sales_data!M90</f>
        <v>13500</v>
      </c>
      <c r="Y19" t="str">
        <f>sales_data!N90</f>
        <v>Интернет-магазин</v>
      </c>
      <c r="Z19" t="str">
        <f>sales_data!O90</f>
        <v>В пути</v>
      </c>
    </row>
    <row r="20" spans="12:26" x14ac:dyDescent="0.25">
      <c r="L20">
        <f>sales_data!A109</f>
        <v>246</v>
      </c>
      <c r="M20">
        <f>sales_data!B109</f>
        <v>45739</v>
      </c>
      <c r="N20">
        <f>sales_data!C109</f>
        <v>23</v>
      </c>
      <c r="O20" t="str">
        <f>sales_data!D109</f>
        <v>Март</v>
      </c>
      <c r="P20" t="str">
        <f>sales_data!E109</f>
        <v>Владимир</v>
      </c>
      <c r="Q20" t="str">
        <f>sales_data!F109</f>
        <v>Краснодар</v>
      </c>
      <c r="R20" t="str">
        <f>sales_data!G109</f>
        <v>Южный</v>
      </c>
      <c r="S20" t="str">
        <f>sales_data!H109</f>
        <v>Аксессуары</v>
      </c>
      <c r="T20" t="str">
        <f>sales_data!I109</f>
        <v>Screen Protector</v>
      </c>
      <c r="U20" t="str">
        <f>sales_data!J109</f>
        <v>Розница</v>
      </c>
      <c r="V20">
        <f>sales_data!K109</f>
        <v>3</v>
      </c>
      <c r="W20">
        <f>sales_data!L109</f>
        <v>1000</v>
      </c>
      <c r="X20">
        <f>sales_data!M109</f>
        <v>3000</v>
      </c>
      <c r="Y20" t="str">
        <f>sales_data!N109</f>
        <v>Офлайн-точка</v>
      </c>
      <c r="Z20" t="str">
        <f>sales_data!O109</f>
        <v>Отменён</v>
      </c>
    </row>
    <row r="21" spans="12:26" x14ac:dyDescent="0.25">
      <c r="L21">
        <f>sales_data!A117</f>
        <v>558</v>
      </c>
      <c r="M21">
        <f>sales_data!B117</f>
        <v>45858</v>
      </c>
      <c r="N21">
        <f>sales_data!C117</f>
        <v>20</v>
      </c>
      <c r="O21" t="str">
        <f>sales_data!D117</f>
        <v>Июль</v>
      </c>
      <c r="P21" t="str">
        <f>sales_data!E117</f>
        <v>Наталья</v>
      </c>
      <c r="Q21" t="str">
        <f>sales_data!F117</f>
        <v>Красноярск</v>
      </c>
      <c r="R21" t="str">
        <f>sales_data!G117</f>
        <v>Сибирский</v>
      </c>
      <c r="S21" t="str">
        <f>sales_data!H117</f>
        <v>Аксессуары</v>
      </c>
      <c r="T21" t="str">
        <f>sales_data!I117</f>
        <v>Screen Protector</v>
      </c>
      <c r="U21" t="str">
        <f>sales_data!J117</f>
        <v>Розница</v>
      </c>
      <c r="V21">
        <f>sales_data!K117</f>
        <v>5</v>
      </c>
      <c r="W21">
        <f>sales_data!L117</f>
        <v>1000</v>
      </c>
      <c r="X21">
        <f>sales_data!M117</f>
        <v>5000</v>
      </c>
      <c r="Y21" t="str">
        <f>sales_data!N117</f>
        <v>Офлайн-точка</v>
      </c>
      <c r="Z21" t="str">
        <f>sales_data!O117</f>
        <v>Доставлен</v>
      </c>
    </row>
    <row r="22" spans="12:26" x14ac:dyDescent="0.25">
      <c r="L22">
        <f>sales_data!A125</f>
        <v>729</v>
      </c>
      <c r="M22">
        <f>sales_data!B125</f>
        <v>45725</v>
      </c>
      <c r="N22">
        <f>sales_data!C125</f>
        <v>9</v>
      </c>
      <c r="O22" t="str">
        <f>sales_data!D125</f>
        <v>Март</v>
      </c>
      <c r="P22" t="str">
        <f>sales_data!E125</f>
        <v>Дмитрий</v>
      </c>
      <c r="Q22" t="str">
        <f>sales_data!F125</f>
        <v>Москва</v>
      </c>
      <c r="R22" t="str">
        <f>sales_data!G125</f>
        <v>Центральный</v>
      </c>
      <c r="S22" t="str">
        <f>sales_data!H125</f>
        <v>Аксессуары</v>
      </c>
      <c r="T22" t="str">
        <f>sales_data!I125</f>
        <v>Screen Protector</v>
      </c>
      <c r="U22" t="str">
        <f>sales_data!J125</f>
        <v>Розница</v>
      </c>
      <c r="V22">
        <f>sales_data!K125</f>
        <v>8</v>
      </c>
      <c r="W22">
        <f>sales_data!L125</f>
        <v>1000</v>
      </c>
      <c r="X22">
        <f>sales_data!M125</f>
        <v>8000</v>
      </c>
      <c r="Y22" t="str">
        <f>sales_data!N125</f>
        <v>Офлайн-точка</v>
      </c>
      <c r="Z22" t="str">
        <f>sales_data!O125</f>
        <v>В пути</v>
      </c>
    </row>
    <row r="23" spans="12:26" x14ac:dyDescent="0.25">
      <c r="L23">
        <f>sales_data!A130</f>
        <v>1037</v>
      </c>
      <c r="M23">
        <f>sales_data!B130</f>
        <v>45672</v>
      </c>
      <c r="N23">
        <f>sales_data!C130</f>
        <v>15</v>
      </c>
      <c r="O23" t="str">
        <f>sales_data!D130</f>
        <v>Январь</v>
      </c>
      <c r="P23" t="str">
        <f>sales_data!E130</f>
        <v>Ксения</v>
      </c>
      <c r="Q23" t="str">
        <f>sales_data!F130</f>
        <v>Красноярск</v>
      </c>
      <c r="R23" t="str">
        <f>sales_data!G130</f>
        <v>Сибирский</v>
      </c>
      <c r="S23" t="str">
        <f>sales_data!H130</f>
        <v>Аксессуары</v>
      </c>
      <c r="T23" t="str">
        <f>sales_data!I130</f>
        <v>Cable Set</v>
      </c>
      <c r="U23" t="str">
        <f>sales_data!J130</f>
        <v>Опт</v>
      </c>
      <c r="V23">
        <f>sales_data!K130</f>
        <v>20</v>
      </c>
      <c r="W23">
        <f>sales_data!L130</f>
        <v>1000</v>
      </c>
      <c r="X23">
        <f>sales_data!M130</f>
        <v>20000</v>
      </c>
      <c r="Y23" t="str">
        <f>sales_data!N130</f>
        <v>Офлайн-точка</v>
      </c>
      <c r="Z23" t="str">
        <f>sales_data!O130</f>
        <v>Отменён</v>
      </c>
    </row>
    <row r="24" spans="12:26" x14ac:dyDescent="0.25">
      <c r="L24">
        <f>sales_data!A135</f>
        <v>1493</v>
      </c>
      <c r="M24">
        <f>sales_data!B135</f>
        <v>45949</v>
      </c>
      <c r="N24">
        <f>sales_data!C135</f>
        <v>19</v>
      </c>
      <c r="O24" t="str">
        <f>sales_data!D135</f>
        <v>Октябрь</v>
      </c>
      <c r="P24" t="str">
        <f>sales_data!E135</f>
        <v>Борис</v>
      </c>
      <c r="Q24" t="str">
        <f>sales_data!F135</f>
        <v>Казань</v>
      </c>
      <c r="R24" t="str">
        <f>sales_data!G135</f>
        <v>Приволжский</v>
      </c>
      <c r="S24" t="str">
        <f>sales_data!H135</f>
        <v>Аксессуары</v>
      </c>
      <c r="T24" t="str">
        <f>sales_data!I135</f>
        <v>Screen Protector</v>
      </c>
      <c r="U24" t="str">
        <f>sales_data!J135</f>
        <v>Розница</v>
      </c>
      <c r="V24">
        <f>sales_data!K135</f>
        <v>2</v>
      </c>
      <c r="W24">
        <f>sales_data!L135</f>
        <v>1000</v>
      </c>
      <c r="X24">
        <f>sales_data!M135</f>
        <v>2000</v>
      </c>
      <c r="Y24" t="str">
        <f>sales_data!N135</f>
        <v>Офлайн-точка</v>
      </c>
      <c r="Z24" t="str">
        <f>sales_data!O135</f>
        <v>Доставлен</v>
      </c>
    </row>
    <row r="25" spans="12:26" x14ac:dyDescent="0.25">
      <c r="L25">
        <f>sales_data!A136</f>
        <v>1553</v>
      </c>
      <c r="M25">
        <f>sales_data!B136</f>
        <v>45682</v>
      </c>
      <c r="N25">
        <f>sales_data!C136</f>
        <v>25</v>
      </c>
      <c r="O25" t="str">
        <f>sales_data!D136</f>
        <v>Январь</v>
      </c>
      <c r="P25" t="str">
        <f>sales_data!E136</f>
        <v>Сергей</v>
      </c>
      <c r="Q25" t="str">
        <f>sales_data!F136</f>
        <v>Самара</v>
      </c>
      <c r="R25" t="str">
        <f>sales_data!G136</f>
        <v>Приволжский</v>
      </c>
      <c r="S25" t="str">
        <f>sales_data!H136</f>
        <v>Аксессуары</v>
      </c>
      <c r="T25" t="str">
        <f>sales_data!I136</f>
        <v>Cable Set</v>
      </c>
      <c r="U25" t="str">
        <f>sales_data!J136</f>
        <v>Опт</v>
      </c>
      <c r="V25">
        <f>sales_data!K136</f>
        <v>23</v>
      </c>
      <c r="W25">
        <f>sales_data!L136</f>
        <v>1000</v>
      </c>
      <c r="X25">
        <f>sales_data!M136</f>
        <v>23000</v>
      </c>
      <c r="Y25" t="str">
        <f>sales_data!N136</f>
        <v>Офлайн-точка</v>
      </c>
      <c r="Z25" t="str">
        <f>sales_data!O136</f>
        <v>В пути</v>
      </c>
    </row>
    <row r="26" spans="12:26" x14ac:dyDescent="0.25">
      <c r="L26">
        <f>sales_data!A150</f>
        <v>2320</v>
      </c>
      <c r="M26">
        <f>sales_data!B150</f>
        <v>45778</v>
      </c>
      <c r="N26">
        <f>sales_data!C150</f>
        <v>1</v>
      </c>
      <c r="O26" t="str">
        <f>sales_data!D150</f>
        <v>Май</v>
      </c>
      <c r="P26" t="str">
        <f>sales_data!E150</f>
        <v>Владимир</v>
      </c>
      <c r="Q26" t="str">
        <f>sales_data!F150</f>
        <v>Самара</v>
      </c>
      <c r="R26" t="str">
        <f>sales_data!G150</f>
        <v>Приволжский</v>
      </c>
      <c r="S26" t="str">
        <f>sales_data!H150</f>
        <v>Аксессуары</v>
      </c>
      <c r="T26" t="str">
        <f>sales_data!I150</f>
        <v>Cable Set</v>
      </c>
      <c r="U26" t="str">
        <f>sales_data!J150</f>
        <v>Опт</v>
      </c>
      <c r="V26">
        <f>sales_data!K150</f>
        <v>30</v>
      </c>
      <c r="W26">
        <f>sales_data!L150</f>
        <v>1000</v>
      </c>
      <c r="X26">
        <f>sales_data!M150</f>
        <v>30000</v>
      </c>
      <c r="Y26" t="str">
        <f>sales_data!N150</f>
        <v>Интернет-магазин</v>
      </c>
      <c r="Z26" t="str">
        <f>sales_data!O150</f>
        <v>Доставлен</v>
      </c>
    </row>
    <row r="27" spans="12:26" x14ac:dyDescent="0.25">
      <c r="L27">
        <f>sales_data!A158</f>
        <v>2770</v>
      </c>
      <c r="M27">
        <f>sales_data!B158</f>
        <v>45974</v>
      </c>
      <c r="N27">
        <f>sales_data!C158</f>
        <v>13</v>
      </c>
      <c r="O27" t="str">
        <f>sales_data!D158</f>
        <v>Ноябрь</v>
      </c>
      <c r="P27" t="str">
        <f>sales_data!E158</f>
        <v>Ольга</v>
      </c>
      <c r="Q27" t="str">
        <f>sales_data!F158</f>
        <v>Нижний Новгород</v>
      </c>
      <c r="R27" t="str">
        <f>sales_data!G158</f>
        <v>Приволжский</v>
      </c>
      <c r="S27" t="str">
        <f>sales_data!H158</f>
        <v>Аксессуары</v>
      </c>
      <c r="T27" t="str">
        <f>sales_data!I158</f>
        <v>Screen Protector</v>
      </c>
      <c r="U27" t="str">
        <f>sales_data!J158</f>
        <v>Розница</v>
      </c>
      <c r="V27">
        <f>sales_data!K158</f>
        <v>8</v>
      </c>
      <c r="W27">
        <f>sales_data!L158</f>
        <v>1000</v>
      </c>
      <c r="X27">
        <f>sales_data!M158</f>
        <v>8000</v>
      </c>
      <c r="Y27" t="str">
        <f>sales_data!N158</f>
        <v>Офлайн-точка</v>
      </c>
      <c r="Z27" t="str">
        <f>sales_data!O158</f>
        <v>В пути</v>
      </c>
    </row>
    <row r="28" spans="12:26" x14ac:dyDescent="0.25">
      <c r="L28">
        <f>sales_data!A160</f>
        <v>2772</v>
      </c>
      <c r="M28">
        <f>sales_data!B160</f>
        <v>45944</v>
      </c>
      <c r="N28">
        <f>sales_data!C160</f>
        <v>14</v>
      </c>
      <c r="O28" t="str">
        <f>sales_data!D160</f>
        <v>Октябрь</v>
      </c>
      <c r="P28" t="str">
        <f>sales_data!E160</f>
        <v>Игорь</v>
      </c>
      <c r="Q28" t="str">
        <f>sales_data!F160</f>
        <v>Ростов-на-Дону</v>
      </c>
      <c r="R28" t="str">
        <f>sales_data!G160</f>
        <v>Южный</v>
      </c>
      <c r="S28" t="str">
        <f>sales_data!H160</f>
        <v>Аксессуары</v>
      </c>
      <c r="T28" t="str">
        <f>sales_data!I160</f>
        <v>Cable Set</v>
      </c>
      <c r="U28" t="str">
        <f>sales_data!J160</f>
        <v>Опт</v>
      </c>
      <c r="V28">
        <f>sales_data!K160</f>
        <v>30</v>
      </c>
      <c r="W28">
        <f>sales_data!L160</f>
        <v>1000</v>
      </c>
      <c r="X28">
        <f>sales_data!M160</f>
        <v>30000</v>
      </c>
      <c r="Y28" t="str">
        <f>sales_data!N160</f>
        <v>Офлайн-точка</v>
      </c>
      <c r="Z28" t="str">
        <f>sales_data!O160</f>
        <v>Доставлен</v>
      </c>
    </row>
    <row r="29" spans="12:26" x14ac:dyDescent="0.25">
      <c r="L29">
        <f>sales_data!A166</f>
        <v>3135</v>
      </c>
      <c r="M29">
        <f>sales_data!B166</f>
        <v>45926</v>
      </c>
      <c r="N29">
        <f>sales_data!C166</f>
        <v>26</v>
      </c>
      <c r="O29" t="str">
        <f>sales_data!D166</f>
        <v>Сентябрь</v>
      </c>
      <c r="P29" t="str">
        <f>sales_data!E166</f>
        <v>Светлана</v>
      </c>
      <c r="Q29" t="str">
        <f>sales_data!F166</f>
        <v>Москва</v>
      </c>
      <c r="R29" t="str">
        <f>sales_data!G166</f>
        <v>Центральный</v>
      </c>
      <c r="S29" t="str">
        <f>sales_data!H166</f>
        <v>Аксессуары</v>
      </c>
      <c r="T29" t="str">
        <f>sales_data!I166</f>
        <v>Screen Protector</v>
      </c>
      <c r="U29" t="str">
        <f>sales_data!J166</f>
        <v>Розница</v>
      </c>
      <c r="V29">
        <f>sales_data!K166</f>
        <v>2</v>
      </c>
      <c r="W29">
        <f>sales_data!L166</f>
        <v>1000</v>
      </c>
      <c r="X29">
        <f>sales_data!M166</f>
        <v>2000</v>
      </c>
      <c r="Y29" t="str">
        <f>sales_data!N166</f>
        <v>Офлайн-точка</v>
      </c>
      <c r="Z29" t="str">
        <f>sales_data!O166</f>
        <v>Доставлен</v>
      </c>
    </row>
    <row r="30" spans="12:26" x14ac:dyDescent="0.25">
      <c r="L30">
        <f>sales_data!A169</f>
        <v>3434</v>
      </c>
      <c r="M30">
        <f>sales_data!B169</f>
        <v>45910</v>
      </c>
      <c r="N30">
        <f>sales_data!C169</f>
        <v>10</v>
      </c>
      <c r="O30" t="str">
        <f>sales_data!D169</f>
        <v>Сентябрь</v>
      </c>
      <c r="P30" t="str">
        <f>sales_data!E169</f>
        <v>Наталья</v>
      </c>
      <c r="Q30" t="str">
        <f>sales_data!F169</f>
        <v>Краснодар</v>
      </c>
      <c r="R30" t="str">
        <f>sales_data!G169</f>
        <v>Южный</v>
      </c>
      <c r="S30" t="str">
        <f>sales_data!H169</f>
        <v>Аксессуары</v>
      </c>
      <c r="T30" t="str">
        <f>sales_data!I169</f>
        <v>Cable Set</v>
      </c>
      <c r="U30" t="str">
        <f>sales_data!J169</f>
        <v>Опт</v>
      </c>
      <c r="V30">
        <f>sales_data!K169</f>
        <v>49</v>
      </c>
      <c r="W30">
        <f>sales_data!L169</f>
        <v>1000</v>
      </c>
      <c r="X30">
        <f>sales_data!M169</f>
        <v>49000</v>
      </c>
      <c r="Y30" t="str">
        <f>sales_data!N169</f>
        <v>Интернет-магазин</v>
      </c>
      <c r="Z30" t="str">
        <f>sales_data!O169</f>
        <v>Отменён</v>
      </c>
    </row>
    <row r="31" spans="12:26" x14ac:dyDescent="0.25">
      <c r="L31">
        <f>sales_data!A174</f>
        <v>3822</v>
      </c>
      <c r="M31">
        <f>sales_data!B174</f>
        <v>45765</v>
      </c>
      <c r="N31">
        <f>sales_data!C174</f>
        <v>18</v>
      </c>
      <c r="O31" t="str">
        <f>sales_data!D174</f>
        <v>Апрель</v>
      </c>
      <c r="P31" t="str">
        <f>sales_data!E174</f>
        <v>Анна</v>
      </c>
      <c r="Q31" t="str">
        <f>sales_data!F174</f>
        <v>Нижний Новгород</v>
      </c>
      <c r="R31" t="str">
        <f>sales_data!G174</f>
        <v>Приволжский</v>
      </c>
      <c r="S31" t="str">
        <f>sales_data!H174</f>
        <v>Аксессуары</v>
      </c>
      <c r="T31" t="str">
        <f>sales_data!I174</f>
        <v>Cable Set</v>
      </c>
      <c r="U31" t="str">
        <f>sales_data!J174</f>
        <v>Опт</v>
      </c>
      <c r="V31">
        <f>sales_data!K174</f>
        <v>32</v>
      </c>
      <c r="W31">
        <f>sales_data!L174</f>
        <v>1000</v>
      </c>
      <c r="X31">
        <f>sales_data!M174</f>
        <v>32000</v>
      </c>
      <c r="Y31" t="str">
        <f>sales_data!N174</f>
        <v>Офлайн-точка</v>
      </c>
      <c r="Z31" t="str">
        <f>sales_data!O174</f>
        <v>Отменён</v>
      </c>
    </row>
    <row r="32" spans="12:26" x14ac:dyDescent="0.25">
      <c r="L32">
        <f>sales_data!A175</f>
        <v>3872</v>
      </c>
      <c r="M32">
        <f>sales_data!B175</f>
        <v>45676</v>
      </c>
      <c r="N32">
        <f>sales_data!C175</f>
        <v>19</v>
      </c>
      <c r="O32" t="str">
        <f>sales_data!D175</f>
        <v>Январь</v>
      </c>
      <c r="P32" t="str">
        <f>sales_data!E175</f>
        <v>Ольга</v>
      </c>
      <c r="Q32" t="str">
        <f>sales_data!F175</f>
        <v>Челябинск</v>
      </c>
      <c r="R32" t="str">
        <f>sales_data!G175</f>
        <v>Уральский</v>
      </c>
      <c r="S32" t="str">
        <f>sales_data!H175</f>
        <v>Аксессуары</v>
      </c>
      <c r="T32" t="str">
        <f>sales_data!I175</f>
        <v>Screen Protector</v>
      </c>
      <c r="U32" t="str">
        <f>sales_data!J175</f>
        <v>Розница</v>
      </c>
      <c r="V32">
        <f>sales_data!K175</f>
        <v>8</v>
      </c>
      <c r="W32">
        <f>sales_data!L175</f>
        <v>1000</v>
      </c>
      <c r="X32">
        <f>sales_data!M175</f>
        <v>8000</v>
      </c>
      <c r="Y32" t="str">
        <f>sales_data!N175</f>
        <v>Офлайн-точка</v>
      </c>
      <c r="Z32" t="str">
        <f>sales_data!O175</f>
        <v>Отменён</v>
      </c>
    </row>
    <row r="33" spans="12:26" x14ac:dyDescent="0.25">
      <c r="L33">
        <f>sales_data!A181</f>
        <v>4331</v>
      </c>
      <c r="M33">
        <f>sales_data!B181</f>
        <v>45678</v>
      </c>
      <c r="N33">
        <f>sales_data!C181</f>
        <v>21</v>
      </c>
      <c r="O33" t="str">
        <f>sales_data!D181</f>
        <v>Январь</v>
      </c>
      <c r="P33" t="str">
        <f>sales_data!E181</f>
        <v>Борис</v>
      </c>
      <c r="Q33" t="str">
        <f>sales_data!F181</f>
        <v>Екатеринбург</v>
      </c>
      <c r="R33" t="str">
        <f>sales_data!G181</f>
        <v>Уральский</v>
      </c>
      <c r="S33" t="str">
        <f>sales_data!H181</f>
        <v>Аксессуары</v>
      </c>
      <c r="T33" t="str">
        <f>sales_data!I181</f>
        <v>Screen Protector</v>
      </c>
      <c r="U33" t="str">
        <f>sales_data!J181</f>
        <v>Розница</v>
      </c>
      <c r="V33">
        <f>sales_data!K181</f>
        <v>3</v>
      </c>
      <c r="W33">
        <f>sales_data!L181</f>
        <v>1000</v>
      </c>
      <c r="X33">
        <f>sales_data!M181</f>
        <v>3000</v>
      </c>
      <c r="Y33" t="str">
        <f>sales_data!N181</f>
        <v>Интернет-магазин</v>
      </c>
      <c r="Z33" t="str">
        <f>sales_data!O181</f>
        <v>Отменён</v>
      </c>
    </row>
    <row r="34" spans="12:26" x14ac:dyDescent="0.25">
      <c r="L34">
        <f>sales_data!A187</f>
        <v>4448</v>
      </c>
      <c r="M34">
        <f>sales_data!B187</f>
        <v>45966</v>
      </c>
      <c r="N34">
        <f>sales_data!C187</f>
        <v>5</v>
      </c>
      <c r="O34" t="str">
        <f>sales_data!D187</f>
        <v>Ноябрь</v>
      </c>
      <c r="P34" t="str">
        <f>sales_data!E187</f>
        <v>Анна</v>
      </c>
      <c r="Q34" t="str">
        <f>sales_data!F187</f>
        <v>Екатеринбург</v>
      </c>
      <c r="R34" t="str">
        <f>sales_data!G187</f>
        <v>Уральский</v>
      </c>
      <c r="S34" t="str">
        <f>sales_data!H187</f>
        <v>Аксессуары</v>
      </c>
      <c r="T34" t="str">
        <f>sales_data!I187</f>
        <v>Cable Set</v>
      </c>
      <c r="U34" t="str">
        <f>sales_data!J187</f>
        <v>Опт</v>
      </c>
      <c r="V34">
        <f>sales_data!K187</f>
        <v>30</v>
      </c>
      <c r="W34">
        <f>sales_data!L187</f>
        <v>1000</v>
      </c>
      <c r="X34">
        <f>sales_data!M187</f>
        <v>30000</v>
      </c>
      <c r="Y34" t="str">
        <f>sales_data!N187</f>
        <v>Интернет-магазин</v>
      </c>
      <c r="Z34" t="str">
        <f>sales_data!O187</f>
        <v>Отменён</v>
      </c>
    </row>
    <row r="35" spans="12:26" x14ac:dyDescent="0.25">
      <c r="L35">
        <f>sales_data!A197</f>
        <v>4708</v>
      </c>
      <c r="M35">
        <f>sales_data!B197</f>
        <v>45686</v>
      </c>
      <c r="N35">
        <f>sales_data!C197</f>
        <v>29</v>
      </c>
      <c r="O35" t="str">
        <f>sales_data!D197</f>
        <v>Январь</v>
      </c>
      <c r="P35" t="str">
        <f>sales_data!E197</f>
        <v>Ксения</v>
      </c>
      <c r="Q35" t="str">
        <f>sales_data!F197</f>
        <v>Челябинск</v>
      </c>
      <c r="R35" t="str">
        <f>sales_data!G197</f>
        <v>Уральский</v>
      </c>
      <c r="S35" t="str">
        <f>sales_data!H197</f>
        <v>Аксессуары</v>
      </c>
      <c r="T35" t="str">
        <f>sales_data!I197</f>
        <v>Screen Protector</v>
      </c>
      <c r="U35" t="str">
        <f>sales_data!J197</f>
        <v>Розница</v>
      </c>
      <c r="V35">
        <f>sales_data!K197</f>
        <v>3</v>
      </c>
      <c r="W35">
        <f>sales_data!L197</f>
        <v>1000</v>
      </c>
      <c r="X35">
        <f>sales_data!M197</f>
        <v>3000</v>
      </c>
      <c r="Y35" t="str">
        <f>sales_data!N197</f>
        <v>Интернет-магазин</v>
      </c>
      <c r="Z35" t="str">
        <f>sales_data!O197</f>
        <v>Отменён</v>
      </c>
    </row>
    <row r="36" spans="12:26" x14ac:dyDescent="0.25">
      <c r="L36">
        <f>sales_data!A202</f>
        <v>4969</v>
      </c>
      <c r="M36">
        <f>sales_data!B202</f>
        <v>45844</v>
      </c>
      <c r="N36">
        <f>sales_data!C202</f>
        <v>6</v>
      </c>
      <c r="O36" t="str">
        <f>sales_data!D202</f>
        <v>Июль</v>
      </c>
      <c r="P36" t="str">
        <f>sales_data!E202</f>
        <v>Анна</v>
      </c>
      <c r="Q36" t="str">
        <f>sales_data!F202</f>
        <v>Екатеринбург</v>
      </c>
      <c r="R36" t="str">
        <f>sales_data!G202</f>
        <v>Уральский</v>
      </c>
      <c r="S36" t="str">
        <f>sales_data!H202</f>
        <v>Аксессуары</v>
      </c>
      <c r="T36" t="str">
        <f>sales_data!I202</f>
        <v>Cable Set</v>
      </c>
      <c r="U36" t="str">
        <f>sales_data!J202</f>
        <v>Опт</v>
      </c>
      <c r="V36">
        <f>sales_data!K202</f>
        <v>38</v>
      </c>
      <c r="W36">
        <f>sales_data!L202</f>
        <v>1000</v>
      </c>
      <c r="X36">
        <f>sales_data!M202</f>
        <v>38000</v>
      </c>
      <c r="Y36" t="str">
        <f>sales_data!N202</f>
        <v>Интернет-магазин</v>
      </c>
      <c r="Z36" t="str">
        <f>sales_data!O202</f>
        <v>Отменён</v>
      </c>
    </row>
    <row r="37" spans="12:26" x14ac:dyDescent="0.25">
      <c r="L37">
        <f>sales_data!A204</f>
        <v>4996</v>
      </c>
      <c r="M37">
        <f>sales_data!B204</f>
        <v>45818</v>
      </c>
      <c r="N37">
        <f>sales_data!C204</f>
        <v>10</v>
      </c>
      <c r="O37" t="str">
        <f>sales_data!D204</f>
        <v>Июнь</v>
      </c>
      <c r="P37" t="str">
        <f>sales_data!E204</f>
        <v>Владимир</v>
      </c>
      <c r="Q37" t="str">
        <f>sales_data!F204</f>
        <v>Омск</v>
      </c>
      <c r="R37" t="str">
        <f>sales_data!G204</f>
        <v>Сибирский</v>
      </c>
      <c r="S37" t="str">
        <f>sales_data!H204</f>
        <v>Аксессуары</v>
      </c>
      <c r="T37" t="str">
        <f>sales_data!I204</f>
        <v>Screen Protector</v>
      </c>
      <c r="U37" t="str">
        <f>sales_data!J204</f>
        <v>Розница</v>
      </c>
      <c r="V37">
        <f>sales_data!K204</f>
        <v>5</v>
      </c>
      <c r="W37">
        <f>sales_data!L204</f>
        <v>1000</v>
      </c>
      <c r="X37">
        <f>sales_data!M204</f>
        <v>5000</v>
      </c>
      <c r="Y37" t="str">
        <f>sales_data!N204</f>
        <v>Интернет-магазин</v>
      </c>
      <c r="Z37" t="str">
        <f>sales_data!O204</f>
        <v>Доставлен</v>
      </c>
    </row>
    <row r="38" spans="12:26" x14ac:dyDescent="0.25">
      <c r="L38">
        <f>sales_data!A206</f>
        <v>7</v>
      </c>
      <c r="M38">
        <f>sales_data!B206</f>
        <v>45808</v>
      </c>
      <c r="N38">
        <f>sales_data!C206</f>
        <v>31</v>
      </c>
      <c r="O38" t="str">
        <f>sales_data!D206</f>
        <v>Май</v>
      </c>
      <c r="P38" t="str">
        <f>sales_data!E206</f>
        <v>Владимир</v>
      </c>
      <c r="Q38" t="str">
        <f>sales_data!F206</f>
        <v>Ростов-на-Дону</v>
      </c>
      <c r="R38" t="str">
        <f>sales_data!G206</f>
        <v>Южный</v>
      </c>
      <c r="S38" t="str">
        <f>sales_data!H206</f>
        <v>Аксессуары</v>
      </c>
      <c r="T38" t="str">
        <f>sales_data!I206</f>
        <v>Screen Protector</v>
      </c>
      <c r="U38" t="str">
        <f>sales_data!J206</f>
        <v>Розница</v>
      </c>
      <c r="V38">
        <f>sales_data!K206</f>
        <v>2</v>
      </c>
      <c r="W38">
        <f>sales_data!L206</f>
        <v>1100</v>
      </c>
      <c r="X38">
        <f>sales_data!M206</f>
        <v>2200</v>
      </c>
      <c r="Y38" t="str">
        <f>sales_data!N206</f>
        <v>Интернет-магазин</v>
      </c>
      <c r="Z38" t="str">
        <f>sales_data!O206</f>
        <v>Отменён</v>
      </c>
    </row>
    <row r="39" spans="12:26" x14ac:dyDescent="0.25">
      <c r="L39">
        <f>sales_data!A225</f>
        <v>2078</v>
      </c>
      <c r="M39">
        <f>sales_data!B225</f>
        <v>46007</v>
      </c>
      <c r="N39">
        <f>sales_data!C225</f>
        <v>16</v>
      </c>
      <c r="O39" t="str">
        <f>sales_data!D225</f>
        <v>Декабрь</v>
      </c>
      <c r="P39" t="str">
        <f>sales_data!E225</f>
        <v>Владимир</v>
      </c>
      <c r="Q39" t="str">
        <f>sales_data!F225</f>
        <v>Уфа</v>
      </c>
      <c r="R39" t="str">
        <f>sales_data!G225</f>
        <v>Приволжский</v>
      </c>
      <c r="S39" t="str">
        <f>sales_data!H225</f>
        <v>Аксессуары</v>
      </c>
      <c r="T39" t="str">
        <f>sales_data!I225</f>
        <v>Cable Set</v>
      </c>
      <c r="U39" t="str">
        <f>sales_data!J225</f>
        <v>Опт</v>
      </c>
      <c r="V39">
        <f>sales_data!K225</f>
        <v>43</v>
      </c>
      <c r="W39">
        <f>sales_data!L225</f>
        <v>1100</v>
      </c>
      <c r="X39">
        <f>sales_data!M225</f>
        <v>47300</v>
      </c>
      <c r="Y39" t="str">
        <f>sales_data!N225</f>
        <v>Интернет-магазин</v>
      </c>
      <c r="Z39" t="str">
        <f>sales_data!O225</f>
        <v>Доставлен</v>
      </c>
    </row>
    <row r="40" spans="12:26" x14ac:dyDescent="0.25">
      <c r="L40">
        <f>sales_data!A230</f>
        <v>2532</v>
      </c>
      <c r="M40">
        <f>sales_data!B230</f>
        <v>45877</v>
      </c>
      <c r="N40">
        <f>sales_data!C230</f>
        <v>8</v>
      </c>
      <c r="O40" t="str">
        <f>sales_data!D230</f>
        <v>Август</v>
      </c>
      <c r="P40" t="str">
        <f>sales_data!E230</f>
        <v>Павел</v>
      </c>
      <c r="Q40" t="str">
        <f>sales_data!F230</f>
        <v>Новосибирск</v>
      </c>
      <c r="R40" t="str">
        <f>sales_data!G230</f>
        <v>Сибирский</v>
      </c>
      <c r="S40" t="str">
        <f>sales_data!H230</f>
        <v>Аксессуары</v>
      </c>
      <c r="T40" t="str">
        <f>sales_data!I230</f>
        <v>Cable Set</v>
      </c>
      <c r="U40" t="str">
        <f>sales_data!J230</f>
        <v>Розница</v>
      </c>
      <c r="V40">
        <f>sales_data!K230</f>
        <v>5</v>
      </c>
      <c r="W40">
        <f>sales_data!L230</f>
        <v>1100</v>
      </c>
      <c r="X40">
        <f>sales_data!M230</f>
        <v>5500</v>
      </c>
      <c r="Y40" t="str">
        <f>sales_data!N230</f>
        <v>Офлайн-точка</v>
      </c>
      <c r="Z40" t="str">
        <f>sales_data!O230</f>
        <v>Отменён</v>
      </c>
    </row>
    <row r="41" spans="12:26" x14ac:dyDescent="0.25">
      <c r="L41">
        <f>sales_data!A234</f>
        <v>3074</v>
      </c>
      <c r="M41">
        <f>sales_data!B234</f>
        <v>45992</v>
      </c>
      <c r="N41">
        <f>sales_data!C234</f>
        <v>1</v>
      </c>
      <c r="O41" t="str">
        <f>sales_data!D234</f>
        <v>Декабрь</v>
      </c>
      <c r="P41" t="str">
        <f>sales_data!E234</f>
        <v>Анна</v>
      </c>
      <c r="Q41" t="str">
        <f>sales_data!F234</f>
        <v>Москва</v>
      </c>
      <c r="R41" t="str">
        <f>sales_data!G234</f>
        <v>Центральный</v>
      </c>
      <c r="S41" t="str">
        <f>sales_data!H234</f>
        <v>Аксессуары</v>
      </c>
      <c r="T41" t="str">
        <f>sales_data!I234</f>
        <v>Screen Protector</v>
      </c>
      <c r="U41" t="str">
        <f>sales_data!J234</f>
        <v>Розница</v>
      </c>
      <c r="V41">
        <f>sales_data!K234</f>
        <v>9</v>
      </c>
      <c r="W41">
        <f>sales_data!L234</f>
        <v>1100</v>
      </c>
      <c r="X41">
        <f>sales_data!M234</f>
        <v>9900</v>
      </c>
      <c r="Y41" t="str">
        <f>sales_data!N234</f>
        <v>Офлайн-точка</v>
      </c>
      <c r="Z41" t="str">
        <f>sales_data!O234</f>
        <v>Отменён</v>
      </c>
    </row>
    <row r="42" spans="12:26" x14ac:dyDescent="0.25">
      <c r="L42">
        <f>sales_data!A247</f>
        <v>4029</v>
      </c>
      <c r="M42">
        <f>sales_data!B247</f>
        <v>45862</v>
      </c>
      <c r="N42">
        <f>sales_data!C247</f>
        <v>24</v>
      </c>
      <c r="O42" t="str">
        <f>sales_data!D247</f>
        <v>Июль</v>
      </c>
      <c r="P42" t="str">
        <f>sales_data!E247</f>
        <v>Сергей</v>
      </c>
      <c r="Q42" t="str">
        <f>sales_data!F247</f>
        <v>Челябинск</v>
      </c>
      <c r="R42" t="str">
        <f>sales_data!G247</f>
        <v>Уральский</v>
      </c>
      <c r="S42" t="str">
        <f>sales_data!H247</f>
        <v>Аксессуары</v>
      </c>
      <c r="T42" t="str">
        <f>sales_data!I247</f>
        <v>Cable Set</v>
      </c>
      <c r="U42" t="str">
        <f>sales_data!J247</f>
        <v>Опт</v>
      </c>
      <c r="V42">
        <f>sales_data!K247</f>
        <v>11</v>
      </c>
      <c r="W42">
        <f>sales_data!L247</f>
        <v>1100</v>
      </c>
      <c r="X42">
        <f>sales_data!M247</f>
        <v>12100</v>
      </c>
      <c r="Y42" t="str">
        <f>sales_data!N247</f>
        <v>Офлайн-точка</v>
      </c>
      <c r="Z42" t="str">
        <f>sales_data!O247</f>
        <v>В пути</v>
      </c>
    </row>
    <row r="43" spans="12:26" x14ac:dyDescent="0.25">
      <c r="L43">
        <f>sales_data!A270</f>
        <v>985</v>
      </c>
      <c r="M43">
        <f>sales_data!B270</f>
        <v>45918</v>
      </c>
      <c r="N43">
        <f>sales_data!C270</f>
        <v>18</v>
      </c>
      <c r="O43" t="str">
        <f>sales_data!D270</f>
        <v>Сентябрь</v>
      </c>
      <c r="P43" t="str">
        <f>sales_data!E270</f>
        <v>Владимир</v>
      </c>
      <c r="Q43" t="str">
        <f>sales_data!F270</f>
        <v>Екатеринбург</v>
      </c>
      <c r="R43" t="str">
        <f>sales_data!G270</f>
        <v>Уральский</v>
      </c>
      <c r="S43" t="str">
        <f>sales_data!H270</f>
        <v>Аксессуары</v>
      </c>
      <c r="T43" t="str">
        <f>sales_data!I270</f>
        <v>Cable Set</v>
      </c>
      <c r="U43" t="str">
        <f>sales_data!J270</f>
        <v>Розница</v>
      </c>
      <c r="V43">
        <f>sales_data!K270</f>
        <v>10</v>
      </c>
      <c r="W43">
        <f>sales_data!L270</f>
        <v>1200</v>
      </c>
      <c r="X43">
        <f>sales_data!M270</f>
        <v>12000</v>
      </c>
      <c r="Y43" t="str">
        <f>sales_data!N270</f>
        <v>Интернет-магазин</v>
      </c>
      <c r="Z43" t="str">
        <f>sales_data!O270</f>
        <v>Отменён</v>
      </c>
    </row>
    <row r="44" spans="12:26" x14ac:dyDescent="0.25">
      <c r="L44">
        <f>sales_data!A278</f>
        <v>1506</v>
      </c>
      <c r="M44">
        <f>sales_data!B278</f>
        <v>45869</v>
      </c>
      <c r="N44">
        <f>sales_data!C278</f>
        <v>31</v>
      </c>
      <c r="O44" t="str">
        <f>sales_data!D278</f>
        <v>Июль</v>
      </c>
      <c r="P44" t="str">
        <f>sales_data!E278</f>
        <v>Алексей</v>
      </c>
      <c r="Q44" t="str">
        <f>sales_data!F278</f>
        <v>Красноярск</v>
      </c>
      <c r="R44" t="str">
        <f>sales_data!G278</f>
        <v>Сибирский</v>
      </c>
      <c r="S44" t="str">
        <f>sales_data!H278</f>
        <v>Аксессуары</v>
      </c>
      <c r="T44" t="str">
        <f>sales_data!I278</f>
        <v>Cable Set</v>
      </c>
      <c r="U44" t="str">
        <f>sales_data!J278</f>
        <v>Розница</v>
      </c>
      <c r="V44">
        <f>sales_data!K278</f>
        <v>1</v>
      </c>
      <c r="W44">
        <f>sales_data!L278</f>
        <v>1200</v>
      </c>
      <c r="X44">
        <f>sales_data!M278</f>
        <v>1200</v>
      </c>
      <c r="Y44" t="str">
        <f>sales_data!N278</f>
        <v>Интернет-магазин</v>
      </c>
      <c r="Z44" t="str">
        <f>sales_data!O278</f>
        <v>Доставлен</v>
      </c>
    </row>
    <row r="45" spans="12:26" x14ac:dyDescent="0.25">
      <c r="L45">
        <f>sales_data!A289</f>
        <v>2511</v>
      </c>
      <c r="M45">
        <f>sales_data!B289</f>
        <v>45966</v>
      </c>
      <c r="N45">
        <f>sales_data!C289</f>
        <v>5</v>
      </c>
      <c r="O45" t="str">
        <f>sales_data!D289</f>
        <v>Ноябрь</v>
      </c>
      <c r="P45" t="str">
        <f>sales_data!E289</f>
        <v>Павел</v>
      </c>
      <c r="Q45" t="str">
        <f>sales_data!F289</f>
        <v>Краснодар</v>
      </c>
      <c r="R45" t="str">
        <f>sales_data!G289</f>
        <v>Южный</v>
      </c>
      <c r="S45" t="str">
        <f>sales_data!H289</f>
        <v>Аксессуары</v>
      </c>
      <c r="T45" t="str">
        <f>sales_data!I289</f>
        <v>Cable Set</v>
      </c>
      <c r="U45" t="str">
        <f>sales_data!J289</f>
        <v>Розница</v>
      </c>
      <c r="V45">
        <f>sales_data!K289</f>
        <v>8</v>
      </c>
      <c r="W45">
        <f>sales_data!L289</f>
        <v>1200</v>
      </c>
      <c r="X45">
        <f>sales_data!M289</f>
        <v>9600</v>
      </c>
      <c r="Y45" t="str">
        <f>sales_data!N289</f>
        <v>Интернет-магазин</v>
      </c>
      <c r="Z45" t="str">
        <f>sales_data!O289</f>
        <v>Отменён</v>
      </c>
    </row>
    <row r="46" spans="12:26" x14ac:dyDescent="0.25">
      <c r="L46">
        <f>sales_data!A290</f>
        <v>2637</v>
      </c>
      <c r="M46">
        <f>sales_data!B290</f>
        <v>45941</v>
      </c>
      <c r="N46">
        <f>sales_data!C290</f>
        <v>11</v>
      </c>
      <c r="O46" t="str">
        <f>sales_data!D290</f>
        <v>Октябрь</v>
      </c>
      <c r="P46" t="str">
        <f>sales_data!E290</f>
        <v>Дмитрий</v>
      </c>
      <c r="Q46" t="str">
        <f>sales_data!F290</f>
        <v>Воронеж</v>
      </c>
      <c r="R46" t="str">
        <f>sales_data!G290</f>
        <v>Центральный</v>
      </c>
      <c r="S46" t="str">
        <f>sales_data!H290</f>
        <v>Аксессуары</v>
      </c>
      <c r="T46" t="str">
        <f>sales_data!I290</f>
        <v>Cable Set</v>
      </c>
      <c r="U46" t="str">
        <f>sales_data!J290</f>
        <v>Розница</v>
      </c>
      <c r="V46">
        <f>sales_data!K290</f>
        <v>2</v>
      </c>
      <c r="W46">
        <f>sales_data!L290</f>
        <v>1200</v>
      </c>
      <c r="X46">
        <f>sales_data!M290</f>
        <v>2400</v>
      </c>
      <c r="Y46" t="str">
        <f>sales_data!N290</f>
        <v>Офлайн-точка</v>
      </c>
      <c r="Z46" t="str">
        <f>sales_data!O290</f>
        <v>Отменён</v>
      </c>
    </row>
    <row r="47" spans="12:26" x14ac:dyDescent="0.25">
      <c r="L47">
        <f>sales_data!A291</f>
        <v>2762</v>
      </c>
      <c r="M47">
        <f>sales_data!B291</f>
        <v>45743</v>
      </c>
      <c r="N47">
        <f>sales_data!C291</f>
        <v>27</v>
      </c>
      <c r="O47" t="str">
        <f>sales_data!D291</f>
        <v>Март</v>
      </c>
      <c r="P47" t="str">
        <f>sales_data!E291</f>
        <v>Анна</v>
      </c>
      <c r="Q47" t="str">
        <f>sales_data!F291</f>
        <v>Ростов-на-Дону</v>
      </c>
      <c r="R47" t="str">
        <f>sales_data!G291</f>
        <v>Южный</v>
      </c>
      <c r="S47" t="str">
        <f>sales_data!H291</f>
        <v>Аксессуары</v>
      </c>
      <c r="T47" t="str">
        <f>sales_data!I291</f>
        <v>Cable Set</v>
      </c>
      <c r="U47" t="str">
        <f>sales_data!J291</f>
        <v>Розница</v>
      </c>
      <c r="V47">
        <f>sales_data!K291</f>
        <v>5</v>
      </c>
      <c r="W47">
        <f>sales_data!L291</f>
        <v>1200</v>
      </c>
      <c r="X47">
        <f>sales_data!M291</f>
        <v>6000</v>
      </c>
      <c r="Y47" t="str">
        <f>sales_data!N291</f>
        <v>Интернет-магазин</v>
      </c>
      <c r="Z47" t="str">
        <f>sales_data!O291</f>
        <v>Доставлен</v>
      </c>
    </row>
    <row r="48" spans="12:26" x14ac:dyDescent="0.25">
      <c r="L48">
        <f>sales_data!A304</f>
        <v>3848</v>
      </c>
      <c r="M48">
        <f>sales_data!B304</f>
        <v>45999</v>
      </c>
      <c r="N48">
        <f>sales_data!C304</f>
        <v>8</v>
      </c>
      <c r="O48" t="str">
        <f>sales_data!D304</f>
        <v>Декабрь</v>
      </c>
      <c r="P48" t="str">
        <f>sales_data!E304</f>
        <v>Наталья</v>
      </c>
      <c r="Q48" t="str">
        <f>sales_data!F304</f>
        <v>Воронеж</v>
      </c>
      <c r="R48" t="str">
        <f>sales_data!G304</f>
        <v>Центральный</v>
      </c>
      <c r="S48" t="str">
        <f>sales_data!H304</f>
        <v>Аксессуары</v>
      </c>
      <c r="T48" t="str">
        <f>sales_data!I304</f>
        <v>Cable Set</v>
      </c>
      <c r="U48" t="str">
        <f>sales_data!J304</f>
        <v>Розница</v>
      </c>
      <c r="V48">
        <f>sales_data!K304</f>
        <v>10</v>
      </c>
      <c r="W48">
        <f>sales_data!L304</f>
        <v>1200</v>
      </c>
      <c r="X48">
        <f>sales_data!M304</f>
        <v>12000</v>
      </c>
      <c r="Y48" t="str">
        <f>sales_data!N304</f>
        <v>Интернет-магазин</v>
      </c>
      <c r="Z48" t="str">
        <f>sales_data!O304</f>
        <v>В пути</v>
      </c>
    </row>
    <row r="49" spans="12:26" x14ac:dyDescent="0.25">
      <c r="L49">
        <f>sales_data!A317</f>
        <v>899</v>
      </c>
      <c r="M49">
        <f>sales_data!B317</f>
        <v>45944</v>
      </c>
      <c r="N49">
        <f>sales_data!C317</f>
        <v>14</v>
      </c>
      <c r="O49" t="str">
        <f>sales_data!D317</f>
        <v>Октябрь</v>
      </c>
      <c r="P49" t="str">
        <f>sales_data!E317</f>
        <v>Сергей</v>
      </c>
      <c r="Q49" t="str">
        <f>sales_data!F317</f>
        <v>Уфа</v>
      </c>
      <c r="R49" t="str">
        <f>sales_data!G317</f>
        <v>Приволжский</v>
      </c>
      <c r="S49" t="str">
        <f>sales_data!H317</f>
        <v>Аксессуары</v>
      </c>
      <c r="T49" t="str">
        <f>sales_data!I317</f>
        <v>Cable Set</v>
      </c>
      <c r="U49" t="str">
        <f>sales_data!J317</f>
        <v>Розница</v>
      </c>
      <c r="V49">
        <f>sales_data!K317</f>
        <v>7</v>
      </c>
      <c r="W49">
        <f>sales_data!L317</f>
        <v>1300</v>
      </c>
      <c r="X49">
        <f>sales_data!M317</f>
        <v>9100</v>
      </c>
      <c r="Y49" t="str">
        <f>sales_data!N317</f>
        <v>Офлайн-точка</v>
      </c>
      <c r="Z49" t="str">
        <f>sales_data!O317</f>
        <v>Доставлен</v>
      </c>
    </row>
    <row r="50" spans="12:26" x14ac:dyDescent="0.25">
      <c r="L50">
        <f>sales_data!A322</f>
        <v>2809</v>
      </c>
      <c r="M50">
        <f>sales_data!B322</f>
        <v>45677</v>
      </c>
      <c r="N50">
        <f>sales_data!C322</f>
        <v>20</v>
      </c>
      <c r="O50" t="str">
        <f>sales_data!D322</f>
        <v>Январь</v>
      </c>
      <c r="P50" t="str">
        <f>sales_data!E322</f>
        <v>Мария</v>
      </c>
      <c r="Q50" t="str">
        <f>sales_data!F322</f>
        <v>Челябинск</v>
      </c>
      <c r="R50" t="str">
        <f>sales_data!G322</f>
        <v>Уральский</v>
      </c>
      <c r="S50" t="str">
        <f>sales_data!H322</f>
        <v>Аксессуары</v>
      </c>
      <c r="T50" t="str">
        <f>sales_data!I322</f>
        <v>Cable Set</v>
      </c>
      <c r="U50" t="str">
        <f>sales_data!J322</f>
        <v>Розница</v>
      </c>
      <c r="V50">
        <f>sales_data!K322</f>
        <v>9</v>
      </c>
      <c r="W50">
        <f>sales_data!L322</f>
        <v>1300</v>
      </c>
      <c r="X50">
        <f>sales_data!M322</f>
        <v>11700</v>
      </c>
      <c r="Y50" t="str">
        <f>sales_data!N322</f>
        <v>Интернет-магазин</v>
      </c>
      <c r="Z50" t="str">
        <f>sales_data!O322</f>
        <v>В пути</v>
      </c>
    </row>
    <row r="51" spans="12:26" x14ac:dyDescent="0.25">
      <c r="L51">
        <f>sales_data!A324</f>
        <v>3096</v>
      </c>
      <c r="M51">
        <f>sales_data!B324</f>
        <v>45955</v>
      </c>
      <c r="N51">
        <f>sales_data!C324</f>
        <v>25</v>
      </c>
      <c r="O51" t="str">
        <f>sales_data!D324</f>
        <v>Октябрь</v>
      </c>
      <c r="P51" t="str">
        <f>sales_data!E324</f>
        <v>Светлана</v>
      </c>
      <c r="Q51" t="str">
        <f>sales_data!F324</f>
        <v>Красноярск</v>
      </c>
      <c r="R51" t="str">
        <f>sales_data!G324</f>
        <v>Сибирский</v>
      </c>
      <c r="S51" t="str">
        <f>sales_data!H324</f>
        <v>Аксессуары</v>
      </c>
      <c r="T51" t="str">
        <f>sales_data!I324</f>
        <v>Cable Set</v>
      </c>
      <c r="U51" t="str">
        <f>sales_data!J324</f>
        <v>Розница</v>
      </c>
      <c r="V51">
        <f>sales_data!K324</f>
        <v>10</v>
      </c>
      <c r="W51">
        <f>sales_data!L324</f>
        <v>1300</v>
      </c>
      <c r="X51">
        <f>sales_data!M324</f>
        <v>13000</v>
      </c>
      <c r="Y51" t="str">
        <f>sales_data!N324</f>
        <v>Интернет-магазин</v>
      </c>
      <c r="Z51" t="str">
        <f>sales_data!O324</f>
        <v>В пути</v>
      </c>
    </row>
    <row r="52" spans="12:26" x14ac:dyDescent="0.25">
      <c r="L52">
        <f>sales_data!A347</f>
        <v>3212</v>
      </c>
      <c r="M52">
        <f>sales_data!B347</f>
        <v>46007</v>
      </c>
      <c r="N52">
        <f>sales_data!C347</f>
        <v>16</v>
      </c>
      <c r="O52" t="str">
        <f>sales_data!D347</f>
        <v>Декабрь</v>
      </c>
      <c r="P52" t="str">
        <f>sales_data!E347</f>
        <v>Светлана</v>
      </c>
      <c r="Q52" t="str">
        <f>sales_data!F347</f>
        <v>Новосибирск</v>
      </c>
      <c r="R52" t="str">
        <f>sales_data!G347</f>
        <v>Сибирский</v>
      </c>
      <c r="S52" t="str">
        <f>sales_data!H347</f>
        <v>Аксессуары</v>
      </c>
      <c r="T52" t="str">
        <f>sales_data!I347</f>
        <v>Cooling Pad</v>
      </c>
      <c r="U52" t="str">
        <f>sales_data!J347</f>
        <v>Опт</v>
      </c>
      <c r="V52">
        <f>sales_data!K347</f>
        <v>21</v>
      </c>
      <c r="W52">
        <f>sales_data!L347</f>
        <v>1400</v>
      </c>
      <c r="X52">
        <f>sales_data!M347</f>
        <v>29400</v>
      </c>
      <c r="Y52" t="str">
        <f>sales_data!N347</f>
        <v>Интернет-магазин</v>
      </c>
      <c r="Z52" t="str">
        <f>sales_data!O347</f>
        <v>Доставлен</v>
      </c>
    </row>
    <row r="53" spans="12:26" x14ac:dyDescent="0.25">
      <c r="L53">
        <f>sales_data!A349</f>
        <v>4396</v>
      </c>
      <c r="M53">
        <f>sales_data!B349</f>
        <v>46000</v>
      </c>
      <c r="N53">
        <f>sales_data!C349</f>
        <v>9</v>
      </c>
      <c r="O53" t="str">
        <f>sales_data!D349</f>
        <v>Декабрь</v>
      </c>
      <c r="P53" t="str">
        <f>sales_data!E349</f>
        <v>Павел</v>
      </c>
      <c r="Q53" t="str">
        <f>sales_data!F349</f>
        <v>Екатеринбург</v>
      </c>
      <c r="R53" t="str">
        <f>sales_data!G349</f>
        <v>Уральский</v>
      </c>
      <c r="S53" t="str">
        <f>sales_data!H349</f>
        <v>Аксессуары</v>
      </c>
      <c r="T53" t="str">
        <f>sales_data!I349</f>
        <v>Cooling Pad</v>
      </c>
      <c r="U53" t="str">
        <f>sales_data!J349</f>
        <v>Опт</v>
      </c>
      <c r="V53">
        <f>sales_data!K349</f>
        <v>5</v>
      </c>
      <c r="W53">
        <f>sales_data!L349</f>
        <v>1400</v>
      </c>
      <c r="X53">
        <f>sales_data!M349</f>
        <v>7000</v>
      </c>
      <c r="Y53" t="str">
        <f>sales_data!N349</f>
        <v>Интернет-магазин</v>
      </c>
      <c r="Z53" t="str">
        <f>sales_data!O349</f>
        <v>В пути</v>
      </c>
    </row>
    <row r="54" spans="12:26" x14ac:dyDescent="0.25">
      <c r="L54">
        <f>sales_data!A351</f>
        <v>4458</v>
      </c>
      <c r="M54">
        <f>sales_data!B351</f>
        <v>45793</v>
      </c>
      <c r="N54">
        <f>sales_data!C351</f>
        <v>16</v>
      </c>
      <c r="O54" t="str">
        <f>sales_data!D351</f>
        <v>Май</v>
      </c>
      <c r="P54" t="str">
        <f>sales_data!E351</f>
        <v>Игорь</v>
      </c>
      <c r="Q54" t="str">
        <f>sales_data!F351</f>
        <v>Москва</v>
      </c>
      <c r="R54" t="str">
        <f>sales_data!G351</f>
        <v>Центральный</v>
      </c>
      <c r="S54" t="str">
        <f>sales_data!H351</f>
        <v>Аксессуары</v>
      </c>
      <c r="T54" t="str">
        <f>sales_data!I351</f>
        <v>Cooling Pad</v>
      </c>
      <c r="U54" t="str">
        <f>sales_data!J351</f>
        <v>Опт</v>
      </c>
      <c r="V54">
        <f>sales_data!K351</f>
        <v>44</v>
      </c>
      <c r="W54">
        <f>sales_data!L351</f>
        <v>1400</v>
      </c>
      <c r="X54">
        <f>sales_data!M351</f>
        <v>61600</v>
      </c>
      <c r="Y54" t="str">
        <f>sales_data!N351</f>
        <v>Интернет-магазин</v>
      </c>
      <c r="Z54" t="str">
        <f>sales_data!O351</f>
        <v>Отменён</v>
      </c>
    </row>
    <row r="55" spans="12:26" x14ac:dyDescent="0.25">
      <c r="L55">
        <f>sales_data!A356</f>
        <v>515</v>
      </c>
      <c r="M55">
        <f>sales_data!B356</f>
        <v>45987</v>
      </c>
      <c r="N55">
        <f>sales_data!C356</f>
        <v>26</v>
      </c>
      <c r="O55" t="str">
        <f>sales_data!D356</f>
        <v>Ноябрь</v>
      </c>
      <c r="P55" t="str">
        <f>sales_data!E356</f>
        <v>Ксения</v>
      </c>
      <c r="Q55" t="str">
        <f>sales_data!F356</f>
        <v>Казань</v>
      </c>
      <c r="R55" t="str">
        <f>sales_data!G356</f>
        <v>Приволжский</v>
      </c>
      <c r="S55" t="str">
        <f>sales_data!H356</f>
        <v>Аксессуары</v>
      </c>
      <c r="T55" t="str">
        <f>sales_data!I356</f>
        <v>Cooling Pad</v>
      </c>
      <c r="U55" t="str">
        <f>sales_data!J356</f>
        <v>Опт</v>
      </c>
      <c r="V55">
        <f>sales_data!K356</f>
        <v>15</v>
      </c>
      <c r="W55">
        <f>sales_data!L356</f>
        <v>1500</v>
      </c>
      <c r="X55">
        <f>sales_data!M356</f>
        <v>22500</v>
      </c>
      <c r="Y55" t="str">
        <f>sales_data!N356</f>
        <v>Интернет-магазин</v>
      </c>
      <c r="Z55" t="str">
        <f>sales_data!O356</f>
        <v>В пути</v>
      </c>
    </row>
    <row r="56" spans="12:26" x14ac:dyDescent="0.25">
      <c r="L56">
        <f>sales_data!A365</f>
        <v>1447</v>
      </c>
      <c r="M56">
        <f>sales_data!B365</f>
        <v>45912</v>
      </c>
      <c r="N56">
        <f>sales_data!C365</f>
        <v>12</v>
      </c>
      <c r="O56" t="str">
        <f>sales_data!D365</f>
        <v>Сентябрь</v>
      </c>
      <c r="P56" t="str">
        <f>sales_data!E365</f>
        <v>Анна</v>
      </c>
      <c r="Q56" t="str">
        <f>sales_data!F365</f>
        <v>Новосибирск</v>
      </c>
      <c r="R56" t="str">
        <f>sales_data!G365</f>
        <v>Сибирский</v>
      </c>
      <c r="S56" t="str">
        <f>sales_data!H365</f>
        <v>Аксессуары</v>
      </c>
      <c r="T56" t="str">
        <f>sales_data!I365</f>
        <v>Cooling Pad</v>
      </c>
      <c r="U56" t="str">
        <f>sales_data!J365</f>
        <v>Опт</v>
      </c>
      <c r="V56">
        <f>sales_data!K365</f>
        <v>18</v>
      </c>
      <c r="W56">
        <f>sales_data!L365</f>
        <v>1500</v>
      </c>
      <c r="X56">
        <f>sales_data!M365</f>
        <v>27000</v>
      </c>
      <c r="Y56" t="str">
        <f>sales_data!N365</f>
        <v>Интернет-магазин</v>
      </c>
      <c r="Z56" t="str">
        <f>sales_data!O365</f>
        <v>Доставлен</v>
      </c>
    </row>
    <row r="57" spans="12:26" x14ac:dyDescent="0.25">
      <c r="L57">
        <f>sales_data!A373</f>
        <v>2288</v>
      </c>
      <c r="M57">
        <f>sales_data!B373</f>
        <v>45950</v>
      </c>
      <c r="N57">
        <f>sales_data!C373</f>
        <v>20</v>
      </c>
      <c r="O57" t="str">
        <f>sales_data!D373</f>
        <v>Октябрь</v>
      </c>
      <c r="P57" t="str">
        <f>sales_data!E373</f>
        <v>Светлана</v>
      </c>
      <c r="Q57" t="str">
        <f>sales_data!F373</f>
        <v>Краснодар</v>
      </c>
      <c r="R57" t="str">
        <f>sales_data!G373</f>
        <v>Южный</v>
      </c>
      <c r="S57" t="str">
        <f>sales_data!H373</f>
        <v>Аксессуары</v>
      </c>
      <c r="T57" t="str">
        <f>sales_data!I373</f>
        <v>Cooling Pad</v>
      </c>
      <c r="U57" t="str">
        <f>sales_data!J373</f>
        <v>Опт</v>
      </c>
      <c r="V57">
        <f>sales_data!K373</f>
        <v>43</v>
      </c>
      <c r="W57">
        <f>sales_data!L373</f>
        <v>1500</v>
      </c>
      <c r="X57">
        <f>sales_data!M373</f>
        <v>64500</v>
      </c>
      <c r="Y57" t="str">
        <f>sales_data!N373</f>
        <v>Интернет-магазин</v>
      </c>
      <c r="Z57" t="str">
        <f>sales_data!O373</f>
        <v>Отменён</v>
      </c>
    </row>
    <row r="58" spans="12:26" x14ac:dyDescent="0.25">
      <c r="L58">
        <f>sales_data!A374</f>
        <v>2294</v>
      </c>
      <c r="M58">
        <f>sales_data!B374</f>
        <v>45749</v>
      </c>
      <c r="N58">
        <f>sales_data!C374</f>
        <v>2</v>
      </c>
      <c r="O58" t="str">
        <f>sales_data!D374</f>
        <v>Апрель</v>
      </c>
      <c r="P58" t="str">
        <f>sales_data!E374</f>
        <v>Дмитрий</v>
      </c>
      <c r="Q58" t="str">
        <f>sales_data!F374</f>
        <v>Воронеж</v>
      </c>
      <c r="R58" t="str">
        <f>sales_data!G374</f>
        <v>Центральный</v>
      </c>
      <c r="S58" t="str">
        <f>sales_data!H374</f>
        <v>Аксессуары</v>
      </c>
      <c r="T58" t="str">
        <f>sales_data!I374</f>
        <v>Cooling Pad</v>
      </c>
      <c r="U58" t="str">
        <f>sales_data!J374</f>
        <v>Опт</v>
      </c>
      <c r="V58">
        <f>sales_data!K374</f>
        <v>29</v>
      </c>
      <c r="W58">
        <f>sales_data!L374</f>
        <v>1500</v>
      </c>
      <c r="X58">
        <f>sales_data!M374</f>
        <v>43500</v>
      </c>
      <c r="Y58" t="str">
        <f>sales_data!N374</f>
        <v>Офлайн-точка</v>
      </c>
      <c r="Z58" t="str">
        <f>sales_data!O374</f>
        <v>Доставлен</v>
      </c>
    </row>
    <row r="59" spans="12:26" x14ac:dyDescent="0.25">
      <c r="L59">
        <f>sales_data!A379</f>
        <v>3171</v>
      </c>
      <c r="M59">
        <f>sales_data!B379</f>
        <v>45686</v>
      </c>
      <c r="N59">
        <f>sales_data!C379</f>
        <v>29</v>
      </c>
      <c r="O59" t="str">
        <f>sales_data!D379</f>
        <v>Январь</v>
      </c>
      <c r="P59" t="str">
        <f>sales_data!E379</f>
        <v>Ксения</v>
      </c>
      <c r="Q59" t="str">
        <f>sales_data!F379</f>
        <v>Новосибирск</v>
      </c>
      <c r="R59" t="str">
        <f>sales_data!G379</f>
        <v>Сибирский</v>
      </c>
      <c r="S59" t="str">
        <f>sales_data!H379</f>
        <v>Аксессуары</v>
      </c>
      <c r="T59" t="str">
        <f>sales_data!I379</f>
        <v>Cooling Pad</v>
      </c>
      <c r="U59" t="str">
        <f>sales_data!J379</f>
        <v>Опт</v>
      </c>
      <c r="V59">
        <f>sales_data!K379</f>
        <v>21</v>
      </c>
      <c r="W59">
        <f>sales_data!L379</f>
        <v>1500</v>
      </c>
      <c r="X59">
        <f>sales_data!M379</f>
        <v>31500</v>
      </c>
      <c r="Y59" t="str">
        <f>sales_data!N379</f>
        <v>Интернет-магазин</v>
      </c>
      <c r="Z59" t="str">
        <f>sales_data!O379</f>
        <v>Отменён</v>
      </c>
    </row>
    <row r="60" spans="12:26" x14ac:dyDescent="0.25">
      <c r="L60">
        <f>sales_data!A383</f>
        <v>3935</v>
      </c>
      <c r="M60">
        <f>sales_data!B383</f>
        <v>45938</v>
      </c>
      <c r="N60">
        <f>sales_data!C383</f>
        <v>8</v>
      </c>
      <c r="O60" t="str">
        <f>sales_data!D383</f>
        <v>Октябрь</v>
      </c>
      <c r="P60" t="str">
        <f>sales_data!E383</f>
        <v>Павел</v>
      </c>
      <c r="Q60" t="str">
        <f>sales_data!F383</f>
        <v>Москва</v>
      </c>
      <c r="R60" t="str">
        <f>sales_data!G383</f>
        <v>Центральный</v>
      </c>
      <c r="S60" t="str">
        <f>sales_data!H383</f>
        <v>Аксессуары</v>
      </c>
      <c r="T60" t="str">
        <f>sales_data!I383</f>
        <v>Cooling Pad</v>
      </c>
      <c r="U60" t="str">
        <f>sales_data!J383</f>
        <v>Опт</v>
      </c>
      <c r="V60">
        <f>sales_data!K383</f>
        <v>34</v>
      </c>
      <c r="W60">
        <f>sales_data!L383</f>
        <v>1500</v>
      </c>
      <c r="X60">
        <f>sales_data!M383</f>
        <v>51000</v>
      </c>
      <c r="Y60" t="str">
        <f>sales_data!N383</f>
        <v>Офлайн-точка</v>
      </c>
      <c r="Z60" t="str">
        <f>sales_data!O383</f>
        <v>Отменён</v>
      </c>
    </row>
    <row r="61" spans="12:26" x14ac:dyDescent="0.25">
      <c r="L61">
        <f>sales_data!A389</f>
        <v>4505</v>
      </c>
      <c r="M61">
        <f>sales_data!B389</f>
        <v>45862</v>
      </c>
      <c r="N61">
        <f>sales_data!C389</f>
        <v>24</v>
      </c>
      <c r="O61" t="str">
        <f>sales_data!D389</f>
        <v>Июль</v>
      </c>
      <c r="P61" t="str">
        <f>sales_data!E389</f>
        <v>Ксения</v>
      </c>
      <c r="Q61" t="str">
        <f>sales_data!F389</f>
        <v>Самара</v>
      </c>
      <c r="R61" t="str">
        <f>sales_data!G389</f>
        <v>Приволжский</v>
      </c>
      <c r="S61" t="str">
        <f>sales_data!H389</f>
        <v>Аксессуары</v>
      </c>
      <c r="T61" t="str">
        <f>sales_data!I389</f>
        <v>Cooling Pad</v>
      </c>
      <c r="U61" t="str">
        <f>sales_data!J389</f>
        <v>Опт</v>
      </c>
      <c r="V61">
        <f>sales_data!K389</f>
        <v>46</v>
      </c>
      <c r="W61">
        <f>sales_data!L389</f>
        <v>1500</v>
      </c>
      <c r="X61">
        <f>sales_data!M389</f>
        <v>69000</v>
      </c>
      <c r="Y61" t="str">
        <f>sales_data!N389</f>
        <v>Интернет-магазин</v>
      </c>
      <c r="Z61" t="str">
        <f>sales_data!O389</f>
        <v>Доставлен</v>
      </c>
    </row>
    <row r="62" spans="12:26" x14ac:dyDescent="0.25">
      <c r="L62">
        <f>sales_data!A390</f>
        <v>4666</v>
      </c>
      <c r="M62">
        <f>sales_data!B390</f>
        <v>45743</v>
      </c>
      <c r="N62">
        <f>sales_data!C390</f>
        <v>27</v>
      </c>
      <c r="O62" t="str">
        <f>sales_data!D390</f>
        <v>Март</v>
      </c>
      <c r="P62" t="str">
        <f>sales_data!E390</f>
        <v>Наталья</v>
      </c>
      <c r="Q62" t="str">
        <f>sales_data!F390</f>
        <v>Челябинск</v>
      </c>
      <c r="R62" t="str">
        <f>sales_data!G390</f>
        <v>Уральский</v>
      </c>
      <c r="S62" t="str">
        <f>sales_data!H390</f>
        <v>Аксессуары</v>
      </c>
      <c r="T62" t="str">
        <f>sales_data!I390</f>
        <v>Cooling Pad</v>
      </c>
      <c r="U62" t="str">
        <f>sales_data!J390</f>
        <v>Опт</v>
      </c>
      <c r="V62">
        <f>sales_data!K390</f>
        <v>20</v>
      </c>
      <c r="W62">
        <f>sales_data!L390</f>
        <v>1500</v>
      </c>
      <c r="X62">
        <f>sales_data!M390</f>
        <v>30000</v>
      </c>
      <c r="Y62" t="str">
        <f>sales_data!N390</f>
        <v>Офлайн-точка</v>
      </c>
      <c r="Z62" t="str">
        <f>sales_data!O390</f>
        <v>Отменён</v>
      </c>
    </row>
    <row r="63" spans="12:26" x14ac:dyDescent="0.25">
      <c r="L63">
        <f>sales_data!A392</f>
        <v>106</v>
      </c>
      <c r="M63">
        <f>sales_data!B392</f>
        <v>45864</v>
      </c>
      <c r="N63">
        <f>sales_data!C392</f>
        <v>26</v>
      </c>
      <c r="O63" t="str">
        <f>sales_data!D392</f>
        <v>Июль</v>
      </c>
      <c r="P63" t="str">
        <f>sales_data!E392</f>
        <v>Елена</v>
      </c>
      <c r="Q63" t="str">
        <f>sales_data!F392</f>
        <v>Самара</v>
      </c>
      <c r="R63" t="str">
        <f>sales_data!G392</f>
        <v>Приволжский</v>
      </c>
      <c r="S63" t="str">
        <f>sales_data!H392</f>
        <v>Аксессуары</v>
      </c>
      <c r="T63" t="str">
        <f>sales_data!I392</f>
        <v>Cooling Pad</v>
      </c>
      <c r="U63" t="str">
        <f>sales_data!J392</f>
        <v>Опт</v>
      </c>
      <c r="V63">
        <f>sales_data!K392</f>
        <v>10</v>
      </c>
      <c r="W63">
        <f>sales_data!L392</f>
        <v>1600</v>
      </c>
      <c r="X63">
        <f>sales_data!M392</f>
        <v>16000</v>
      </c>
      <c r="Y63" t="str">
        <f>sales_data!N392</f>
        <v>Интернет-магазин</v>
      </c>
      <c r="Z63" t="str">
        <f>sales_data!O392</f>
        <v>В пути</v>
      </c>
    </row>
    <row r="64" spans="12:26" x14ac:dyDescent="0.25">
      <c r="L64">
        <f>sales_data!A397</f>
        <v>690</v>
      </c>
      <c r="M64">
        <f>sales_data!B397</f>
        <v>45950</v>
      </c>
      <c r="N64">
        <f>sales_data!C397</f>
        <v>20</v>
      </c>
      <c r="O64" t="str">
        <f>sales_data!D397</f>
        <v>Октябрь</v>
      </c>
      <c r="P64" t="str">
        <f>sales_data!E397</f>
        <v>Алексей</v>
      </c>
      <c r="Q64" t="str">
        <f>sales_data!F397</f>
        <v>Москва</v>
      </c>
      <c r="R64" t="str">
        <f>sales_data!G397</f>
        <v>Центральный</v>
      </c>
      <c r="S64" t="str">
        <f>sales_data!H397</f>
        <v>Аксессуары</v>
      </c>
      <c r="T64" t="str">
        <f>sales_data!I397</f>
        <v>Cooling Pad</v>
      </c>
      <c r="U64" t="str">
        <f>sales_data!J397</f>
        <v>Опт</v>
      </c>
      <c r="V64">
        <f>sales_data!K397</f>
        <v>10</v>
      </c>
      <c r="W64">
        <f>sales_data!L397</f>
        <v>1600</v>
      </c>
      <c r="X64">
        <f>sales_data!M397</f>
        <v>16000</v>
      </c>
      <c r="Y64" t="str">
        <f>sales_data!N397</f>
        <v>Офлайн-точка</v>
      </c>
      <c r="Z64" t="str">
        <f>sales_data!O397</f>
        <v>Отменён</v>
      </c>
    </row>
    <row r="65" spans="12:26" x14ac:dyDescent="0.25">
      <c r="L65">
        <f>sales_data!A402</f>
        <v>1164</v>
      </c>
      <c r="M65">
        <f>sales_data!B402</f>
        <v>45691</v>
      </c>
      <c r="N65">
        <f>sales_data!C402</f>
        <v>3</v>
      </c>
      <c r="O65" t="str">
        <f>sales_data!D402</f>
        <v>Февраль</v>
      </c>
      <c r="P65" t="str">
        <f>sales_data!E402</f>
        <v>Татьяна</v>
      </c>
      <c r="Q65" t="str">
        <f>sales_data!F402</f>
        <v>Пермь</v>
      </c>
      <c r="R65" t="str">
        <f>sales_data!G402</f>
        <v>Приволжский</v>
      </c>
      <c r="S65" t="str">
        <f>sales_data!H402</f>
        <v>Периферия</v>
      </c>
      <c r="T65" t="str">
        <f>sales_data!I402</f>
        <v>USB Hub</v>
      </c>
      <c r="U65" t="str">
        <f>sales_data!J402</f>
        <v>Опт</v>
      </c>
      <c r="V65">
        <f>sales_data!K402</f>
        <v>7</v>
      </c>
      <c r="W65">
        <f>sales_data!L402</f>
        <v>1600</v>
      </c>
      <c r="X65">
        <f>sales_data!M402</f>
        <v>11200</v>
      </c>
      <c r="Y65" t="str">
        <f>sales_data!N402</f>
        <v>Интернет-магазин</v>
      </c>
      <c r="Z65" t="str">
        <f>sales_data!O402</f>
        <v>Доставлен</v>
      </c>
    </row>
    <row r="66" spans="12:26" x14ac:dyDescent="0.25">
      <c r="L66">
        <f>sales_data!A405</f>
        <v>1470</v>
      </c>
      <c r="M66">
        <f>sales_data!B405</f>
        <v>45900</v>
      </c>
      <c r="N66">
        <f>sales_data!C405</f>
        <v>31</v>
      </c>
      <c r="O66" t="str">
        <f>sales_data!D405</f>
        <v>Август</v>
      </c>
      <c r="P66" t="str">
        <f>sales_data!E405</f>
        <v>Анна</v>
      </c>
      <c r="Q66" t="str">
        <f>sales_data!F405</f>
        <v>Пермь</v>
      </c>
      <c r="R66" t="str">
        <f>sales_data!G405</f>
        <v>Приволжский</v>
      </c>
      <c r="S66" t="str">
        <f>sales_data!H405</f>
        <v>Аксессуары</v>
      </c>
      <c r="T66" t="str">
        <f>sales_data!I405</f>
        <v>Cooling Pad</v>
      </c>
      <c r="U66" t="str">
        <f>sales_data!J405</f>
        <v>Опт</v>
      </c>
      <c r="V66">
        <f>sales_data!K405</f>
        <v>8</v>
      </c>
      <c r="W66">
        <f>sales_data!L405</f>
        <v>1600</v>
      </c>
      <c r="X66">
        <f>sales_data!M405</f>
        <v>12800</v>
      </c>
      <c r="Y66" t="str">
        <f>sales_data!N405</f>
        <v>Интернет-магазин</v>
      </c>
      <c r="Z66" t="str">
        <f>sales_data!O405</f>
        <v>В пути</v>
      </c>
    </row>
    <row r="67" spans="12:26" x14ac:dyDescent="0.25">
      <c r="L67">
        <f>sales_data!A411</f>
        <v>2130</v>
      </c>
      <c r="M67">
        <f>sales_data!B411</f>
        <v>45820</v>
      </c>
      <c r="N67">
        <f>sales_data!C411</f>
        <v>12</v>
      </c>
      <c r="O67" t="str">
        <f>sales_data!D411</f>
        <v>Июнь</v>
      </c>
      <c r="P67" t="str">
        <f>sales_data!E411</f>
        <v>Дмитрий</v>
      </c>
      <c r="Q67" t="str">
        <f>sales_data!F411</f>
        <v>Екатеринбург</v>
      </c>
      <c r="R67" t="str">
        <f>sales_data!G411</f>
        <v>Уральский</v>
      </c>
      <c r="S67" t="str">
        <f>sales_data!H411</f>
        <v>Аксессуары</v>
      </c>
      <c r="T67" t="str">
        <f>sales_data!I411</f>
        <v>Cooling Pad</v>
      </c>
      <c r="U67" t="str">
        <f>sales_data!J411</f>
        <v>Опт</v>
      </c>
      <c r="V67">
        <f>sales_data!K411</f>
        <v>7</v>
      </c>
      <c r="W67">
        <f>sales_data!L411</f>
        <v>1600</v>
      </c>
      <c r="X67">
        <f>sales_data!M411</f>
        <v>11200</v>
      </c>
      <c r="Y67" t="str">
        <f>sales_data!N411</f>
        <v>Интернет-магазин</v>
      </c>
      <c r="Z67" t="str">
        <f>sales_data!O411</f>
        <v>Доставлен</v>
      </c>
    </row>
    <row r="68" spans="12:26" x14ac:dyDescent="0.25">
      <c r="L68">
        <f>sales_data!A414</f>
        <v>2596</v>
      </c>
      <c r="M68">
        <f>sales_data!B414</f>
        <v>45662</v>
      </c>
      <c r="N68">
        <f>sales_data!C414</f>
        <v>5</v>
      </c>
      <c r="O68" t="str">
        <f>sales_data!D414</f>
        <v>Январь</v>
      </c>
      <c r="P68" t="str">
        <f>sales_data!E414</f>
        <v>Елена</v>
      </c>
      <c r="Q68" t="str">
        <f>sales_data!F414</f>
        <v>Ростов-на-Дону</v>
      </c>
      <c r="R68" t="str">
        <f>sales_data!G414</f>
        <v>Южный</v>
      </c>
      <c r="S68" t="str">
        <f>sales_data!H414</f>
        <v>Аксессуары</v>
      </c>
      <c r="T68" t="str">
        <f>sales_data!I414</f>
        <v>Cooling Pad</v>
      </c>
      <c r="U68" t="str">
        <f>sales_data!J414</f>
        <v>Розница</v>
      </c>
      <c r="V68">
        <f>sales_data!K414</f>
        <v>8</v>
      </c>
      <c r="W68">
        <f>sales_data!L414</f>
        <v>1600</v>
      </c>
      <c r="X68">
        <f>sales_data!M414</f>
        <v>12800</v>
      </c>
      <c r="Y68" t="str">
        <f>sales_data!N414</f>
        <v>Интернет-магазин</v>
      </c>
      <c r="Z68" t="str">
        <f>sales_data!O414</f>
        <v>Доставлен</v>
      </c>
    </row>
    <row r="69" spans="12:26" x14ac:dyDescent="0.25">
      <c r="L69">
        <f>sales_data!A426</f>
        <v>3355</v>
      </c>
      <c r="M69">
        <f>sales_data!B426</f>
        <v>45716</v>
      </c>
      <c r="N69">
        <f>sales_data!C426</f>
        <v>28</v>
      </c>
      <c r="O69" t="str">
        <f>sales_data!D426</f>
        <v>Февраль</v>
      </c>
      <c r="P69" t="str">
        <f>sales_data!E426</f>
        <v>Наталья</v>
      </c>
      <c r="Q69" t="str">
        <f>sales_data!F426</f>
        <v>Новосибирск</v>
      </c>
      <c r="R69" t="str">
        <f>sales_data!G426</f>
        <v>Сибирский</v>
      </c>
      <c r="S69" t="str">
        <f>sales_data!H426</f>
        <v>Периферия</v>
      </c>
      <c r="T69" t="str">
        <f>sales_data!I426</f>
        <v>USB Hub</v>
      </c>
      <c r="U69" t="str">
        <f>sales_data!J426</f>
        <v>Опт</v>
      </c>
      <c r="V69">
        <f>sales_data!K426</f>
        <v>18</v>
      </c>
      <c r="W69">
        <f>sales_data!L426</f>
        <v>1600</v>
      </c>
      <c r="X69">
        <f>sales_data!M426</f>
        <v>28800</v>
      </c>
      <c r="Y69" t="str">
        <f>sales_data!N426</f>
        <v>Интернет-магазин</v>
      </c>
      <c r="Z69" t="str">
        <f>sales_data!O426</f>
        <v>Отменён</v>
      </c>
    </row>
    <row r="70" spans="12:26" x14ac:dyDescent="0.25">
      <c r="L70">
        <f>sales_data!A434</f>
        <v>4476</v>
      </c>
      <c r="M70">
        <f>sales_data!B434</f>
        <v>45961</v>
      </c>
      <c r="N70">
        <f>sales_data!C434</f>
        <v>31</v>
      </c>
      <c r="O70" t="str">
        <f>sales_data!D434</f>
        <v>Октябрь</v>
      </c>
      <c r="P70" t="str">
        <f>sales_data!E434</f>
        <v>Дмитрий</v>
      </c>
      <c r="Q70" t="str">
        <f>sales_data!F434</f>
        <v>Пермь</v>
      </c>
      <c r="R70" t="str">
        <f>sales_data!G434</f>
        <v>Приволжский</v>
      </c>
      <c r="S70" t="str">
        <f>sales_data!H434</f>
        <v>Аксессуары</v>
      </c>
      <c r="T70" t="str">
        <f>sales_data!I434</f>
        <v>Cooling Pad</v>
      </c>
      <c r="U70" t="str">
        <f>sales_data!J434</f>
        <v>Опт</v>
      </c>
      <c r="V70">
        <f>sales_data!K434</f>
        <v>10</v>
      </c>
      <c r="W70">
        <f>sales_data!L434</f>
        <v>1600</v>
      </c>
      <c r="X70">
        <f>sales_data!M434</f>
        <v>16000</v>
      </c>
      <c r="Y70" t="str">
        <f>sales_data!N434</f>
        <v>Офлайн-точка</v>
      </c>
      <c r="Z70" t="str">
        <f>sales_data!O434</f>
        <v>Отменён</v>
      </c>
    </row>
    <row r="71" spans="12:26" x14ac:dyDescent="0.25">
      <c r="L71">
        <f>sales_data!A445</f>
        <v>215</v>
      </c>
      <c r="M71">
        <f>sales_data!B445</f>
        <v>45679</v>
      </c>
      <c r="N71">
        <f>sales_data!C445</f>
        <v>22</v>
      </c>
      <c r="O71" t="str">
        <f>sales_data!D445</f>
        <v>Январь</v>
      </c>
      <c r="P71" t="str">
        <f>sales_data!E445</f>
        <v>Игорь</v>
      </c>
      <c r="Q71" t="str">
        <f>sales_data!F445</f>
        <v>Воронеж</v>
      </c>
      <c r="R71" t="str">
        <f>sales_data!G445</f>
        <v>Центральный</v>
      </c>
      <c r="S71" t="str">
        <f>sales_data!H445</f>
        <v>Периферия</v>
      </c>
      <c r="T71" t="str">
        <f>sales_data!I445</f>
        <v>USB Hub</v>
      </c>
      <c r="U71" t="str">
        <f>sales_data!J445</f>
        <v>Опт</v>
      </c>
      <c r="V71">
        <f>sales_data!K445</f>
        <v>39</v>
      </c>
      <c r="W71">
        <f>sales_data!L445</f>
        <v>1700</v>
      </c>
      <c r="X71">
        <f>sales_data!M445</f>
        <v>66300</v>
      </c>
      <c r="Y71" t="str">
        <f>sales_data!N445</f>
        <v>Офлайн-точка</v>
      </c>
      <c r="Z71" t="str">
        <f>sales_data!O445</f>
        <v>В пути</v>
      </c>
    </row>
    <row r="72" spans="12:26" x14ac:dyDescent="0.25">
      <c r="L72">
        <f>sales_data!A447</f>
        <v>301</v>
      </c>
      <c r="M72">
        <f>sales_data!B447</f>
        <v>45850</v>
      </c>
      <c r="N72">
        <f>sales_data!C447</f>
        <v>12</v>
      </c>
      <c r="O72" t="str">
        <f>sales_data!D447</f>
        <v>Июль</v>
      </c>
      <c r="P72" t="str">
        <f>sales_data!E447</f>
        <v>Светлана</v>
      </c>
      <c r="Q72" t="str">
        <f>sales_data!F447</f>
        <v>Красноярск</v>
      </c>
      <c r="R72" t="str">
        <f>sales_data!G447</f>
        <v>Сибирский</v>
      </c>
      <c r="S72" t="str">
        <f>sales_data!H447</f>
        <v>Аксессуары</v>
      </c>
      <c r="T72" t="str">
        <f>sales_data!I447</f>
        <v>Cooling Pad</v>
      </c>
      <c r="U72" t="str">
        <f>sales_data!J447</f>
        <v>Розница</v>
      </c>
      <c r="V72">
        <f>sales_data!K447</f>
        <v>4</v>
      </c>
      <c r="W72">
        <f>sales_data!L447</f>
        <v>1700</v>
      </c>
      <c r="X72">
        <f>sales_data!M447</f>
        <v>6800</v>
      </c>
      <c r="Y72" t="str">
        <f>sales_data!N447</f>
        <v>Офлайн-точка</v>
      </c>
      <c r="Z72" t="str">
        <f>sales_data!O447</f>
        <v>Отменён</v>
      </c>
    </row>
    <row r="73" spans="12:26" x14ac:dyDescent="0.25">
      <c r="L73">
        <f>sales_data!A463</f>
        <v>1044</v>
      </c>
      <c r="M73">
        <f>sales_data!B463</f>
        <v>45767</v>
      </c>
      <c r="N73">
        <f>sales_data!C463</f>
        <v>20</v>
      </c>
      <c r="O73" t="str">
        <f>sales_data!D463</f>
        <v>Апрель</v>
      </c>
      <c r="P73" t="str">
        <f>sales_data!E463</f>
        <v>Павел</v>
      </c>
      <c r="Q73" t="str">
        <f>sales_data!F463</f>
        <v>Санкт-Петербург</v>
      </c>
      <c r="R73" t="str">
        <f>sales_data!G463</f>
        <v>Северо-Западный</v>
      </c>
      <c r="S73" t="str">
        <f>sales_data!H463</f>
        <v>Периферия</v>
      </c>
      <c r="T73" t="str">
        <f>sales_data!I463</f>
        <v>USB Hub</v>
      </c>
      <c r="U73" t="str">
        <f>sales_data!J463</f>
        <v>Опт</v>
      </c>
      <c r="V73">
        <f>sales_data!K463</f>
        <v>42</v>
      </c>
      <c r="W73">
        <f>sales_data!L463</f>
        <v>1700</v>
      </c>
      <c r="X73">
        <f>sales_data!M463</f>
        <v>71400</v>
      </c>
      <c r="Y73" t="str">
        <f>sales_data!N463</f>
        <v>Офлайн-точка</v>
      </c>
      <c r="Z73" t="str">
        <f>sales_data!O463</f>
        <v>В пути</v>
      </c>
    </row>
    <row r="74" spans="12:26" x14ac:dyDescent="0.25">
      <c r="L74">
        <f>sales_data!A474</f>
        <v>1778</v>
      </c>
      <c r="M74">
        <f>sales_data!B474</f>
        <v>45767</v>
      </c>
      <c r="N74">
        <f>sales_data!C474</f>
        <v>20</v>
      </c>
      <c r="O74" t="str">
        <f>sales_data!D474</f>
        <v>Апрель</v>
      </c>
      <c r="P74" t="str">
        <f>sales_data!E474</f>
        <v>Павел</v>
      </c>
      <c r="Q74" t="str">
        <f>sales_data!F474</f>
        <v>Омск</v>
      </c>
      <c r="R74" t="str">
        <f>sales_data!G474</f>
        <v>Сибирский</v>
      </c>
      <c r="S74" t="str">
        <f>sales_data!H474</f>
        <v>Периферия</v>
      </c>
      <c r="T74" t="str">
        <f>sales_data!I474</f>
        <v>USB Hub</v>
      </c>
      <c r="U74" t="str">
        <f>sales_data!J474</f>
        <v>Опт</v>
      </c>
      <c r="V74">
        <f>sales_data!K474</f>
        <v>12</v>
      </c>
      <c r="W74">
        <f>sales_data!L474</f>
        <v>1700</v>
      </c>
      <c r="X74">
        <f>sales_data!M474</f>
        <v>20400</v>
      </c>
      <c r="Y74" t="str">
        <f>sales_data!N474</f>
        <v>Офлайн-точка</v>
      </c>
      <c r="Z74" t="str">
        <f>sales_data!O474</f>
        <v>Отменён</v>
      </c>
    </row>
    <row r="75" spans="12:26" x14ac:dyDescent="0.25">
      <c r="L75">
        <f>sales_data!A487</f>
        <v>2630</v>
      </c>
      <c r="M75">
        <f>sales_data!B487</f>
        <v>45834</v>
      </c>
      <c r="N75">
        <f>sales_data!C487</f>
        <v>26</v>
      </c>
      <c r="O75" t="str">
        <f>sales_data!D487</f>
        <v>Июнь</v>
      </c>
      <c r="P75" t="str">
        <f>sales_data!E487</f>
        <v>Светлана</v>
      </c>
      <c r="Q75" t="str">
        <f>sales_data!F487</f>
        <v>Уфа</v>
      </c>
      <c r="R75" t="str">
        <f>sales_data!G487</f>
        <v>Приволжский</v>
      </c>
      <c r="S75" t="str">
        <f>sales_data!H487</f>
        <v>Периферия</v>
      </c>
      <c r="T75" t="str">
        <f>sales_data!I487</f>
        <v>USB Hub</v>
      </c>
      <c r="U75" t="str">
        <f>sales_data!J487</f>
        <v>Опт</v>
      </c>
      <c r="V75">
        <f>sales_data!K487</f>
        <v>47</v>
      </c>
      <c r="W75">
        <f>sales_data!L487</f>
        <v>1700</v>
      </c>
      <c r="X75">
        <f>sales_data!M487</f>
        <v>79900</v>
      </c>
      <c r="Y75" t="str">
        <f>sales_data!N487</f>
        <v>Интернет-магазин</v>
      </c>
      <c r="Z75" t="str">
        <f>sales_data!O487</f>
        <v>Доставлен</v>
      </c>
    </row>
    <row r="76" spans="12:26" x14ac:dyDescent="0.25">
      <c r="L76">
        <f>sales_data!A498</f>
        <v>3925</v>
      </c>
      <c r="M76">
        <f>sales_data!B498</f>
        <v>45717</v>
      </c>
      <c r="N76">
        <f>sales_data!C498</f>
        <v>1</v>
      </c>
      <c r="O76" t="str">
        <f>sales_data!D498</f>
        <v>Март</v>
      </c>
      <c r="P76" t="str">
        <f>sales_data!E498</f>
        <v>Наталья</v>
      </c>
      <c r="Q76" t="str">
        <f>sales_data!F498</f>
        <v>Москва</v>
      </c>
      <c r="R76" t="str">
        <f>sales_data!G498</f>
        <v>Центральный</v>
      </c>
      <c r="S76" t="str">
        <f>sales_data!H498</f>
        <v>Периферия</v>
      </c>
      <c r="T76" t="str">
        <f>sales_data!I498</f>
        <v>USB Hub</v>
      </c>
      <c r="U76" t="str">
        <f>sales_data!J498</f>
        <v>Опт</v>
      </c>
      <c r="V76">
        <f>sales_data!K498</f>
        <v>39</v>
      </c>
      <c r="W76">
        <f>sales_data!L498</f>
        <v>1700</v>
      </c>
      <c r="X76">
        <f>sales_data!M498</f>
        <v>66300</v>
      </c>
      <c r="Y76" t="str">
        <f>sales_data!N498</f>
        <v>Интернет-магазин</v>
      </c>
      <c r="Z76" t="str">
        <f>sales_data!O498</f>
        <v>Отменён</v>
      </c>
    </row>
    <row r="77" spans="12:26" x14ac:dyDescent="0.25">
      <c r="L77">
        <f>sales_data!A500</f>
        <v>4201</v>
      </c>
      <c r="M77">
        <f>sales_data!B500</f>
        <v>45847</v>
      </c>
      <c r="N77">
        <f>sales_data!C500</f>
        <v>9</v>
      </c>
      <c r="O77" t="str">
        <f>sales_data!D500</f>
        <v>Июль</v>
      </c>
      <c r="P77" t="str">
        <f>sales_data!E500</f>
        <v>Игорь</v>
      </c>
      <c r="Q77" t="str">
        <f>sales_data!F500</f>
        <v>Красноярск</v>
      </c>
      <c r="R77" t="str">
        <f>sales_data!G500</f>
        <v>Сибирский</v>
      </c>
      <c r="S77" t="str">
        <f>sales_data!H500</f>
        <v>Периферия</v>
      </c>
      <c r="T77" t="str">
        <f>sales_data!I500</f>
        <v>USB Hub</v>
      </c>
      <c r="U77" t="str">
        <f>sales_data!J500</f>
        <v>Опт</v>
      </c>
      <c r="V77">
        <f>sales_data!K500</f>
        <v>8</v>
      </c>
      <c r="W77">
        <f>sales_data!L500</f>
        <v>1700</v>
      </c>
      <c r="X77">
        <f>sales_data!M500</f>
        <v>13600</v>
      </c>
      <c r="Y77" t="str">
        <f>sales_data!N500</f>
        <v>Интернет-магазин</v>
      </c>
      <c r="Z77" t="str">
        <f>sales_data!O500</f>
        <v>В пути</v>
      </c>
    </row>
    <row r="78" spans="12:26" x14ac:dyDescent="0.25">
      <c r="L78">
        <f>sales_data!A503</f>
        <v>4266</v>
      </c>
      <c r="M78">
        <f>sales_data!B503</f>
        <v>45827</v>
      </c>
      <c r="N78">
        <f>sales_data!C503</f>
        <v>19</v>
      </c>
      <c r="O78" t="str">
        <f>sales_data!D503</f>
        <v>Июнь</v>
      </c>
      <c r="P78" t="str">
        <f>sales_data!E503</f>
        <v>Елена</v>
      </c>
      <c r="Q78" t="str">
        <f>sales_data!F503</f>
        <v>Екатеринбург</v>
      </c>
      <c r="R78" t="str">
        <f>sales_data!G503</f>
        <v>Уральский</v>
      </c>
      <c r="S78" t="str">
        <f>sales_data!H503</f>
        <v>Периферия</v>
      </c>
      <c r="T78" t="str">
        <f>sales_data!I503</f>
        <v>USB Hub</v>
      </c>
      <c r="U78" t="str">
        <f>sales_data!J503</f>
        <v>Опт</v>
      </c>
      <c r="V78">
        <f>sales_data!K503</f>
        <v>33</v>
      </c>
      <c r="W78">
        <f>sales_data!L503</f>
        <v>1700</v>
      </c>
      <c r="X78">
        <f>sales_data!M503</f>
        <v>56100</v>
      </c>
      <c r="Y78" t="str">
        <f>sales_data!N503</f>
        <v>Офлайн-точка</v>
      </c>
      <c r="Z78" t="str">
        <f>sales_data!O503</f>
        <v>Доставлен</v>
      </c>
    </row>
    <row r="79" spans="12:26" x14ac:dyDescent="0.25">
      <c r="L79">
        <f>sales_data!A506</f>
        <v>4487</v>
      </c>
      <c r="M79">
        <f>sales_data!B506</f>
        <v>45688</v>
      </c>
      <c r="N79">
        <f>sales_data!C506</f>
        <v>31</v>
      </c>
      <c r="O79" t="str">
        <f>sales_data!D506</f>
        <v>Январь</v>
      </c>
      <c r="P79" t="str">
        <f>sales_data!E506</f>
        <v>Светлана</v>
      </c>
      <c r="Q79" t="str">
        <f>sales_data!F506</f>
        <v>Краснодар</v>
      </c>
      <c r="R79" t="str">
        <f>sales_data!G506</f>
        <v>Южный</v>
      </c>
      <c r="S79" t="str">
        <f>sales_data!H506</f>
        <v>Периферия</v>
      </c>
      <c r="T79" t="str">
        <f>sales_data!I506</f>
        <v>USB Hub</v>
      </c>
      <c r="U79" t="str">
        <f>sales_data!J506</f>
        <v>Опт</v>
      </c>
      <c r="V79">
        <f>sales_data!K506</f>
        <v>42</v>
      </c>
      <c r="W79">
        <f>sales_data!L506</f>
        <v>1700</v>
      </c>
      <c r="X79">
        <f>sales_data!M506</f>
        <v>71400</v>
      </c>
      <c r="Y79" t="str">
        <f>sales_data!N506</f>
        <v>Интернет-магазин</v>
      </c>
      <c r="Z79" t="str">
        <f>sales_data!O506</f>
        <v>Доставлен</v>
      </c>
    </row>
    <row r="80" spans="12:26" x14ac:dyDescent="0.25">
      <c r="L80">
        <f>sales_data!A507</f>
        <v>4556</v>
      </c>
      <c r="M80">
        <f>sales_data!B507</f>
        <v>46010</v>
      </c>
      <c r="N80">
        <f>sales_data!C507</f>
        <v>19</v>
      </c>
      <c r="O80" t="str">
        <f>sales_data!D507</f>
        <v>Декабрь</v>
      </c>
      <c r="P80" t="str">
        <f>sales_data!E507</f>
        <v>Ольга</v>
      </c>
      <c r="Q80" t="str">
        <f>sales_data!F507</f>
        <v>Уфа</v>
      </c>
      <c r="R80" t="str">
        <f>sales_data!G507</f>
        <v>Приволжский</v>
      </c>
      <c r="S80" t="str">
        <f>sales_data!H507</f>
        <v>Периферия</v>
      </c>
      <c r="T80" t="str">
        <f>sales_data!I507</f>
        <v>USB Hub</v>
      </c>
      <c r="U80" t="str">
        <f>sales_data!J507</f>
        <v>Опт</v>
      </c>
      <c r="V80">
        <f>sales_data!K507</f>
        <v>28</v>
      </c>
      <c r="W80">
        <f>sales_data!L507</f>
        <v>1700</v>
      </c>
      <c r="X80">
        <f>sales_data!M507</f>
        <v>47600</v>
      </c>
      <c r="Y80" t="str">
        <f>sales_data!N507</f>
        <v>Офлайн-точка</v>
      </c>
      <c r="Z80" t="str">
        <f>sales_data!O507</f>
        <v>Отменён</v>
      </c>
    </row>
    <row r="81" spans="12:26" x14ac:dyDescent="0.25">
      <c r="L81">
        <f>sales_data!A509</f>
        <v>4581</v>
      </c>
      <c r="M81">
        <f>sales_data!B509</f>
        <v>45875</v>
      </c>
      <c r="N81">
        <f>sales_data!C509</f>
        <v>6</v>
      </c>
      <c r="O81" t="str">
        <f>sales_data!D509</f>
        <v>Август</v>
      </c>
      <c r="P81" t="str">
        <f>sales_data!E509</f>
        <v>Ксения</v>
      </c>
      <c r="Q81" t="str">
        <f>sales_data!F509</f>
        <v>Красноярск</v>
      </c>
      <c r="R81" t="str">
        <f>sales_data!G509</f>
        <v>Сибирский</v>
      </c>
      <c r="S81" t="str">
        <f>sales_data!H509</f>
        <v>Периферия</v>
      </c>
      <c r="T81" t="str">
        <f>sales_data!I509</f>
        <v>USB Hub</v>
      </c>
      <c r="U81" t="str">
        <f>sales_data!J509</f>
        <v>Опт</v>
      </c>
      <c r="V81">
        <f>sales_data!K509</f>
        <v>21</v>
      </c>
      <c r="W81">
        <f>sales_data!L509</f>
        <v>1700</v>
      </c>
      <c r="X81">
        <f>sales_data!M509</f>
        <v>35700</v>
      </c>
      <c r="Y81" t="str">
        <f>sales_data!N509</f>
        <v>Офлайн-точка</v>
      </c>
      <c r="Z81" t="str">
        <f>sales_data!O509</f>
        <v>Отменён</v>
      </c>
    </row>
    <row r="82" spans="12:26" x14ac:dyDescent="0.25">
      <c r="L82">
        <f>sales_data!A512</f>
        <v>4732</v>
      </c>
      <c r="M82">
        <f>sales_data!B512</f>
        <v>45744</v>
      </c>
      <c r="N82">
        <f>sales_data!C512</f>
        <v>28</v>
      </c>
      <c r="O82" t="str">
        <f>sales_data!D512</f>
        <v>Март</v>
      </c>
      <c r="P82" t="str">
        <f>sales_data!E512</f>
        <v>Мария</v>
      </c>
      <c r="Q82" t="str">
        <f>sales_data!F512</f>
        <v>Москва</v>
      </c>
      <c r="R82" t="str">
        <f>sales_data!G512</f>
        <v>Центральный</v>
      </c>
      <c r="S82" t="str">
        <f>sales_data!H512</f>
        <v>Периферия</v>
      </c>
      <c r="T82" t="str">
        <f>sales_data!I512</f>
        <v>USB Hub</v>
      </c>
      <c r="U82" t="str">
        <f>sales_data!J512</f>
        <v>Опт</v>
      </c>
      <c r="V82">
        <f>sales_data!K512</f>
        <v>34</v>
      </c>
      <c r="W82">
        <f>sales_data!L512</f>
        <v>1700</v>
      </c>
      <c r="X82">
        <f>sales_data!M512</f>
        <v>57800</v>
      </c>
      <c r="Y82" t="str">
        <f>sales_data!N512</f>
        <v>Офлайн-точка</v>
      </c>
      <c r="Z82" t="str">
        <f>sales_data!O512</f>
        <v>В пути</v>
      </c>
    </row>
    <row r="83" spans="12:26" x14ac:dyDescent="0.25">
      <c r="L83">
        <f>sales_data!A515</f>
        <v>4916</v>
      </c>
      <c r="M83">
        <f>sales_data!B515</f>
        <v>45798</v>
      </c>
      <c r="N83">
        <f>sales_data!C515</f>
        <v>21</v>
      </c>
      <c r="O83" t="str">
        <f>sales_data!D515</f>
        <v>Май</v>
      </c>
      <c r="P83" t="str">
        <f>sales_data!E515</f>
        <v>Борис</v>
      </c>
      <c r="Q83" t="str">
        <f>sales_data!F515</f>
        <v>Уфа</v>
      </c>
      <c r="R83" t="str">
        <f>sales_data!G515</f>
        <v>Приволжский</v>
      </c>
      <c r="S83" t="str">
        <f>sales_data!H515</f>
        <v>Периферия</v>
      </c>
      <c r="T83" t="str">
        <f>sales_data!I515</f>
        <v>USB Hub</v>
      </c>
      <c r="U83" t="str">
        <f>sales_data!J515</f>
        <v>Опт</v>
      </c>
      <c r="V83">
        <f>sales_data!K515</f>
        <v>8</v>
      </c>
      <c r="W83">
        <f>sales_data!L515</f>
        <v>1700</v>
      </c>
      <c r="X83">
        <f>sales_data!M515</f>
        <v>13600</v>
      </c>
      <c r="Y83" t="str">
        <f>sales_data!N515</f>
        <v>Интернет-магазин</v>
      </c>
      <c r="Z83" t="str">
        <f>sales_data!O515</f>
        <v>Отменён</v>
      </c>
    </row>
    <row r="84" spans="12:26" x14ac:dyDescent="0.25">
      <c r="L84">
        <f>sales_data!A521</f>
        <v>426</v>
      </c>
      <c r="M84">
        <f>sales_data!B521</f>
        <v>45936</v>
      </c>
      <c r="N84">
        <f>sales_data!C521</f>
        <v>6</v>
      </c>
      <c r="O84" t="str">
        <f>sales_data!D521</f>
        <v>Октябрь</v>
      </c>
      <c r="P84" t="str">
        <f>sales_data!E521</f>
        <v>Наталья</v>
      </c>
      <c r="Q84" t="str">
        <f>sales_data!F521</f>
        <v>Челябинск</v>
      </c>
      <c r="R84" t="str">
        <f>sales_data!G521</f>
        <v>Уральский</v>
      </c>
      <c r="S84" t="str">
        <f>sales_data!H521</f>
        <v>Периферия</v>
      </c>
      <c r="T84" t="str">
        <f>sales_data!I521</f>
        <v>USB Hub</v>
      </c>
      <c r="U84" t="str">
        <f>sales_data!J521</f>
        <v>Опт</v>
      </c>
      <c r="V84">
        <f>sales_data!K521</f>
        <v>29</v>
      </c>
      <c r="W84">
        <f>sales_data!L521</f>
        <v>1800</v>
      </c>
      <c r="X84">
        <f>sales_data!M521</f>
        <v>52200</v>
      </c>
      <c r="Y84" t="str">
        <f>sales_data!N521</f>
        <v>Офлайн-точка</v>
      </c>
      <c r="Z84" t="str">
        <f>sales_data!O521</f>
        <v>Доставлен</v>
      </c>
    </row>
    <row r="85" spans="12:26" x14ac:dyDescent="0.25">
      <c r="L85">
        <f>sales_data!A535</f>
        <v>1229</v>
      </c>
      <c r="M85">
        <f>sales_data!B535</f>
        <v>45718</v>
      </c>
      <c r="N85">
        <f>sales_data!C535</f>
        <v>2</v>
      </c>
      <c r="O85" t="str">
        <f>sales_data!D535</f>
        <v>Март</v>
      </c>
      <c r="P85" t="str">
        <f>sales_data!E535</f>
        <v>Мария</v>
      </c>
      <c r="Q85" t="str">
        <f>sales_data!F535</f>
        <v>Ростов-на-Дону</v>
      </c>
      <c r="R85" t="str">
        <f>sales_data!G535</f>
        <v>Южный</v>
      </c>
      <c r="S85" t="str">
        <f>sales_data!H535</f>
        <v>Периферия</v>
      </c>
      <c r="T85" t="str">
        <f>sales_data!I535</f>
        <v>USB Hub</v>
      </c>
      <c r="U85" t="str">
        <f>sales_data!J535</f>
        <v>Опт</v>
      </c>
      <c r="V85">
        <f>sales_data!K535</f>
        <v>14</v>
      </c>
      <c r="W85">
        <f>sales_data!L535</f>
        <v>1800</v>
      </c>
      <c r="X85">
        <f>sales_data!M535</f>
        <v>25200</v>
      </c>
      <c r="Y85" t="str">
        <f>sales_data!N535</f>
        <v>Офлайн-точка</v>
      </c>
      <c r="Z85" t="str">
        <f>sales_data!O535</f>
        <v>Доставлен</v>
      </c>
    </row>
    <row r="86" spans="12:26" x14ac:dyDescent="0.25">
      <c r="L86">
        <f>sales_data!A544</f>
        <v>1744</v>
      </c>
      <c r="M86">
        <f>sales_data!B544</f>
        <v>45916</v>
      </c>
      <c r="N86">
        <f>sales_data!C544</f>
        <v>16</v>
      </c>
      <c r="O86" t="str">
        <f>sales_data!D544</f>
        <v>Сентябрь</v>
      </c>
      <c r="P86" t="str">
        <f>sales_data!E544</f>
        <v>Владимир</v>
      </c>
      <c r="Q86" t="str">
        <f>sales_data!F544</f>
        <v>Красноярск</v>
      </c>
      <c r="R86" t="str">
        <f>sales_data!G544</f>
        <v>Сибирский</v>
      </c>
      <c r="S86" t="str">
        <f>sales_data!H544</f>
        <v>Периферия</v>
      </c>
      <c r="T86" t="str">
        <f>sales_data!I544</f>
        <v>USB Hub</v>
      </c>
      <c r="U86" t="str">
        <f>sales_data!J544</f>
        <v>Опт</v>
      </c>
      <c r="V86">
        <f>sales_data!K544</f>
        <v>23</v>
      </c>
      <c r="W86">
        <f>sales_data!L544</f>
        <v>1800</v>
      </c>
      <c r="X86">
        <f>sales_data!M544</f>
        <v>41400</v>
      </c>
      <c r="Y86" t="str">
        <f>sales_data!N544</f>
        <v>Офлайн-точка</v>
      </c>
      <c r="Z86" t="str">
        <f>sales_data!O544</f>
        <v>Отменён</v>
      </c>
    </row>
    <row r="87" spans="12:26" x14ac:dyDescent="0.25">
      <c r="L87">
        <f>sales_data!A546</f>
        <v>1769</v>
      </c>
      <c r="M87">
        <f>sales_data!B546</f>
        <v>45870</v>
      </c>
      <c r="N87">
        <f>sales_data!C546</f>
        <v>1</v>
      </c>
      <c r="O87" t="str">
        <f>sales_data!D546</f>
        <v>Август</v>
      </c>
      <c r="P87" t="str">
        <f>sales_data!E546</f>
        <v>Владимир</v>
      </c>
      <c r="Q87" t="str">
        <f>sales_data!F546</f>
        <v>Воронеж</v>
      </c>
      <c r="R87" t="str">
        <f>sales_data!G546</f>
        <v>Центральный</v>
      </c>
      <c r="S87" t="str">
        <f>sales_data!H546</f>
        <v>Аксессуары</v>
      </c>
      <c r="T87" t="str">
        <f>sales_data!I546</f>
        <v>Cooling Pad</v>
      </c>
      <c r="U87" t="str">
        <f>sales_data!J546</f>
        <v>Розница</v>
      </c>
      <c r="V87">
        <f>sales_data!K546</f>
        <v>10</v>
      </c>
      <c r="W87">
        <f>sales_data!L546</f>
        <v>1800</v>
      </c>
      <c r="X87">
        <f>sales_data!M546</f>
        <v>18000</v>
      </c>
      <c r="Y87" t="str">
        <f>sales_data!N546</f>
        <v>Интернет-магазин</v>
      </c>
      <c r="Z87" t="str">
        <f>sales_data!O546</f>
        <v>В пути</v>
      </c>
    </row>
    <row r="88" spans="12:26" x14ac:dyDescent="0.25">
      <c r="L88">
        <f>sales_data!A551</f>
        <v>2120</v>
      </c>
      <c r="M88">
        <f>sales_data!B551</f>
        <v>45914</v>
      </c>
      <c r="N88">
        <f>sales_data!C551</f>
        <v>14</v>
      </c>
      <c r="O88" t="str">
        <f>sales_data!D551</f>
        <v>Сентябрь</v>
      </c>
      <c r="P88" t="str">
        <f>sales_data!E551</f>
        <v>Наталья</v>
      </c>
      <c r="Q88" t="str">
        <f>sales_data!F551</f>
        <v>Пермь</v>
      </c>
      <c r="R88" t="str">
        <f>sales_data!G551</f>
        <v>Приволжский</v>
      </c>
      <c r="S88" t="str">
        <f>sales_data!H551</f>
        <v>Аксессуары</v>
      </c>
      <c r="T88" t="str">
        <f>sales_data!I551</f>
        <v>Cooling Pad</v>
      </c>
      <c r="U88" t="str">
        <f>sales_data!J551</f>
        <v>Розница</v>
      </c>
      <c r="V88">
        <f>sales_data!K551</f>
        <v>8</v>
      </c>
      <c r="W88">
        <f>sales_data!L551</f>
        <v>1800</v>
      </c>
      <c r="X88">
        <f>sales_data!M551</f>
        <v>14400</v>
      </c>
      <c r="Y88" t="str">
        <f>sales_data!N551</f>
        <v>Офлайн-точка</v>
      </c>
      <c r="Z88" t="str">
        <f>sales_data!O551</f>
        <v>Доставлен</v>
      </c>
    </row>
    <row r="89" spans="12:26" x14ac:dyDescent="0.25">
      <c r="L89">
        <f>sales_data!A559</f>
        <v>2458</v>
      </c>
      <c r="M89">
        <f>sales_data!B559</f>
        <v>45786</v>
      </c>
      <c r="N89">
        <f>sales_data!C559</f>
        <v>9</v>
      </c>
      <c r="O89" t="str">
        <f>sales_data!D559</f>
        <v>Май</v>
      </c>
      <c r="P89" t="str">
        <f>sales_data!E559</f>
        <v>Мария</v>
      </c>
      <c r="Q89" t="str">
        <f>sales_data!F559</f>
        <v>Красноярск</v>
      </c>
      <c r="R89" t="str">
        <f>sales_data!G559</f>
        <v>Сибирский</v>
      </c>
      <c r="S89" t="str">
        <f>sales_data!H559</f>
        <v>Аксессуары</v>
      </c>
      <c r="T89" t="str">
        <f>sales_data!I559</f>
        <v>Cooling Pad</v>
      </c>
      <c r="U89" t="str">
        <f>sales_data!J559</f>
        <v>Розница</v>
      </c>
      <c r="V89">
        <f>sales_data!K559</f>
        <v>1</v>
      </c>
      <c r="W89">
        <f>sales_data!L559</f>
        <v>1800</v>
      </c>
      <c r="X89">
        <f>sales_data!M559</f>
        <v>1800</v>
      </c>
      <c r="Y89" t="str">
        <f>sales_data!N559</f>
        <v>Интернет-магазин</v>
      </c>
      <c r="Z89" t="str">
        <f>sales_data!O559</f>
        <v>Доставлен</v>
      </c>
    </row>
    <row r="90" spans="12:26" x14ac:dyDescent="0.25">
      <c r="L90">
        <f>sales_data!A564</f>
        <v>2992</v>
      </c>
      <c r="M90">
        <f>sales_data!B564</f>
        <v>45872</v>
      </c>
      <c r="N90">
        <f>sales_data!C564</f>
        <v>3</v>
      </c>
      <c r="O90" t="str">
        <f>sales_data!D564</f>
        <v>Август</v>
      </c>
      <c r="P90" t="str">
        <f>sales_data!E564</f>
        <v>Алексей</v>
      </c>
      <c r="Q90" t="str">
        <f>sales_data!F564</f>
        <v>Санкт-Петербург</v>
      </c>
      <c r="R90" t="str">
        <f>sales_data!G564</f>
        <v>Северо-Западный</v>
      </c>
      <c r="S90" t="str">
        <f>sales_data!H564</f>
        <v>Периферия</v>
      </c>
      <c r="T90" t="str">
        <f>sales_data!I564</f>
        <v>USB Hub</v>
      </c>
      <c r="U90" t="str">
        <f>sales_data!J564</f>
        <v>Опт</v>
      </c>
      <c r="V90">
        <f>sales_data!K564</f>
        <v>32</v>
      </c>
      <c r="W90">
        <f>sales_data!L564</f>
        <v>1800</v>
      </c>
      <c r="X90">
        <f>sales_data!M564</f>
        <v>57600</v>
      </c>
      <c r="Y90" t="str">
        <f>sales_data!N564</f>
        <v>Офлайн-точка</v>
      </c>
      <c r="Z90" t="str">
        <f>sales_data!O564</f>
        <v>Доставлен</v>
      </c>
    </row>
    <row r="91" spans="12:26" x14ac:dyDescent="0.25">
      <c r="L91">
        <f>sales_data!A571</f>
        <v>3458</v>
      </c>
      <c r="M91">
        <f>sales_data!B571</f>
        <v>45974</v>
      </c>
      <c r="N91">
        <f>sales_data!C571</f>
        <v>13</v>
      </c>
      <c r="O91" t="str">
        <f>sales_data!D571</f>
        <v>Ноябрь</v>
      </c>
      <c r="P91" t="str">
        <f>sales_data!E571</f>
        <v>Дмитрий</v>
      </c>
      <c r="Q91" t="str">
        <f>sales_data!F571</f>
        <v>Челябинск</v>
      </c>
      <c r="R91" t="str">
        <f>sales_data!G571</f>
        <v>Уральский</v>
      </c>
      <c r="S91" t="str">
        <f>sales_data!H571</f>
        <v>Аксессуары</v>
      </c>
      <c r="T91" t="str">
        <f>sales_data!I571</f>
        <v>Cooling Pad</v>
      </c>
      <c r="U91" t="str">
        <f>sales_data!J571</f>
        <v>Розница</v>
      </c>
      <c r="V91">
        <f>sales_data!K571</f>
        <v>10</v>
      </c>
      <c r="W91">
        <f>sales_data!L571</f>
        <v>1800</v>
      </c>
      <c r="X91">
        <f>sales_data!M571</f>
        <v>18000</v>
      </c>
      <c r="Y91" t="str">
        <f>sales_data!N571</f>
        <v>Интернет-магазин</v>
      </c>
      <c r="Z91" t="str">
        <f>sales_data!O571</f>
        <v>Доставлен</v>
      </c>
    </row>
    <row r="92" spans="12:26" x14ac:dyDescent="0.25">
      <c r="L92">
        <f>sales_data!A579</f>
        <v>3853</v>
      </c>
      <c r="M92">
        <f>sales_data!B579</f>
        <v>45667</v>
      </c>
      <c r="N92">
        <f>sales_data!C579</f>
        <v>10</v>
      </c>
      <c r="O92" t="str">
        <f>sales_data!D579</f>
        <v>Январь</v>
      </c>
      <c r="P92" t="str">
        <f>sales_data!E579</f>
        <v>Игорь</v>
      </c>
      <c r="Q92" t="str">
        <f>sales_data!F579</f>
        <v>Краснодар</v>
      </c>
      <c r="R92" t="str">
        <f>sales_data!G579</f>
        <v>Южный</v>
      </c>
      <c r="S92" t="str">
        <f>sales_data!H579</f>
        <v>Периферия</v>
      </c>
      <c r="T92" t="str">
        <f>sales_data!I579</f>
        <v>USB Hub</v>
      </c>
      <c r="U92" t="str">
        <f>sales_data!J579</f>
        <v>Опт</v>
      </c>
      <c r="V92">
        <f>sales_data!K579</f>
        <v>46</v>
      </c>
      <c r="W92">
        <f>sales_data!L579</f>
        <v>1800</v>
      </c>
      <c r="X92">
        <f>sales_data!M579</f>
        <v>82800</v>
      </c>
      <c r="Y92" t="str">
        <f>sales_data!N579</f>
        <v>Интернет-магазин</v>
      </c>
      <c r="Z92" t="str">
        <f>sales_data!O579</f>
        <v>Отменён</v>
      </c>
    </row>
    <row r="93" spans="12:26" x14ac:dyDescent="0.25">
      <c r="L93">
        <f>sales_data!A584</f>
        <v>4081</v>
      </c>
      <c r="M93">
        <f>sales_data!B584</f>
        <v>45771</v>
      </c>
      <c r="N93">
        <f>sales_data!C584</f>
        <v>24</v>
      </c>
      <c r="O93" t="str">
        <f>sales_data!D584</f>
        <v>Апрель</v>
      </c>
      <c r="P93" t="str">
        <f>sales_data!E584</f>
        <v>Татьяна</v>
      </c>
      <c r="Q93" t="str">
        <f>sales_data!F584</f>
        <v>Челябинск</v>
      </c>
      <c r="R93" t="str">
        <f>sales_data!G584</f>
        <v>Уральский</v>
      </c>
      <c r="S93" t="str">
        <f>sales_data!H584</f>
        <v>Периферия</v>
      </c>
      <c r="T93" t="str">
        <f>sales_data!I584</f>
        <v>USB Hub</v>
      </c>
      <c r="U93" t="str">
        <f>sales_data!J584</f>
        <v>Опт</v>
      </c>
      <c r="V93">
        <f>sales_data!K584</f>
        <v>43</v>
      </c>
      <c r="W93">
        <f>sales_data!L584</f>
        <v>1800</v>
      </c>
      <c r="X93">
        <f>sales_data!M584</f>
        <v>77400</v>
      </c>
      <c r="Y93" t="str">
        <f>sales_data!N584</f>
        <v>Интернет-магазин</v>
      </c>
      <c r="Z93" t="str">
        <f>sales_data!O584</f>
        <v>Доставлен</v>
      </c>
    </row>
    <row r="94" spans="12:26" x14ac:dyDescent="0.25">
      <c r="L94">
        <f>sales_data!A586</f>
        <v>4239</v>
      </c>
      <c r="M94">
        <f>sales_data!B586</f>
        <v>45734</v>
      </c>
      <c r="N94">
        <f>sales_data!C586</f>
        <v>18</v>
      </c>
      <c r="O94" t="str">
        <f>sales_data!D586</f>
        <v>Март</v>
      </c>
      <c r="P94" t="str">
        <f>sales_data!E586</f>
        <v>Игорь</v>
      </c>
      <c r="Q94" t="str">
        <f>sales_data!F586</f>
        <v>Ростов-на-Дону</v>
      </c>
      <c r="R94" t="str">
        <f>sales_data!G586</f>
        <v>Южный</v>
      </c>
      <c r="S94" t="str">
        <f>sales_data!H586</f>
        <v>Периферия</v>
      </c>
      <c r="T94" t="str">
        <f>sales_data!I586</f>
        <v>USB Hub</v>
      </c>
      <c r="U94" t="str">
        <f>sales_data!J586</f>
        <v>Опт</v>
      </c>
      <c r="V94">
        <f>sales_data!K586</f>
        <v>15</v>
      </c>
      <c r="W94">
        <f>sales_data!L586</f>
        <v>1800</v>
      </c>
      <c r="X94">
        <f>sales_data!M586</f>
        <v>27000</v>
      </c>
      <c r="Y94" t="str">
        <f>sales_data!N586</f>
        <v>Интернет-магазин</v>
      </c>
      <c r="Z94" t="str">
        <f>sales_data!O586</f>
        <v>Отменён</v>
      </c>
    </row>
    <row r="95" spans="12:26" x14ac:dyDescent="0.25">
      <c r="L95">
        <f>sales_data!A595</f>
        <v>4899</v>
      </c>
      <c r="M95">
        <f>sales_data!B595</f>
        <v>45967</v>
      </c>
      <c r="N95">
        <f>sales_data!C595</f>
        <v>6</v>
      </c>
      <c r="O95" t="str">
        <f>sales_data!D595</f>
        <v>Ноябрь</v>
      </c>
      <c r="P95" t="str">
        <f>sales_data!E595</f>
        <v>Алексей</v>
      </c>
      <c r="Q95" t="str">
        <f>sales_data!F595</f>
        <v>Уфа</v>
      </c>
      <c r="R95" t="str">
        <f>sales_data!G595</f>
        <v>Приволжский</v>
      </c>
      <c r="S95" t="str">
        <f>sales_data!H595</f>
        <v>Периферия</v>
      </c>
      <c r="T95" t="str">
        <f>sales_data!I595</f>
        <v>USB Hub</v>
      </c>
      <c r="U95" t="str">
        <f>sales_data!J595</f>
        <v>Опт</v>
      </c>
      <c r="V95">
        <f>sales_data!K595</f>
        <v>34</v>
      </c>
      <c r="W95">
        <f>sales_data!L595</f>
        <v>1800</v>
      </c>
      <c r="X95">
        <f>sales_data!M595</f>
        <v>61200</v>
      </c>
      <c r="Y95" t="str">
        <f>sales_data!N595</f>
        <v>Интернет-магазин</v>
      </c>
      <c r="Z95" t="str">
        <f>sales_data!O595</f>
        <v>Доставлен</v>
      </c>
    </row>
    <row r="96" spans="12:26" x14ac:dyDescent="0.25">
      <c r="L96">
        <f>sales_data!A596</f>
        <v>4972</v>
      </c>
      <c r="M96">
        <f>sales_data!B596</f>
        <v>45968</v>
      </c>
      <c r="N96">
        <f>sales_data!C596</f>
        <v>7</v>
      </c>
      <c r="O96" t="str">
        <f>sales_data!D596</f>
        <v>Ноябрь</v>
      </c>
      <c r="P96" t="str">
        <f>sales_data!E596</f>
        <v>Светлана</v>
      </c>
      <c r="Q96" t="str">
        <f>sales_data!F596</f>
        <v>Омск</v>
      </c>
      <c r="R96" t="str">
        <f>sales_data!G596</f>
        <v>Сибирский</v>
      </c>
      <c r="S96" t="str">
        <f>sales_data!H596</f>
        <v>Аксессуары</v>
      </c>
      <c r="T96" t="str">
        <f>sales_data!I596</f>
        <v>Cooling Pad</v>
      </c>
      <c r="U96" t="str">
        <f>sales_data!J596</f>
        <v>Розница</v>
      </c>
      <c r="V96">
        <f>sales_data!K596</f>
        <v>9</v>
      </c>
      <c r="W96">
        <f>sales_data!L596</f>
        <v>1800</v>
      </c>
      <c r="X96">
        <f>sales_data!M596</f>
        <v>16200</v>
      </c>
      <c r="Y96" t="str">
        <f>sales_data!N596</f>
        <v>Офлайн-точка</v>
      </c>
      <c r="Z96" t="str">
        <f>sales_data!O596</f>
        <v>Отменён</v>
      </c>
    </row>
    <row r="97" spans="12:26" x14ac:dyDescent="0.25">
      <c r="L97">
        <f>sales_data!A601</f>
        <v>189</v>
      </c>
      <c r="M97">
        <f>sales_data!B601</f>
        <v>45856</v>
      </c>
      <c r="N97">
        <f>sales_data!C601</f>
        <v>18</v>
      </c>
      <c r="O97" t="str">
        <f>sales_data!D601</f>
        <v>Июль</v>
      </c>
      <c r="P97" t="str">
        <f>sales_data!E601</f>
        <v>Ольга</v>
      </c>
      <c r="Q97" t="str">
        <f>sales_data!F601</f>
        <v>Красноярск</v>
      </c>
      <c r="R97" t="str">
        <f>sales_data!G601</f>
        <v>Сибирский</v>
      </c>
      <c r="S97" t="str">
        <f>sales_data!H601</f>
        <v>Периферия</v>
      </c>
      <c r="T97" t="str">
        <f>sales_data!I601</f>
        <v>USB Hub</v>
      </c>
      <c r="U97" t="str">
        <f>sales_data!J601</f>
        <v>Розница</v>
      </c>
      <c r="V97">
        <f>sales_data!K601</f>
        <v>6</v>
      </c>
      <c r="W97">
        <f>sales_data!L601</f>
        <v>1900</v>
      </c>
      <c r="X97">
        <f>sales_data!M601</f>
        <v>11400</v>
      </c>
      <c r="Y97" t="str">
        <f>sales_data!N601</f>
        <v>Интернет-магазин</v>
      </c>
      <c r="Z97" t="str">
        <f>sales_data!O601</f>
        <v>В пути</v>
      </c>
    </row>
    <row r="98" spans="12:26" x14ac:dyDescent="0.25">
      <c r="L98">
        <f>sales_data!A606</f>
        <v>775</v>
      </c>
      <c r="M98">
        <f>sales_data!B606</f>
        <v>45807</v>
      </c>
      <c r="N98">
        <f>sales_data!C606</f>
        <v>30</v>
      </c>
      <c r="O98" t="str">
        <f>sales_data!D606</f>
        <v>Май</v>
      </c>
      <c r="P98" t="str">
        <f>sales_data!E606</f>
        <v>Ольга</v>
      </c>
      <c r="Q98" t="str">
        <f>sales_data!F606</f>
        <v>Омск</v>
      </c>
      <c r="R98" t="str">
        <f>sales_data!G606</f>
        <v>Сибирский</v>
      </c>
      <c r="S98" t="str">
        <f>sales_data!H606</f>
        <v>Аксессуары</v>
      </c>
      <c r="T98" t="str">
        <f>sales_data!I606</f>
        <v>Cooling Pad</v>
      </c>
      <c r="U98" t="str">
        <f>sales_data!J606</f>
        <v>Розница</v>
      </c>
      <c r="V98">
        <f>sales_data!K606</f>
        <v>4</v>
      </c>
      <c r="W98">
        <f>sales_data!L606</f>
        <v>1900</v>
      </c>
      <c r="X98">
        <f>sales_data!M606</f>
        <v>7600</v>
      </c>
      <c r="Y98" t="str">
        <f>sales_data!N606</f>
        <v>Офлайн-точка</v>
      </c>
      <c r="Z98" t="str">
        <f>sales_data!O606</f>
        <v>В пути</v>
      </c>
    </row>
    <row r="99" spans="12:26" x14ac:dyDescent="0.25">
      <c r="L99">
        <f>sales_data!A607</f>
        <v>942</v>
      </c>
      <c r="M99">
        <f>sales_data!B607</f>
        <v>45984</v>
      </c>
      <c r="N99">
        <f>sales_data!C607</f>
        <v>23</v>
      </c>
      <c r="O99" t="str">
        <f>sales_data!D607</f>
        <v>Ноябрь</v>
      </c>
      <c r="P99" t="str">
        <f>sales_data!E607</f>
        <v>Мария</v>
      </c>
      <c r="Q99" t="str">
        <f>sales_data!F607</f>
        <v>Красноярск</v>
      </c>
      <c r="R99" t="str">
        <f>sales_data!G607</f>
        <v>Сибирский</v>
      </c>
      <c r="S99" t="str">
        <f>sales_data!H607</f>
        <v>Аксессуары</v>
      </c>
      <c r="T99" t="str">
        <f>sales_data!I607</f>
        <v>Cooling Pad</v>
      </c>
      <c r="U99" t="str">
        <f>sales_data!J607</f>
        <v>Розница</v>
      </c>
      <c r="V99">
        <f>sales_data!K607</f>
        <v>9</v>
      </c>
      <c r="W99">
        <f>sales_data!L607</f>
        <v>1900</v>
      </c>
      <c r="X99">
        <f>sales_data!M607</f>
        <v>17100</v>
      </c>
      <c r="Y99" t="str">
        <f>sales_data!N607</f>
        <v>Интернет-магазин</v>
      </c>
      <c r="Z99" t="str">
        <f>sales_data!O607</f>
        <v>В пути</v>
      </c>
    </row>
    <row r="100" spans="12:26" x14ac:dyDescent="0.25">
      <c r="L100">
        <f>sales_data!A614</f>
        <v>1460</v>
      </c>
      <c r="M100">
        <f>sales_data!B614</f>
        <v>45814</v>
      </c>
      <c r="N100">
        <f>sales_data!C614</f>
        <v>6</v>
      </c>
      <c r="O100" t="str">
        <f>sales_data!D614</f>
        <v>Июнь</v>
      </c>
      <c r="P100" t="str">
        <f>sales_data!E614</f>
        <v>Борис</v>
      </c>
      <c r="Q100" t="str">
        <f>sales_data!F614</f>
        <v>Екатеринбург</v>
      </c>
      <c r="R100" t="str">
        <f>sales_data!G614</f>
        <v>Уральский</v>
      </c>
      <c r="S100" t="str">
        <f>sales_data!H614</f>
        <v>Аксессуары</v>
      </c>
      <c r="T100" t="str">
        <f>sales_data!I614</f>
        <v>Cooling Pad</v>
      </c>
      <c r="U100" t="str">
        <f>sales_data!J614</f>
        <v>Розница</v>
      </c>
      <c r="V100">
        <f>sales_data!K614</f>
        <v>7</v>
      </c>
      <c r="W100">
        <f>sales_data!L614</f>
        <v>1900</v>
      </c>
      <c r="X100">
        <f>sales_data!M614</f>
        <v>13300</v>
      </c>
      <c r="Y100" t="str">
        <f>sales_data!N614</f>
        <v>Офлайн-точка</v>
      </c>
      <c r="Z100" t="str">
        <f>sales_data!O614</f>
        <v>Доставлен</v>
      </c>
    </row>
    <row r="101" spans="12:26" x14ac:dyDescent="0.25">
      <c r="L101">
        <f>sales_data!A617</f>
        <v>1698</v>
      </c>
      <c r="M101">
        <f>sales_data!B617</f>
        <v>45721</v>
      </c>
      <c r="N101">
        <f>sales_data!C617</f>
        <v>5</v>
      </c>
      <c r="O101" t="str">
        <f>sales_data!D617</f>
        <v>Март</v>
      </c>
      <c r="P101" t="str">
        <f>sales_data!E617</f>
        <v>Борис</v>
      </c>
      <c r="Q101" t="str">
        <f>sales_data!F617</f>
        <v>Казань</v>
      </c>
      <c r="R101" t="str">
        <f>sales_data!G617</f>
        <v>Приволжский</v>
      </c>
      <c r="S101" t="str">
        <f>sales_data!H617</f>
        <v>Периферия</v>
      </c>
      <c r="T101" t="str">
        <f>sales_data!I617</f>
        <v>USB Hub</v>
      </c>
      <c r="U101" t="str">
        <f>sales_data!J617</f>
        <v>Розница</v>
      </c>
      <c r="V101">
        <f>sales_data!K617</f>
        <v>3</v>
      </c>
      <c r="W101">
        <f>sales_data!L617</f>
        <v>1900</v>
      </c>
      <c r="X101">
        <f>sales_data!M617</f>
        <v>5700</v>
      </c>
      <c r="Y101" t="str">
        <f>sales_data!N617</f>
        <v>Офлайн-точка</v>
      </c>
      <c r="Z101" t="str">
        <f>sales_data!O617</f>
        <v>В пути</v>
      </c>
    </row>
    <row r="102" spans="12:26" x14ac:dyDescent="0.25">
      <c r="L102">
        <f>sales_data!A628</f>
        <v>2545</v>
      </c>
      <c r="M102">
        <f>sales_data!B628</f>
        <v>45751</v>
      </c>
      <c r="N102">
        <f>sales_data!C628</f>
        <v>4</v>
      </c>
      <c r="O102" t="str">
        <f>sales_data!D628</f>
        <v>Апрель</v>
      </c>
      <c r="P102" t="str">
        <f>sales_data!E628</f>
        <v>Ксения</v>
      </c>
      <c r="Q102" t="str">
        <f>sales_data!F628</f>
        <v>Воронеж</v>
      </c>
      <c r="R102" t="str">
        <f>sales_data!G628</f>
        <v>Центральный</v>
      </c>
      <c r="S102" t="str">
        <f>sales_data!H628</f>
        <v>Периферия</v>
      </c>
      <c r="T102" t="str">
        <f>sales_data!I628</f>
        <v>USB Hub</v>
      </c>
      <c r="U102" t="str">
        <f>sales_data!J628</f>
        <v>Опт</v>
      </c>
      <c r="V102">
        <f>sales_data!K628</f>
        <v>33</v>
      </c>
      <c r="W102">
        <f>sales_data!L628</f>
        <v>1900</v>
      </c>
      <c r="X102">
        <f>sales_data!M628</f>
        <v>62700</v>
      </c>
      <c r="Y102" t="str">
        <f>sales_data!N628</f>
        <v>Офлайн-точка</v>
      </c>
      <c r="Z102" t="str">
        <f>sales_data!O628</f>
        <v>Доставлен</v>
      </c>
    </row>
    <row r="103" spans="12:26" x14ac:dyDescent="0.25">
      <c r="L103">
        <f>sales_data!A636</f>
        <v>3260</v>
      </c>
      <c r="M103">
        <f>sales_data!B636</f>
        <v>45906</v>
      </c>
      <c r="N103">
        <f>sales_data!C636</f>
        <v>6</v>
      </c>
      <c r="O103" t="str">
        <f>sales_data!D636</f>
        <v>Сентябрь</v>
      </c>
      <c r="P103" t="str">
        <f>sales_data!E636</f>
        <v>Владимир</v>
      </c>
      <c r="Q103" t="str">
        <f>sales_data!F636</f>
        <v>Пермь</v>
      </c>
      <c r="R103" t="str">
        <f>sales_data!G636</f>
        <v>Приволжский</v>
      </c>
      <c r="S103" t="str">
        <f>sales_data!H636</f>
        <v>Аксессуары</v>
      </c>
      <c r="T103" t="str">
        <f>sales_data!I636</f>
        <v>Cooling Pad</v>
      </c>
      <c r="U103" t="str">
        <f>sales_data!J636</f>
        <v>Розница</v>
      </c>
      <c r="V103">
        <f>sales_data!K636</f>
        <v>5</v>
      </c>
      <c r="W103">
        <f>sales_data!L636</f>
        <v>1900</v>
      </c>
      <c r="X103">
        <f>sales_data!M636</f>
        <v>9500</v>
      </c>
      <c r="Y103" t="str">
        <f>sales_data!N636</f>
        <v>Офлайн-точка</v>
      </c>
      <c r="Z103" t="str">
        <f>sales_data!O636</f>
        <v>Доставлен</v>
      </c>
    </row>
    <row r="104" spans="12:26" x14ac:dyDescent="0.25">
      <c r="L104">
        <f>sales_data!A637</f>
        <v>3497</v>
      </c>
      <c r="M104">
        <f>sales_data!B637</f>
        <v>45770</v>
      </c>
      <c r="N104">
        <f>sales_data!C637</f>
        <v>23</v>
      </c>
      <c r="O104" t="str">
        <f>sales_data!D637</f>
        <v>Апрель</v>
      </c>
      <c r="P104" t="str">
        <f>sales_data!E637</f>
        <v>Татьяна</v>
      </c>
      <c r="Q104" t="str">
        <f>sales_data!F637</f>
        <v>Казань</v>
      </c>
      <c r="R104" t="str">
        <f>sales_data!G637</f>
        <v>Приволжский</v>
      </c>
      <c r="S104" t="str">
        <f>sales_data!H637</f>
        <v>Аксессуары</v>
      </c>
      <c r="T104" t="str">
        <f>sales_data!I637</f>
        <v>Cooling Pad</v>
      </c>
      <c r="U104" t="str">
        <f>sales_data!J637</f>
        <v>Розница</v>
      </c>
      <c r="V104">
        <f>sales_data!K637</f>
        <v>1</v>
      </c>
      <c r="W104">
        <f>sales_data!L637</f>
        <v>1900</v>
      </c>
      <c r="X104">
        <f>sales_data!M637</f>
        <v>1900</v>
      </c>
      <c r="Y104" t="str">
        <f>sales_data!N637</f>
        <v>Интернет-магазин</v>
      </c>
      <c r="Z104" t="str">
        <f>sales_data!O637</f>
        <v>Доставлен</v>
      </c>
    </row>
    <row r="105" spans="12:26" x14ac:dyDescent="0.25">
      <c r="L105">
        <f>sales_data!A638</f>
        <v>3730</v>
      </c>
      <c r="M105">
        <f>sales_data!B638</f>
        <v>45824</v>
      </c>
      <c r="N105">
        <f>sales_data!C638</f>
        <v>16</v>
      </c>
      <c r="O105" t="str">
        <f>sales_data!D638</f>
        <v>Июнь</v>
      </c>
      <c r="P105" t="str">
        <f>sales_data!E638</f>
        <v>Анна</v>
      </c>
      <c r="Q105" t="str">
        <f>sales_data!F638</f>
        <v>Ростов-на-Дону</v>
      </c>
      <c r="R105" t="str">
        <f>sales_data!G638</f>
        <v>Южный</v>
      </c>
      <c r="S105" t="str">
        <f>sales_data!H638</f>
        <v>Периферия</v>
      </c>
      <c r="T105" t="str">
        <f>sales_data!I638</f>
        <v>Mouse Pro</v>
      </c>
      <c r="U105" t="str">
        <f>sales_data!J638</f>
        <v>Опт</v>
      </c>
      <c r="V105">
        <f>sales_data!K638</f>
        <v>6</v>
      </c>
      <c r="W105">
        <f>sales_data!L638</f>
        <v>1900</v>
      </c>
      <c r="X105">
        <f>sales_data!M638</f>
        <v>11400</v>
      </c>
      <c r="Y105" t="str">
        <f>sales_data!N638</f>
        <v>Интернет-магазин</v>
      </c>
      <c r="Z105" t="str">
        <f>sales_data!O638</f>
        <v>В пути</v>
      </c>
    </row>
    <row r="106" spans="12:26" x14ac:dyDescent="0.25">
      <c r="L106">
        <f>sales_data!A643</f>
        <v>4257</v>
      </c>
      <c r="M106">
        <f>sales_data!B643</f>
        <v>46013</v>
      </c>
      <c r="N106">
        <f>sales_data!C643</f>
        <v>22</v>
      </c>
      <c r="O106" t="str">
        <f>sales_data!D643</f>
        <v>Декабрь</v>
      </c>
      <c r="P106" t="str">
        <f>sales_data!E643</f>
        <v>Дмитрий</v>
      </c>
      <c r="Q106" t="str">
        <f>sales_data!F643</f>
        <v>Ростов-на-Дону</v>
      </c>
      <c r="R106" t="str">
        <f>sales_data!G643</f>
        <v>Южный</v>
      </c>
      <c r="S106" t="str">
        <f>sales_data!H643</f>
        <v>Периферия</v>
      </c>
      <c r="T106" t="str">
        <f>sales_data!I643</f>
        <v>USB Hub</v>
      </c>
      <c r="U106" t="str">
        <f>sales_data!J643</f>
        <v>Розница</v>
      </c>
      <c r="V106">
        <f>sales_data!K643</f>
        <v>1</v>
      </c>
      <c r="W106">
        <f>sales_data!L643</f>
        <v>1900</v>
      </c>
      <c r="X106">
        <f>sales_data!M643</f>
        <v>1900</v>
      </c>
      <c r="Y106" t="str">
        <f>sales_data!N643</f>
        <v>Интернет-магазин</v>
      </c>
      <c r="Z106" t="str">
        <f>sales_data!O643</f>
        <v>Доставлен</v>
      </c>
    </row>
    <row r="107" spans="12:26" x14ac:dyDescent="0.25">
      <c r="L107">
        <f>sales_data!A644</f>
        <v>4328</v>
      </c>
      <c r="M107">
        <f>sales_data!B644</f>
        <v>45965</v>
      </c>
      <c r="N107">
        <f>sales_data!C644</f>
        <v>4</v>
      </c>
      <c r="O107" t="str">
        <f>sales_data!D644</f>
        <v>Ноябрь</v>
      </c>
      <c r="P107" t="str">
        <f>sales_data!E644</f>
        <v>Наталья</v>
      </c>
      <c r="Q107" t="str">
        <f>sales_data!F644</f>
        <v>Ростов-на-Дону</v>
      </c>
      <c r="R107" t="str">
        <f>sales_data!G644</f>
        <v>Южный</v>
      </c>
      <c r="S107" t="str">
        <f>sales_data!H644</f>
        <v>Аксессуары</v>
      </c>
      <c r="T107" t="str">
        <f>sales_data!I644</f>
        <v>Cooling Pad</v>
      </c>
      <c r="U107" t="str">
        <f>sales_data!J644</f>
        <v>Розница</v>
      </c>
      <c r="V107">
        <f>sales_data!K644</f>
        <v>8</v>
      </c>
      <c r="W107">
        <f>sales_data!L644</f>
        <v>1900</v>
      </c>
      <c r="X107">
        <f>sales_data!M644</f>
        <v>15200</v>
      </c>
      <c r="Y107" t="str">
        <f>sales_data!N644</f>
        <v>Офлайн-точка</v>
      </c>
      <c r="Z107" t="str">
        <f>sales_data!O644</f>
        <v>Отменён</v>
      </c>
    </row>
    <row r="108" spans="12:26" x14ac:dyDescent="0.25">
      <c r="L108">
        <f>sales_data!A646</f>
        <v>4497</v>
      </c>
      <c r="M108">
        <f>sales_data!B646</f>
        <v>45974</v>
      </c>
      <c r="N108">
        <f>sales_data!C646</f>
        <v>13</v>
      </c>
      <c r="O108" t="str">
        <f>sales_data!D646</f>
        <v>Ноябрь</v>
      </c>
      <c r="P108" t="str">
        <f>sales_data!E646</f>
        <v>Татьяна</v>
      </c>
      <c r="Q108" t="str">
        <f>sales_data!F646</f>
        <v>Самара</v>
      </c>
      <c r="R108" t="str">
        <f>sales_data!G646</f>
        <v>Приволжский</v>
      </c>
      <c r="S108" t="str">
        <f>sales_data!H646</f>
        <v>Периферия</v>
      </c>
      <c r="T108" t="str">
        <f>sales_data!I646</f>
        <v>USB Hub</v>
      </c>
      <c r="U108" t="str">
        <f>sales_data!J646</f>
        <v>Розница</v>
      </c>
      <c r="V108">
        <f>sales_data!K646</f>
        <v>8</v>
      </c>
      <c r="W108">
        <f>sales_data!L646</f>
        <v>1900</v>
      </c>
      <c r="X108">
        <f>sales_data!M646</f>
        <v>15200</v>
      </c>
      <c r="Y108" t="str">
        <f>sales_data!N646</f>
        <v>Офлайн-точка</v>
      </c>
      <c r="Z108" t="str">
        <f>sales_data!O646</f>
        <v>Доставлен</v>
      </c>
    </row>
    <row r="109" spans="12:26" x14ac:dyDescent="0.25">
      <c r="L109">
        <f>sales_data!A656</f>
        <v>224</v>
      </c>
      <c r="M109">
        <f>sales_data!B656</f>
        <v>45854</v>
      </c>
      <c r="N109">
        <f>sales_data!C656</f>
        <v>16</v>
      </c>
      <c r="O109" t="str">
        <f>sales_data!D656</f>
        <v>Июль</v>
      </c>
      <c r="P109" t="str">
        <f>sales_data!E656</f>
        <v>Сергей</v>
      </c>
      <c r="Q109" t="str">
        <f>sales_data!F656</f>
        <v>Москва</v>
      </c>
      <c r="R109" t="str">
        <f>sales_data!G656</f>
        <v>Центральный</v>
      </c>
      <c r="S109" t="str">
        <f>sales_data!H656</f>
        <v>Аксессуары</v>
      </c>
      <c r="T109" t="str">
        <f>sales_data!I656</f>
        <v>Bagpack</v>
      </c>
      <c r="U109" t="str">
        <f>sales_data!J656</f>
        <v>Опт</v>
      </c>
      <c r="V109">
        <f>sales_data!K656</f>
        <v>28</v>
      </c>
      <c r="W109">
        <f>sales_data!L656</f>
        <v>2000</v>
      </c>
      <c r="X109">
        <f>sales_data!M656</f>
        <v>56000</v>
      </c>
      <c r="Y109" t="str">
        <f>sales_data!N656</f>
        <v>Офлайн-точка</v>
      </c>
      <c r="Z109" t="str">
        <f>sales_data!O656</f>
        <v>В пути</v>
      </c>
    </row>
    <row r="110" spans="12:26" x14ac:dyDescent="0.25">
      <c r="L110">
        <f>sales_data!A659</f>
        <v>608</v>
      </c>
      <c r="M110">
        <f>sales_data!B659</f>
        <v>45695</v>
      </c>
      <c r="N110">
        <f>sales_data!C659</f>
        <v>7</v>
      </c>
      <c r="O110" t="str">
        <f>sales_data!D659</f>
        <v>Февраль</v>
      </c>
      <c r="P110" t="str">
        <f>sales_data!E659</f>
        <v>Мария</v>
      </c>
      <c r="Q110" t="str">
        <f>sales_data!F659</f>
        <v>Екатеринбург</v>
      </c>
      <c r="R110" t="str">
        <f>sales_data!G659</f>
        <v>Уральский</v>
      </c>
      <c r="S110" t="str">
        <f>sales_data!H659</f>
        <v>Периферия</v>
      </c>
      <c r="T110" t="str">
        <f>sales_data!I659</f>
        <v>Mouse Pro</v>
      </c>
      <c r="U110" t="str">
        <f>sales_data!J659</f>
        <v>Опт</v>
      </c>
      <c r="V110">
        <f>sales_data!K659</f>
        <v>39</v>
      </c>
      <c r="W110">
        <f>sales_data!L659</f>
        <v>2000</v>
      </c>
      <c r="X110">
        <f>sales_data!M659</f>
        <v>78000</v>
      </c>
      <c r="Y110" t="str">
        <f>sales_data!N659</f>
        <v>Офлайн-точка</v>
      </c>
      <c r="Z110" t="str">
        <f>sales_data!O659</f>
        <v>Отменён</v>
      </c>
    </row>
    <row r="111" spans="12:26" x14ac:dyDescent="0.25">
      <c r="L111">
        <f>sales_data!A671</f>
        <v>1215</v>
      </c>
      <c r="M111">
        <f>sales_data!B671</f>
        <v>45702</v>
      </c>
      <c r="N111">
        <f>sales_data!C671</f>
        <v>14</v>
      </c>
      <c r="O111" t="str">
        <f>sales_data!D671</f>
        <v>Февраль</v>
      </c>
      <c r="P111" t="str">
        <f>sales_data!E671</f>
        <v>Борис</v>
      </c>
      <c r="Q111" t="str">
        <f>sales_data!F671</f>
        <v>Санкт-Петербург</v>
      </c>
      <c r="R111" t="str">
        <f>sales_data!G671</f>
        <v>Северо-Западный</v>
      </c>
      <c r="S111" t="str">
        <f>sales_data!H671</f>
        <v>Периферия</v>
      </c>
      <c r="T111" t="str">
        <f>sales_data!I671</f>
        <v>USB Hub</v>
      </c>
      <c r="U111" t="str">
        <f>sales_data!J671</f>
        <v>Розница</v>
      </c>
      <c r="V111">
        <f>sales_data!K671</f>
        <v>2</v>
      </c>
      <c r="W111">
        <f>sales_data!L671</f>
        <v>2000</v>
      </c>
      <c r="X111">
        <f>sales_data!M671</f>
        <v>4000</v>
      </c>
      <c r="Y111" t="str">
        <f>sales_data!N671</f>
        <v>Офлайн-точка</v>
      </c>
      <c r="Z111" t="str">
        <f>sales_data!O671</f>
        <v>Доставлен</v>
      </c>
    </row>
    <row r="112" spans="12:26" x14ac:dyDescent="0.25">
      <c r="L112">
        <f>sales_data!A673</f>
        <v>1423</v>
      </c>
      <c r="M112">
        <f>sales_data!B673</f>
        <v>45809</v>
      </c>
      <c r="N112">
        <f>sales_data!C673</f>
        <v>1</v>
      </c>
      <c r="O112" t="str">
        <f>sales_data!D673</f>
        <v>Июнь</v>
      </c>
      <c r="P112" t="str">
        <f>sales_data!E673</f>
        <v>Алексей</v>
      </c>
      <c r="Q112" t="str">
        <f>sales_data!F673</f>
        <v>Санкт-Петербург</v>
      </c>
      <c r="R112" t="str">
        <f>sales_data!G673</f>
        <v>Северо-Западный</v>
      </c>
      <c r="S112" t="str">
        <f>sales_data!H673</f>
        <v>Периферия</v>
      </c>
      <c r="T112" t="str">
        <f>sales_data!I673</f>
        <v>USB Hub</v>
      </c>
      <c r="U112" t="str">
        <f>sales_data!J673</f>
        <v>Розница</v>
      </c>
      <c r="V112">
        <f>sales_data!K673</f>
        <v>4</v>
      </c>
      <c r="W112">
        <f>sales_data!L673</f>
        <v>2000</v>
      </c>
      <c r="X112">
        <f>sales_data!M673</f>
        <v>8000</v>
      </c>
      <c r="Y112" t="str">
        <f>sales_data!N673</f>
        <v>Интернет-магазин</v>
      </c>
      <c r="Z112" t="str">
        <f>sales_data!O673</f>
        <v>Доставлен</v>
      </c>
    </row>
    <row r="113" spans="12:26" x14ac:dyDescent="0.25">
      <c r="L113">
        <f>sales_data!A685</f>
        <v>2369</v>
      </c>
      <c r="M113">
        <f>sales_data!B685</f>
        <v>45926</v>
      </c>
      <c r="N113">
        <f>sales_data!C685</f>
        <v>26</v>
      </c>
      <c r="O113" t="str">
        <f>sales_data!D685</f>
        <v>Сентябрь</v>
      </c>
      <c r="P113" t="str">
        <f>sales_data!E685</f>
        <v>Светлана</v>
      </c>
      <c r="Q113" t="str">
        <f>sales_data!F685</f>
        <v>Воронеж</v>
      </c>
      <c r="R113" t="str">
        <f>sales_data!G685</f>
        <v>Центральный</v>
      </c>
      <c r="S113" t="str">
        <f>sales_data!H685</f>
        <v>Периферия</v>
      </c>
      <c r="T113" t="str">
        <f>sales_data!I685</f>
        <v>Mouse Pro</v>
      </c>
      <c r="U113" t="str">
        <f>sales_data!J685</f>
        <v>Опт</v>
      </c>
      <c r="V113">
        <f>sales_data!K685</f>
        <v>13</v>
      </c>
      <c r="W113">
        <f>sales_data!L685</f>
        <v>2000</v>
      </c>
      <c r="X113">
        <f>sales_data!M685</f>
        <v>26000</v>
      </c>
      <c r="Y113" t="str">
        <f>sales_data!N685</f>
        <v>Интернет-магазин</v>
      </c>
      <c r="Z113" t="str">
        <f>sales_data!O685</f>
        <v>Отменён</v>
      </c>
    </row>
    <row r="114" spans="12:26" x14ac:dyDescent="0.25">
      <c r="L114">
        <f>sales_data!A716</f>
        <v>47</v>
      </c>
      <c r="M114">
        <f>sales_data!B716</f>
        <v>45723</v>
      </c>
      <c r="N114">
        <f>sales_data!C716</f>
        <v>7</v>
      </c>
      <c r="O114" t="str">
        <f>sales_data!D716</f>
        <v>Март</v>
      </c>
      <c r="P114" t="str">
        <f>sales_data!E716</f>
        <v>Анна</v>
      </c>
      <c r="Q114" t="str">
        <f>sales_data!F716</f>
        <v>Екатеринбург</v>
      </c>
      <c r="R114" t="str">
        <f>sales_data!G716</f>
        <v>Уральский</v>
      </c>
      <c r="S114" t="str">
        <f>sales_data!H716</f>
        <v>Периферия</v>
      </c>
      <c r="T114" t="str">
        <f>sales_data!I716</f>
        <v>Mouse Pro</v>
      </c>
      <c r="U114" t="str">
        <f>sales_data!J716</f>
        <v>Опт</v>
      </c>
      <c r="V114">
        <f>sales_data!K716</f>
        <v>18</v>
      </c>
      <c r="W114">
        <f>sales_data!L716</f>
        <v>2100</v>
      </c>
      <c r="X114">
        <f>sales_data!M716</f>
        <v>37800</v>
      </c>
      <c r="Y114" t="str">
        <f>sales_data!N716</f>
        <v>Интернет-магазин</v>
      </c>
      <c r="Z114" t="str">
        <f>sales_data!O716</f>
        <v>Отменён</v>
      </c>
    </row>
    <row r="115" spans="12:26" x14ac:dyDescent="0.25">
      <c r="L115">
        <f>sales_data!A728</f>
        <v>1087</v>
      </c>
      <c r="M115">
        <f>sales_data!B728</f>
        <v>45923</v>
      </c>
      <c r="N115">
        <f>sales_data!C728</f>
        <v>23</v>
      </c>
      <c r="O115" t="str">
        <f>sales_data!D728</f>
        <v>Сентябрь</v>
      </c>
      <c r="P115" t="str">
        <f>sales_data!E728</f>
        <v>Павел</v>
      </c>
      <c r="Q115" t="str">
        <f>sales_data!F728</f>
        <v>Челябинск</v>
      </c>
      <c r="R115" t="str">
        <f>sales_data!G728</f>
        <v>Уральский</v>
      </c>
      <c r="S115" t="str">
        <f>sales_data!H728</f>
        <v>Периферия</v>
      </c>
      <c r="T115" t="str">
        <f>sales_data!I728</f>
        <v>USB Hub</v>
      </c>
      <c r="U115" t="str">
        <f>sales_data!J728</f>
        <v>Розница</v>
      </c>
      <c r="V115">
        <f>sales_data!K728</f>
        <v>4</v>
      </c>
      <c r="W115">
        <f>sales_data!L728</f>
        <v>2100</v>
      </c>
      <c r="X115">
        <f>sales_data!M728</f>
        <v>8400</v>
      </c>
      <c r="Y115" t="str">
        <f>sales_data!N728</f>
        <v>Интернет-магазин</v>
      </c>
      <c r="Z115" t="str">
        <f>sales_data!O728</f>
        <v>В пути</v>
      </c>
    </row>
    <row r="116" spans="12:26" x14ac:dyDescent="0.25">
      <c r="L116">
        <f>sales_data!A735</f>
        <v>1592</v>
      </c>
      <c r="M116">
        <f>sales_data!B735</f>
        <v>45900</v>
      </c>
      <c r="N116">
        <f>sales_data!C735</f>
        <v>31</v>
      </c>
      <c r="O116" t="str">
        <f>sales_data!D735</f>
        <v>Август</v>
      </c>
      <c r="P116" t="str">
        <f>sales_data!E735</f>
        <v>Мария</v>
      </c>
      <c r="Q116" t="str">
        <f>sales_data!F735</f>
        <v>Уфа</v>
      </c>
      <c r="R116" t="str">
        <f>sales_data!G735</f>
        <v>Приволжский</v>
      </c>
      <c r="S116" t="str">
        <f>sales_data!H735</f>
        <v>Аксессуары</v>
      </c>
      <c r="T116" t="str">
        <f>sales_data!I735</f>
        <v>Bagpack</v>
      </c>
      <c r="U116" t="str">
        <f>sales_data!J735</f>
        <v>Розница</v>
      </c>
      <c r="V116">
        <f>sales_data!K735</f>
        <v>8</v>
      </c>
      <c r="W116">
        <f>sales_data!L735</f>
        <v>2100</v>
      </c>
      <c r="X116">
        <f>sales_data!M735</f>
        <v>16800</v>
      </c>
      <c r="Y116" t="str">
        <f>sales_data!N735</f>
        <v>Офлайн-точка</v>
      </c>
      <c r="Z116" t="str">
        <f>sales_data!O735</f>
        <v>В пути</v>
      </c>
    </row>
    <row r="117" spans="12:26" x14ac:dyDescent="0.25">
      <c r="L117">
        <f>sales_data!A743</f>
        <v>1892</v>
      </c>
      <c r="M117">
        <f>sales_data!B743</f>
        <v>45948</v>
      </c>
      <c r="N117">
        <f>sales_data!C743</f>
        <v>18</v>
      </c>
      <c r="O117" t="str">
        <f>sales_data!D743</f>
        <v>Октябрь</v>
      </c>
      <c r="P117" t="str">
        <f>sales_data!E743</f>
        <v>Игорь</v>
      </c>
      <c r="Q117" t="str">
        <f>sales_data!F743</f>
        <v>Воронеж</v>
      </c>
      <c r="R117" t="str">
        <f>sales_data!G743</f>
        <v>Центральный</v>
      </c>
      <c r="S117" t="str">
        <f>sales_data!H743</f>
        <v>Периферия</v>
      </c>
      <c r="T117" t="str">
        <f>sales_data!I743</f>
        <v>Mouse Pro</v>
      </c>
      <c r="U117" t="str">
        <f>sales_data!J743</f>
        <v>Опт</v>
      </c>
      <c r="V117">
        <f>sales_data!K743</f>
        <v>9</v>
      </c>
      <c r="W117">
        <f>sales_data!L743</f>
        <v>2100</v>
      </c>
      <c r="X117">
        <f>sales_data!M743</f>
        <v>18900</v>
      </c>
      <c r="Y117" t="str">
        <f>sales_data!N743</f>
        <v>Интернет-магазин</v>
      </c>
      <c r="Z117" t="str">
        <f>sales_data!O743</f>
        <v>Доставлен</v>
      </c>
    </row>
    <row r="118" spans="12:26" x14ac:dyDescent="0.25">
      <c r="L118">
        <f>sales_data!A750</f>
        <v>2315</v>
      </c>
      <c r="M118">
        <f>sales_data!B750</f>
        <v>45768</v>
      </c>
      <c r="N118">
        <f>sales_data!C750</f>
        <v>21</v>
      </c>
      <c r="O118" t="str">
        <f>sales_data!D750</f>
        <v>Апрель</v>
      </c>
      <c r="P118" t="str">
        <f>sales_data!E750</f>
        <v>Алексей</v>
      </c>
      <c r="Q118" t="str">
        <f>sales_data!F750</f>
        <v>Казань</v>
      </c>
      <c r="R118" t="str">
        <f>sales_data!G750</f>
        <v>Приволжский</v>
      </c>
      <c r="S118" t="str">
        <f>sales_data!H750</f>
        <v>Периферия</v>
      </c>
      <c r="T118" t="str">
        <f>sales_data!I750</f>
        <v>USB Hub</v>
      </c>
      <c r="U118" t="str">
        <f>sales_data!J750</f>
        <v>Розница</v>
      </c>
      <c r="V118">
        <f>sales_data!K750</f>
        <v>7</v>
      </c>
      <c r="W118">
        <f>sales_data!L750</f>
        <v>2100</v>
      </c>
      <c r="X118">
        <f>sales_data!M750</f>
        <v>14700</v>
      </c>
      <c r="Y118" t="str">
        <f>sales_data!N750</f>
        <v>Офлайн-точка</v>
      </c>
      <c r="Z118" t="str">
        <f>sales_data!O750</f>
        <v>Отменён</v>
      </c>
    </row>
    <row r="119" spans="12:26" x14ac:dyDescent="0.25">
      <c r="L119">
        <f>sales_data!A752</f>
        <v>2524</v>
      </c>
      <c r="M119">
        <f>sales_data!B752</f>
        <v>45665</v>
      </c>
      <c r="N119">
        <f>sales_data!C752</f>
        <v>8</v>
      </c>
      <c r="O119" t="str">
        <f>sales_data!D752</f>
        <v>Январь</v>
      </c>
      <c r="P119" t="str">
        <f>sales_data!E752</f>
        <v>Анна</v>
      </c>
      <c r="Q119" t="str">
        <f>sales_data!F752</f>
        <v>Челябинск</v>
      </c>
      <c r="R119" t="str">
        <f>sales_data!G752</f>
        <v>Уральский</v>
      </c>
      <c r="S119" t="str">
        <f>sales_data!H752</f>
        <v>Периферия</v>
      </c>
      <c r="T119" t="str">
        <f>sales_data!I752</f>
        <v>Mouse Pro</v>
      </c>
      <c r="U119" t="str">
        <f>sales_data!J752</f>
        <v>Опт</v>
      </c>
      <c r="V119">
        <f>sales_data!K752</f>
        <v>40</v>
      </c>
      <c r="W119">
        <f>sales_data!L752</f>
        <v>2100</v>
      </c>
      <c r="X119">
        <f>sales_data!M752</f>
        <v>84000</v>
      </c>
      <c r="Y119" t="str">
        <f>sales_data!N752</f>
        <v>Офлайн-точка</v>
      </c>
      <c r="Z119" t="str">
        <f>sales_data!O752</f>
        <v>Отменён</v>
      </c>
    </row>
    <row r="120" spans="12:26" x14ac:dyDescent="0.25">
      <c r="L120">
        <f>sales_data!A757</f>
        <v>3038</v>
      </c>
      <c r="M120">
        <f>sales_data!B757</f>
        <v>45736</v>
      </c>
      <c r="N120">
        <f>sales_data!C757</f>
        <v>20</v>
      </c>
      <c r="O120" t="str">
        <f>sales_data!D757</f>
        <v>Март</v>
      </c>
      <c r="P120" t="str">
        <f>sales_data!E757</f>
        <v>Борис</v>
      </c>
      <c r="Q120" t="str">
        <f>sales_data!F757</f>
        <v>Самара</v>
      </c>
      <c r="R120" t="str">
        <f>sales_data!G757</f>
        <v>Приволжский</v>
      </c>
      <c r="S120" t="str">
        <f>sales_data!H757</f>
        <v>Аксессуары</v>
      </c>
      <c r="T120" t="str">
        <f>sales_data!I757</f>
        <v>Bagpack</v>
      </c>
      <c r="U120" t="str">
        <f>sales_data!J757</f>
        <v>Опт</v>
      </c>
      <c r="V120">
        <f>sales_data!K757</f>
        <v>45</v>
      </c>
      <c r="W120">
        <f>sales_data!L757</f>
        <v>2100</v>
      </c>
      <c r="X120">
        <f>sales_data!M757</f>
        <v>94500</v>
      </c>
      <c r="Y120" t="str">
        <f>sales_data!N757</f>
        <v>Офлайн-точка</v>
      </c>
      <c r="Z120" t="str">
        <f>sales_data!O757</f>
        <v>Отменён</v>
      </c>
    </row>
    <row r="121" spans="12:26" x14ac:dyDescent="0.25">
      <c r="L121">
        <f>sales_data!A758</f>
        <v>3169</v>
      </c>
      <c r="M121">
        <f>sales_data!B758</f>
        <v>45738</v>
      </c>
      <c r="N121">
        <f>sales_data!C758</f>
        <v>22</v>
      </c>
      <c r="O121" t="str">
        <f>sales_data!D758</f>
        <v>Март</v>
      </c>
      <c r="P121" t="str">
        <f>sales_data!E758</f>
        <v>Сергей</v>
      </c>
      <c r="Q121" t="str">
        <f>sales_data!F758</f>
        <v>Уфа</v>
      </c>
      <c r="R121" t="str">
        <f>sales_data!G758</f>
        <v>Приволжский</v>
      </c>
      <c r="S121" t="str">
        <f>sales_data!H758</f>
        <v>Периферия</v>
      </c>
      <c r="T121" t="str">
        <f>sales_data!I758</f>
        <v>Mouse Pro</v>
      </c>
      <c r="U121" t="str">
        <f>sales_data!J758</f>
        <v>Опт</v>
      </c>
      <c r="V121">
        <f>sales_data!K758</f>
        <v>23</v>
      </c>
      <c r="W121">
        <f>sales_data!L758</f>
        <v>2100</v>
      </c>
      <c r="X121">
        <f>sales_data!M758</f>
        <v>48300</v>
      </c>
      <c r="Y121" t="str">
        <f>sales_data!N758</f>
        <v>Офлайн-точка</v>
      </c>
      <c r="Z121" t="str">
        <f>sales_data!O758</f>
        <v>Отменён</v>
      </c>
    </row>
    <row r="122" spans="12:26" x14ac:dyDescent="0.25">
      <c r="L122">
        <f>sales_data!A760</f>
        <v>3269</v>
      </c>
      <c r="M122">
        <f>sales_data!B760</f>
        <v>45845</v>
      </c>
      <c r="N122">
        <f>sales_data!C760</f>
        <v>7</v>
      </c>
      <c r="O122" t="str">
        <f>sales_data!D760</f>
        <v>Июль</v>
      </c>
      <c r="P122" t="str">
        <f>sales_data!E760</f>
        <v>Борис</v>
      </c>
      <c r="Q122" t="str">
        <f>sales_data!F760</f>
        <v>Ростов-на-Дону</v>
      </c>
      <c r="R122" t="str">
        <f>sales_data!G760</f>
        <v>Южный</v>
      </c>
      <c r="S122" t="str">
        <f>sales_data!H760</f>
        <v>Периферия</v>
      </c>
      <c r="T122" t="str">
        <f>sales_data!I760</f>
        <v>Mouse Pro</v>
      </c>
      <c r="U122" t="str">
        <f>sales_data!J760</f>
        <v>Опт</v>
      </c>
      <c r="V122">
        <f>sales_data!K760</f>
        <v>22</v>
      </c>
      <c r="W122">
        <f>sales_data!L760</f>
        <v>2100</v>
      </c>
      <c r="X122">
        <f>sales_data!M760</f>
        <v>46200</v>
      </c>
      <c r="Y122" t="str">
        <f>sales_data!N760</f>
        <v>Интернет-магазин</v>
      </c>
      <c r="Z122" t="str">
        <f>sales_data!O760</f>
        <v>Доставлен</v>
      </c>
    </row>
    <row r="123" spans="12:26" x14ac:dyDescent="0.25">
      <c r="L123">
        <f>sales_data!A765</f>
        <v>3572</v>
      </c>
      <c r="M123">
        <f>sales_data!B765</f>
        <v>45956</v>
      </c>
      <c r="N123">
        <f>sales_data!C765</f>
        <v>26</v>
      </c>
      <c r="O123" t="str">
        <f>sales_data!D765</f>
        <v>Октябрь</v>
      </c>
      <c r="P123" t="str">
        <f>sales_data!E765</f>
        <v>Дмитрий</v>
      </c>
      <c r="Q123" t="str">
        <f>sales_data!F765</f>
        <v>Красноярск</v>
      </c>
      <c r="R123" t="str">
        <f>sales_data!G765</f>
        <v>Сибирский</v>
      </c>
      <c r="S123" t="str">
        <f>sales_data!H765</f>
        <v>Периферия</v>
      </c>
      <c r="T123" t="str">
        <f>sales_data!I765</f>
        <v>USB Hub</v>
      </c>
      <c r="U123" t="str">
        <f>sales_data!J765</f>
        <v>Розница</v>
      </c>
      <c r="V123">
        <f>sales_data!K765</f>
        <v>3</v>
      </c>
      <c r="W123">
        <f>sales_data!L765</f>
        <v>2100</v>
      </c>
      <c r="X123">
        <f>sales_data!M765</f>
        <v>6300</v>
      </c>
      <c r="Y123" t="str">
        <f>sales_data!N765</f>
        <v>Офлайн-точка</v>
      </c>
      <c r="Z123" t="str">
        <f>sales_data!O765</f>
        <v>В пути</v>
      </c>
    </row>
    <row r="124" spans="12:26" x14ac:dyDescent="0.25">
      <c r="L124">
        <f>sales_data!A784</f>
        <v>4810</v>
      </c>
      <c r="M124">
        <f>sales_data!B784</f>
        <v>45659</v>
      </c>
      <c r="N124">
        <f>sales_data!C784</f>
        <v>2</v>
      </c>
      <c r="O124" t="str">
        <f>sales_data!D784</f>
        <v>Январь</v>
      </c>
      <c r="P124" t="str">
        <f>sales_data!E784</f>
        <v>Павел</v>
      </c>
      <c r="Q124" t="str">
        <f>sales_data!F784</f>
        <v>Челябинск</v>
      </c>
      <c r="R124" t="str">
        <f>sales_data!G784</f>
        <v>Уральский</v>
      </c>
      <c r="S124" t="str">
        <f>sales_data!H784</f>
        <v>Периферия</v>
      </c>
      <c r="T124" t="str">
        <f>sales_data!I784</f>
        <v>Mouse Pro</v>
      </c>
      <c r="U124" t="str">
        <f>sales_data!J784</f>
        <v>Опт</v>
      </c>
      <c r="V124">
        <f>sales_data!K784</f>
        <v>41</v>
      </c>
      <c r="W124">
        <f>sales_data!L784</f>
        <v>2100</v>
      </c>
      <c r="X124">
        <f>sales_data!M784</f>
        <v>86100</v>
      </c>
      <c r="Y124" t="str">
        <f>sales_data!N784</f>
        <v>Офлайн-точка</v>
      </c>
      <c r="Z124" t="str">
        <f>sales_data!O784</f>
        <v>Отменён</v>
      </c>
    </row>
    <row r="125" spans="12:26" x14ac:dyDescent="0.25">
      <c r="L125">
        <f>sales_data!A796</f>
        <v>1013</v>
      </c>
      <c r="M125">
        <f>sales_data!B796</f>
        <v>45667</v>
      </c>
      <c r="N125">
        <f>sales_data!C796</f>
        <v>10</v>
      </c>
      <c r="O125" t="str">
        <f>sales_data!D796</f>
        <v>Январь</v>
      </c>
      <c r="P125" t="str">
        <f>sales_data!E796</f>
        <v>Ольга</v>
      </c>
      <c r="Q125" t="str">
        <f>sales_data!F796</f>
        <v>Омск</v>
      </c>
      <c r="R125" t="str">
        <f>sales_data!G796</f>
        <v>Сибирский</v>
      </c>
      <c r="S125" t="str">
        <f>sales_data!H796</f>
        <v>Периферия</v>
      </c>
      <c r="T125" t="str">
        <f>sales_data!I796</f>
        <v>USB Hub</v>
      </c>
      <c r="U125" t="str">
        <f>sales_data!J796</f>
        <v>Розница</v>
      </c>
      <c r="V125">
        <f>sales_data!K796</f>
        <v>5</v>
      </c>
      <c r="W125">
        <f>sales_data!L796</f>
        <v>2200</v>
      </c>
      <c r="X125">
        <f>sales_data!M796</f>
        <v>11000</v>
      </c>
      <c r="Y125" t="str">
        <f>sales_data!N796</f>
        <v>Офлайн-точка</v>
      </c>
      <c r="Z125" t="str">
        <f>sales_data!O796</f>
        <v>В пути</v>
      </c>
    </row>
    <row r="126" spans="12:26" x14ac:dyDescent="0.25">
      <c r="L126">
        <f>sales_data!A800</f>
        <v>1271</v>
      </c>
      <c r="M126">
        <f>sales_data!B800</f>
        <v>45751</v>
      </c>
      <c r="N126">
        <f>sales_data!C800</f>
        <v>4</v>
      </c>
      <c r="O126" t="str">
        <f>sales_data!D800</f>
        <v>Апрель</v>
      </c>
      <c r="P126" t="str">
        <f>sales_data!E800</f>
        <v>Мария</v>
      </c>
      <c r="Q126" t="str">
        <f>sales_data!F800</f>
        <v>Красноярск</v>
      </c>
      <c r="R126" t="str">
        <f>sales_data!G800</f>
        <v>Сибирский</v>
      </c>
      <c r="S126" t="str">
        <f>sales_data!H800</f>
        <v>Периферия</v>
      </c>
      <c r="T126" t="str">
        <f>sales_data!I800</f>
        <v>Mouse Pro</v>
      </c>
      <c r="U126" t="str">
        <f>sales_data!J800</f>
        <v>Опт</v>
      </c>
      <c r="V126">
        <f>sales_data!K800</f>
        <v>47</v>
      </c>
      <c r="W126">
        <f>sales_data!L800</f>
        <v>2200</v>
      </c>
      <c r="X126">
        <f>sales_data!M800</f>
        <v>103400</v>
      </c>
      <c r="Y126" t="str">
        <f>sales_data!N800</f>
        <v>Офлайн-точка</v>
      </c>
      <c r="Z126" t="str">
        <f>sales_data!O800</f>
        <v>Доставлен</v>
      </c>
    </row>
    <row r="127" spans="12:26" x14ac:dyDescent="0.25">
      <c r="L127">
        <f>sales_data!A803</f>
        <v>1623</v>
      </c>
      <c r="M127">
        <f>sales_data!B803</f>
        <v>45984</v>
      </c>
      <c r="N127">
        <f>sales_data!C803</f>
        <v>23</v>
      </c>
      <c r="O127" t="str">
        <f>sales_data!D803</f>
        <v>Ноябрь</v>
      </c>
      <c r="P127" t="str">
        <f>sales_data!E803</f>
        <v>Алексей</v>
      </c>
      <c r="Q127" t="str">
        <f>sales_data!F803</f>
        <v>Москва</v>
      </c>
      <c r="R127" t="str">
        <f>sales_data!G803</f>
        <v>Центральный</v>
      </c>
      <c r="S127" t="str">
        <f>sales_data!H803</f>
        <v>Периферия</v>
      </c>
      <c r="T127" t="str">
        <f>sales_data!I803</f>
        <v>Mouse Pro</v>
      </c>
      <c r="U127" t="str">
        <f>sales_data!J803</f>
        <v>Опт</v>
      </c>
      <c r="V127">
        <f>sales_data!K803</f>
        <v>17</v>
      </c>
      <c r="W127">
        <f>sales_data!L803</f>
        <v>2200</v>
      </c>
      <c r="X127">
        <f>sales_data!M803</f>
        <v>37400</v>
      </c>
      <c r="Y127" t="str">
        <f>sales_data!N803</f>
        <v>Интернет-магазин</v>
      </c>
      <c r="Z127" t="str">
        <f>sales_data!O803</f>
        <v>В пути</v>
      </c>
    </row>
    <row r="128" spans="12:26" x14ac:dyDescent="0.25">
      <c r="L128">
        <f>sales_data!A804</f>
        <v>1648</v>
      </c>
      <c r="M128">
        <f>sales_data!B804</f>
        <v>46008</v>
      </c>
      <c r="N128">
        <f>sales_data!C804</f>
        <v>17</v>
      </c>
      <c r="O128" t="str">
        <f>sales_data!D804</f>
        <v>Декабрь</v>
      </c>
      <c r="P128" t="str">
        <f>sales_data!E804</f>
        <v>Мария</v>
      </c>
      <c r="Q128" t="str">
        <f>sales_data!F804</f>
        <v>Пермь</v>
      </c>
      <c r="R128" t="str">
        <f>sales_data!G804</f>
        <v>Приволжский</v>
      </c>
      <c r="S128" t="str">
        <f>sales_data!H804</f>
        <v>Периферия</v>
      </c>
      <c r="T128" t="str">
        <f>sales_data!I804</f>
        <v>Mouse Pro</v>
      </c>
      <c r="U128" t="str">
        <f>sales_data!J804</f>
        <v>Опт</v>
      </c>
      <c r="V128">
        <f>sales_data!K804</f>
        <v>15</v>
      </c>
      <c r="W128">
        <f>sales_data!L804</f>
        <v>2200</v>
      </c>
      <c r="X128">
        <f>sales_data!M804</f>
        <v>33000</v>
      </c>
      <c r="Y128" t="str">
        <f>sales_data!N804</f>
        <v>Офлайн-точка</v>
      </c>
      <c r="Z128" t="str">
        <f>sales_data!O804</f>
        <v>Доставлен</v>
      </c>
    </row>
    <row r="129" spans="12:26" x14ac:dyDescent="0.25">
      <c r="L129">
        <f>sales_data!A806</f>
        <v>1850</v>
      </c>
      <c r="M129">
        <f>sales_data!B806</f>
        <v>45880</v>
      </c>
      <c r="N129">
        <f>sales_data!C806</f>
        <v>11</v>
      </c>
      <c r="O129" t="str">
        <f>sales_data!D806</f>
        <v>Август</v>
      </c>
      <c r="P129" t="str">
        <f>sales_data!E806</f>
        <v>Алексей</v>
      </c>
      <c r="Q129" t="str">
        <f>sales_data!F806</f>
        <v>Самара</v>
      </c>
      <c r="R129" t="str">
        <f>sales_data!G806</f>
        <v>Приволжский</v>
      </c>
      <c r="S129" t="str">
        <f>sales_data!H806</f>
        <v>Аксессуары</v>
      </c>
      <c r="T129" t="str">
        <f>sales_data!I806</f>
        <v>Bagpack</v>
      </c>
      <c r="U129" t="str">
        <f>sales_data!J806</f>
        <v>Опт</v>
      </c>
      <c r="V129">
        <f>sales_data!K806</f>
        <v>48</v>
      </c>
      <c r="W129">
        <f>sales_data!L806</f>
        <v>2200</v>
      </c>
      <c r="X129">
        <f>sales_data!M806</f>
        <v>105600</v>
      </c>
      <c r="Y129" t="str">
        <f>sales_data!N806</f>
        <v>Интернет-магазин</v>
      </c>
      <c r="Z129" t="str">
        <f>sales_data!O806</f>
        <v>Доставлен</v>
      </c>
    </row>
    <row r="130" spans="12:26" x14ac:dyDescent="0.25">
      <c r="L130">
        <f>sales_data!A808</f>
        <v>1882</v>
      </c>
      <c r="M130">
        <f>sales_data!B808</f>
        <v>45948</v>
      </c>
      <c r="N130">
        <f>sales_data!C808</f>
        <v>18</v>
      </c>
      <c r="O130" t="str">
        <f>sales_data!D808</f>
        <v>Октябрь</v>
      </c>
      <c r="P130" t="str">
        <f>sales_data!E808</f>
        <v>Татьяна</v>
      </c>
      <c r="Q130" t="str">
        <f>sales_data!F808</f>
        <v>Казань</v>
      </c>
      <c r="R130" t="str">
        <f>sales_data!G808</f>
        <v>Приволжский</v>
      </c>
      <c r="S130" t="str">
        <f>sales_data!H808</f>
        <v>Периферия</v>
      </c>
      <c r="T130" t="str">
        <f>sales_data!I808</f>
        <v>USB Hub</v>
      </c>
      <c r="U130" t="str">
        <f>sales_data!J808</f>
        <v>Розница</v>
      </c>
      <c r="V130">
        <f>sales_data!K808</f>
        <v>7</v>
      </c>
      <c r="W130">
        <f>sales_data!L808</f>
        <v>2200</v>
      </c>
      <c r="X130">
        <f>sales_data!M808</f>
        <v>15400</v>
      </c>
      <c r="Y130" t="str">
        <f>sales_data!N808</f>
        <v>Интернет-магазин</v>
      </c>
      <c r="Z130" t="str">
        <f>sales_data!O808</f>
        <v>Доставлен</v>
      </c>
    </row>
    <row r="131" spans="12:26" x14ac:dyDescent="0.25">
      <c r="L131">
        <f>sales_data!A812</f>
        <v>2059</v>
      </c>
      <c r="M131">
        <f>sales_data!B812</f>
        <v>45695</v>
      </c>
      <c r="N131">
        <f>sales_data!C812</f>
        <v>7</v>
      </c>
      <c r="O131" t="str">
        <f>sales_data!D812</f>
        <v>Февраль</v>
      </c>
      <c r="P131" t="str">
        <f>sales_data!E812</f>
        <v>Сергей</v>
      </c>
      <c r="Q131" t="str">
        <f>sales_data!F812</f>
        <v>Краснодар</v>
      </c>
      <c r="R131" t="str">
        <f>sales_data!G812</f>
        <v>Южный</v>
      </c>
      <c r="S131" t="str">
        <f>sales_data!H812</f>
        <v>Периферия</v>
      </c>
      <c r="T131" t="str">
        <f>sales_data!I812</f>
        <v>Mouse Pro</v>
      </c>
      <c r="U131" t="str">
        <f>sales_data!J812</f>
        <v>Опт</v>
      </c>
      <c r="V131">
        <f>sales_data!K812</f>
        <v>29</v>
      </c>
      <c r="W131">
        <f>sales_data!L812</f>
        <v>2200</v>
      </c>
      <c r="X131">
        <f>sales_data!M812</f>
        <v>63800</v>
      </c>
      <c r="Y131" t="str">
        <f>sales_data!N812</f>
        <v>Офлайн-точка</v>
      </c>
      <c r="Z131" t="str">
        <f>sales_data!O812</f>
        <v>В пути</v>
      </c>
    </row>
    <row r="132" spans="12:26" x14ac:dyDescent="0.25">
      <c r="L132">
        <f>sales_data!A816</f>
        <v>2186</v>
      </c>
      <c r="M132">
        <f>sales_data!B816</f>
        <v>45933</v>
      </c>
      <c r="N132">
        <f>sales_data!C816</f>
        <v>3</v>
      </c>
      <c r="O132" t="str">
        <f>sales_data!D816</f>
        <v>Октябрь</v>
      </c>
      <c r="P132" t="str">
        <f>sales_data!E816</f>
        <v>Мария</v>
      </c>
      <c r="Q132" t="str">
        <f>sales_data!F816</f>
        <v>Санкт-Петербург</v>
      </c>
      <c r="R132" t="str">
        <f>sales_data!G816</f>
        <v>Северо-Западный</v>
      </c>
      <c r="S132" t="str">
        <f>sales_data!H816</f>
        <v>Периферия</v>
      </c>
      <c r="T132" t="str">
        <f>sales_data!I816</f>
        <v>USB Hub</v>
      </c>
      <c r="U132" t="str">
        <f>sales_data!J816</f>
        <v>Розница</v>
      </c>
      <c r="V132">
        <f>sales_data!K816</f>
        <v>5</v>
      </c>
      <c r="W132">
        <f>sales_data!L816</f>
        <v>2200</v>
      </c>
      <c r="X132">
        <f>sales_data!M816</f>
        <v>11000</v>
      </c>
      <c r="Y132" t="str">
        <f>sales_data!N816</f>
        <v>Офлайн-точка</v>
      </c>
      <c r="Z132" t="str">
        <f>sales_data!O816</f>
        <v>В пути</v>
      </c>
    </row>
    <row r="133" spans="12:26" x14ac:dyDescent="0.25">
      <c r="L133">
        <f>sales_data!A818</f>
        <v>2309</v>
      </c>
      <c r="M133">
        <f>sales_data!B818</f>
        <v>46021</v>
      </c>
      <c r="N133">
        <f>sales_data!C818</f>
        <v>30</v>
      </c>
      <c r="O133" t="str">
        <f>sales_data!D818</f>
        <v>Декабрь</v>
      </c>
      <c r="P133" t="str">
        <f>sales_data!E818</f>
        <v>Ольга</v>
      </c>
      <c r="Q133" t="str">
        <f>sales_data!F818</f>
        <v>Краснодар</v>
      </c>
      <c r="R133" t="str">
        <f>sales_data!G818</f>
        <v>Южный</v>
      </c>
      <c r="S133" t="str">
        <f>sales_data!H818</f>
        <v>Периферия</v>
      </c>
      <c r="T133" t="str">
        <f>sales_data!I818</f>
        <v>Mouse Pro</v>
      </c>
      <c r="U133" t="str">
        <f>sales_data!J818</f>
        <v>Опт</v>
      </c>
      <c r="V133">
        <f>sales_data!K818</f>
        <v>38</v>
      </c>
      <c r="W133">
        <f>sales_data!L818</f>
        <v>2200</v>
      </c>
      <c r="X133">
        <f>sales_data!M818</f>
        <v>83600</v>
      </c>
      <c r="Y133" t="str">
        <f>sales_data!N818</f>
        <v>Офлайн-точка</v>
      </c>
      <c r="Z133" t="str">
        <f>sales_data!O818</f>
        <v>В пути</v>
      </c>
    </row>
    <row r="134" spans="12:26" x14ac:dyDescent="0.25">
      <c r="L134">
        <f>sales_data!A819</f>
        <v>2426</v>
      </c>
      <c r="M134">
        <f>sales_data!B819</f>
        <v>45739</v>
      </c>
      <c r="N134">
        <f>sales_data!C819</f>
        <v>23</v>
      </c>
      <c r="O134" t="str">
        <f>sales_data!D819</f>
        <v>Март</v>
      </c>
      <c r="P134" t="str">
        <f>sales_data!E819</f>
        <v>Ксения</v>
      </c>
      <c r="Q134" t="str">
        <f>sales_data!F819</f>
        <v>Краснодар</v>
      </c>
      <c r="R134" t="str">
        <f>sales_data!G819</f>
        <v>Южный</v>
      </c>
      <c r="S134" t="str">
        <f>sales_data!H819</f>
        <v>Аксессуары</v>
      </c>
      <c r="T134" t="str">
        <f>sales_data!I819</f>
        <v>Bagpack</v>
      </c>
      <c r="U134" t="str">
        <f>sales_data!J819</f>
        <v>Опт</v>
      </c>
      <c r="V134">
        <f>sales_data!K819</f>
        <v>22</v>
      </c>
      <c r="W134">
        <f>sales_data!L819</f>
        <v>2200</v>
      </c>
      <c r="X134">
        <f>sales_data!M819</f>
        <v>48400</v>
      </c>
      <c r="Y134" t="str">
        <f>sales_data!N819</f>
        <v>Интернет-магазин</v>
      </c>
      <c r="Z134" t="str">
        <f>sales_data!O819</f>
        <v>Доставлен</v>
      </c>
    </row>
    <row r="135" spans="12:26" x14ac:dyDescent="0.25">
      <c r="L135">
        <f>sales_data!A827</f>
        <v>2970</v>
      </c>
      <c r="M135">
        <f>sales_data!B827</f>
        <v>45681</v>
      </c>
      <c r="N135">
        <f>sales_data!C827</f>
        <v>24</v>
      </c>
      <c r="O135" t="str">
        <f>sales_data!D827</f>
        <v>Январь</v>
      </c>
      <c r="P135" t="str">
        <f>sales_data!E827</f>
        <v>Светлана</v>
      </c>
      <c r="Q135" t="str">
        <f>sales_data!F827</f>
        <v>Санкт-Петербург</v>
      </c>
      <c r="R135" t="str">
        <f>sales_data!G827</f>
        <v>Северо-Западный</v>
      </c>
      <c r="S135" t="str">
        <f>sales_data!H827</f>
        <v>Периферия</v>
      </c>
      <c r="T135" t="str">
        <f>sales_data!I827</f>
        <v>Mouse Pro</v>
      </c>
      <c r="U135" t="str">
        <f>sales_data!J827</f>
        <v>Опт</v>
      </c>
      <c r="V135">
        <f>sales_data!K827</f>
        <v>35</v>
      </c>
      <c r="W135">
        <f>sales_data!L827</f>
        <v>2200</v>
      </c>
      <c r="X135">
        <f>sales_data!M827</f>
        <v>77000</v>
      </c>
      <c r="Y135" t="str">
        <f>sales_data!N827</f>
        <v>Офлайн-точка</v>
      </c>
      <c r="Z135" t="str">
        <f>sales_data!O827</f>
        <v>Отменён</v>
      </c>
    </row>
    <row r="136" spans="12:26" x14ac:dyDescent="0.25">
      <c r="L136">
        <f>sales_data!A831</f>
        <v>3401</v>
      </c>
      <c r="M136">
        <f>sales_data!B831</f>
        <v>45696</v>
      </c>
      <c r="N136">
        <f>sales_data!C831</f>
        <v>8</v>
      </c>
      <c r="O136" t="str">
        <f>sales_data!D831</f>
        <v>Февраль</v>
      </c>
      <c r="P136" t="str">
        <f>sales_data!E831</f>
        <v>Наталья</v>
      </c>
      <c r="Q136" t="str">
        <f>sales_data!F831</f>
        <v>Воронеж</v>
      </c>
      <c r="R136" t="str">
        <f>sales_data!G831</f>
        <v>Центральный</v>
      </c>
      <c r="S136" t="str">
        <f>sales_data!H831</f>
        <v>Аксессуары</v>
      </c>
      <c r="T136" t="str">
        <f>sales_data!I831</f>
        <v>Bagpack</v>
      </c>
      <c r="U136" t="str">
        <f>sales_data!J831</f>
        <v>Опт</v>
      </c>
      <c r="V136">
        <f>sales_data!K831</f>
        <v>35</v>
      </c>
      <c r="W136">
        <f>sales_data!L831</f>
        <v>2200</v>
      </c>
      <c r="X136">
        <f>sales_data!M831</f>
        <v>77000</v>
      </c>
      <c r="Y136" t="str">
        <f>sales_data!N831</f>
        <v>Офлайн-точка</v>
      </c>
      <c r="Z136" t="str">
        <f>sales_data!O831</f>
        <v>В пути</v>
      </c>
    </row>
    <row r="137" spans="12:26" x14ac:dyDescent="0.25">
      <c r="L137">
        <f>sales_data!A837</f>
        <v>3706</v>
      </c>
      <c r="M137">
        <f>sales_data!B837</f>
        <v>45971</v>
      </c>
      <c r="N137">
        <f>sales_data!C837</f>
        <v>10</v>
      </c>
      <c r="O137" t="str">
        <f>sales_data!D837</f>
        <v>Ноябрь</v>
      </c>
      <c r="P137" t="str">
        <f>sales_data!E837</f>
        <v>Наталья</v>
      </c>
      <c r="Q137" t="str">
        <f>sales_data!F837</f>
        <v>Омск</v>
      </c>
      <c r="R137" t="str">
        <f>sales_data!G837</f>
        <v>Сибирский</v>
      </c>
      <c r="S137" t="str">
        <f>sales_data!H837</f>
        <v>Периферия</v>
      </c>
      <c r="T137" t="str">
        <f>sales_data!I837</f>
        <v>Mouse Pro</v>
      </c>
      <c r="U137" t="str">
        <f>sales_data!J837</f>
        <v>Опт</v>
      </c>
      <c r="V137">
        <f>sales_data!K837</f>
        <v>36</v>
      </c>
      <c r="W137">
        <f>sales_data!L837</f>
        <v>2200</v>
      </c>
      <c r="X137">
        <f>sales_data!M837</f>
        <v>79200</v>
      </c>
      <c r="Y137" t="str">
        <f>sales_data!N837</f>
        <v>Офлайн-точка</v>
      </c>
      <c r="Z137" t="str">
        <f>sales_data!O837</f>
        <v>Доставлен</v>
      </c>
    </row>
    <row r="138" spans="12:26" x14ac:dyDescent="0.25">
      <c r="L138">
        <f>sales_data!A842</f>
        <v>4432</v>
      </c>
      <c r="M138">
        <f>sales_data!B842</f>
        <v>45766</v>
      </c>
      <c r="N138">
        <f>sales_data!C842</f>
        <v>19</v>
      </c>
      <c r="O138" t="str">
        <f>sales_data!D842</f>
        <v>Апрель</v>
      </c>
      <c r="P138" t="str">
        <f>sales_data!E842</f>
        <v>Борис</v>
      </c>
      <c r="Q138" t="str">
        <f>sales_data!F842</f>
        <v>Уфа</v>
      </c>
      <c r="R138" t="str">
        <f>sales_data!G842</f>
        <v>Приволжский</v>
      </c>
      <c r="S138" t="str">
        <f>sales_data!H842</f>
        <v>Периферия</v>
      </c>
      <c r="T138" t="str">
        <f>sales_data!I842</f>
        <v>Mouse Pro</v>
      </c>
      <c r="U138" t="str">
        <f>sales_data!J842</f>
        <v>Розница</v>
      </c>
      <c r="V138">
        <f>sales_data!K842</f>
        <v>3</v>
      </c>
      <c r="W138">
        <f>sales_data!L842</f>
        <v>2200</v>
      </c>
      <c r="X138">
        <f>sales_data!M842</f>
        <v>6600</v>
      </c>
      <c r="Y138" t="str">
        <f>sales_data!N842</f>
        <v>Интернет-магазин</v>
      </c>
      <c r="Z138" t="str">
        <f>sales_data!O842</f>
        <v>Отменён</v>
      </c>
    </row>
    <row r="139" spans="12:26" x14ac:dyDescent="0.25">
      <c r="L139">
        <f>sales_data!A852</f>
        <v>397</v>
      </c>
      <c r="M139">
        <f>sales_data!B852</f>
        <v>45848</v>
      </c>
      <c r="N139">
        <f>sales_data!C852</f>
        <v>10</v>
      </c>
      <c r="O139" t="str">
        <f>sales_data!D852</f>
        <v>Июль</v>
      </c>
      <c r="P139" t="str">
        <f>sales_data!E852</f>
        <v>Светлана</v>
      </c>
      <c r="Q139" t="str">
        <f>sales_data!F852</f>
        <v>Уфа</v>
      </c>
      <c r="R139" t="str">
        <f>sales_data!G852</f>
        <v>Приволжский</v>
      </c>
      <c r="S139" t="str">
        <f>sales_data!H852</f>
        <v>Периферия</v>
      </c>
      <c r="T139" t="str">
        <f>sales_data!I852</f>
        <v>Mouse Pro</v>
      </c>
      <c r="U139" t="str">
        <f>sales_data!J852</f>
        <v>Розница</v>
      </c>
      <c r="V139">
        <f>sales_data!K852</f>
        <v>6</v>
      </c>
      <c r="W139">
        <f>sales_data!L852</f>
        <v>2300</v>
      </c>
      <c r="X139">
        <f>sales_data!M852</f>
        <v>13800</v>
      </c>
      <c r="Y139" t="str">
        <f>sales_data!N852</f>
        <v>Офлайн-точка</v>
      </c>
      <c r="Z139" t="str">
        <f>sales_data!O852</f>
        <v>В пути</v>
      </c>
    </row>
    <row r="140" spans="12:26" x14ac:dyDescent="0.25">
      <c r="L140">
        <f>sales_data!A855</f>
        <v>710</v>
      </c>
      <c r="M140">
        <f>sales_data!B855</f>
        <v>45732</v>
      </c>
      <c r="N140">
        <f>sales_data!C855</f>
        <v>16</v>
      </c>
      <c r="O140" t="str">
        <f>sales_data!D855</f>
        <v>Март</v>
      </c>
      <c r="P140" t="str">
        <f>sales_data!E855</f>
        <v>Татьяна</v>
      </c>
      <c r="Q140" t="str">
        <f>sales_data!F855</f>
        <v>Воронеж</v>
      </c>
      <c r="R140" t="str">
        <f>sales_data!G855</f>
        <v>Центральный</v>
      </c>
      <c r="S140" t="str">
        <f>sales_data!H855</f>
        <v>Аксессуары</v>
      </c>
      <c r="T140" t="str">
        <f>sales_data!I855</f>
        <v>Bagpack</v>
      </c>
      <c r="U140" t="str">
        <f>sales_data!J855</f>
        <v>Опт</v>
      </c>
      <c r="V140">
        <f>sales_data!K855</f>
        <v>9</v>
      </c>
      <c r="W140">
        <f>sales_data!L855</f>
        <v>2300</v>
      </c>
      <c r="X140">
        <f>sales_data!M855</f>
        <v>20700</v>
      </c>
      <c r="Y140" t="str">
        <f>sales_data!N855</f>
        <v>Интернет-магазин</v>
      </c>
      <c r="Z140" t="str">
        <f>sales_data!O855</f>
        <v>Доставлен</v>
      </c>
    </row>
    <row r="141" spans="12:26" x14ac:dyDescent="0.25">
      <c r="L141">
        <f>sales_data!A860</f>
        <v>1195</v>
      </c>
      <c r="M141">
        <f>sales_data!B860</f>
        <v>45915</v>
      </c>
      <c r="N141">
        <f>sales_data!C860</f>
        <v>15</v>
      </c>
      <c r="O141" t="str">
        <f>sales_data!D860</f>
        <v>Сентябрь</v>
      </c>
      <c r="P141" t="str">
        <f>sales_data!E860</f>
        <v>Борис</v>
      </c>
      <c r="Q141" t="str">
        <f>sales_data!F860</f>
        <v>Челябинск</v>
      </c>
      <c r="R141" t="str">
        <f>sales_data!G860</f>
        <v>Уральский</v>
      </c>
      <c r="S141" t="str">
        <f>sales_data!H860</f>
        <v>Аксессуары</v>
      </c>
      <c r="T141" t="str">
        <f>sales_data!I860</f>
        <v>Bagpack</v>
      </c>
      <c r="U141" t="str">
        <f>sales_data!J860</f>
        <v>Розница</v>
      </c>
      <c r="V141">
        <f>sales_data!K860</f>
        <v>4</v>
      </c>
      <c r="W141">
        <f>sales_data!L860</f>
        <v>2300</v>
      </c>
      <c r="X141">
        <f>sales_data!M860</f>
        <v>9200</v>
      </c>
      <c r="Y141" t="str">
        <f>sales_data!N860</f>
        <v>Интернет-магазин</v>
      </c>
      <c r="Z141" t="str">
        <f>sales_data!O860</f>
        <v>Отменён</v>
      </c>
    </row>
    <row r="142" spans="12:26" x14ac:dyDescent="0.25">
      <c r="L142">
        <f>sales_data!A864</f>
        <v>1764</v>
      </c>
      <c r="M142">
        <f>sales_data!B864</f>
        <v>45872</v>
      </c>
      <c r="N142">
        <f>sales_data!C864</f>
        <v>3</v>
      </c>
      <c r="O142" t="str">
        <f>sales_data!D864</f>
        <v>Август</v>
      </c>
      <c r="P142" t="str">
        <f>sales_data!E864</f>
        <v>Светлана</v>
      </c>
      <c r="Q142" t="str">
        <f>sales_data!F864</f>
        <v>Казань</v>
      </c>
      <c r="R142" t="str">
        <f>sales_data!G864</f>
        <v>Приволжский</v>
      </c>
      <c r="S142" t="str">
        <f>sales_data!H864</f>
        <v>Аксессуары</v>
      </c>
      <c r="T142" t="str">
        <f>sales_data!I864</f>
        <v>Bagpack</v>
      </c>
      <c r="U142" t="str">
        <f>sales_data!J864</f>
        <v>Розница</v>
      </c>
      <c r="V142">
        <f>sales_data!K864</f>
        <v>6</v>
      </c>
      <c r="W142">
        <f>sales_data!L864</f>
        <v>2300</v>
      </c>
      <c r="X142">
        <f>sales_data!M864</f>
        <v>13800</v>
      </c>
      <c r="Y142" t="str">
        <f>sales_data!N864</f>
        <v>Интернет-магазин</v>
      </c>
      <c r="Z142" t="str">
        <f>sales_data!O864</f>
        <v>Доставлен</v>
      </c>
    </row>
    <row r="143" spans="12:26" x14ac:dyDescent="0.25">
      <c r="L143">
        <f>sales_data!A865</f>
        <v>1875</v>
      </c>
      <c r="M143">
        <f>sales_data!B865</f>
        <v>45893</v>
      </c>
      <c r="N143">
        <f>sales_data!C865</f>
        <v>24</v>
      </c>
      <c r="O143" t="str">
        <f>sales_data!D865</f>
        <v>Август</v>
      </c>
      <c r="P143" t="str">
        <f>sales_data!E865</f>
        <v>Ольга</v>
      </c>
      <c r="Q143" t="str">
        <f>sales_data!F865</f>
        <v>Уфа</v>
      </c>
      <c r="R143" t="str">
        <f>sales_data!G865</f>
        <v>Приволжский</v>
      </c>
      <c r="S143" t="str">
        <f>sales_data!H865</f>
        <v>Аксессуары</v>
      </c>
      <c r="T143" t="str">
        <f>sales_data!I865</f>
        <v>Bagpack</v>
      </c>
      <c r="U143" t="str">
        <f>sales_data!J865</f>
        <v>Опт</v>
      </c>
      <c r="V143">
        <f>sales_data!K865</f>
        <v>13</v>
      </c>
      <c r="W143">
        <f>sales_data!L865</f>
        <v>2300</v>
      </c>
      <c r="X143">
        <f>sales_data!M865</f>
        <v>29900</v>
      </c>
      <c r="Y143" t="str">
        <f>sales_data!N865</f>
        <v>Офлайн-точка</v>
      </c>
      <c r="Z143" t="str">
        <f>sales_data!O865</f>
        <v>Доставлен</v>
      </c>
    </row>
    <row r="144" spans="12:26" x14ac:dyDescent="0.25">
      <c r="L144">
        <f>sales_data!A866</f>
        <v>1915</v>
      </c>
      <c r="M144">
        <f>sales_data!B866</f>
        <v>45843</v>
      </c>
      <c r="N144">
        <f>sales_data!C866</f>
        <v>5</v>
      </c>
      <c r="O144" t="str">
        <f>sales_data!D866</f>
        <v>Июль</v>
      </c>
      <c r="P144" t="str">
        <f>sales_data!E866</f>
        <v>Алексей</v>
      </c>
      <c r="Q144" t="str">
        <f>sales_data!F866</f>
        <v>Ростов-на-Дону</v>
      </c>
      <c r="R144" t="str">
        <f>sales_data!G866</f>
        <v>Южный</v>
      </c>
      <c r="S144" t="str">
        <f>sales_data!H866</f>
        <v>Аксессуары</v>
      </c>
      <c r="T144" t="str">
        <f>sales_data!I866</f>
        <v>Power Bank</v>
      </c>
      <c r="U144" t="str">
        <f>sales_data!J866</f>
        <v>Опт</v>
      </c>
      <c r="V144">
        <f>sales_data!K866</f>
        <v>25</v>
      </c>
      <c r="W144">
        <f>sales_data!L866</f>
        <v>2300</v>
      </c>
      <c r="X144">
        <f>sales_data!M866</f>
        <v>57500</v>
      </c>
      <c r="Y144" t="str">
        <f>sales_data!N866</f>
        <v>Офлайн-точка</v>
      </c>
      <c r="Z144" t="str">
        <f>sales_data!O866</f>
        <v>В пути</v>
      </c>
    </row>
    <row r="145" spans="12:26" x14ac:dyDescent="0.25">
      <c r="L145">
        <f>sales_data!A876</f>
        <v>3452</v>
      </c>
      <c r="M145">
        <f>sales_data!B876</f>
        <v>45906</v>
      </c>
      <c r="N145">
        <f>sales_data!C876</f>
        <v>6</v>
      </c>
      <c r="O145" t="str">
        <f>sales_data!D876</f>
        <v>Сентябрь</v>
      </c>
      <c r="P145" t="str">
        <f>sales_data!E876</f>
        <v>Елена</v>
      </c>
      <c r="Q145" t="str">
        <f>sales_data!F876</f>
        <v>Казань</v>
      </c>
      <c r="R145" t="str">
        <f>sales_data!G876</f>
        <v>Приволжский</v>
      </c>
      <c r="S145" t="str">
        <f>sales_data!H876</f>
        <v>Аксессуары</v>
      </c>
      <c r="T145" t="str">
        <f>sales_data!I876</f>
        <v>Bagpack</v>
      </c>
      <c r="U145" t="str">
        <f>sales_data!J876</f>
        <v>Розница</v>
      </c>
      <c r="V145">
        <f>sales_data!K876</f>
        <v>1</v>
      </c>
      <c r="W145">
        <f>sales_data!L876</f>
        <v>2300</v>
      </c>
      <c r="X145">
        <f>sales_data!M876</f>
        <v>2300</v>
      </c>
      <c r="Y145" t="str">
        <f>sales_data!N876</f>
        <v>Офлайн-точка</v>
      </c>
      <c r="Z145" t="str">
        <f>sales_data!O876</f>
        <v>Доставлен</v>
      </c>
    </row>
    <row r="146" spans="12:26" x14ac:dyDescent="0.25">
      <c r="L146">
        <f>sales_data!A883</f>
        <v>4924</v>
      </c>
      <c r="M146">
        <f>sales_data!B883</f>
        <v>45659</v>
      </c>
      <c r="N146">
        <f>sales_data!C883</f>
        <v>2</v>
      </c>
      <c r="O146" t="str">
        <f>sales_data!D883</f>
        <v>Январь</v>
      </c>
      <c r="P146" t="str">
        <f>sales_data!E883</f>
        <v>Ксения</v>
      </c>
      <c r="Q146" t="str">
        <f>sales_data!F883</f>
        <v>Омск</v>
      </c>
      <c r="R146" t="str">
        <f>sales_data!G883</f>
        <v>Сибирский</v>
      </c>
      <c r="S146" t="str">
        <f>sales_data!H883</f>
        <v>Периферия</v>
      </c>
      <c r="T146" t="str">
        <f>sales_data!I883</f>
        <v>Mouse Pro</v>
      </c>
      <c r="U146" t="str">
        <f>sales_data!J883</f>
        <v>Опт</v>
      </c>
      <c r="V146">
        <f>sales_data!K883</f>
        <v>26</v>
      </c>
      <c r="W146">
        <f>sales_data!L883</f>
        <v>2300</v>
      </c>
      <c r="X146">
        <f>sales_data!M883</f>
        <v>59800</v>
      </c>
      <c r="Y146" t="str">
        <f>sales_data!N883</f>
        <v>Интернет-магазин</v>
      </c>
      <c r="Z146" t="str">
        <f>sales_data!O883</f>
        <v>Доставлен</v>
      </c>
    </row>
    <row r="147" spans="12:26" x14ac:dyDescent="0.25">
      <c r="L147">
        <f>sales_data!A897</f>
        <v>1238</v>
      </c>
      <c r="M147">
        <f>sales_data!B897</f>
        <v>45720</v>
      </c>
      <c r="N147">
        <f>sales_data!C897</f>
        <v>4</v>
      </c>
      <c r="O147" t="str">
        <f>sales_data!D897</f>
        <v>Март</v>
      </c>
      <c r="P147" t="str">
        <f>sales_data!E897</f>
        <v>Анна</v>
      </c>
      <c r="Q147" t="str">
        <f>sales_data!F897</f>
        <v>Казань</v>
      </c>
      <c r="R147" t="str">
        <f>sales_data!G897</f>
        <v>Приволжский</v>
      </c>
      <c r="S147" t="str">
        <f>sales_data!H897</f>
        <v>Аксессуары</v>
      </c>
      <c r="T147" t="str">
        <f>sales_data!I897</f>
        <v>Bagpack</v>
      </c>
      <c r="U147" t="str">
        <f>sales_data!J897</f>
        <v>Розница</v>
      </c>
      <c r="V147">
        <f>sales_data!K897</f>
        <v>2</v>
      </c>
      <c r="W147">
        <f>sales_data!L897</f>
        <v>2400</v>
      </c>
      <c r="X147">
        <f>sales_data!M897</f>
        <v>4800</v>
      </c>
      <c r="Y147" t="str">
        <f>sales_data!N897</f>
        <v>Офлайн-точка</v>
      </c>
      <c r="Z147" t="str">
        <f>sales_data!O897</f>
        <v>Доставлен</v>
      </c>
    </row>
    <row r="148" spans="12:26" x14ac:dyDescent="0.25">
      <c r="L148">
        <f>sales_data!A902</f>
        <v>1589</v>
      </c>
      <c r="M148">
        <f>sales_data!B902</f>
        <v>45713</v>
      </c>
      <c r="N148">
        <f>sales_data!C902</f>
        <v>25</v>
      </c>
      <c r="O148" t="str">
        <f>sales_data!D902</f>
        <v>Февраль</v>
      </c>
      <c r="P148" t="str">
        <f>sales_data!E902</f>
        <v>Павел</v>
      </c>
      <c r="Q148" t="str">
        <f>sales_data!F902</f>
        <v>Новосибирск</v>
      </c>
      <c r="R148" t="str">
        <f>sales_data!G902</f>
        <v>Сибирский</v>
      </c>
      <c r="S148" t="str">
        <f>sales_data!H902</f>
        <v>Аксессуары</v>
      </c>
      <c r="T148" t="str">
        <f>sales_data!I902</f>
        <v>Power Bank</v>
      </c>
      <c r="U148" t="str">
        <f>sales_data!J902</f>
        <v>Опт</v>
      </c>
      <c r="V148">
        <f>sales_data!K902</f>
        <v>19</v>
      </c>
      <c r="W148">
        <f>sales_data!L902</f>
        <v>2400</v>
      </c>
      <c r="X148">
        <f>sales_data!M902</f>
        <v>45600</v>
      </c>
      <c r="Y148" t="str">
        <f>sales_data!N902</f>
        <v>Офлайн-точка</v>
      </c>
      <c r="Z148" t="str">
        <f>sales_data!O902</f>
        <v>В пути</v>
      </c>
    </row>
    <row r="149" spans="12:26" x14ac:dyDescent="0.25">
      <c r="L149">
        <f>sales_data!A906</f>
        <v>2080</v>
      </c>
      <c r="M149">
        <f>sales_data!B906</f>
        <v>45960</v>
      </c>
      <c r="N149">
        <f>sales_data!C906</f>
        <v>30</v>
      </c>
      <c r="O149" t="str">
        <f>sales_data!D906</f>
        <v>Октябрь</v>
      </c>
      <c r="P149" t="str">
        <f>sales_data!E906</f>
        <v>Елена</v>
      </c>
      <c r="Q149" t="str">
        <f>sales_data!F906</f>
        <v>Красноярск</v>
      </c>
      <c r="R149" t="str">
        <f>sales_data!G906</f>
        <v>Сибирский</v>
      </c>
      <c r="S149" t="str">
        <f>sales_data!H906</f>
        <v>Периферия</v>
      </c>
      <c r="T149" t="str">
        <f>sales_data!I906</f>
        <v>Mouse Pro</v>
      </c>
      <c r="U149" t="str">
        <f>sales_data!J906</f>
        <v>Розница</v>
      </c>
      <c r="V149">
        <f>sales_data!K906</f>
        <v>9</v>
      </c>
      <c r="W149">
        <f>sales_data!L906</f>
        <v>2400</v>
      </c>
      <c r="X149">
        <f>sales_data!M906</f>
        <v>21600</v>
      </c>
      <c r="Y149" t="str">
        <f>sales_data!N906</f>
        <v>Интернет-магазин</v>
      </c>
      <c r="Z149" t="str">
        <f>sales_data!O906</f>
        <v>Доставлен</v>
      </c>
    </row>
    <row r="150" spans="12:26" x14ac:dyDescent="0.25">
      <c r="L150">
        <f>sales_data!A913</f>
        <v>2603</v>
      </c>
      <c r="M150">
        <f>sales_data!B913</f>
        <v>45999</v>
      </c>
      <c r="N150">
        <f>sales_data!C913</f>
        <v>8</v>
      </c>
      <c r="O150" t="str">
        <f>sales_data!D913</f>
        <v>Декабрь</v>
      </c>
      <c r="P150" t="str">
        <f>sales_data!E913</f>
        <v>Анна</v>
      </c>
      <c r="Q150" t="str">
        <f>sales_data!F913</f>
        <v>Краснодар</v>
      </c>
      <c r="R150" t="str">
        <f>sales_data!G913</f>
        <v>Южный</v>
      </c>
      <c r="S150" t="str">
        <f>sales_data!H913</f>
        <v>Аксессуары</v>
      </c>
      <c r="T150" t="str">
        <f>sales_data!I913</f>
        <v>Bagpack</v>
      </c>
      <c r="U150" t="str">
        <f>sales_data!J913</f>
        <v>Розница</v>
      </c>
      <c r="V150">
        <f>sales_data!K913</f>
        <v>4</v>
      </c>
      <c r="W150">
        <f>sales_data!L913</f>
        <v>2400</v>
      </c>
      <c r="X150">
        <f>sales_data!M913</f>
        <v>9600</v>
      </c>
      <c r="Y150" t="str">
        <f>sales_data!N913</f>
        <v>Офлайн-точка</v>
      </c>
      <c r="Z150" t="str">
        <f>sales_data!O913</f>
        <v>Доставлен</v>
      </c>
    </row>
    <row r="151" spans="12:26" x14ac:dyDescent="0.25">
      <c r="L151">
        <f>sales_data!A916</f>
        <v>2729</v>
      </c>
      <c r="M151">
        <f>sales_data!B916</f>
        <v>45700</v>
      </c>
      <c r="N151">
        <f>sales_data!C916</f>
        <v>12</v>
      </c>
      <c r="O151" t="str">
        <f>sales_data!D916</f>
        <v>Февраль</v>
      </c>
      <c r="P151" t="str">
        <f>sales_data!E916</f>
        <v>Светлана</v>
      </c>
      <c r="Q151" t="str">
        <f>sales_data!F916</f>
        <v>Красноярск</v>
      </c>
      <c r="R151" t="str">
        <f>sales_data!G916</f>
        <v>Сибирский</v>
      </c>
      <c r="S151" t="str">
        <f>sales_data!H916</f>
        <v>Аксессуары</v>
      </c>
      <c r="T151" t="str">
        <f>sales_data!I916</f>
        <v>Bagpack</v>
      </c>
      <c r="U151" t="str">
        <f>sales_data!J916</f>
        <v>Розница</v>
      </c>
      <c r="V151">
        <f>sales_data!K916</f>
        <v>6</v>
      </c>
      <c r="W151">
        <f>sales_data!L916</f>
        <v>2400</v>
      </c>
      <c r="X151">
        <f>sales_data!M916</f>
        <v>14400</v>
      </c>
      <c r="Y151" t="str">
        <f>sales_data!N916</f>
        <v>Интернет-магазин</v>
      </c>
      <c r="Z151" t="str">
        <f>sales_data!O916</f>
        <v>Доставлен</v>
      </c>
    </row>
    <row r="152" spans="12:26" x14ac:dyDescent="0.25">
      <c r="L152">
        <f>sales_data!A918</f>
        <v>2861</v>
      </c>
      <c r="M152">
        <f>sales_data!B918</f>
        <v>45901</v>
      </c>
      <c r="N152">
        <f>sales_data!C918</f>
        <v>1</v>
      </c>
      <c r="O152" t="str">
        <f>sales_data!D918</f>
        <v>Сентябрь</v>
      </c>
      <c r="P152" t="str">
        <f>sales_data!E918</f>
        <v>Павел</v>
      </c>
      <c r="Q152" t="str">
        <f>sales_data!F918</f>
        <v>Москва</v>
      </c>
      <c r="R152" t="str">
        <f>sales_data!G918</f>
        <v>Центральный</v>
      </c>
      <c r="S152" t="str">
        <f>sales_data!H918</f>
        <v>Периферия</v>
      </c>
      <c r="T152" t="str">
        <f>sales_data!I918</f>
        <v>Mouse Pro</v>
      </c>
      <c r="U152" t="str">
        <f>sales_data!J918</f>
        <v>Розница</v>
      </c>
      <c r="V152">
        <f>sales_data!K918</f>
        <v>1</v>
      </c>
      <c r="W152">
        <f>sales_data!L918</f>
        <v>2400</v>
      </c>
      <c r="X152">
        <f>sales_data!M918</f>
        <v>2400</v>
      </c>
      <c r="Y152" t="str">
        <f>sales_data!N918</f>
        <v>Интернет-магазин</v>
      </c>
      <c r="Z152" t="str">
        <f>sales_data!O918</f>
        <v>Отменён</v>
      </c>
    </row>
    <row r="153" spans="12:26" x14ac:dyDescent="0.25">
      <c r="L153">
        <f>sales_data!A922</f>
        <v>3039</v>
      </c>
      <c r="M153">
        <f>sales_data!B922</f>
        <v>45934</v>
      </c>
      <c r="N153">
        <f>sales_data!C922</f>
        <v>4</v>
      </c>
      <c r="O153" t="str">
        <f>sales_data!D922</f>
        <v>Октябрь</v>
      </c>
      <c r="P153" t="str">
        <f>sales_data!E922</f>
        <v>Наталья</v>
      </c>
      <c r="Q153" t="str">
        <f>sales_data!F922</f>
        <v>Санкт-Петербург</v>
      </c>
      <c r="R153" t="str">
        <f>sales_data!G922</f>
        <v>Северо-Западный</v>
      </c>
      <c r="S153" t="str">
        <f>sales_data!H922</f>
        <v>Аксессуары</v>
      </c>
      <c r="T153" t="str">
        <f>sales_data!I922</f>
        <v>Bagpack</v>
      </c>
      <c r="U153" t="str">
        <f>sales_data!J922</f>
        <v>Розница</v>
      </c>
      <c r="V153">
        <f>sales_data!K922</f>
        <v>5</v>
      </c>
      <c r="W153">
        <f>sales_data!L922</f>
        <v>2400</v>
      </c>
      <c r="X153">
        <f>sales_data!M922</f>
        <v>12000</v>
      </c>
      <c r="Y153" t="str">
        <f>sales_data!N922</f>
        <v>Офлайн-точка</v>
      </c>
      <c r="Z153" t="str">
        <f>sales_data!O922</f>
        <v>В пути</v>
      </c>
    </row>
    <row r="154" spans="12:26" x14ac:dyDescent="0.25">
      <c r="L154">
        <f>sales_data!A928</f>
        <v>3641</v>
      </c>
      <c r="M154">
        <f>sales_data!B928</f>
        <v>45746</v>
      </c>
      <c r="N154">
        <f>sales_data!C928</f>
        <v>30</v>
      </c>
      <c r="O154" t="str">
        <f>sales_data!D928</f>
        <v>Март</v>
      </c>
      <c r="P154" t="str">
        <f>sales_data!E928</f>
        <v>Борис</v>
      </c>
      <c r="Q154" t="str">
        <f>sales_data!F928</f>
        <v>Москва</v>
      </c>
      <c r="R154" t="str">
        <f>sales_data!G928</f>
        <v>Центральный</v>
      </c>
      <c r="S154" t="str">
        <f>sales_data!H928</f>
        <v>Периферия</v>
      </c>
      <c r="T154" t="str">
        <f>sales_data!I928</f>
        <v>Mouse Pro</v>
      </c>
      <c r="U154" t="str">
        <f>sales_data!J928</f>
        <v>Розница</v>
      </c>
      <c r="V154">
        <f>sales_data!K928</f>
        <v>4</v>
      </c>
      <c r="W154">
        <f>sales_data!L928</f>
        <v>2400</v>
      </c>
      <c r="X154">
        <f>sales_data!M928</f>
        <v>9600</v>
      </c>
      <c r="Y154" t="str">
        <f>sales_data!N928</f>
        <v>Офлайн-точка</v>
      </c>
      <c r="Z154" t="str">
        <f>sales_data!O928</f>
        <v>В пути</v>
      </c>
    </row>
    <row r="155" spans="12:26" x14ac:dyDescent="0.25">
      <c r="L155">
        <f>sales_data!A933</f>
        <v>3799</v>
      </c>
      <c r="M155">
        <f>sales_data!B933</f>
        <v>45659</v>
      </c>
      <c r="N155">
        <f>sales_data!C933</f>
        <v>2</v>
      </c>
      <c r="O155" t="str">
        <f>sales_data!D933</f>
        <v>Январь</v>
      </c>
      <c r="P155" t="str">
        <f>sales_data!E933</f>
        <v>Анна</v>
      </c>
      <c r="Q155" t="str">
        <f>sales_data!F933</f>
        <v>Краснодар</v>
      </c>
      <c r="R155" t="str">
        <f>sales_data!G933</f>
        <v>Южный</v>
      </c>
      <c r="S155" t="str">
        <f>sales_data!H933</f>
        <v>Аксессуары</v>
      </c>
      <c r="T155" t="str">
        <f>sales_data!I933</f>
        <v>Bagpack</v>
      </c>
      <c r="U155" t="str">
        <f>sales_data!J933</f>
        <v>Розница</v>
      </c>
      <c r="V155">
        <f>sales_data!K933</f>
        <v>6</v>
      </c>
      <c r="W155">
        <f>sales_data!L933</f>
        <v>2400</v>
      </c>
      <c r="X155">
        <f>sales_data!M933</f>
        <v>14400</v>
      </c>
      <c r="Y155" t="str">
        <f>sales_data!N933</f>
        <v>Офлайн-точка</v>
      </c>
      <c r="Z155" t="str">
        <f>sales_data!O933</f>
        <v>Доставлен</v>
      </c>
    </row>
    <row r="156" spans="12:26" x14ac:dyDescent="0.25">
      <c r="L156">
        <f>sales_data!A934</f>
        <v>3827</v>
      </c>
      <c r="M156">
        <f>sales_data!B934</f>
        <v>45933</v>
      </c>
      <c r="N156">
        <f>sales_data!C934</f>
        <v>3</v>
      </c>
      <c r="O156" t="str">
        <f>sales_data!D934</f>
        <v>Октябрь</v>
      </c>
      <c r="P156" t="str">
        <f>sales_data!E934</f>
        <v>Алексей</v>
      </c>
      <c r="Q156" t="str">
        <f>sales_data!F934</f>
        <v>Челябинск</v>
      </c>
      <c r="R156" t="str">
        <f>sales_data!G934</f>
        <v>Уральский</v>
      </c>
      <c r="S156" t="str">
        <f>sales_data!H934</f>
        <v>Периферия</v>
      </c>
      <c r="T156" t="str">
        <f>sales_data!I934</f>
        <v>Mouse Pro</v>
      </c>
      <c r="U156" t="str">
        <f>sales_data!J934</f>
        <v>Розница</v>
      </c>
      <c r="V156">
        <f>sales_data!K934</f>
        <v>5</v>
      </c>
      <c r="W156">
        <f>sales_data!L934</f>
        <v>2400</v>
      </c>
      <c r="X156">
        <f>sales_data!M934</f>
        <v>12000</v>
      </c>
      <c r="Y156" t="str">
        <f>sales_data!N934</f>
        <v>Офлайн-точка</v>
      </c>
      <c r="Z156" t="str">
        <f>sales_data!O934</f>
        <v>Отменён</v>
      </c>
    </row>
    <row r="157" spans="12:26" x14ac:dyDescent="0.25">
      <c r="L157">
        <f>sales_data!A938</f>
        <v>4204</v>
      </c>
      <c r="M157">
        <f>sales_data!B938</f>
        <v>45756</v>
      </c>
      <c r="N157">
        <f>sales_data!C938</f>
        <v>9</v>
      </c>
      <c r="O157" t="str">
        <f>sales_data!D938</f>
        <v>Апрель</v>
      </c>
      <c r="P157" t="str">
        <f>sales_data!E938</f>
        <v>Сергей</v>
      </c>
      <c r="Q157" t="str">
        <f>sales_data!F938</f>
        <v>Уфа</v>
      </c>
      <c r="R157" t="str">
        <f>sales_data!G938</f>
        <v>Приволжский</v>
      </c>
      <c r="S157" t="str">
        <f>sales_data!H938</f>
        <v>Аксессуары</v>
      </c>
      <c r="T157" t="str">
        <f>sales_data!I938</f>
        <v>Power Bank</v>
      </c>
      <c r="U157" t="str">
        <f>sales_data!J938</f>
        <v>Опт</v>
      </c>
      <c r="V157">
        <f>sales_data!K938</f>
        <v>48</v>
      </c>
      <c r="W157">
        <f>sales_data!L938</f>
        <v>2400</v>
      </c>
      <c r="X157">
        <f>sales_data!M938</f>
        <v>115200</v>
      </c>
      <c r="Y157" t="str">
        <f>sales_data!N938</f>
        <v>Офлайн-точка</v>
      </c>
      <c r="Z157" t="str">
        <f>sales_data!O938</f>
        <v>Доставлен</v>
      </c>
    </row>
    <row r="158" spans="12:26" x14ac:dyDescent="0.25">
      <c r="L158">
        <f>sales_data!A951</f>
        <v>129</v>
      </c>
      <c r="M158">
        <f>sales_data!B951</f>
        <v>45783</v>
      </c>
      <c r="N158">
        <f>sales_data!C951</f>
        <v>6</v>
      </c>
      <c r="O158" t="str">
        <f>sales_data!D951</f>
        <v>Май</v>
      </c>
      <c r="P158" t="str">
        <f>sales_data!E951</f>
        <v>Мария</v>
      </c>
      <c r="Q158" t="str">
        <f>sales_data!F951</f>
        <v>Нижний Новгород</v>
      </c>
      <c r="R158" t="str">
        <f>sales_data!G951</f>
        <v>Приволжский</v>
      </c>
      <c r="S158" t="str">
        <f>sales_data!H951</f>
        <v>Аксессуары</v>
      </c>
      <c r="T158" t="str">
        <f>sales_data!I951</f>
        <v>Bagpack</v>
      </c>
      <c r="U158" t="str">
        <f>sales_data!J951</f>
        <v>Розница</v>
      </c>
      <c r="V158">
        <f>sales_data!K951</f>
        <v>3</v>
      </c>
      <c r="W158">
        <f>sales_data!L951</f>
        <v>2500</v>
      </c>
      <c r="X158">
        <f>sales_data!M951</f>
        <v>7500</v>
      </c>
      <c r="Y158" t="str">
        <f>sales_data!N951</f>
        <v>Интернет-магазин</v>
      </c>
      <c r="Z158" t="str">
        <f>sales_data!O951</f>
        <v>Отменён</v>
      </c>
    </row>
    <row r="159" spans="12:26" x14ac:dyDescent="0.25">
      <c r="L159">
        <f>sales_data!A953</f>
        <v>355</v>
      </c>
      <c r="M159">
        <f>sales_data!B953</f>
        <v>45856</v>
      </c>
      <c r="N159">
        <f>sales_data!C953</f>
        <v>18</v>
      </c>
      <c r="O159" t="str">
        <f>sales_data!D953</f>
        <v>Июль</v>
      </c>
      <c r="P159" t="str">
        <f>sales_data!E953</f>
        <v>Сергей</v>
      </c>
      <c r="Q159" t="str">
        <f>sales_data!F953</f>
        <v>Нижний Новгород</v>
      </c>
      <c r="R159" t="str">
        <f>sales_data!G953</f>
        <v>Приволжский</v>
      </c>
      <c r="S159" t="str">
        <f>sales_data!H953</f>
        <v>Аксессуары</v>
      </c>
      <c r="T159" t="str">
        <f>sales_data!I953</f>
        <v>Power Bank</v>
      </c>
      <c r="U159" t="str">
        <f>sales_data!J953</f>
        <v>Опт</v>
      </c>
      <c r="V159">
        <f>sales_data!K953</f>
        <v>27</v>
      </c>
      <c r="W159">
        <f>sales_data!L953</f>
        <v>2500</v>
      </c>
      <c r="X159">
        <f>sales_data!M953</f>
        <v>67500</v>
      </c>
      <c r="Y159" t="str">
        <f>sales_data!N953</f>
        <v>Офлайн-точка</v>
      </c>
      <c r="Z159" t="str">
        <f>sales_data!O953</f>
        <v>Отменён</v>
      </c>
    </row>
    <row r="160" spans="12:26" x14ac:dyDescent="0.25">
      <c r="L160">
        <f>sales_data!A963</f>
        <v>955</v>
      </c>
      <c r="M160">
        <f>sales_data!B963</f>
        <v>45901</v>
      </c>
      <c r="N160">
        <f>sales_data!C963</f>
        <v>1</v>
      </c>
      <c r="O160" t="str">
        <f>sales_data!D963</f>
        <v>Сентябрь</v>
      </c>
      <c r="P160" t="str">
        <f>sales_data!E963</f>
        <v>Алексей</v>
      </c>
      <c r="Q160" t="str">
        <f>sales_data!F963</f>
        <v>Краснодар</v>
      </c>
      <c r="R160" t="str">
        <f>sales_data!G963</f>
        <v>Южный</v>
      </c>
      <c r="S160" t="str">
        <f>sales_data!H963</f>
        <v>Периферия</v>
      </c>
      <c r="T160" t="str">
        <f>sales_data!I963</f>
        <v>Mouse Pro</v>
      </c>
      <c r="U160" t="str">
        <f>sales_data!J963</f>
        <v>Розница</v>
      </c>
      <c r="V160">
        <f>sales_data!K963</f>
        <v>1</v>
      </c>
      <c r="W160">
        <f>sales_data!L963</f>
        <v>2500</v>
      </c>
      <c r="X160">
        <f>sales_data!M963</f>
        <v>2500</v>
      </c>
      <c r="Y160" t="str">
        <f>sales_data!N963</f>
        <v>Интернет-магазин</v>
      </c>
      <c r="Z160" t="str">
        <f>sales_data!O963</f>
        <v>В пути</v>
      </c>
    </row>
    <row r="161" spans="12:26" x14ac:dyDescent="0.25">
      <c r="L161">
        <f>sales_data!A970</f>
        <v>1296</v>
      </c>
      <c r="M161">
        <f>sales_data!B970</f>
        <v>45752</v>
      </c>
      <c r="N161">
        <f>sales_data!C970</f>
        <v>5</v>
      </c>
      <c r="O161" t="str">
        <f>sales_data!D970</f>
        <v>Апрель</v>
      </c>
      <c r="P161" t="str">
        <f>sales_data!E970</f>
        <v>Анна</v>
      </c>
      <c r="Q161" t="str">
        <f>sales_data!F970</f>
        <v>Казань</v>
      </c>
      <c r="R161" t="str">
        <f>sales_data!G970</f>
        <v>Приволжский</v>
      </c>
      <c r="S161" t="str">
        <f>sales_data!H970</f>
        <v>Аксессуары</v>
      </c>
      <c r="T161" t="str">
        <f>sales_data!I970</f>
        <v>Bagpack</v>
      </c>
      <c r="U161" t="str">
        <f>sales_data!J970</f>
        <v>Розница</v>
      </c>
      <c r="V161">
        <f>sales_data!K970</f>
        <v>9</v>
      </c>
      <c r="W161">
        <f>sales_data!L970</f>
        <v>2500</v>
      </c>
      <c r="X161">
        <f>sales_data!M970</f>
        <v>22500</v>
      </c>
      <c r="Y161" t="str">
        <f>sales_data!N970</f>
        <v>Офлайн-точка</v>
      </c>
      <c r="Z161" t="str">
        <f>sales_data!O970</f>
        <v>Отменён</v>
      </c>
    </row>
    <row r="162" spans="12:26" x14ac:dyDescent="0.25">
      <c r="L162">
        <f>sales_data!A976</f>
        <v>1485</v>
      </c>
      <c r="M162">
        <f>sales_data!B976</f>
        <v>45690</v>
      </c>
      <c r="N162">
        <f>sales_data!C976</f>
        <v>2</v>
      </c>
      <c r="O162" t="str">
        <f>sales_data!D976</f>
        <v>Февраль</v>
      </c>
      <c r="P162" t="str">
        <f>sales_data!E976</f>
        <v>Анна</v>
      </c>
      <c r="Q162" t="str">
        <f>sales_data!F976</f>
        <v>Омск</v>
      </c>
      <c r="R162" t="str">
        <f>sales_data!G976</f>
        <v>Сибирский</v>
      </c>
      <c r="S162" t="str">
        <f>sales_data!H976</f>
        <v>Периферия</v>
      </c>
      <c r="T162" t="str">
        <f>sales_data!I976</f>
        <v>Mouse Pro</v>
      </c>
      <c r="U162" t="str">
        <f>sales_data!J976</f>
        <v>Розница</v>
      </c>
      <c r="V162">
        <f>sales_data!K976</f>
        <v>2</v>
      </c>
      <c r="W162">
        <f>sales_data!L976</f>
        <v>2500</v>
      </c>
      <c r="X162">
        <f>sales_data!M976</f>
        <v>5000</v>
      </c>
      <c r="Y162" t="str">
        <f>sales_data!N976</f>
        <v>Офлайн-точка</v>
      </c>
      <c r="Z162" t="str">
        <f>sales_data!O976</f>
        <v>В пути</v>
      </c>
    </row>
    <row r="163" spans="12:26" x14ac:dyDescent="0.25">
      <c r="L163">
        <f>sales_data!A986</f>
        <v>2851</v>
      </c>
      <c r="M163">
        <f>sales_data!B986</f>
        <v>45726</v>
      </c>
      <c r="N163">
        <f>sales_data!C986</f>
        <v>10</v>
      </c>
      <c r="O163" t="str">
        <f>sales_data!D986</f>
        <v>Март</v>
      </c>
      <c r="P163" t="str">
        <f>sales_data!E986</f>
        <v>Ксения</v>
      </c>
      <c r="Q163" t="str">
        <f>sales_data!F986</f>
        <v>Пермь</v>
      </c>
      <c r="R163" t="str">
        <f>sales_data!G986</f>
        <v>Приволжский</v>
      </c>
      <c r="S163" t="str">
        <f>sales_data!H986</f>
        <v>Аксессуары</v>
      </c>
      <c r="T163" t="str">
        <f>sales_data!I986</f>
        <v>Power Bank</v>
      </c>
      <c r="U163" t="str">
        <f>sales_data!J986</f>
        <v>Опт</v>
      </c>
      <c r="V163">
        <f>sales_data!K986</f>
        <v>45</v>
      </c>
      <c r="W163">
        <f>sales_data!L986</f>
        <v>2500</v>
      </c>
      <c r="X163">
        <f>sales_data!M986</f>
        <v>112500</v>
      </c>
      <c r="Y163" t="str">
        <f>sales_data!N986</f>
        <v>Офлайн-точка</v>
      </c>
      <c r="Z163" t="str">
        <f>sales_data!O986</f>
        <v>Отменён</v>
      </c>
    </row>
    <row r="164" spans="12:26" x14ac:dyDescent="0.25">
      <c r="L164">
        <f>sales_data!A988</f>
        <v>2860</v>
      </c>
      <c r="M164">
        <f>sales_data!B988</f>
        <v>45991</v>
      </c>
      <c r="N164">
        <f>sales_data!C988</f>
        <v>30</v>
      </c>
      <c r="O164" t="str">
        <f>sales_data!D988</f>
        <v>Ноябрь</v>
      </c>
      <c r="P164" t="str">
        <f>sales_data!E988</f>
        <v>Алексей</v>
      </c>
      <c r="Q164" t="str">
        <f>sales_data!F988</f>
        <v>Краснодар</v>
      </c>
      <c r="R164" t="str">
        <f>sales_data!G988</f>
        <v>Южный</v>
      </c>
      <c r="S164" t="str">
        <f>sales_data!H988</f>
        <v>Аксессуары</v>
      </c>
      <c r="T164" t="str">
        <f>sales_data!I988</f>
        <v>Bagpack</v>
      </c>
      <c r="U164" t="str">
        <f>sales_data!J988</f>
        <v>Розница</v>
      </c>
      <c r="V164">
        <f>sales_data!K988</f>
        <v>4</v>
      </c>
      <c r="W164">
        <f>sales_data!L988</f>
        <v>2500</v>
      </c>
      <c r="X164">
        <f>sales_data!M988</f>
        <v>10000</v>
      </c>
      <c r="Y164" t="str">
        <f>sales_data!N988</f>
        <v>Офлайн-точка</v>
      </c>
      <c r="Z164" t="str">
        <f>sales_data!O988</f>
        <v>В пути</v>
      </c>
    </row>
    <row r="165" spans="12:26" x14ac:dyDescent="0.25">
      <c r="L165">
        <f>sales_data!A991</f>
        <v>3132</v>
      </c>
      <c r="M165">
        <f>sales_data!B991</f>
        <v>45851</v>
      </c>
      <c r="N165">
        <f>sales_data!C991</f>
        <v>13</v>
      </c>
      <c r="O165" t="str">
        <f>sales_data!D991</f>
        <v>Июль</v>
      </c>
      <c r="P165" t="str">
        <f>sales_data!E991</f>
        <v>Сергей</v>
      </c>
      <c r="Q165" t="str">
        <f>sales_data!F991</f>
        <v>Омск</v>
      </c>
      <c r="R165" t="str">
        <f>sales_data!G991</f>
        <v>Сибирский</v>
      </c>
      <c r="S165" t="str">
        <f>sales_data!H991</f>
        <v>Аксессуары</v>
      </c>
      <c r="T165" t="str">
        <f>sales_data!I991</f>
        <v>Bagpack</v>
      </c>
      <c r="U165" t="str">
        <f>sales_data!J991</f>
        <v>Розница</v>
      </c>
      <c r="V165">
        <f>sales_data!K991</f>
        <v>4</v>
      </c>
      <c r="W165">
        <f>sales_data!L991</f>
        <v>2500</v>
      </c>
      <c r="X165">
        <f>sales_data!M991</f>
        <v>10000</v>
      </c>
      <c r="Y165" t="str">
        <f>sales_data!N991</f>
        <v>Офлайн-точка</v>
      </c>
      <c r="Z165" t="str">
        <f>sales_data!O991</f>
        <v>Отменён</v>
      </c>
    </row>
    <row r="166" spans="12:26" x14ac:dyDescent="0.25">
      <c r="L166">
        <f>sales_data!A1008</f>
        <v>4238</v>
      </c>
      <c r="M166">
        <f>sales_data!B1008</f>
        <v>45912</v>
      </c>
      <c r="N166">
        <f>sales_data!C1008</f>
        <v>12</v>
      </c>
      <c r="O166" t="str">
        <f>sales_data!D1008</f>
        <v>Сентябрь</v>
      </c>
      <c r="P166" t="str">
        <f>sales_data!E1008</f>
        <v>Мария</v>
      </c>
      <c r="Q166" t="str">
        <f>sales_data!F1008</f>
        <v>Уфа</v>
      </c>
      <c r="R166" t="str">
        <f>sales_data!G1008</f>
        <v>Приволжский</v>
      </c>
      <c r="S166" t="str">
        <f>sales_data!H1008</f>
        <v>Периферия</v>
      </c>
      <c r="T166" t="str">
        <f>sales_data!I1008</f>
        <v>Mouse Pro</v>
      </c>
      <c r="U166" t="str">
        <f>sales_data!J1008</f>
        <v>Розница</v>
      </c>
      <c r="V166">
        <f>sales_data!K1008</f>
        <v>1</v>
      </c>
      <c r="W166">
        <f>sales_data!L1008</f>
        <v>2500</v>
      </c>
      <c r="X166">
        <f>sales_data!M1008</f>
        <v>2500</v>
      </c>
      <c r="Y166" t="str">
        <f>sales_data!N1008</f>
        <v>Офлайн-точка</v>
      </c>
      <c r="Z166" t="str">
        <f>sales_data!O1008</f>
        <v>Доставлен</v>
      </c>
    </row>
    <row r="167" spans="12:26" x14ac:dyDescent="0.25">
      <c r="L167">
        <f>sales_data!A1041</f>
        <v>908</v>
      </c>
      <c r="M167">
        <f>sales_data!B1041</f>
        <v>45954</v>
      </c>
      <c r="N167">
        <f>sales_data!C1041</f>
        <v>24</v>
      </c>
      <c r="O167" t="str">
        <f>sales_data!D1041</f>
        <v>Октябрь</v>
      </c>
      <c r="P167" t="str">
        <f>sales_data!E1041</f>
        <v>Наталья</v>
      </c>
      <c r="Q167" t="str">
        <f>sales_data!F1041</f>
        <v>Москва</v>
      </c>
      <c r="R167" t="str">
        <f>sales_data!G1041</f>
        <v>Центральный</v>
      </c>
      <c r="S167" t="str">
        <f>sales_data!H1041</f>
        <v>Аксессуары</v>
      </c>
      <c r="T167" t="str">
        <f>sales_data!I1041</f>
        <v>Bagpack</v>
      </c>
      <c r="U167" t="str">
        <f>sales_data!J1041</f>
        <v>Розница</v>
      </c>
      <c r="V167">
        <f>sales_data!K1041</f>
        <v>5</v>
      </c>
      <c r="W167">
        <f>sales_data!L1041</f>
        <v>2600</v>
      </c>
      <c r="X167">
        <f>sales_data!M1041</f>
        <v>13000</v>
      </c>
      <c r="Y167" t="str">
        <f>sales_data!N1041</f>
        <v>Интернет-магазин</v>
      </c>
      <c r="Z167" t="str">
        <f>sales_data!O1041</f>
        <v>Отменён</v>
      </c>
    </row>
    <row r="168" spans="12:26" x14ac:dyDescent="0.25">
      <c r="L168">
        <f>sales_data!A1045</f>
        <v>1137</v>
      </c>
      <c r="M168">
        <f>sales_data!B1045</f>
        <v>45949</v>
      </c>
      <c r="N168">
        <f>sales_data!C1045</f>
        <v>19</v>
      </c>
      <c r="O168" t="str">
        <f>sales_data!D1045</f>
        <v>Октябрь</v>
      </c>
      <c r="P168" t="str">
        <f>sales_data!E1045</f>
        <v>Павел</v>
      </c>
      <c r="Q168" t="str">
        <f>sales_data!F1045</f>
        <v>Ростов-на-Дону</v>
      </c>
      <c r="R168" t="str">
        <f>sales_data!G1045</f>
        <v>Южный</v>
      </c>
      <c r="S168" t="str">
        <f>sales_data!H1045</f>
        <v>Периферия</v>
      </c>
      <c r="T168" t="str">
        <f>sales_data!I1045</f>
        <v>Mouse Pro</v>
      </c>
      <c r="U168" t="str">
        <f>sales_data!J1045</f>
        <v>Розница</v>
      </c>
      <c r="V168">
        <f>sales_data!K1045</f>
        <v>2</v>
      </c>
      <c r="W168">
        <f>sales_data!L1045</f>
        <v>2600</v>
      </c>
      <c r="X168">
        <f>sales_data!M1045</f>
        <v>5200</v>
      </c>
      <c r="Y168" t="str">
        <f>sales_data!N1045</f>
        <v>Интернет-магазин</v>
      </c>
      <c r="Z168" t="str">
        <f>sales_data!O1045</f>
        <v>Доставлен</v>
      </c>
    </row>
    <row r="169" spans="12:26" x14ac:dyDescent="0.25">
      <c r="L169">
        <f>sales_data!A1049</f>
        <v>1440</v>
      </c>
      <c r="M169">
        <f>sales_data!B1049</f>
        <v>45999</v>
      </c>
      <c r="N169">
        <f>sales_data!C1049</f>
        <v>8</v>
      </c>
      <c r="O169" t="str">
        <f>sales_data!D1049</f>
        <v>Декабрь</v>
      </c>
      <c r="P169" t="str">
        <f>sales_data!E1049</f>
        <v>Павел</v>
      </c>
      <c r="Q169" t="str">
        <f>sales_data!F1049</f>
        <v>Нижний Новгород</v>
      </c>
      <c r="R169" t="str">
        <f>sales_data!G1049</f>
        <v>Приволжский</v>
      </c>
      <c r="S169" t="str">
        <f>sales_data!H1049</f>
        <v>Периферия</v>
      </c>
      <c r="T169" t="str">
        <f>sales_data!I1049</f>
        <v>Mouse Pro</v>
      </c>
      <c r="U169" t="str">
        <f>sales_data!J1049</f>
        <v>Розница</v>
      </c>
      <c r="V169">
        <f>sales_data!K1049</f>
        <v>5</v>
      </c>
      <c r="W169">
        <f>sales_data!L1049</f>
        <v>2600</v>
      </c>
      <c r="X169">
        <f>sales_data!M1049</f>
        <v>13000</v>
      </c>
      <c r="Y169" t="str">
        <f>sales_data!N1049</f>
        <v>Интернет-магазин</v>
      </c>
      <c r="Z169" t="str">
        <f>sales_data!O1049</f>
        <v>Доставлен</v>
      </c>
    </row>
    <row r="170" spans="12:26" x14ac:dyDescent="0.25">
      <c r="L170">
        <f>sales_data!A1053</f>
        <v>1743</v>
      </c>
      <c r="M170">
        <f>sales_data!B1053</f>
        <v>45907</v>
      </c>
      <c r="N170">
        <f>sales_data!C1053</f>
        <v>7</v>
      </c>
      <c r="O170" t="str">
        <f>sales_data!D1053</f>
        <v>Сентябрь</v>
      </c>
      <c r="P170" t="str">
        <f>sales_data!E1053</f>
        <v>Наталья</v>
      </c>
      <c r="Q170" t="str">
        <f>sales_data!F1053</f>
        <v>Москва</v>
      </c>
      <c r="R170" t="str">
        <f>sales_data!G1053</f>
        <v>Центральный</v>
      </c>
      <c r="S170" t="str">
        <f>sales_data!H1053</f>
        <v>Аксессуары</v>
      </c>
      <c r="T170" t="str">
        <f>sales_data!I1053</f>
        <v>Power Bank</v>
      </c>
      <c r="U170" t="str">
        <f>sales_data!J1053</f>
        <v>Опт</v>
      </c>
      <c r="V170">
        <f>sales_data!K1053</f>
        <v>6</v>
      </c>
      <c r="W170">
        <f>sales_data!L1053</f>
        <v>2600</v>
      </c>
      <c r="X170">
        <f>sales_data!M1053</f>
        <v>15600</v>
      </c>
      <c r="Y170" t="str">
        <f>sales_data!N1053</f>
        <v>Офлайн-точка</v>
      </c>
      <c r="Z170" t="str">
        <f>sales_data!O1053</f>
        <v>Доставлен</v>
      </c>
    </row>
    <row r="171" spans="12:26" x14ac:dyDescent="0.25">
      <c r="L171">
        <f>sales_data!A1059</f>
        <v>1994</v>
      </c>
      <c r="M171">
        <f>sales_data!B1059</f>
        <v>45663</v>
      </c>
      <c r="N171">
        <f>sales_data!C1059</f>
        <v>6</v>
      </c>
      <c r="O171" t="str">
        <f>sales_data!D1059</f>
        <v>Январь</v>
      </c>
      <c r="P171" t="str">
        <f>sales_data!E1059</f>
        <v>Татьяна</v>
      </c>
      <c r="Q171" t="str">
        <f>sales_data!F1059</f>
        <v>Казань</v>
      </c>
      <c r="R171" t="str">
        <f>sales_data!G1059</f>
        <v>Приволжский</v>
      </c>
      <c r="S171" t="str">
        <f>sales_data!H1059</f>
        <v>Аксессуары</v>
      </c>
      <c r="T171" t="str">
        <f>sales_data!I1059</f>
        <v>Power Bank</v>
      </c>
      <c r="U171" t="str">
        <f>sales_data!J1059</f>
        <v>Опт</v>
      </c>
      <c r="V171">
        <f>sales_data!K1059</f>
        <v>9</v>
      </c>
      <c r="W171">
        <f>sales_data!L1059</f>
        <v>2600</v>
      </c>
      <c r="X171">
        <f>sales_data!M1059</f>
        <v>23400</v>
      </c>
      <c r="Y171" t="str">
        <f>sales_data!N1059</f>
        <v>Интернет-магазин</v>
      </c>
      <c r="Z171" t="str">
        <f>sales_data!O1059</f>
        <v>В пути</v>
      </c>
    </row>
    <row r="172" spans="12:26" x14ac:dyDescent="0.25">
      <c r="L172">
        <f>sales_data!A1061</f>
        <v>2287</v>
      </c>
      <c r="M172">
        <f>sales_data!B1061</f>
        <v>46009</v>
      </c>
      <c r="N172">
        <f>sales_data!C1061</f>
        <v>18</v>
      </c>
      <c r="O172" t="str">
        <f>sales_data!D1061</f>
        <v>Декабрь</v>
      </c>
      <c r="P172" t="str">
        <f>sales_data!E1061</f>
        <v>Елена</v>
      </c>
      <c r="Q172" t="str">
        <f>sales_data!F1061</f>
        <v>Нижний Новгород</v>
      </c>
      <c r="R172" t="str">
        <f>sales_data!G1061</f>
        <v>Приволжский</v>
      </c>
      <c r="S172" t="str">
        <f>sales_data!H1061</f>
        <v>Аксессуары</v>
      </c>
      <c r="T172" t="str">
        <f>sales_data!I1061</f>
        <v>Bagpack</v>
      </c>
      <c r="U172" t="str">
        <f>sales_data!J1061</f>
        <v>Розница</v>
      </c>
      <c r="V172">
        <f>sales_data!K1061</f>
        <v>9</v>
      </c>
      <c r="W172">
        <f>sales_data!L1061</f>
        <v>2600</v>
      </c>
      <c r="X172">
        <f>sales_data!M1061</f>
        <v>23400</v>
      </c>
      <c r="Y172" t="str">
        <f>sales_data!N1061</f>
        <v>Интернет-магазин</v>
      </c>
      <c r="Z172" t="str">
        <f>sales_data!O1061</f>
        <v>Доставлен</v>
      </c>
    </row>
    <row r="173" spans="12:26" x14ac:dyDescent="0.25">
      <c r="L173">
        <f>sales_data!A1063</f>
        <v>2338</v>
      </c>
      <c r="M173">
        <f>sales_data!B1063</f>
        <v>45727</v>
      </c>
      <c r="N173">
        <f>sales_data!C1063</f>
        <v>11</v>
      </c>
      <c r="O173" t="str">
        <f>sales_data!D1063</f>
        <v>Март</v>
      </c>
      <c r="P173" t="str">
        <f>sales_data!E1063</f>
        <v>Ольга</v>
      </c>
      <c r="Q173" t="str">
        <f>sales_data!F1063</f>
        <v>Казань</v>
      </c>
      <c r="R173" t="str">
        <f>sales_data!G1063</f>
        <v>Приволжский</v>
      </c>
      <c r="S173" t="str">
        <f>sales_data!H1063</f>
        <v>Аксессуары</v>
      </c>
      <c r="T173" t="str">
        <f>sales_data!I1063</f>
        <v>Power Bank</v>
      </c>
      <c r="U173" t="str">
        <f>sales_data!J1063</f>
        <v>Опт</v>
      </c>
      <c r="V173">
        <f>sales_data!K1063</f>
        <v>14</v>
      </c>
      <c r="W173">
        <f>sales_data!L1063</f>
        <v>2600</v>
      </c>
      <c r="X173">
        <f>sales_data!M1063</f>
        <v>36400</v>
      </c>
      <c r="Y173" t="str">
        <f>sales_data!N1063</f>
        <v>Интернет-магазин</v>
      </c>
      <c r="Z173" t="str">
        <f>sales_data!O1063</f>
        <v>Отменён</v>
      </c>
    </row>
    <row r="174" spans="12:26" x14ac:dyDescent="0.25">
      <c r="L174">
        <f>sales_data!A1064</f>
        <v>2408</v>
      </c>
      <c r="M174">
        <f>sales_data!B1064</f>
        <v>45893</v>
      </c>
      <c r="N174">
        <f>sales_data!C1064</f>
        <v>24</v>
      </c>
      <c r="O174" t="str">
        <f>sales_data!D1064</f>
        <v>Август</v>
      </c>
      <c r="P174" t="str">
        <f>sales_data!E1064</f>
        <v>Владимир</v>
      </c>
      <c r="Q174" t="str">
        <f>sales_data!F1064</f>
        <v>Воронеж</v>
      </c>
      <c r="R174" t="str">
        <f>sales_data!G1064</f>
        <v>Центральный</v>
      </c>
      <c r="S174" t="str">
        <f>sales_data!H1064</f>
        <v>Аксессуары</v>
      </c>
      <c r="T174" t="str">
        <f>sales_data!I1064</f>
        <v>Bagpack</v>
      </c>
      <c r="U174" t="str">
        <f>sales_data!J1064</f>
        <v>Розница</v>
      </c>
      <c r="V174">
        <f>sales_data!K1064</f>
        <v>2</v>
      </c>
      <c r="W174">
        <f>sales_data!L1064</f>
        <v>2600</v>
      </c>
      <c r="X174">
        <f>sales_data!M1064</f>
        <v>5200</v>
      </c>
      <c r="Y174" t="str">
        <f>sales_data!N1064</f>
        <v>Офлайн-точка</v>
      </c>
      <c r="Z174" t="str">
        <f>sales_data!O1064</f>
        <v>Доставлен</v>
      </c>
    </row>
    <row r="175" spans="12:26" x14ac:dyDescent="0.25">
      <c r="L175">
        <f>sales_data!A1068</f>
        <v>2934</v>
      </c>
      <c r="M175">
        <f>sales_data!B1068</f>
        <v>45688</v>
      </c>
      <c r="N175">
        <f>sales_data!C1068</f>
        <v>31</v>
      </c>
      <c r="O175" t="str">
        <f>sales_data!D1068</f>
        <v>Январь</v>
      </c>
      <c r="P175" t="str">
        <f>sales_data!E1068</f>
        <v>Татьяна</v>
      </c>
      <c r="Q175" t="str">
        <f>sales_data!F1068</f>
        <v>Новосибирск</v>
      </c>
      <c r="R175" t="str">
        <f>sales_data!G1068</f>
        <v>Сибирский</v>
      </c>
      <c r="S175" t="str">
        <f>sales_data!H1068</f>
        <v>Периферия</v>
      </c>
      <c r="T175" t="str">
        <f>sales_data!I1068</f>
        <v>Mouse Pro</v>
      </c>
      <c r="U175" t="str">
        <f>sales_data!J1068</f>
        <v>Розница</v>
      </c>
      <c r="V175">
        <f>sales_data!K1068</f>
        <v>7</v>
      </c>
      <c r="W175">
        <f>sales_data!L1068</f>
        <v>2600</v>
      </c>
      <c r="X175">
        <f>sales_data!M1068</f>
        <v>18200</v>
      </c>
      <c r="Y175" t="str">
        <f>sales_data!N1068</f>
        <v>Интернет-магазин</v>
      </c>
      <c r="Z175" t="str">
        <f>sales_data!O1068</f>
        <v>Отменён</v>
      </c>
    </row>
    <row r="176" spans="12:26" x14ac:dyDescent="0.25">
      <c r="L176">
        <f>sales_data!A1069</f>
        <v>3066</v>
      </c>
      <c r="M176">
        <f>sales_data!B1069</f>
        <v>45967</v>
      </c>
      <c r="N176">
        <f>sales_data!C1069</f>
        <v>6</v>
      </c>
      <c r="O176" t="str">
        <f>sales_data!D1069</f>
        <v>Ноябрь</v>
      </c>
      <c r="P176" t="str">
        <f>sales_data!E1069</f>
        <v>Елена</v>
      </c>
      <c r="Q176" t="str">
        <f>sales_data!F1069</f>
        <v>Казань</v>
      </c>
      <c r="R176" t="str">
        <f>sales_data!G1069</f>
        <v>Приволжский</v>
      </c>
      <c r="S176" t="str">
        <f>sales_data!H1069</f>
        <v>Аксессуары</v>
      </c>
      <c r="T176" t="str">
        <f>sales_data!I1069</f>
        <v>Power Bank</v>
      </c>
      <c r="U176" t="str">
        <f>sales_data!J1069</f>
        <v>Опт</v>
      </c>
      <c r="V176">
        <f>sales_data!K1069</f>
        <v>32</v>
      </c>
      <c r="W176">
        <f>sales_data!L1069</f>
        <v>2600</v>
      </c>
      <c r="X176">
        <f>sales_data!M1069</f>
        <v>83200</v>
      </c>
      <c r="Y176" t="str">
        <f>sales_data!N1069</f>
        <v>Интернет-магазин</v>
      </c>
      <c r="Z176" t="str">
        <f>sales_data!O1069</f>
        <v>В пути</v>
      </c>
    </row>
    <row r="177" spans="12:26" x14ac:dyDescent="0.25">
      <c r="L177">
        <f>sales_data!A1077</f>
        <v>3598</v>
      </c>
      <c r="M177">
        <f>sales_data!B1077</f>
        <v>45758</v>
      </c>
      <c r="N177">
        <f>sales_data!C1077</f>
        <v>11</v>
      </c>
      <c r="O177" t="str">
        <f>sales_data!D1077</f>
        <v>Апрель</v>
      </c>
      <c r="P177" t="str">
        <f>sales_data!E1077</f>
        <v>Елена</v>
      </c>
      <c r="Q177" t="str">
        <f>sales_data!F1077</f>
        <v>Казань</v>
      </c>
      <c r="R177" t="str">
        <f>sales_data!G1077</f>
        <v>Приволжский</v>
      </c>
      <c r="S177" t="str">
        <f>sales_data!H1077</f>
        <v>Аксессуары</v>
      </c>
      <c r="T177" t="str">
        <f>sales_data!I1077</f>
        <v>Bagpack</v>
      </c>
      <c r="U177" t="str">
        <f>sales_data!J1077</f>
        <v>Розница</v>
      </c>
      <c r="V177">
        <f>sales_data!K1077</f>
        <v>8</v>
      </c>
      <c r="W177">
        <f>sales_data!L1077</f>
        <v>2600</v>
      </c>
      <c r="X177">
        <f>sales_data!M1077</f>
        <v>20800</v>
      </c>
      <c r="Y177" t="str">
        <f>sales_data!N1077</f>
        <v>Офлайн-точка</v>
      </c>
      <c r="Z177" t="str">
        <f>sales_data!O1077</f>
        <v>Доставлен</v>
      </c>
    </row>
    <row r="178" spans="12:26" x14ac:dyDescent="0.25">
      <c r="L178">
        <f>sales_data!A1079</f>
        <v>3631</v>
      </c>
      <c r="M178">
        <f>sales_data!B1079</f>
        <v>45939</v>
      </c>
      <c r="N178">
        <f>sales_data!C1079</f>
        <v>9</v>
      </c>
      <c r="O178" t="str">
        <f>sales_data!D1079</f>
        <v>Октябрь</v>
      </c>
      <c r="P178" t="str">
        <f>sales_data!E1079</f>
        <v>Дмитрий</v>
      </c>
      <c r="Q178" t="str">
        <f>sales_data!F1079</f>
        <v>Нижний Новгород</v>
      </c>
      <c r="R178" t="str">
        <f>sales_data!G1079</f>
        <v>Приволжский</v>
      </c>
      <c r="S178" t="str">
        <f>sales_data!H1079</f>
        <v>Аксессуары</v>
      </c>
      <c r="T178" t="str">
        <f>sales_data!I1079</f>
        <v>Power Bank</v>
      </c>
      <c r="U178" t="str">
        <f>sales_data!J1079</f>
        <v>Опт</v>
      </c>
      <c r="V178">
        <f>sales_data!K1079</f>
        <v>33</v>
      </c>
      <c r="W178">
        <f>sales_data!L1079</f>
        <v>2600</v>
      </c>
      <c r="X178">
        <f>sales_data!M1079</f>
        <v>85800</v>
      </c>
      <c r="Y178" t="str">
        <f>sales_data!N1079</f>
        <v>Интернет-магазин</v>
      </c>
      <c r="Z178" t="str">
        <f>sales_data!O1079</f>
        <v>Отменён</v>
      </c>
    </row>
    <row r="179" spans="12:26" x14ac:dyDescent="0.25">
      <c r="L179">
        <f>sales_data!A1092</f>
        <v>4671</v>
      </c>
      <c r="M179">
        <f>sales_data!B1092</f>
        <v>45736</v>
      </c>
      <c r="N179">
        <f>sales_data!C1092</f>
        <v>20</v>
      </c>
      <c r="O179" t="str">
        <f>sales_data!D1092</f>
        <v>Март</v>
      </c>
      <c r="P179" t="str">
        <f>sales_data!E1092</f>
        <v>Татьяна</v>
      </c>
      <c r="Q179" t="str">
        <f>sales_data!F1092</f>
        <v>Нижний Новгород</v>
      </c>
      <c r="R179" t="str">
        <f>sales_data!G1092</f>
        <v>Приволжский</v>
      </c>
      <c r="S179" t="str">
        <f>sales_data!H1092</f>
        <v>Аксессуары</v>
      </c>
      <c r="T179" t="str">
        <f>sales_data!I1092</f>
        <v>Power Bank</v>
      </c>
      <c r="U179" t="str">
        <f>sales_data!J1092</f>
        <v>Опт</v>
      </c>
      <c r="V179">
        <f>sales_data!K1092</f>
        <v>22</v>
      </c>
      <c r="W179">
        <f>sales_data!L1092</f>
        <v>2600</v>
      </c>
      <c r="X179">
        <f>sales_data!M1092</f>
        <v>57200</v>
      </c>
      <c r="Y179" t="str">
        <f>sales_data!N1092</f>
        <v>Офлайн-точка</v>
      </c>
      <c r="Z179" t="str">
        <f>sales_data!O1092</f>
        <v>В пути</v>
      </c>
    </row>
    <row r="180" spans="12:26" x14ac:dyDescent="0.25">
      <c r="L180">
        <f>sales_data!A1095</f>
        <v>4712</v>
      </c>
      <c r="M180">
        <f>sales_data!B1095</f>
        <v>45916</v>
      </c>
      <c r="N180">
        <f>sales_data!C1095</f>
        <v>16</v>
      </c>
      <c r="O180" t="str">
        <f>sales_data!D1095</f>
        <v>Сентябрь</v>
      </c>
      <c r="P180" t="str">
        <f>sales_data!E1095</f>
        <v>Анна</v>
      </c>
      <c r="Q180" t="str">
        <f>sales_data!F1095</f>
        <v>Красноярск</v>
      </c>
      <c r="R180" t="str">
        <f>sales_data!G1095</f>
        <v>Сибирский</v>
      </c>
      <c r="S180" t="str">
        <f>sales_data!H1095</f>
        <v>Периферия</v>
      </c>
      <c r="T180" t="str">
        <f>sales_data!I1095</f>
        <v>Mouse Pro</v>
      </c>
      <c r="U180" t="str">
        <f>sales_data!J1095</f>
        <v>Розница</v>
      </c>
      <c r="V180">
        <f>sales_data!K1095</f>
        <v>10</v>
      </c>
      <c r="W180">
        <f>sales_data!L1095</f>
        <v>2600</v>
      </c>
      <c r="X180">
        <f>sales_data!M1095</f>
        <v>26000</v>
      </c>
      <c r="Y180" t="str">
        <f>sales_data!N1095</f>
        <v>Интернет-магазин</v>
      </c>
      <c r="Z180" t="str">
        <f>sales_data!O1095</f>
        <v>Доставлен</v>
      </c>
    </row>
    <row r="181" spans="12:26" x14ac:dyDescent="0.25">
      <c r="L181">
        <f>sales_data!A1097</f>
        <v>4808</v>
      </c>
      <c r="M181">
        <f>sales_data!B1097</f>
        <v>45876</v>
      </c>
      <c r="N181">
        <f>sales_data!C1097</f>
        <v>7</v>
      </c>
      <c r="O181" t="str">
        <f>sales_data!D1097</f>
        <v>Август</v>
      </c>
      <c r="P181" t="str">
        <f>sales_data!E1097</f>
        <v>Татьяна</v>
      </c>
      <c r="Q181" t="str">
        <f>sales_data!F1097</f>
        <v>Омск</v>
      </c>
      <c r="R181" t="str">
        <f>sales_data!G1097</f>
        <v>Сибирский</v>
      </c>
      <c r="S181" t="str">
        <f>sales_data!H1097</f>
        <v>Аксессуары</v>
      </c>
      <c r="T181" t="str">
        <f>sales_data!I1097</f>
        <v>Bagpack</v>
      </c>
      <c r="U181" t="str">
        <f>sales_data!J1097</f>
        <v>Розница</v>
      </c>
      <c r="V181">
        <f>sales_data!K1097</f>
        <v>4</v>
      </c>
      <c r="W181">
        <f>sales_data!L1097</f>
        <v>2600</v>
      </c>
      <c r="X181">
        <f>sales_data!M1097</f>
        <v>10400</v>
      </c>
      <c r="Y181" t="str">
        <f>sales_data!N1097</f>
        <v>Офлайн-точка</v>
      </c>
      <c r="Z181" t="str">
        <f>sales_data!O1097</f>
        <v>Доставлен</v>
      </c>
    </row>
    <row r="182" spans="12:26" x14ac:dyDescent="0.25">
      <c r="L182">
        <f>sales_data!A1106</f>
        <v>2028</v>
      </c>
      <c r="M182">
        <f>sales_data!B1106</f>
        <v>45876</v>
      </c>
      <c r="N182">
        <f>sales_data!C1106</f>
        <v>7</v>
      </c>
      <c r="O182" t="str">
        <f>sales_data!D1106</f>
        <v>Август</v>
      </c>
      <c r="P182" t="str">
        <f>sales_data!E1106</f>
        <v>Татьяна</v>
      </c>
      <c r="Q182" t="str">
        <f>sales_data!F1106</f>
        <v>Челябинск</v>
      </c>
      <c r="R182" t="str">
        <f>sales_data!G1106</f>
        <v>Уральский</v>
      </c>
      <c r="S182" t="str">
        <f>sales_data!H1106</f>
        <v>Аксессуары</v>
      </c>
      <c r="T182" t="str">
        <f>sales_data!I1106</f>
        <v>Power Bank</v>
      </c>
      <c r="U182" t="str">
        <f>sales_data!J1106</f>
        <v>Опт</v>
      </c>
      <c r="V182">
        <f>sales_data!K1106</f>
        <v>32</v>
      </c>
      <c r="W182">
        <f>sales_data!L1106</f>
        <v>2700</v>
      </c>
      <c r="X182">
        <f>sales_data!M1106</f>
        <v>86400</v>
      </c>
      <c r="Y182" t="str">
        <f>sales_data!N1106</f>
        <v>Офлайн-точка</v>
      </c>
      <c r="Z182" t="str">
        <f>sales_data!O1106</f>
        <v>В пути</v>
      </c>
    </row>
    <row r="183" spans="12:26" x14ac:dyDescent="0.25">
      <c r="L183">
        <f>sales_data!A1128</f>
        <v>1074</v>
      </c>
      <c r="M183">
        <f>sales_data!B1128</f>
        <v>45783</v>
      </c>
      <c r="N183">
        <f>sales_data!C1128</f>
        <v>6</v>
      </c>
      <c r="O183" t="str">
        <f>sales_data!D1128</f>
        <v>Май</v>
      </c>
      <c r="P183" t="str">
        <f>sales_data!E1128</f>
        <v>Татьяна</v>
      </c>
      <c r="Q183" t="str">
        <f>sales_data!F1128</f>
        <v>Краснодар</v>
      </c>
      <c r="R183" t="str">
        <f>sales_data!G1128</f>
        <v>Южный</v>
      </c>
      <c r="S183" t="str">
        <f>sales_data!H1128</f>
        <v>Периферия</v>
      </c>
      <c r="T183" t="str">
        <f>sales_data!I1128</f>
        <v>Keyboard</v>
      </c>
      <c r="U183" t="str">
        <f>sales_data!J1128</f>
        <v>Опт</v>
      </c>
      <c r="V183">
        <f>sales_data!K1128</f>
        <v>43</v>
      </c>
      <c r="W183">
        <f>sales_data!L1128</f>
        <v>2800</v>
      </c>
      <c r="X183">
        <f>sales_data!M1128</f>
        <v>120400</v>
      </c>
      <c r="Y183" t="str">
        <f>sales_data!N1128</f>
        <v>Офлайн-точка</v>
      </c>
      <c r="Z183" t="str">
        <f>sales_data!O1128</f>
        <v>Доставлен</v>
      </c>
    </row>
    <row r="184" spans="12:26" x14ac:dyDescent="0.25">
      <c r="L184">
        <f>sales_data!A1137</f>
        <v>2094</v>
      </c>
      <c r="M184">
        <f>sales_data!B1137</f>
        <v>45803</v>
      </c>
      <c r="N184">
        <f>sales_data!C1137</f>
        <v>26</v>
      </c>
      <c r="O184" t="str">
        <f>sales_data!D1137</f>
        <v>Май</v>
      </c>
      <c r="P184" t="str">
        <f>sales_data!E1137</f>
        <v>Анна</v>
      </c>
      <c r="Q184" t="str">
        <f>sales_data!F1137</f>
        <v>Нижний Новгород</v>
      </c>
      <c r="R184" t="str">
        <f>sales_data!G1137</f>
        <v>Приволжский</v>
      </c>
      <c r="S184" t="str">
        <f>sales_data!H1137</f>
        <v>Периферия</v>
      </c>
      <c r="T184" t="str">
        <f>sales_data!I1137</f>
        <v>Keyboard</v>
      </c>
      <c r="U184" t="str">
        <f>sales_data!J1137</f>
        <v>Опт</v>
      </c>
      <c r="V184">
        <f>sales_data!K1137</f>
        <v>33</v>
      </c>
      <c r="W184">
        <f>sales_data!L1137</f>
        <v>2800</v>
      </c>
      <c r="X184">
        <f>sales_data!M1137</f>
        <v>92400</v>
      </c>
      <c r="Y184" t="str">
        <f>sales_data!N1137</f>
        <v>Офлайн-точка</v>
      </c>
      <c r="Z184" t="str">
        <f>sales_data!O1137</f>
        <v>Отменён</v>
      </c>
    </row>
    <row r="185" spans="12:26" x14ac:dyDescent="0.25">
      <c r="L185">
        <f>sales_data!A1140</f>
        <v>2576</v>
      </c>
      <c r="M185">
        <f>sales_data!B1140</f>
        <v>45683</v>
      </c>
      <c r="N185">
        <f>sales_data!C1140</f>
        <v>26</v>
      </c>
      <c r="O185" t="str">
        <f>sales_data!D1140</f>
        <v>Январь</v>
      </c>
      <c r="P185" t="str">
        <f>sales_data!E1140</f>
        <v>Наталья</v>
      </c>
      <c r="Q185" t="str">
        <f>sales_data!F1140</f>
        <v>Красноярск</v>
      </c>
      <c r="R185" t="str">
        <f>sales_data!G1140</f>
        <v>Сибирский</v>
      </c>
      <c r="S185" t="str">
        <f>sales_data!H1140</f>
        <v>Периферия</v>
      </c>
      <c r="T185" t="str">
        <f>sales_data!I1140</f>
        <v>Keyboard</v>
      </c>
      <c r="U185" t="str">
        <f>sales_data!J1140</f>
        <v>Опт</v>
      </c>
      <c r="V185">
        <f>sales_data!K1140</f>
        <v>39</v>
      </c>
      <c r="W185">
        <f>sales_data!L1140</f>
        <v>2800</v>
      </c>
      <c r="X185">
        <f>sales_data!M1140</f>
        <v>109200</v>
      </c>
      <c r="Y185" t="str">
        <f>sales_data!N1140</f>
        <v>Интернет-магазин</v>
      </c>
      <c r="Z185" t="str">
        <f>sales_data!O1140</f>
        <v>Доставлен</v>
      </c>
    </row>
    <row r="186" spans="12:26" x14ac:dyDescent="0.25">
      <c r="L186">
        <f>sales_data!A1156</f>
        <v>607</v>
      </c>
      <c r="M186">
        <f>sales_data!B1156</f>
        <v>45864</v>
      </c>
      <c r="N186">
        <f>sales_data!C1156</f>
        <v>26</v>
      </c>
      <c r="O186" t="str">
        <f>sales_data!D1156</f>
        <v>Июль</v>
      </c>
      <c r="P186" t="str">
        <f>sales_data!E1156</f>
        <v>Сергей</v>
      </c>
      <c r="Q186" t="str">
        <f>sales_data!F1156</f>
        <v>Москва</v>
      </c>
      <c r="R186" t="str">
        <f>sales_data!G1156</f>
        <v>Центральный</v>
      </c>
      <c r="S186" t="str">
        <f>sales_data!H1156</f>
        <v>Периферия</v>
      </c>
      <c r="T186" t="str">
        <f>sales_data!I1156</f>
        <v>Keyboard</v>
      </c>
      <c r="U186" t="str">
        <f>sales_data!J1156</f>
        <v>Опт</v>
      </c>
      <c r="V186">
        <f>sales_data!K1156</f>
        <v>37</v>
      </c>
      <c r="W186">
        <f>sales_data!L1156</f>
        <v>2900</v>
      </c>
      <c r="X186">
        <f>sales_data!M1156</f>
        <v>107300</v>
      </c>
      <c r="Y186" t="str">
        <f>sales_data!N1156</f>
        <v>Интернет-магазин</v>
      </c>
      <c r="Z186" t="str">
        <f>sales_data!O1156</f>
        <v>Отменён</v>
      </c>
    </row>
    <row r="187" spans="12:26" x14ac:dyDescent="0.25">
      <c r="L187">
        <f>sales_data!A1160</f>
        <v>1624</v>
      </c>
      <c r="M187">
        <f>sales_data!B1160</f>
        <v>46002</v>
      </c>
      <c r="N187">
        <f>sales_data!C1160</f>
        <v>11</v>
      </c>
      <c r="O187" t="str">
        <f>sales_data!D1160</f>
        <v>Декабрь</v>
      </c>
      <c r="P187" t="str">
        <f>sales_data!E1160</f>
        <v>Владимир</v>
      </c>
      <c r="Q187" t="str">
        <f>sales_data!F1160</f>
        <v>Воронеж</v>
      </c>
      <c r="R187" t="str">
        <f>sales_data!G1160</f>
        <v>Центральный</v>
      </c>
      <c r="S187" t="str">
        <f>sales_data!H1160</f>
        <v>Периферия</v>
      </c>
      <c r="T187" t="str">
        <f>sales_data!I1160</f>
        <v>Keyboard</v>
      </c>
      <c r="U187" t="str">
        <f>sales_data!J1160</f>
        <v>Опт</v>
      </c>
      <c r="V187">
        <f>sales_data!K1160</f>
        <v>38</v>
      </c>
      <c r="W187">
        <f>sales_data!L1160</f>
        <v>2900</v>
      </c>
      <c r="X187">
        <f>sales_data!M1160</f>
        <v>110200</v>
      </c>
      <c r="Y187" t="str">
        <f>sales_data!N1160</f>
        <v>Интернет-магазин</v>
      </c>
      <c r="Z187" t="str">
        <f>sales_data!O1160</f>
        <v>Отменён</v>
      </c>
    </row>
    <row r="188" spans="12:26" x14ac:dyDescent="0.25">
      <c r="L188">
        <f>sales_data!A1162</f>
        <v>1773</v>
      </c>
      <c r="M188">
        <f>sales_data!B1162</f>
        <v>45711</v>
      </c>
      <c r="N188">
        <f>sales_data!C1162</f>
        <v>23</v>
      </c>
      <c r="O188" t="str">
        <f>sales_data!D1162</f>
        <v>Февраль</v>
      </c>
      <c r="P188" t="str">
        <f>sales_data!E1162</f>
        <v>Дмитрий</v>
      </c>
      <c r="Q188" t="str">
        <f>sales_data!F1162</f>
        <v>Новосибирск</v>
      </c>
      <c r="R188" t="str">
        <f>sales_data!G1162</f>
        <v>Сибирский</v>
      </c>
      <c r="S188" t="str">
        <f>sales_data!H1162</f>
        <v>Периферия</v>
      </c>
      <c r="T188" t="str">
        <f>sales_data!I1162</f>
        <v>Keyboard</v>
      </c>
      <c r="U188" t="str">
        <f>sales_data!J1162</f>
        <v>Опт</v>
      </c>
      <c r="V188">
        <f>sales_data!K1162</f>
        <v>26</v>
      </c>
      <c r="W188">
        <f>sales_data!L1162</f>
        <v>2900</v>
      </c>
      <c r="X188">
        <f>sales_data!M1162</f>
        <v>75400</v>
      </c>
      <c r="Y188" t="str">
        <f>sales_data!N1162</f>
        <v>Офлайн-точка</v>
      </c>
      <c r="Z188" t="str">
        <f>sales_data!O1162</f>
        <v>Отменён</v>
      </c>
    </row>
    <row r="189" spans="12:26" x14ac:dyDescent="0.25">
      <c r="L189">
        <f>sales_data!A1174</f>
        <v>2589</v>
      </c>
      <c r="M189">
        <f>sales_data!B1174</f>
        <v>45810</v>
      </c>
      <c r="N189">
        <f>sales_data!C1174</f>
        <v>2</v>
      </c>
      <c r="O189" t="str">
        <f>sales_data!D1174</f>
        <v>Июнь</v>
      </c>
      <c r="P189" t="str">
        <f>sales_data!E1174</f>
        <v>Ольга</v>
      </c>
      <c r="Q189" t="str">
        <f>sales_data!F1174</f>
        <v>Пермь</v>
      </c>
      <c r="R189" t="str">
        <f>sales_data!G1174</f>
        <v>Приволжский</v>
      </c>
      <c r="S189" t="str">
        <f>sales_data!H1174</f>
        <v>Аксессуары</v>
      </c>
      <c r="T189" t="str">
        <f>sales_data!I1174</f>
        <v>Power Bank</v>
      </c>
      <c r="U189" t="str">
        <f>sales_data!J1174</f>
        <v>Розница</v>
      </c>
      <c r="V189">
        <f>sales_data!K1174</f>
        <v>10</v>
      </c>
      <c r="W189">
        <f>sales_data!L1174</f>
        <v>2900</v>
      </c>
      <c r="X189">
        <f>sales_data!M1174</f>
        <v>29000</v>
      </c>
      <c r="Y189" t="str">
        <f>sales_data!N1174</f>
        <v>Интернет-магазин</v>
      </c>
      <c r="Z189" t="str">
        <f>sales_data!O1174</f>
        <v>Доставлен</v>
      </c>
    </row>
    <row r="190" spans="12:26" x14ac:dyDescent="0.25">
      <c r="L190">
        <f>sales_data!A1177</f>
        <v>2902</v>
      </c>
      <c r="M190">
        <f>sales_data!B1177</f>
        <v>45864</v>
      </c>
      <c r="N190">
        <f>sales_data!C1177</f>
        <v>26</v>
      </c>
      <c r="O190" t="str">
        <f>sales_data!D1177</f>
        <v>Июль</v>
      </c>
      <c r="P190" t="str">
        <f>sales_data!E1177</f>
        <v>Павел</v>
      </c>
      <c r="Q190" t="str">
        <f>sales_data!F1177</f>
        <v>Новосибирск</v>
      </c>
      <c r="R190" t="str">
        <f>sales_data!G1177</f>
        <v>Сибирский</v>
      </c>
      <c r="S190" t="str">
        <f>sales_data!H1177</f>
        <v>Аксессуары</v>
      </c>
      <c r="T190" t="str">
        <f>sales_data!I1177</f>
        <v>Power Bank</v>
      </c>
      <c r="U190" t="str">
        <f>sales_data!J1177</f>
        <v>Розница</v>
      </c>
      <c r="V190">
        <f>sales_data!K1177</f>
        <v>1</v>
      </c>
      <c r="W190">
        <f>sales_data!L1177</f>
        <v>2900</v>
      </c>
      <c r="X190">
        <f>sales_data!M1177</f>
        <v>2900</v>
      </c>
      <c r="Y190" t="str">
        <f>sales_data!N1177</f>
        <v>Интернет-магазин</v>
      </c>
      <c r="Z190" t="str">
        <f>sales_data!O1177</f>
        <v>Доставлен</v>
      </c>
    </row>
    <row r="191" spans="12:26" x14ac:dyDescent="0.25">
      <c r="L191">
        <f>sales_data!A1178</f>
        <v>2917</v>
      </c>
      <c r="M191">
        <f>sales_data!B1178</f>
        <v>45897</v>
      </c>
      <c r="N191">
        <f>sales_data!C1178</f>
        <v>28</v>
      </c>
      <c r="O191" t="str">
        <f>sales_data!D1178</f>
        <v>Август</v>
      </c>
      <c r="P191" t="str">
        <f>sales_data!E1178</f>
        <v>Дмитрий</v>
      </c>
      <c r="Q191" t="str">
        <f>sales_data!F1178</f>
        <v>Красноярск</v>
      </c>
      <c r="R191" t="str">
        <f>sales_data!G1178</f>
        <v>Сибирский</v>
      </c>
      <c r="S191" t="str">
        <f>sales_data!H1178</f>
        <v>Периферия</v>
      </c>
      <c r="T191" t="str">
        <f>sales_data!I1178</f>
        <v>Keyboard</v>
      </c>
      <c r="U191" t="str">
        <f>sales_data!J1178</f>
        <v>Опт</v>
      </c>
      <c r="V191">
        <f>sales_data!K1178</f>
        <v>24</v>
      </c>
      <c r="W191">
        <f>sales_data!L1178</f>
        <v>2900</v>
      </c>
      <c r="X191">
        <f>sales_data!M1178</f>
        <v>69600</v>
      </c>
      <c r="Y191" t="str">
        <f>sales_data!N1178</f>
        <v>Интернет-магазин</v>
      </c>
      <c r="Z191" t="str">
        <f>sales_data!O1178</f>
        <v>Доставлен</v>
      </c>
    </row>
    <row r="192" spans="12:26" x14ac:dyDescent="0.25">
      <c r="L192">
        <f>sales_data!A1189</f>
        <v>4749</v>
      </c>
      <c r="M192">
        <f>sales_data!B1189</f>
        <v>45909</v>
      </c>
      <c r="N192">
        <f>sales_data!C1189</f>
        <v>9</v>
      </c>
      <c r="O192" t="str">
        <f>sales_data!D1189</f>
        <v>Сентябрь</v>
      </c>
      <c r="P192" t="str">
        <f>sales_data!E1189</f>
        <v>Елена</v>
      </c>
      <c r="Q192" t="str">
        <f>sales_data!F1189</f>
        <v>Челябинск</v>
      </c>
      <c r="R192" t="str">
        <f>sales_data!G1189</f>
        <v>Уральский</v>
      </c>
      <c r="S192" t="str">
        <f>sales_data!H1189</f>
        <v>Аксессуары</v>
      </c>
      <c r="T192" t="str">
        <f>sales_data!I1189</f>
        <v>Power Bank</v>
      </c>
      <c r="U192" t="str">
        <f>sales_data!J1189</f>
        <v>Розница</v>
      </c>
      <c r="V192">
        <f>sales_data!K1189</f>
        <v>3</v>
      </c>
      <c r="W192">
        <f>sales_data!L1189</f>
        <v>2900</v>
      </c>
      <c r="X192">
        <f>sales_data!M1189</f>
        <v>8700</v>
      </c>
      <c r="Y192" t="str">
        <f>sales_data!N1189</f>
        <v>Интернет-магазин</v>
      </c>
      <c r="Z192" t="str">
        <f>sales_data!O1189</f>
        <v>В пути</v>
      </c>
    </row>
    <row r="193" spans="12:26" x14ac:dyDescent="0.25">
      <c r="L193">
        <f>sales_data!A1199</f>
        <v>1218</v>
      </c>
      <c r="M193">
        <f>sales_data!B1199</f>
        <v>45933</v>
      </c>
      <c r="N193">
        <f>sales_data!C1199</f>
        <v>3</v>
      </c>
      <c r="O193" t="str">
        <f>sales_data!D1199</f>
        <v>Октябрь</v>
      </c>
      <c r="P193" t="str">
        <f>sales_data!E1199</f>
        <v>Владимир</v>
      </c>
      <c r="Q193" t="str">
        <f>sales_data!F1199</f>
        <v>Челябинск</v>
      </c>
      <c r="R193" t="str">
        <f>sales_data!G1199</f>
        <v>Уральский</v>
      </c>
      <c r="S193" t="str">
        <f>sales_data!H1199</f>
        <v>Периферия</v>
      </c>
      <c r="T193" t="str">
        <f>sales_data!I1199</f>
        <v>Keyboard</v>
      </c>
      <c r="U193" t="str">
        <f>sales_data!J1199</f>
        <v>Опт</v>
      </c>
      <c r="V193">
        <f>sales_data!K1199</f>
        <v>19</v>
      </c>
      <c r="W193">
        <f>sales_data!L1199</f>
        <v>3000</v>
      </c>
      <c r="X193">
        <f>sales_data!M1199</f>
        <v>57000</v>
      </c>
      <c r="Y193" t="str">
        <f>sales_data!N1199</f>
        <v>Офлайн-точка</v>
      </c>
      <c r="Z193" t="str">
        <f>sales_data!O1199</f>
        <v>Отменён</v>
      </c>
    </row>
    <row r="194" spans="12:26" x14ac:dyDescent="0.25">
      <c r="L194">
        <f>sales_data!A1201</f>
        <v>1279</v>
      </c>
      <c r="M194">
        <f>sales_data!B1201</f>
        <v>45801</v>
      </c>
      <c r="N194">
        <f>sales_data!C1201</f>
        <v>24</v>
      </c>
      <c r="O194" t="str">
        <f>sales_data!D1201</f>
        <v>Май</v>
      </c>
      <c r="P194" t="str">
        <f>sales_data!E1201</f>
        <v>Наталья</v>
      </c>
      <c r="Q194" t="str">
        <f>sales_data!F1201</f>
        <v>Санкт-Петербург</v>
      </c>
      <c r="R194" t="str">
        <f>sales_data!G1201</f>
        <v>Северо-Западный</v>
      </c>
      <c r="S194" t="str">
        <f>sales_data!H1201</f>
        <v>Периферия</v>
      </c>
      <c r="T194" t="str">
        <f>sales_data!I1201</f>
        <v>Keyboard</v>
      </c>
      <c r="U194" t="str">
        <f>sales_data!J1201</f>
        <v>Опт</v>
      </c>
      <c r="V194">
        <f>sales_data!K1201</f>
        <v>17</v>
      </c>
      <c r="W194">
        <f>sales_data!L1201</f>
        <v>3000</v>
      </c>
      <c r="X194">
        <f>sales_data!M1201</f>
        <v>51000</v>
      </c>
      <c r="Y194" t="str">
        <f>sales_data!N1201</f>
        <v>Офлайн-точка</v>
      </c>
      <c r="Z194" t="str">
        <f>sales_data!O1201</f>
        <v>Отменён</v>
      </c>
    </row>
    <row r="195" spans="12:26" x14ac:dyDescent="0.25">
      <c r="L195">
        <f>sales_data!A1205</f>
        <v>2125</v>
      </c>
      <c r="M195">
        <f>sales_data!B1205</f>
        <v>45975</v>
      </c>
      <c r="N195">
        <f>sales_data!C1205</f>
        <v>14</v>
      </c>
      <c r="O195" t="str">
        <f>sales_data!D1205</f>
        <v>Ноябрь</v>
      </c>
      <c r="P195" t="str">
        <f>sales_data!E1205</f>
        <v>Татьяна</v>
      </c>
      <c r="Q195" t="str">
        <f>sales_data!F1205</f>
        <v>Челябинск</v>
      </c>
      <c r="R195" t="str">
        <f>sales_data!G1205</f>
        <v>Уральский</v>
      </c>
      <c r="S195" t="str">
        <f>sales_data!H1205</f>
        <v>Аксессуары</v>
      </c>
      <c r="T195" t="str">
        <f>sales_data!I1205</f>
        <v>Power Bank</v>
      </c>
      <c r="U195" t="str">
        <f>sales_data!J1205</f>
        <v>Розница</v>
      </c>
      <c r="V195">
        <f>sales_data!K1205</f>
        <v>8</v>
      </c>
      <c r="W195">
        <f>sales_data!L1205</f>
        <v>3000</v>
      </c>
      <c r="X195">
        <f>sales_data!M1205</f>
        <v>24000</v>
      </c>
      <c r="Y195" t="str">
        <f>sales_data!N1205</f>
        <v>Офлайн-точка</v>
      </c>
      <c r="Z195" t="str">
        <f>sales_data!O1205</f>
        <v>В пути</v>
      </c>
    </row>
    <row r="196" spans="12:26" x14ac:dyDescent="0.25">
      <c r="L196">
        <f>sales_data!A1207</f>
        <v>2461</v>
      </c>
      <c r="M196">
        <f>sales_data!B1207</f>
        <v>45727</v>
      </c>
      <c r="N196">
        <f>sales_data!C1207</f>
        <v>11</v>
      </c>
      <c r="O196" t="str">
        <f>sales_data!D1207</f>
        <v>Март</v>
      </c>
      <c r="P196" t="str">
        <f>sales_data!E1207</f>
        <v>Алексей</v>
      </c>
      <c r="Q196" t="str">
        <f>sales_data!F1207</f>
        <v>Нижний Новгород</v>
      </c>
      <c r="R196" t="str">
        <f>sales_data!G1207</f>
        <v>Приволжский</v>
      </c>
      <c r="S196" t="str">
        <f>sales_data!H1207</f>
        <v>Периферия</v>
      </c>
      <c r="T196" t="str">
        <f>sales_data!I1207</f>
        <v>Keyboard</v>
      </c>
      <c r="U196" t="str">
        <f>sales_data!J1207</f>
        <v>Опт</v>
      </c>
      <c r="V196">
        <f>sales_data!K1207</f>
        <v>9</v>
      </c>
      <c r="W196">
        <f>sales_data!L1207</f>
        <v>3000</v>
      </c>
      <c r="X196">
        <f>sales_data!M1207</f>
        <v>27000</v>
      </c>
      <c r="Y196" t="str">
        <f>sales_data!N1207</f>
        <v>Интернет-магазин</v>
      </c>
      <c r="Z196" t="str">
        <f>sales_data!O1207</f>
        <v>Отменён</v>
      </c>
    </row>
    <row r="197" spans="12:26" x14ac:dyDescent="0.25">
      <c r="L197">
        <f>sales_data!A1209</f>
        <v>2841</v>
      </c>
      <c r="M197">
        <f>sales_data!B1209</f>
        <v>45838</v>
      </c>
      <c r="N197">
        <f>sales_data!C1209</f>
        <v>30</v>
      </c>
      <c r="O197" t="str">
        <f>sales_data!D1209</f>
        <v>Июнь</v>
      </c>
      <c r="P197" t="str">
        <f>sales_data!E1209</f>
        <v>Дмитрий</v>
      </c>
      <c r="Q197" t="str">
        <f>sales_data!F1209</f>
        <v>Красноярск</v>
      </c>
      <c r="R197" t="str">
        <f>sales_data!G1209</f>
        <v>Сибирский</v>
      </c>
      <c r="S197" t="str">
        <f>sales_data!H1209</f>
        <v>Аксессуары</v>
      </c>
      <c r="T197" t="str">
        <f>sales_data!I1209</f>
        <v>Power Bank</v>
      </c>
      <c r="U197" t="str">
        <f>sales_data!J1209</f>
        <v>Розница</v>
      </c>
      <c r="V197">
        <f>sales_data!K1209</f>
        <v>6</v>
      </c>
      <c r="W197">
        <f>sales_data!L1209</f>
        <v>3000</v>
      </c>
      <c r="X197">
        <f>sales_data!M1209</f>
        <v>18000</v>
      </c>
      <c r="Y197" t="str">
        <f>sales_data!N1209</f>
        <v>Офлайн-точка</v>
      </c>
      <c r="Z197" t="str">
        <f>sales_data!O1209</f>
        <v>В пути</v>
      </c>
    </row>
    <row r="198" spans="12:26" x14ac:dyDescent="0.25">
      <c r="L198">
        <f>sales_data!A1214</f>
        <v>3405</v>
      </c>
      <c r="M198">
        <f>sales_data!B1214</f>
        <v>45779</v>
      </c>
      <c r="N198">
        <f>sales_data!C1214</f>
        <v>2</v>
      </c>
      <c r="O198" t="str">
        <f>sales_data!D1214</f>
        <v>Май</v>
      </c>
      <c r="P198" t="str">
        <f>sales_data!E1214</f>
        <v>Борис</v>
      </c>
      <c r="Q198" t="str">
        <f>sales_data!F1214</f>
        <v>Воронеж</v>
      </c>
      <c r="R198" t="str">
        <f>sales_data!G1214</f>
        <v>Центральный</v>
      </c>
      <c r="S198" t="str">
        <f>sales_data!H1214</f>
        <v>Периферия</v>
      </c>
      <c r="T198" t="str">
        <f>sales_data!I1214</f>
        <v>Keyboard</v>
      </c>
      <c r="U198" t="str">
        <f>sales_data!J1214</f>
        <v>Опт</v>
      </c>
      <c r="V198">
        <f>sales_data!K1214</f>
        <v>8</v>
      </c>
      <c r="W198">
        <f>sales_data!L1214</f>
        <v>3000</v>
      </c>
      <c r="X198">
        <f>sales_data!M1214</f>
        <v>24000</v>
      </c>
      <c r="Y198" t="str">
        <f>sales_data!N1214</f>
        <v>Офлайн-точка</v>
      </c>
      <c r="Z198" t="str">
        <f>sales_data!O1214</f>
        <v>Отменён</v>
      </c>
    </row>
    <row r="199" spans="12:26" x14ac:dyDescent="0.25">
      <c r="L199">
        <f>sales_data!A1223</f>
        <v>4827</v>
      </c>
      <c r="M199">
        <f>sales_data!B1223</f>
        <v>45778</v>
      </c>
      <c r="N199">
        <f>sales_data!C1223</f>
        <v>1</v>
      </c>
      <c r="O199" t="str">
        <f>sales_data!D1223</f>
        <v>Май</v>
      </c>
      <c r="P199" t="str">
        <f>sales_data!E1223</f>
        <v>Владимир</v>
      </c>
      <c r="Q199" t="str">
        <f>sales_data!F1223</f>
        <v>Воронеж</v>
      </c>
      <c r="R199" t="str">
        <f>sales_data!G1223</f>
        <v>Центральный</v>
      </c>
      <c r="S199" t="str">
        <f>sales_data!H1223</f>
        <v>Аксессуары</v>
      </c>
      <c r="T199" t="str">
        <f>sales_data!I1223</f>
        <v>Power Bank</v>
      </c>
      <c r="U199" t="str">
        <f>sales_data!J1223</f>
        <v>Розница</v>
      </c>
      <c r="V199">
        <f>sales_data!K1223</f>
        <v>4</v>
      </c>
      <c r="W199">
        <f>sales_data!L1223</f>
        <v>3000</v>
      </c>
      <c r="X199">
        <f>sales_data!M1223</f>
        <v>12000</v>
      </c>
      <c r="Y199" t="str">
        <f>sales_data!N1223</f>
        <v>Офлайн-точка</v>
      </c>
      <c r="Z199" t="str">
        <f>sales_data!O1223</f>
        <v>В пути</v>
      </c>
    </row>
    <row r="200" spans="12:26" x14ac:dyDescent="0.25">
      <c r="L200">
        <f>sales_data!A1227</f>
        <v>203</v>
      </c>
      <c r="M200">
        <f>sales_data!B1227</f>
        <v>45685</v>
      </c>
      <c r="N200">
        <f>sales_data!C1227</f>
        <v>28</v>
      </c>
      <c r="O200" t="str">
        <f>sales_data!D1227</f>
        <v>Январь</v>
      </c>
      <c r="P200" t="str">
        <f>sales_data!E1227</f>
        <v>Ольга</v>
      </c>
      <c r="Q200" t="str">
        <f>sales_data!F1227</f>
        <v>Самара</v>
      </c>
      <c r="R200" t="str">
        <f>sales_data!G1227</f>
        <v>Приволжский</v>
      </c>
      <c r="S200" t="str">
        <f>sales_data!H1227</f>
        <v>Периферия</v>
      </c>
      <c r="T200" t="str">
        <f>sales_data!I1227</f>
        <v>Keyboard</v>
      </c>
      <c r="U200" t="str">
        <f>sales_data!J1227</f>
        <v>Опт</v>
      </c>
      <c r="V200">
        <f>sales_data!K1227</f>
        <v>10</v>
      </c>
      <c r="W200">
        <f>sales_data!L1227</f>
        <v>3100</v>
      </c>
      <c r="X200">
        <f>sales_data!M1227</f>
        <v>31000</v>
      </c>
      <c r="Y200" t="str">
        <f>sales_data!N1227</f>
        <v>Офлайн-точка</v>
      </c>
      <c r="Z200" t="str">
        <f>sales_data!O1227</f>
        <v>Доставлен</v>
      </c>
    </row>
    <row r="201" spans="12:26" x14ac:dyDescent="0.25">
      <c r="L201">
        <f>sales_data!A1229</f>
        <v>313</v>
      </c>
      <c r="M201">
        <f>sales_data!B1229</f>
        <v>45937</v>
      </c>
      <c r="N201">
        <f>sales_data!C1229</f>
        <v>7</v>
      </c>
      <c r="O201" t="str">
        <f>sales_data!D1229</f>
        <v>Октябрь</v>
      </c>
      <c r="P201" t="str">
        <f>sales_data!E1229</f>
        <v>Павел</v>
      </c>
      <c r="Q201" t="str">
        <f>sales_data!F1229</f>
        <v>Казань</v>
      </c>
      <c r="R201" t="str">
        <f>sales_data!G1229</f>
        <v>Приволжский</v>
      </c>
      <c r="S201" t="str">
        <f>sales_data!H1229</f>
        <v>Аксессуары</v>
      </c>
      <c r="T201" t="str">
        <f>sales_data!I1229</f>
        <v>Power Bank</v>
      </c>
      <c r="U201" t="str">
        <f>sales_data!J1229</f>
        <v>Розница</v>
      </c>
      <c r="V201">
        <f>sales_data!K1229</f>
        <v>2</v>
      </c>
      <c r="W201">
        <f>sales_data!L1229</f>
        <v>3100</v>
      </c>
      <c r="X201">
        <f>sales_data!M1229</f>
        <v>6200</v>
      </c>
      <c r="Y201" t="str">
        <f>sales_data!N1229</f>
        <v>Интернет-магазин</v>
      </c>
      <c r="Z201" t="str">
        <f>sales_data!O1229</f>
        <v>Доставлен</v>
      </c>
    </row>
    <row r="202" spans="12:26" x14ac:dyDescent="0.25">
      <c r="L202">
        <f>sales_data!A1230</f>
        <v>383</v>
      </c>
      <c r="M202">
        <f>sales_data!B1230</f>
        <v>45990</v>
      </c>
      <c r="N202">
        <f>sales_data!C1230</f>
        <v>29</v>
      </c>
      <c r="O202" t="str">
        <f>sales_data!D1230</f>
        <v>Ноябрь</v>
      </c>
      <c r="P202" t="str">
        <f>sales_data!E1230</f>
        <v>Светлана</v>
      </c>
      <c r="Q202" t="str">
        <f>sales_data!F1230</f>
        <v>Челябинск</v>
      </c>
      <c r="R202" t="str">
        <f>sales_data!G1230</f>
        <v>Уральский</v>
      </c>
      <c r="S202" t="str">
        <f>sales_data!H1230</f>
        <v>Периферия</v>
      </c>
      <c r="T202" t="str">
        <f>sales_data!I1230</f>
        <v>Keyboard</v>
      </c>
      <c r="U202" t="str">
        <f>sales_data!J1230</f>
        <v>Розница</v>
      </c>
      <c r="V202">
        <f>sales_data!K1230</f>
        <v>7</v>
      </c>
      <c r="W202">
        <f>sales_data!L1230</f>
        <v>3100</v>
      </c>
      <c r="X202">
        <f>sales_data!M1230</f>
        <v>21700</v>
      </c>
      <c r="Y202" t="str">
        <f>sales_data!N1230</f>
        <v>Офлайн-точка</v>
      </c>
      <c r="Z202" t="str">
        <f>sales_data!O1230</f>
        <v>Доставлен</v>
      </c>
    </row>
    <row r="203" spans="12:26" x14ac:dyDescent="0.25">
      <c r="L203">
        <f>sales_data!A1252</f>
        <v>3445</v>
      </c>
      <c r="M203">
        <f>sales_data!B1252</f>
        <v>45714</v>
      </c>
      <c r="N203">
        <f>sales_data!C1252</f>
        <v>26</v>
      </c>
      <c r="O203" t="str">
        <f>sales_data!D1252</f>
        <v>Февраль</v>
      </c>
      <c r="P203" t="str">
        <f>sales_data!E1252</f>
        <v>Алексей</v>
      </c>
      <c r="Q203" t="str">
        <f>sales_data!F1252</f>
        <v>Краснодар</v>
      </c>
      <c r="R203" t="str">
        <f>sales_data!G1252</f>
        <v>Южный</v>
      </c>
      <c r="S203" t="str">
        <f>sales_data!H1252</f>
        <v>Периферия</v>
      </c>
      <c r="T203" t="str">
        <f>sales_data!I1252</f>
        <v>Keyboard</v>
      </c>
      <c r="U203" t="str">
        <f>sales_data!J1252</f>
        <v>Опт</v>
      </c>
      <c r="V203">
        <f>sales_data!K1252</f>
        <v>43</v>
      </c>
      <c r="W203">
        <f>sales_data!L1252</f>
        <v>3100</v>
      </c>
      <c r="X203">
        <f>sales_data!M1252</f>
        <v>133300</v>
      </c>
      <c r="Y203" t="str">
        <f>sales_data!N1252</f>
        <v>Интернет-магазин</v>
      </c>
      <c r="Z203" t="str">
        <f>sales_data!O1252</f>
        <v>В пути</v>
      </c>
    </row>
    <row r="204" spans="12:26" x14ac:dyDescent="0.25">
      <c r="L204">
        <f>sales_data!A1255</f>
        <v>4552</v>
      </c>
      <c r="M204">
        <f>sales_data!B1255</f>
        <v>45761</v>
      </c>
      <c r="N204">
        <f>sales_data!C1255</f>
        <v>14</v>
      </c>
      <c r="O204" t="str">
        <f>sales_data!D1255</f>
        <v>Апрель</v>
      </c>
      <c r="P204" t="str">
        <f>sales_data!E1255</f>
        <v>Елена</v>
      </c>
      <c r="Q204" t="str">
        <f>sales_data!F1255</f>
        <v>Ростов-на-Дону</v>
      </c>
      <c r="R204" t="str">
        <f>sales_data!G1255</f>
        <v>Южный</v>
      </c>
      <c r="S204" t="str">
        <f>sales_data!H1255</f>
        <v>Периферия</v>
      </c>
      <c r="T204" t="str">
        <f>sales_data!I1255</f>
        <v>Keyboard</v>
      </c>
      <c r="U204" t="str">
        <f>sales_data!J1255</f>
        <v>Опт</v>
      </c>
      <c r="V204">
        <f>sales_data!K1255</f>
        <v>38</v>
      </c>
      <c r="W204">
        <f>sales_data!L1255</f>
        <v>3100</v>
      </c>
      <c r="X204">
        <f>sales_data!M1255</f>
        <v>117800</v>
      </c>
      <c r="Y204" t="str">
        <f>sales_data!N1255</f>
        <v>Офлайн-точка</v>
      </c>
      <c r="Z204" t="str">
        <f>sales_data!O1255</f>
        <v>Отменён</v>
      </c>
    </row>
    <row r="205" spans="12:26" x14ac:dyDescent="0.25">
      <c r="L205">
        <f>sales_data!A1256</f>
        <v>553</v>
      </c>
      <c r="M205">
        <f>sales_data!B1256</f>
        <v>45749</v>
      </c>
      <c r="N205">
        <f>sales_data!C1256</f>
        <v>2</v>
      </c>
      <c r="O205" t="str">
        <f>sales_data!D1256</f>
        <v>Апрель</v>
      </c>
      <c r="P205" t="str">
        <f>sales_data!E1256</f>
        <v>Наталья</v>
      </c>
      <c r="Q205" t="str">
        <f>sales_data!F1256</f>
        <v>Екатеринбург</v>
      </c>
      <c r="R205" t="str">
        <f>sales_data!G1256</f>
        <v>Уральский</v>
      </c>
      <c r="S205" t="str">
        <f>sales_data!H1256</f>
        <v>Аксессуары</v>
      </c>
      <c r="T205" t="str">
        <f>sales_data!I1256</f>
        <v>Power Bank</v>
      </c>
      <c r="U205" t="str">
        <f>sales_data!J1256</f>
        <v>Розница</v>
      </c>
      <c r="V205">
        <f>sales_data!K1256</f>
        <v>5</v>
      </c>
      <c r="W205">
        <f>sales_data!L1256</f>
        <v>3200</v>
      </c>
      <c r="X205">
        <f>sales_data!M1256</f>
        <v>16000</v>
      </c>
      <c r="Y205" t="str">
        <f>sales_data!N1256</f>
        <v>Офлайн-точка</v>
      </c>
      <c r="Z205" t="str">
        <f>sales_data!O1256</f>
        <v>В пути</v>
      </c>
    </row>
    <row r="206" spans="12:26" x14ac:dyDescent="0.25">
      <c r="L206">
        <f>sales_data!A1258</f>
        <v>790</v>
      </c>
      <c r="M206">
        <f>sales_data!B1258</f>
        <v>45838</v>
      </c>
      <c r="N206">
        <f>sales_data!C1258</f>
        <v>30</v>
      </c>
      <c r="O206" t="str">
        <f>sales_data!D1258</f>
        <v>Июнь</v>
      </c>
      <c r="P206" t="str">
        <f>sales_data!E1258</f>
        <v>Наталья</v>
      </c>
      <c r="Q206" t="str">
        <f>sales_data!F1258</f>
        <v>Екатеринбург</v>
      </c>
      <c r="R206" t="str">
        <f>sales_data!G1258</f>
        <v>Уральский</v>
      </c>
      <c r="S206" t="str">
        <f>sales_data!H1258</f>
        <v>Периферия</v>
      </c>
      <c r="T206" t="str">
        <f>sales_data!I1258</f>
        <v>Keyboard</v>
      </c>
      <c r="U206" t="str">
        <f>sales_data!J1258</f>
        <v>Розница</v>
      </c>
      <c r="V206">
        <f>sales_data!K1258</f>
        <v>10</v>
      </c>
      <c r="W206">
        <f>sales_data!L1258</f>
        <v>3200</v>
      </c>
      <c r="X206">
        <f>sales_data!M1258</f>
        <v>32000</v>
      </c>
      <c r="Y206" t="str">
        <f>sales_data!N1258</f>
        <v>Офлайн-точка</v>
      </c>
      <c r="Z206" t="str">
        <f>sales_data!O1258</f>
        <v>Отменён</v>
      </c>
    </row>
    <row r="207" spans="12:26" x14ac:dyDescent="0.25">
      <c r="L207">
        <f>sales_data!A1267</f>
        <v>1577</v>
      </c>
      <c r="M207">
        <f>sales_data!B1267</f>
        <v>45714</v>
      </c>
      <c r="N207">
        <f>sales_data!C1267</f>
        <v>26</v>
      </c>
      <c r="O207" t="str">
        <f>sales_data!D1267</f>
        <v>Февраль</v>
      </c>
      <c r="P207" t="str">
        <f>sales_data!E1267</f>
        <v>Сергей</v>
      </c>
      <c r="Q207" t="str">
        <f>sales_data!F1267</f>
        <v>Омск</v>
      </c>
      <c r="R207" t="str">
        <f>sales_data!G1267</f>
        <v>Сибирский</v>
      </c>
      <c r="S207" t="str">
        <f>sales_data!H1267</f>
        <v>Периферия</v>
      </c>
      <c r="T207" t="str">
        <f>sales_data!I1267</f>
        <v>Keyboard</v>
      </c>
      <c r="U207" t="str">
        <f>sales_data!J1267</f>
        <v>Розница</v>
      </c>
      <c r="V207">
        <f>sales_data!K1267</f>
        <v>1</v>
      </c>
      <c r="W207">
        <f>sales_data!L1267</f>
        <v>3200</v>
      </c>
      <c r="X207">
        <f>sales_data!M1267</f>
        <v>3200</v>
      </c>
      <c r="Y207" t="str">
        <f>sales_data!N1267</f>
        <v>Офлайн-точка</v>
      </c>
      <c r="Z207" t="str">
        <f>sales_data!O1267</f>
        <v>Доставлен</v>
      </c>
    </row>
    <row r="208" spans="12:26" x14ac:dyDescent="0.25">
      <c r="L208">
        <f>sales_data!A1268</f>
        <v>1710</v>
      </c>
      <c r="M208">
        <f>sales_data!B1268</f>
        <v>45719</v>
      </c>
      <c r="N208">
        <f>sales_data!C1268</f>
        <v>3</v>
      </c>
      <c r="O208" t="str">
        <f>sales_data!D1268</f>
        <v>Март</v>
      </c>
      <c r="P208" t="str">
        <f>sales_data!E1268</f>
        <v>Татьяна</v>
      </c>
      <c r="Q208" t="str">
        <f>sales_data!F1268</f>
        <v>Новосибирск</v>
      </c>
      <c r="R208" t="str">
        <f>sales_data!G1268</f>
        <v>Сибирский</v>
      </c>
      <c r="S208" t="str">
        <f>sales_data!H1268</f>
        <v>Периферия</v>
      </c>
      <c r="T208" t="str">
        <f>sales_data!I1268</f>
        <v>Webcam</v>
      </c>
      <c r="U208" t="str">
        <f>sales_data!J1268</f>
        <v>Опт</v>
      </c>
      <c r="V208">
        <f>sales_data!K1268</f>
        <v>41</v>
      </c>
      <c r="W208">
        <f>sales_data!L1268</f>
        <v>3200</v>
      </c>
      <c r="X208">
        <f>sales_data!M1268</f>
        <v>131200</v>
      </c>
      <c r="Y208" t="str">
        <f>sales_data!N1268</f>
        <v>Интернет-магазин</v>
      </c>
      <c r="Z208" t="str">
        <f>sales_data!O1268</f>
        <v>Отменён</v>
      </c>
    </row>
    <row r="209" spans="12:26" x14ac:dyDescent="0.25">
      <c r="L209">
        <f>sales_data!A1270</f>
        <v>2226</v>
      </c>
      <c r="M209">
        <f>sales_data!B1270</f>
        <v>45687</v>
      </c>
      <c r="N209">
        <f>sales_data!C1270</f>
        <v>30</v>
      </c>
      <c r="O209" t="str">
        <f>sales_data!D1270</f>
        <v>Январь</v>
      </c>
      <c r="P209" t="str">
        <f>sales_data!E1270</f>
        <v>Борис</v>
      </c>
      <c r="Q209" t="str">
        <f>sales_data!F1270</f>
        <v>Екатеринбург</v>
      </c>
      <c r="R209" t="str">
        <f>sales_data!G1270</f>
        <v>Уральский</v>
      </c>
      <c r="S209" t="str">
        <f>sales_data!H1270</f>
        <v>Аксессуары</v>
      </c>
      <c r="T209" t="str">
        <f>sales_data!I1270</f>
        <v>Power Bank</v>
      </c>
      <c r="U209" t="str">
        <f>sales_data!J1270</f>
        <v>Розница</v>
      </c>
      <c r="V209">
        <f>sales_data!K1270</f>
        <v>9</v>
      </c>
      <c r="W209">
        <f>sales_data!L1270</f>
        <v>3200</v>
      </c>
      <c r="X209">
        <f>sales_data!M1270</f>
        <v>28800</v>
      </c>
      <c r="Y209" t="str">
        <f>sales_data!N1270</f>
        <v>Офлайн-точка</v>
      </c>
      <c r="Z209" t="str">
        <f>sales_data!O1270</f>
        <v>Доставлен</v>
      </c>
    </row>
    <row r="210" spans="12:26" x14ac:dyDescent="0.25">
      <c r="L210">
        <f>sales_data!A1278</f>
        <v>3837</v>
      </c>
      <c r="M210">
        <f>sales_data!B1278</f>
        <v>45941</v>
      </c>
      <c r="N210">
        <f>sales_data!C1278</f>
        <v>11</v>
      </c>
      <c r="O210" t="str">
        <f>sales_data!D1278</f>
        <v>Октябрь</v>
      </c>
      <c r="P210" t="str">
        <f>sales_data!E1278</f>
        <v>Анна</v>
      </c>
      <c r="Q210" t="str">
        <f>sales_data!F1278</f>
        <v>Санкт-Петербург</v>
      </c>
      <c r="R210" t="str">
        <f>sales_data!G1278</f>
        <v>Северо-Западный</v>
      </c>
      <c r="S210" t="str">
        <f>sales_data!H1278</f>
        <v>Периферия</v>
      </c>
      <c r="T210" t="str">
        <f>sales_data!I1278</f>
        <v>Keyboard</v>
      </c>
      <c r="U210" t="str">
        <f>sales_data!J1278</f>
        <v>Опт</v>
      </c>
      <c r="V210">
        <f>sales_data!K1278</f>
        <v>20</v>
      </c>
      <c r="W210">
        <f>sales_data!L1278</f>
        <v>3200</v>
      </c>
      <c r="X210">
        <f>sales_data!M1278</f>
        <v>64000</v>
      </c>
      <c r="Y210" t="str">
        <f>sales_data!N1278</f>
        <v>Офлайн-точка</v>
      </c>
      <c r="Z210" t="str">
        <f>sales_data!O1278</f>
        <v>Отменён</v>
      </c>
    </row>
    <row r="211" spans="12:26" x14ac:dyDescent="0.25">
      <c r="L211">
        <f>sales_data!A1283</f>
        <v>4237</v>
      </c>
      <c r="M211">
        <f>sales_data!B1283</f>
        <v>45704</v>
      </c>
      <c r="N211">
        <f>sales_data!C1283</f>
        <v>16</v>
      </c>
      <c r="O211" t="str">
        <f>sales_data!D1283</f>
        <v>Февраль</v>
      </c>
      <c r="P211" t="str">
        <f>sales_data!E1283</f>
        <v>Анна</v>
      </c>
      <c r="Q211" t="str">
        <f>sales_data!F1283</f>
        <v>Воронеж</v>
      </c>
      <c r="R211" t="str">
        <f>sales_data!G1283</f>
        <v>Центральный</v>
      </c>
      <c r="S211" t="str">
        <f>sales_data!H1283</f>
        <v>Аксессуары</v>
      </c>
      <c r="T211" t="str">
        <f>sales_data!I1283</f>
        <v>Power Bank</v>
      </c>
      <c r="U211" t="str">
        <f>sales_data!J1283</f>
        <v>Розница</v>
      </c>
      <c r="V211">
        <f>sales_data!K1283</f>
        <v>8</v>
      </c>
      <c r="W211">
        <f>sales_data!L1283</f>
        <v>3200</v>
      </c>
      <c r="X211">
        <f>sales_data!M1283</f>
        <v>25600</v>
      </c>
      <c r="Y211" t="str">
        <f>sales_data!N1283</f>
        <v>Интернет-магазин</v>
      </c>
      <c r="Z211" t="str">
        <f>sales_data!O1283</f>
        <v>Доставлен</v>
      </c>
    </row>
    <row r="212" spans="12:26" x14ac:dyDescent="0.25">
      <c r="L212">
        <f>sales_data!A1284</f>
        <v>4258</v>
      </c>
      <c r="M212">
        <f>sales_data!B1284</f>
        <v>45994</v>
      </c>
      <c r="N212">
        <f>sales_data!C1284</f>
        <v>3</v>
      </c>
      <c r="O212" t="str">
        <f>sales_data!D1284</f>
        <v>Декабрь</v>
      </c>
      <c r="P212" t="str">
        <f>sales_data!E1284</f>
        <v>Владимир</v>
      </c>
      <c r="Q212" t="str">
        <f>sales_data!F1284</f>
        <v>Нижний Новгород</v>
      </c>
      <c r="R212" t="str">
        <f>sales_data!G1284</f>
        <v>Приволжский</v>
      </c>
      <c r="S212" t="str">
        <f>sales_data!H1284</f>
        <v>Периферия</v>
      </c>
      <c r="T212" t="str">
        <f>sales_data!I1284</f>
        <v>Keyboard</v>
      </c>
      <c r="U212" t="str">
        <f>sales_data!J1284</f>
        <v>Опт</v>
      </c>
      <c r="V212">
        <f>sales_data!K1284</f>
        <v>44</v>
      </c>
      <c r="W212">
        <f>sales_data!L1284</f>
        <v>3200</v>
      </c>
      <c r="X212">
        <f>sales_data!M1284</f>
        <v>140800</v>
      </c>
      <c r="Y212" t="str">
        <f>sales_data!N1284</f>
        <v>Офлайн-точка</v>
      </c>
      <c r="Z212" t="str">
        <f>sales_data!O1284</f>
        <v>Отменён</v>
      </c>
    </row>
    <row r="213" spans="12:26" x14ac:dyDescent="0.25">
      <c r="L213">
        <f>sales_data!A1289</f>
        <v>4882</v>
      </c>
      <c r="M213">
        <f>sales_data!B1289</f>
        <v>45775</v>
      </c>
      <c r="N213">
        <f>sales_data!C1289</f>
        <v>28</v>
      </c>
      <c r="O213" t="str">
        <f>sales_data!D1289</f>
        <v>Апрель</v>
      </c>
      <c r="P213" t="str">
        <f>sales_data!E1289</f>
        <v>Владимир</v>
      </c>
      <c r="Q213" t="str">
        <f>sales_data!F1289</f>
        <v>Краснодар</v>
      </c>
      <c r="R213" t="str">
        <f>sales_data!G1289</f>
        <v>Южный</v>
      </c>
      <c r="S213" t="str">
        <f>sales_data!H1289</f>
        <v>Аксессуары</v>
      </c>
      <c r="T213" t="str">
        <f>sales_data!I1289</f>
        <v>Power Bank</v>
      </c>
      <c r="U213" t="str">
        <f>sales_data!J1289</f>
        <v>Розница</v>
      </c>
      <c r="V213">
        <f>sales_data!K1289</f>
        <v>6</v>
      </c>
      <c r="W213">
        <f>sales_data!L1289</f>
        <v>3200</v>
      </c>
      <c r="X213">
        <f>sales_data!M1289</f>
        <v>19200</v>
      </c>
      <c r="Y213" t="str">
        <f>sales_data!N1289</f>
        <v>Интернет-магазин</v>
      </c>
      <c r="Z213" t="str">
        <f>sales_data!O1289</f>
        <v>Отменён</v>
      </c>
    </row>
    <row r="214" spans="12:26" x14ac:dyDescent="0.25">
      <c r="L214">
        <f>sales_data!A1291</f>
        <v>564</v>
      </c>
      <c r="M214">
        <f>sales_data!B1291</f>
        <v>45693</v>
      </c>
      <c r="N214">
        <f>sales_data!C1291</f>
        <v>5</v>
      </c>
      <c r="O214" t="str">
        <f>sales_data!D1291</f>
        <v>Февраль</v>
      </c>
      <c r="P214" t="str">
        <f>sales_data!E1291</f>
        <v>Ксения</v>
      </c>
      <c r="Q214" t="str">
        <f>sales_data!F1291</f>
        <v>Новосибирск</v>
      </c>
      <c r="R214" t="str">
        <f>sales_data!G1291</f>
        <v>Сибирский</v>
      </c>
      <c r="S214" t="str">
        <f>sales_data!H1291</f>
        <v>Периферия</v>
      </c>
      <c r="T214" t="str">
        <f>sales_data!I1291</f>
        <v>Webcam</v>
      </c>
      <c r="U214" t="str">
        <f>sales_data!J1291</f>
        <v>Опт</v>
      </c>
      <c r="V214">
        <f>sales_data!K1291</f>
        <v>26</v>
      </c>
      <c r="W214">
        <f>sales_data!L1291</f>
        <v>3300</v>
      </c>
      <c r="X214">
        <f>sales_data!M1291</f>
        <v>85800</v>
      </c>
      <c r="Y214" t="str">
        <f>sales_data!N1291</f>
        <v>Офлайн-точка</v>
      </c>
      <c r="Z214" t="str">
        <f>sales_data!O1291</f>
        <v>Отменён</v>
      </c>
    </row>
    <row r="215" spans="12:26" x14ac:dyDescent="0.25">
      <c r="L215">
        <f>sales_data!A1292</f>
        <v>698</v>
      </c>
      <c r="M215">
        <f>sales_data!B1292</f>
        <v>45888</v>
      </c>
      <c r="N215">
        <f>sales_data!C1292</f>
        <v>19</v>
      </c>
      <c r="O215" t="str">
        <f>sales_data!D1292</f>
        <v>Август</v>
      </c>
      <c r="P215" t="str">
        <f>sales_data!E1292</f>
        <v>Павел</v>
      </c>
      <c r="Q215" t="str">
        <f>sales_data!F1292</f>
        <v>Москва</v>
      </c>
      <c r="R215" t="str">
        <f>sales_data!G1292</f>
        <v>Центральный</v>
      </c>
      <c r="S215" t="str">
        <f>sales_data!H1292</f>
        <v>Периферия</v>
      </c>
      <c r="T215" t="str">
        <f>sales_data!I1292</f>
        <v>Keyboard</v>
      </c>
      <c r="U215" t="str">
        <f>sales_data!J1292</f>
        <v>Розница</v>
      </c>
      <c r="V215">
        <f>sales_data!K1292</f>
        <v>4</v>
      </c>
      <c r="W215">
        <f>sales_data!L1292</f>
        <v>3300</v>
      </c>
      <c r="X215">
        <f>sales_data!M1292</f>
        <v>13200</v>
      </c>
      <c r="Y215" t="str">
        <f>sales_data!N1292</f>
        <v>Офлайн-точка</v>
      </c>
      <c r="Z215" t="str">
        <f>sales_data!O1292</f>
        <v>Отменён</v>
      </c>
    </row>
    <row r="216" spans="12:26" x14ac:dyDescent="0.25">
      <c r="L216">
        <f>sales_data!A1293</f>
        <v>753</v>
      </c>
      <c r="M216">
        <f>sales_data!B1293</f>
        <v>45926</v>
      </c>
      <c r="N216">
        <f>sales_data!C1293</f>
        <v>26</v>
      </c>
      <c r="O216" t="str">
        <f>sales_data!D1293</f>
        <v>Сентябрь</v>
      </c>
      <c r="P216" t="str">
        <f>sales_data!E1293</f>
        <v>Елена</v>
      </c>
      <c r="Q216" t="str">
        <f>sales_data!F1293</f>
        <v>Красноярск</v>
      </c>
      <c r="R216" t="str">
        <f>sales_data!G1293</f>
        <v>Сибирский</v>
      </c>
      <c r="S216" t="str">
        <f>sales_data!H1293</f>
        <v>Периферия</v>
      </c>
      <c r="T216" t="str">
        <f>sales_data!I1293</f>
        <v>Keyboard</v>
      </c>
      <c r="U216" t="str">
        <f>sales_data!J1293</f>
        <v>Розница</v>
      </c>
      <c r="V216">
        <f>sales_data!K1293</f>
        <v>9</v>
      </c>
      <c r="W216">
        <f>sales_data!L1293</f>
        <v>3300</v>
      </c>
      <c r="X216">
        <f>sales_data!M1293</f>
        <v>29700</v>
      </c>
      <c r="Y216" t="str">
        <f>sales_data!N1293</f>
        <v>Интернет-магазин</v>
      </c>
      <c r="Z216" t="str">
        <f>sales_data!O1293</f>
        <v>Доставлен</v>
      </c>
    </row>
    <row r="217" spans="12:26" x14ac:dyDescent="0.25">
      <c r="L217">
        <f>sales_data!A1295</f>
        <v>1696</v>
      </c>
      <c r="M217">
        <f>sales_data!B1295</f>
        <v>45791</v>
      </c>
      <c r="N217">
        <f>sales_data!C1295</f>
        <v>14</v>
      </c>
      <c r="O217" t="str">
        <f>sales_data!D1295</f>
        <v>Май</v>
      </c>
      <c r="P217" t="str">
        <f>sales_data!E1295</f>
        <v>Ксения</v>
      </c>
      <c r="Q217" t="str">
        <f>sales_data!F1295</f>
        <v>Уфа</v>
      </c>
      <c r="R217" t="str">
        <f>sales_data!G1295</f>
        <v>Приволжский</v>
      </c>
      <c r="S217" t="str">
        <f>sales_data!H1295</f>
        <v>Аксессуары</v>
      </c>
      <c r="T217" t="str">
        <f>sales_data!I1295</f>
        <v>Power Bank</v>
      </c>
      <c r="U217" t="str">
        <f>sales_data!J1295</f>
        <v>Розница</v>
      </c>
      <c r="V217">
        <f>sales_data!K1295</f>
        <v>8</v>
      </c>
      <c r="W217">
        <f>sales_data!L1295</f>
        <v>3300</v>
      </c>
      <c r="X217">
        <f>sales_data!M1295</f>
        <v>26400</v>
      </c>
      <c r="Y217" t="str">
        <f>sales_data!N1295</f>
        <v>Офлайн-точка</v>
      </c>
      <c r="Z217" t="str">
        <f>sales_data!O1295</f>
        <v>Отменён</v>
      </c>
    </row>
    <row r="218" spans="12:26" x14ac:dyDescent="0.25">
      <c r="L218">
        <f>sales_data!A1300</f>
        <v>2449</v>
      </c>
      <c r="M218">
        <f>sales_data!B1300</f>
        <v>45912</v>
      </c>
      <c r="N218">
        <f>sales_data!C1300</f>
        <v>12</v>
      </c>
      <c r="O218" t="str">
        <f>sales_data!D1300</f>
        <v>Сентябрь</v>
      </c>
      <c r="P218" t="str">
        <f>sales_data!E1300</f>
        <v>Ольга</v>
      </c>
      <c r="Q218" t="str">
        <f>sales_data!F1300</f>
        <v>Москва</v>
      </c>
      <c r="R218" t="str">
        <f>sales_data!G1300</f>
        <v>Центральный</v>
      </c>
      <c r="S218" t="str">
        <f>sales_data!H1300</f>
        <v>Периферия</v>
      </c>
      <c r="T218" t="str">
        <f>sales_data!I1300</f>
        <v>Webcam</v>
      </c>
      <c r="U218" t="str">
        <f>sales_data!J1300</f>
        <v>Опт</v>
      </c>
      <c r="V218">
        <f>sales_data!K1300</f>
        <v>15</v>
      </c>
      <c r="W218">
        <f>sales_data!L1300</f>
        <v>3300</v>
      </c>
      <c r="X218">
        <f>sales_data!M1300</f>
        <v>49500</v>
      </c>
      <c r="Y218" t="str">
        <f>sales_data!N1300</f>
        <v>Интернет-магазин</v>
      </c>
      <c r="Z218" t="str">
        <f>sales_data!O1300</f>
        <v>В пути</v>
      </c>
    </row>
    <row r="219" spans="12:26" x14ac:dyDescent="0.25">
      <c r="L219">
        <f>sales_data!A1308</f>
        <v>2963</v>
      </c>
      <c r="M219">
        <f>sales_data!B1308</f>
        <v>45838</v>
      </c>
      <c r="N219">
        <f>sales_data!C1308</f>
        <v>30</v>
      </c>
      <c r="O219" t="str">
        <f>sales_data!D1308</f>
        <v>Июнь</v>
      </c>
      <c r="P219" t="str">
        <f>sales_data!E1308</f>
        <v>Владимир</v>
      </c>
      <c r="Q219" t="str">
        <f>sales_data!F1308</f>
        <v>Челябинск</v>
      </c>
      <c r="R219" t="str">
        <f>sales_data!G1308</f>
        <v>Уральский</v>
      </c>
      <c r="S219" t="str">
        <f>sales_data!H1308</f>
        <v>Периферия</v>
      </c>
      <c r="T219" t="str">
        <f>sales_data!I1308</f>
        <v>Webcam</v>
      </c>
      <c r="U219" t="str">
        <f>sales_data!J1308</f>
        <v>Опт</v>
      </c>
      <c r="V219">
        <f>sales_data!K1308</f>
        <v>6</v>
      </c>
      <c r="W219">
        <f>sales_data!L1308</f>
        <v>3300</v>
      </c>
      <c r="X219">
        <f>sales_data!M1308</f>
        <v>19800</v>
      </c>
      <c r="Y219" t="str">
        <f>sales_data!N1308</f>
        <v>Офлайн-точка</v>
      </c>
      <c r="Z219" t="str">
        <f>sales_data!O1308</f>
        <v>В пути</v>
      </c>
    </row>
    <row r="220" spans="12:26" x14ac:dyDescent="0.25">
      <c r="L220">
        <f>sales_data!A1313</f>
        <v>3281</v>
      </c>
      <c r="M220">
        <f>sales_data!B1313</f>
        <v>46001</v>
      </c>
      <c r="N220">
        <f>sales_data!C1313</f>
        <v>10</v>
      </c>
      <c r="O220" t="str">
        <f>sales_data!D1313</f>
        <v>Декабрь</v>
      </c>
      <c r="P220" t="str">
        <f>sales_data!E1313</f>
        <v>Ксения</v>
      </c>
      <c r="Q220" t="str">
        <f>sales_data!F1313</f>
        <v>Самара</v>
      </c>
      <c r="R220" t="str">
        <f>sales_data!G1313</f>
        <v>Приволжский</v>
      </c>
      <c r="S220" t="str">
        <f>sales_data!H1313</f>
        <v>Периферия</v>
      </c>
      <c r="T220" t="str">
        <f>sales_data!I1313</f>
        <v>Webcam</v>
      </c>
      <c r="U220" t="str">
        <f>sales_data!J1313</f>
        <v>Опт</v>
      </c>
      <c r="V220">
        <f>sales_data!K1313</f>
        <v>42</v>
      </c>
      <c r="W220">
        <f>sales_data!L1313</f>
        <v>3300</v>
      </c>
      <c r="X220">
        <f>sales_data!M1313</f>
        <v>138600</v>
      </c>
      <c r="Y220" t="str">
        <f>sales_data!N1313</f>
        <v>Офлайн-точка</v>
      </c>
      <c r="Z220" t="str">
        <f>sales_data!O1313</f>
        <v>Отменён</v>
      </c>
    </row>
    <row r="221" spans="12:26" x14ac:dyDescent="0.25">
      <c r="L221">
        <f>sales_data!A1319</f>
        <v>4129</v>
      </c>
      <c r="M221">
        <f>sales_data!B1319</f>
        <v>45928</v>
      </c>
      <c r="N221">
        <f>sales_data!C1319</f>
        <v>28</v>
      </c>
      <c r="O221" t="str">
        <f>sales_data!D1319</f>
        <v>Сентябрь</v>
      </c>
      <c r="P221" t="str">
        <f>sales_data!E1319</f>
        <v>Ольга</v>
      </c>
      <c r="Q221" t="str">
        <f>sales_data!F1319</f>
        <v>Казань</v>
      </c>
      <c r="R221" t="str">
        <f>sales_data!G1319</f>
        <v>Приволжский</v>
      </c>
      <c r="S221" t="str">
        <f>sales_data!H1319</f>
        <v>Периферия</v>
      </c>
      <c r="T221" t="str">
        <f>sales_data!I1319</f>
        <v>Webcam</v>
      </c>
      <c r="U221" t="str">
        <f>sales_data!J1319</f>
        <v>Опт</v>
      </c>
      <c r="V221">
        <f>sales_data!K1319</f>
        <v>32</v>
      </c>
      <c r="W221">
        <f>sales_data!L1319</f>
        <v>3300</v>
      </c>
      <c r="X221">
        <f>sales_data!M1319</f>
        <v>105600</v>
      </c>
      <c r="Y221" t="str">
        <f>sales_data!N1319</f>
        <v>Интернет-магазин</v>
      </c>
      <c r="Z221" t="str">
        <f>sales_data!O1319</f>
        <v>Доставлен</v>
      </c>
    </row>
    <row r="222" spans="12:26" x14ac:dyDescent="0.25">
      <c r="L222">
        <f>sales_data!A1322</f>
        <v>4494</v>
      </c>
      <c r="M222">
        <f>sales_data!B1322</f>
        <v>45940</v>
      </c>
      <c r="N222">
        <f>sales_data!C1322</f>
        <v>10</v>
      </c>
      <c r="O222" t="str">
        <f>sales_data!D1322</f>
        <v>Октябрь</v>
      </c>
      <c r="P222" t="str">
        <f>sales_data!E1322</f>
        <v>Владимир</v>
      </c>
      <c r="Q222" t="str">
        <f>sales_data!F1322</f>
        <v>Новосибирск</v>
      </c>
      <c r="R222" t="str">
        <f>sales_data!G1322</f>
        <v>Сибирский</v>
      </c>
      <c r="S222" t="str">
        <f>sales_data!H1322</f>
        <v>Периферия</v>
      </c>
      <c r="T222" t="str">
        <f>sales_data!I1322</f>
        <v>Webcam</v>
      </c>
      <c r="U222" t="str">
        <f>sales_data!J1322</f>
        <v>Опт</v>
      </c>
      <c r="V222">
        <f>sales_data!K1322</f>
        <v>21</v>
      </c>
      <c r="W222">
        <f>sales_data!L1322</f>
        <v>3300</v>
      </c>
      <c r="X222">
        <f>sales_data!M1322</f>
        <v>69300</v>
      </c>
      <c r="Y222" t="str">
        <f>sales_data!N1322</f>
        <v>Офлайн-точка</v>
      </c>
      <c r="Z222" t="str">
        <f>sales_data!O1322</f>
        <v>Отменён</v>
      </c>
    </row>
    <row r="223" spans="12:26" x14ac:dyDescent="0.25">
      <c r="L223">
        <f>sales_data!A1323</f>
        <v>4514</v>
      </c>
      <c r="M223">
        <f>sales_data!B1323</f>
        <v>45954</v>
      </c>
      <c r="N223">
        <f>sales_data!C1323</f>
        <v>24</v>
      </c>
      <c r="O223" t="str">
        <f>sales_data!D1323</f>
        <v>Октябрь</v>
      </c>
      <c r="P223" t="str">
        <f>sales_data!E1323</f>
        <v>Елена</v>
      </c>
      <c r="Q223" t="str">
        <f>sales_data!F1323</f>
        <v>Воронеж</v>
      </c>
      <c r="R223" t="str">
        <f>sales_data!G1323</f>
        <v>Центральный</v>
      </c>
      <c r="S223" t="str">
        <f>sales_data!H1323</f>
        <v>Периферия</v>
      </c>
      <c r="T223" t="str">
        <f>sales_data!I1323</f>
        <v>Keyboard</v>
      </c>
      <c r="U223" t="str">
        <f>sales_data!J1323</f>
        <v>Розница</v>
      </c>
      <c r="V223">
        <f>sales_data!K1323</f>
        <v>5</v>
      </c>
      <c r="W223">
        <f>sales_data!L1323</f>
        <v>3300</v>
      </c>
      <c r="X223">
        <f>sales_data!M1323</f>
        <v>16500</v>
      </c>
      <c r="Y223" t="str">
        <f>sales_data!N1323</f>
        <v>Интернет-магазин</v>
      </c>
      <c r="Z223" t="str">
        <f>sales_data!O1323</f>
        <v>В пути</v>
      </c>
    </row>
    <row r="224" spans="12:26" x14ac:dyDescent="0.25">
      <c r="L224">
        <f>sales_data!A1331</f>
        <v>484</v>
      </c>
      <c r="M224">
        <f>sales_data!B1331</f>
        <v>45839</v>
      </c>
      <c r="N224">
        <f>sales_data!C1331</f>
        <v>1</v>
      </c>
      <c r="O224" t="str">
        <f>sales_data!D1331</f>
        <v>Июль</v>
      </c>
      <c r="P224" t="str">
        <f>sales_data!E1331</f>
        <v>Дмитрий</v>
      </c>
      <c r="Q224" t="str">
        <f>sales_data!F1331</f>
        <v>Уфа</v>
      </c>
      <c r="R224" t="str">
        <f>sales_data!G1331</f>
        <v>Приволжский</v>
      </c>
      <c r="S224" t="str">
        <f>sales_data!H1331</f>
        <v>Периферия</v>
      </c>
      <c r="T224" t="str">
        <f>sales_data!I1331</f>
        <v>Webcam</v>
      </c>
      <c r="U224" t="str">
        <f>sales_data!J1331</f>
        <v>Опт</v>
      </c>
      <c r="V224">
        <f>sales_data!K1331</f>
        <v>28</v>
      </c>
      <c r="W224">
        <f>sales_data!L1331</f>
        <v>3400</v>
      </c>
      <c r="X224">
        <f>sales_data!M1331</f>
        <v>95200</v>
      </c>
      <c r="Y224" t="str">
        <f>sales_data!N1331</f>
        <v>Офлайн-точка</v>
      </c>
      <c r="Z224" t="str">
        <f>sales_data!O1331</f>
        <v>Отменён</v>
      </c>
    </row>
    <row r="225" spans="12:26" x14ac:dyDescent="0.25">
      <c r="L225">
        <f>sales_data!A1333</f>
        <v>1129</v>
      </c>
      <c r="M225">
        <f>sales_data!B1333</f>
        <v>45811</v>
      </c>
      <c r="N225">
        <f>sales_data!C1333</f>
        <v>3</v>
      </c>
      <c r="O225" t="str">
        <f>sales_data!D1333</f>
        <v>Июнь</v>
      </c>
      <c r="P225" t="str">
        <f>sales_data!E1333</f>
        <v>Елена</v>
      </c>
      <c r="Q225" t="str">
        <f>sales_data!F1333</f>
        <v>Пермь</v>
      </c>
      <c r="R225" t="str">
        <f>sales_data!G1333</f>
        <v>Приволжский</v>
      </c>
      <c r="S225" t="str">
        <f>sales_data!H1333</f>
        <v>Периферия</v>
      </c>
      <c r="T225" t="str">
        <f>sales_data!I1333</f>
        <v>Webcam</v>
      </c>
      <c r="U225" t="str">
        <f>sales_data!J1333</f>
        <v>Опт</v>
      </c>
      <c r="V225">
        <f>sales_data!K1333</f>
        <v>42</v>
      </c>
      <c r="W225">
        <f>sales_data!L1333</f>
        <v>3400</v>
      </c>
      <c r="X225">
        <f>sales_data!M1333</f>
        <v>142800</v>
      </c>
      <c r="Y225" t="str">
        <f>sales_data!N1333</f>
        <v>Интернет-магазин</v>
      </c>
      <c r="Z225" t="str">
        <f>sales_data!O1333</f>
        <v>В пути</v>
      </c>
    </row>
    <row r="226" spans="12:26" x14ac:dyDescent="0.25">
      <c r="L226">
        <f>sales_data!A1339</f>
        <v>1841</v>
      </c>
      <c r="M226">
        <f>sales_data!B1339</f>
        <v>45966</v>
      </c>
      <c r="N226">
        <f>sales_data!C1339</f>
        <v>5</v>
      </c>
      <c r="O226" t="str">
        <f>sales_data!D1339</f>
        <v>Ноябрь</v>
      </c>
      <c r="P226" t="str">
        <f>sales_data!E1339</f>
        <v>Светлана</v>
      </c>
      <c r="Q226" t="str">
        <f>sales_data!F1339</f>
        <v>Омск</v>
      </c>
      <c r="R226" t="str">
        <f>sales_data!G1339</f>
        <v>Сибирский</v>
      </c>
      <c r="S226" t="str">
        <f>sales_data!H1339</f>
        <v>Периферия</v>
      </c>
      <c r="T226" t="str">
        <f>sales_data!I1339</f>
        <v>Webcam</v>
      </c>
      <c r="U226" t="str">
        <f>sales_data!J1339</f>
        <v>Опт</v>
      </c>
      <c r="V226">
        <f>sales_data!K1339</f>
        <v>33</v>
      </c>
      <c r="W226">
        <f>sales_data!L1339</f>
        <v>3400</v>
      </c>
      <c r="X226">
        <f>sales_data!M1339</f>
        <v>112200</v>
      </c>
      <c r="Y226" t="str">
        <f>sales_data!N1339</f>
        <v>Интернет-магазин</v>
      </c>
      <c r="Z226" t="str">
        <f>sales_data!O1339</f>
        <v>Отменён</v>
      </c>
    </row>
    <row r="227" spans="12:26" x14ac:dyDescent="0.25">
      <c r="L227">
        <f>sales_data!A1344</f>
        <v>2306</v>
      </c>
      <c r="M227">
        <f>sales_data!B1344</f>
        <v>45698</v>
      </c>
      <c r="N227">
        <f>sales_data!C1344</f>
        <v>10</v>
      </c>
      <c r="O227" t="str">
        <f>sales_data!D1344</f>
        <v>Февраль</v>
      </c>
      <c r="P227" t="str">
        <f>sales_data!E1344</f>
        <v>Татьяна</v>
      </c>
      <c r="Q227" t="str">
        <f>sales_data!F1344</f>
        <v>Ростов-на-Дону</v>
      </c>
      <c r="R227" t="str">
        <f>sales_data!G1344</f>
        <v>Южный</v>
      </c>
      <c r="S227" t="str">
        <f>sales_data!H1344</f>
        <v>Периферия</v>
      </c>
      <c r="T227" t="str">
        <f>sales_data!I1344</f>
        <v>Keyboard</v>
      </c>
      <c r="U227" t="str">
        <f>sales_data!J1344</f>
        <v>Опт</v>
      </c>
      <c r="V227">
        <f>sales_data!K1344</f>
        <v>35</v>
      </c>
      <c r="W227">
        <f>sales_data!L1344</f>
        <v>3400</v>
      </c>
      <c r="X227">
        <f>sales_data!M1344</f>
        <v>119000</v>
      </c>
      <c r="Y227" t="str">
        <f>sales_data!N1344</f>
        <v>Интернет-магазин</v>
      </c>
      <c r="Z227" t="str">
        <f>sales_data!O1344</f>
        <v>В пути</v>
      </c>
    </row>
    <row r="228" spans="12:26" x14ac:dyDescent="0.25">
      <c r="L228">
        <f>sales_data!A1352</f>
        <v>3862</v>
      </c>
      <c r="M228">
        <f>sales_data!B1352</f>
        <v>45767</v>
      </c>
      <c r="N228">
        <f>sales_data!C1352</f>
        <v>20</v>
      </c>
      <c r="O228" t="str">
        <f>sales_data!D1352</f>
        <v>Апрель</v>
      </c>
      <c r="P228" t="str">
        <f>sales_data!E1352</f>
        <v>Сергей</v>
      </c>
      <c r="Q228" t="str">
        <f>sales_data!F1352</f>
        <v>Ростов-на-Дону</v>
      </c>
      <c r="R228" t="str">
        <f>sales_data!G1352</f>
        <v>Южный</v>
      </c>
      <c r="S228" t="str">
        <f>sales_data!H1352</f>
        <v>Периферия</v>
      </c>
      <c r="T228" t="str">
        <f>sales_data!I1352</f>
        <v>Keyboard</v>
      </c>
      <c r="U228" t="str">
        <f>sales_data!J1352</f>
        <v>Розница</v>
      </c>
      <c r="V228">
        <f>sales_data!K1352</f>
        <v>3</v>
      </c>
      <c r="W228">
        <f>sales_data!L1352</f>
        <v>3400</v>
      </c>
      <c r="X228">
        <f>sales_data!M1352</f>
        <v>10200</v>
      </c>
      <c r="Y228" t="str">
        <f>sales_data!N1352</f>
        <v>Офлайн-точка</v>
      </c>
      <c r="Z228" t="str">
        <f>sales_data!O1352</f>
        <v>В пути</v>
      </c>
    </row>
    <row r="229" spans="12:26" x14ac:dyDescent="0.25">
      <c r="L229">
        <f>sales_data!A1374</f>
        <v>1283</v>
      </c>
      <c r="M229">
        <f>sales_data!B1374</f>
        <v>45982</v>
      </c>
      <c r="N229">
        <f>sales_data!C1374</f>
        <v>21</v>
      </c>
      <c r="O229" t="str">
        <f>sales_data!D1374</f>
        <v>Ноябрь</v>
      </c>
      <c r="P229" t="str">
        <f>sales_data!E1374</f>
        <v>Дмитрий</v>
      </c>
      <c r="Q229" t="str">
        <f>sales_data!F1374</f>
        <v>Новосибирск</v>
      </c>
      <c r="R229" t="str">
        <f>sales_data!G1374</f>
        <v>Сибирский</v>
      </c>
      <c r="S229" t="str">
        <f>sales_data!H1374</f>
        <v>Периферия</v>
      </c>
      <c r="T229" t="str">
        <f>sales_data!I1374</f>
        <v>Webcam</v>
      </c>
      <c r="U229" t="str">
        <f>sales_data!J1374</f>
        <v>Опт</v>
      </c>
      <c r="V229">
        <f>sales_data!K1374</f>
        <v>8</v>
      </c>
      <c r="W229">
        <f>sales_data!L1374</f>
        <v>3500</v>
      </c>
      <c r="X229">
        <f>sales_data!M1374</f>
        <v>28000</v>
      </c>
      <c r="Y229" t="str">
        <f>sales_data!N1374</f>
        <v>Офлайн-точка</v>
      </c>
      <c r="Z229" t="str">
        <f>sales_data!O1374</f>
        <v>Отменён</v>
      </c>
    </row>
    <row r="230" spans="12:26" x14ac:dyDescent="0.25">
      <c r="L230">
        <f>sales_data!A1375</f>
        <v>1323</v>
      </c>
      <c r="M230">
        <f>sales_data!B1375</f>
        <v>45800</v>
      </c>
      <c r="N230">
        <f>sales_data!C1375</f>
        <v>23</v>
      </c>
      <c r="O230" t="str">
        <f>sales_data!D1375</f>
        <v>Май</v>
      </c>
      <c r="P230" t="str">
        <f>sales_data!E1375</f>
        <v>Светлана</v>
      </c>
      <c r="Q230" t="str">
        <f>sales_data!F1375</f>
        <v>Санкт-Петербург</v>
      </c>
      <c r="R230" t="str">
        <f>sales_data!G1375</f>
        <v>Северо-Западный</v>
      </c>
      <c r="S230" t="str">
        <f>sales_data!H1375</f>
        <v>Периферия</v>
      </c>
      <c r="T230" t="str">
        <f>sales_data!I1375</f>
        <v>Keyboard</v>
      </c>
      <c r="U230" t="str">
        <f>sales_data!J1375</f>
        <v>Розница</v>
      </c>
      <c r="V230">
        <f>sales_data!K1375</f>
        <v>7</v>
      </c>
      <c r="W230">
        <f>sales_data!L1375</f>
        <v>3500</v>
      </c>
      <c r="X230">
        <f>sales_data!M1375</f>
        <v>24500</v>
      </c>
      <c r="Y230" t="str">
        <f>sales_data!N1375</f>
        <v>Офлайн-точка</v>
      </c>
      <c r="Z230" t="str">
        <f>sales_data!O1375</f>
        <v>В пути</v>
      </c>
    </row>
    <row r="231" spans="12:26" x14ac:dyDescent="0.25">
      <c r="L231">
        <f>sales_data!A1380</f>
        <v>1601</v>
      </c>
      <c r="M231">
        <f>sales_data!B1380</f>
        <v>45894</v>
      </c>
      <c r="N231">
        <f>sales_data!C1380</f>
        <v>25</v>
      </c>
      <c r="O231" t="str">
        <f>sales_data!D1380</f>
        <v>Август</v>
      </c>
      <c r="P231" t="str">
        <f>sales_data!E1380</f>
        <v>Дмитрий</v>
      </c>
      <c r="Q231" t="str">
        <f>sales_data!F1380</f>
        <v>Воронеж</v>
      </c>
      <c r="R231" t="str">
        <f>sales_data!G1380</f>
        <v>Центральный</v>
      </c>
      <c r="S231" t="str">
        <f>sales_data!H1380</f>
        <v>Периферия</v>
      </c>
      <c r="T231" t="str">
        <f>sales_data!I1380</f>
        <v>Keyboard</v>
      </c>
      <c r="U231" t="str">
        <f>sales_data!J1380</f>
        <v>Розница</v>
      </c>
      <c r="V231">
        <f>sales_data!K1380</f>
        <v>9</v>
      </c>
      <c r="W231">
        <f>sales_data!L1380</f>
        <v>3500</v>
      </c>
      <c r="X231">
        <f>sales_data!M1380</f>
        <v>31500</v>
      </c>
      <c r="Y231" t="str">
        <f>sales_data!N1380</f>
        <v>Офлайн-точка</v>
      </c>
      <c r="Z231" t="str">
        <f>sales_data!O1380</f>
        <v>Доставлен</v>
      </c>
    </row>
    <row r="232" spans="12:26" x14ac:dyDescent="0.25">
      <c r="L232">
        <f>sales_data!A1384</f>
        <v>1963</v>
      </c>
      <c r="M232">
        <f>sales_data!B1384</f>
        <v>45798</v>
      </c>
      <c r="N232">
        <f>sales_data!C1384</f>
        <v>21</v>
      </c>
      <c r="O232" t="str">
        <f>sales_data!D1384</f>
        <v>Май</v>
      </c>
      <c r="P232" t="str">
        <f>sales_data!E1384</f>
        <v>Ксения</v>
      </c>
      <c r="Q232" t="str">
        <f>sales_data!F1384</f>
        <v>Москва</v>
      </c>
      <c r="R232" t="str">
        <f>sales_data!G1384</f>
        <v>Центральный</v>
      </c>
      <c r="S232" t="str">
        <f>sales_data!H1384</f>
        <v>Периферия</v>
      </c>
      <c r="T232" t="str">
        <f>sales_data!I1384</f>
        <v>Webcam</v>
      </c>
      <c r="U232" t="str">
        <f>sales_data!J1384</f>
        <v>Опт</v>
      </c>
      <c r="V232">
        <f>sales_data!K1384</f>
        <v>41</v>
      </c>
      <c r="W232">
        <f>sales_data!L1384</f>
        <v>3500</v>
      </c>
      <c r="X232">
        <f>sales_data!M1384</f>
        <v>143500</v>
      </c>
      <c r="Y232" t="str">
        <f>sales_data!N1384</f>
        <v>Интернет-магазин</v>
      </c>
      <c r="Z232" t="str">
        <f>sales_data!O1384</f>
        <v>Доставлен</v>
      </c>
    </row>
    <row r="233" spans="12:26" x14ac:dyDescent="0.25">
      <c r="L233">
        <f>sales_data!A1387</f>
        <v>2822</v>
      </c>
      <c r="M233">
        <f>sales_data!B1387</f>
        <v>45745</v>
      </c>
      <c r="N233">
        <f>sales_data!C1387</f>
        <v>29</v>
      </c>
      <c r="O233" t="str">
        <f>sales_data!D1387</f>
        <v>Март</v>
      </c>
      <c r="P233" t="str">
        <f>sales_data!E1387</f>
        <v>Мария</v>
      </c>
      <c r="Q233" t="str">
        <f>sales_data!F1387</f>
        <v>Воронеж</v>
      </c>
      <c r="R233" t="str">
        <f>sales_data!G1387</f>
        <v>Центральный</v>
      </c>
      <c r="S233" t="str">
        <f>sales_data!H1387</f>
        <v>Периферия</v>
      </c>
      <c r="T233" t="str">
        <f>sales_data!I1387</f>
        <v>Webcam</v>
      </c>
      <c r="U233" t="str">
        <f>sales_data!J1387</f>
        <v>Опт</v>
      </c>
      <c r="V233">
        <f>sales_data!K1387</f>
        <v>45</v>
      </c>
      <c r="W233">
        <f>sales_data!L1387</f>
        <v>3500</v>
      </c>
      <c r="X233">
        <f>sales_data!M1387</f>
        <v>157500</v>
      </c>
      <c r="Y233" t="str">
        <f>sales_data!N1387</f>
        <v>Офлайн-точка</v>
      </c>
      <c r="Z233" t="str">
        <f>sales_data!O1387</f>
        <v>Отменён</v>
      </c>
    </row>
    <row r="234" spans="12:26" x14ac:dyDescent="0.25">
      <c r="L234">
        <f>sales_data!A1393</f>
        <v>3852</v>
      </c>
      <c r="M234">
        <f>sales_data!B1393</f>
        <v>45883</v>
      </c>
      <c r="N234">
        <f>sales_data!C1393</f>
        <v>14</v>
      </c>
      <c r="O234" t="str">
        <f>sales_data!D1393</f>
        <v>Август</v>
      </c>
      <c r="P234" t="str">
        <f>sales_data!E1393</f>
        <v>Павел</v>
      </c>
      <c r="Q234" t="str">
        <f>sales_data!F1393</f>
        <v>Нижний Новгород</v>
      </c>
      <c r="R234" t="str">
        <f>sales_data!G1393</f>
        <v>Приволжский</v>
      </c>
      <c r="S234" t="str">
        <f>sales_data!H1393</f>
        <v>Периферия</v>
      </c>
      <c r="T234" t="str">
        <f>sales_data!I1393</f>
        <v>Webcam</v>
      </c>
      <c r="U234" t="str">
        <f>sales_data!J1393</f>
        <v>Опт</v>
      </c>
      <c r="V234">
        <f>sales_data!K1393</f>
        <v>42</v>
      </c>
      <c r="W234">
        <f>sales_data!L1393</f>
        <v>3500</v>
      </c>
      <c r="X234">
        <f>sales_data!M1393</f>
        <v>147000</v>
      </c>
      <c r="Y234" t="str">
        <f>sales_data!N1393</f>
        <v>Интернет-магазин</v>
      </c>
      <c r="Z234" t="str">
        <f>sales_data!O1393</f>
        <v>В пути</v>
      </c>
    </row>
    <row r="235" spans="12:26" x14ac:dyDescent="0.25">
      <c r="L235">
        <f>sales_data!A1395</f>
        <v>4100</v>
      </c>
      <c r="M235">
        <f>sales_data!B1395</f>
        <v>45956</v>
      </c>
      <c r="N235">
        <f>sales_data!C1395</f>
        <v>26</v>
      </c>
      <c r="O235" t="str">
        <f>sales_data!D1395</f>
        <v>Октябрь</v>
      </c>
      <c r="P235" t="str">
        <f>sales_data!E1395</f>
        <v>Светлана</v>
      </c>
      <c r="Q235" t="str">
        <f>sales_data!F1395</f>
        <v>Краснодар</v>
      </c>
      <c r="R235" t="str">
        <f>sales_data!G1395</f>
        <v>Южный</v>
      </c>
      <c r="S235" t="str">
        <f>sales_data!H1395</f>
        <v>Периферия</v>
      </c>
      <c r="T235" t="str">
        <f>sales_data!I1395</f>
        <v>Keyboard</v>
      </c>
      <c r="U235" t="str">
        <f>sales_data!J1395</f>
        <v>Розница</v>
      </c>
      <c r="V235">
        <f>sales_data!K1395</f>
        <v>6</v>
      </c>
      <c r="W235">
        <f>sales_data!L1395</f>
        <v>3500</v>
      </c>
      <c r="X235">
        <f>sales_data!M1395</f>
        <v>21000</v>
      </c>
      <c r="Y235" t="str">
        <f>sales_data!N1395</f>
        <v>Интернет-магазин</v>
      </c>
      <c r="Z235" t="str">
        <f>sales_data!O1395</f>
        <v>Отменён</v>
      </c>
    </row>
    <row r="236" spans="12:26" x14ac:dyDescent="0.25">
      <c r="L236">
        <f>sales_data!A1412</f>
        <v>1170</v>
      </c>
      <c r="M236">
        <f>sales_data!B1412</f>
        <v>45728</v>
      </c>
      <c r="N236">
        <f>sales_data!C1412</f>
        <v>12</v>
      </c>
      <c r="O236" t="str">
        <f>sales_data!D1412</f>
        <v>Март</v>
      </c>
      <c r="P236" t="str">
        <f>sales_data!E1412</f>
        <v>Игорь</v>
      </c>
      <c r="Q236" t="str">
        <f>sales_data!F1412</f>
        <v>Челябинск</v>
      </c>
      <c r="R236" t="str">
        <f>sales_data!G1412</f>
        <v>Уральский</v>
      </c>
      <c r="S236" t="str">
        <f>sales_data!H1412</f>
        <v>Периферия</v>
      </c>
      <c r="T236" t="str">
        <f>sales_data!I1412</f>
        <v>Keyboard</v>
      </c>
      <c r="U236" t="str">
        <f>sales_data!J1412</f>
        <v>Розница</v>
      </c>
      <c r="V236">
        <f>sales_data!K1412</f>
        <v>7</v>
      </c>
      <c r="W236">
        <f>sales_data!L1412</f>
        <v>3600</v>
      </c>
      <c r="X236">
        <f>sales_data!M1412</f>
        <v>25200</v>
      </c>
      <c r="Y236" t="str">
        <f>sales_data!N1412</f>
        <v>Интернет-магазин</v>
      </c>
      <c r="Z236" t="str">
        <f>sales_data!O1412</f>
        <v>Отменён</v>
      </c>
    </row>
    <row r="237" spans="12:26" x14ac:dyDescent="0.25">
      <c r="L237">
        <f>sales_data!A1414</f>
        <v>1200</v>
      </c>
      <c r="M237">
        <f>sales_data!B1414</f>
        <v>45966</v>
      </c>
      <c r="N237">
        <f>sales_data!C1414</f>
        <v>5</v>
      </c>
      <c r="O237" t="str">
        <f>sales_data!D1414</f>
        <v>Ноябрь</v>
      </c>
      <c r="P237" t="str">
        <f>sales_data!E1414</f>
        <v>Мария</v>
      </c>
      <c r="Q237" t="str">
        <f>sales_data!F1414</f>
        <v>Красноярск</v>
      </c>
      <c r="R237" t="str">
        <f>sales_data!G1414</f>
        <v>Сибирский</v>
      </c>
      <c r="S237" t="str">
        <f>sales_data!H1414</f>
        <v>Периферия</v>
      </c>
      <c r="T237" t="str">
        <f>sales_data!I1414</f>
        <v>Webcam</v>
      </c>
      <c r="U237" t="str">
        <f>sales_data!J1414</f>
        <v>Опт</v>
      </c>
      <c r="V237">
        <f>sales_data!K1414</f>
        <v>26</v>
      </c>
      <c r="W237">
        <f>sales_data!L1414</f>
        <v>3600</v>
      </c>
      <c r="X237">
        <f>sales_data!M1414</f>
        <v>93600</v>
      </c>
      <c r="Y237" t="str">
        <f>sales_data!N1414</f>
        <v>Офлайн-точка</v>
      </c>
      <c r="Z237" t="str">
        <f>sales_data!O1414</f>
        <v>В пути</v>
      </c>
    </row>
    <row r="238" spans="12:26" x14ac:dyDescent="0.25">
      <c r="L238">
        <f>sales_data!A1419</f>
        <v>2556</v>
      </c>
      <c r="M238">
        <f>sales_data!B1419</f>
        <v>45781</v>
      </c>
      <c r="N238">
        <f>sales_data!C1419</f>
        <v>4</v>
      </c>
      <c r="O238" t="str">
        <f>sales_data!D1419</f>
        <v>Май</v>
      </c>
      <c r="P238" t="str">
        <f>sales_data!E1419</f>
        <v>Павел</v>
      </c>
      <c r="Q238" t="str">
        <f>sales_data!F1419</f>
        <v>Самара</v>
      </c>
      <c r="R238" t="str">
        <f>sales_data!G1419</f>
        <v>Приволжский</v>
      </c>
      <c r="S238" t="str">
        <f>sales_data!H1419</f>
        <v>Периферия</v>
      </c>
      <c r="T238" t="str">
        <f>sales_data!I1419</f>
        <v>Keyboard</v>
      </c>
      <c r="U238" t="str">
        <f>sales_data!J1419</f>
        <v>Розница</v>
      </c>
      <c r="V238">
        <f>sales_data!K1419</f>
        <v>4</v>
      </c>
      <c r="W238">
        <f>sales_data!L1419</f>
        <v>3600</v>
      </c>
      <c r="X238">
        <f>sales_data!M1419</f>
        <v>14400</v>
      </c>
      <c r="Y238" t="str">
        <f>sales_data!N1419</f>
        <v>Офлайн-точка</v>
      </c>
      <c r="Z238" t="str">
        <f>sales_data!O1419</f>
        <v>В пути</v>
      </c>
    </row>
    <row r="239" spans="12:26" x14ac:dyDescent="0.25">
      <c r="L239">
        <f>sales_data!A1421</f>
        <v>2971</v>
      </c>
      <c r="M239">
        <f>sales_data!B1421</f>
        <v>45939</v>
      </c>
      <c r="N239">
        <f>sales_data!C1421</f>
        <v>9</v>
      </c>
      <c r="O239" t="str">
        <f>sales_data!D1421</f>
        <v>Октябрь</v>
      </c>
      <c r="P239" t="str">
        <f>sales_data!E1421</f>
        <v>Ольга</v>
      </c>
      <c r="Q239" t="str">
        <f>sales_data!F1421</f>
        <v>Уфа</v>
      </c>
      <c r="R239" t="str">
        <f>sales_data!G1421</f>
        <v>Приволжский</v>
      </c>
      <c r="S239" t="str">
        <f>sales_data!H1421</f>
        <v>Периферия</v>
      </c>
      <c r="T239" t="str">
        <f>sales_data!I1421</f>
        <v>Webcam</v>
      </c>
      <c r="U239" t="str">
        <f>sales_data!J1421</f>
        <v>Розница</v>
      </c>
      <c r="V239">
        <f>sales_data!K1421</f>
        <v>4</v>
      </c>
      <c r="W239">
        <f>sales_data!L1421</f>
        <v>3600</v>
      </c>
      <c r="X239">
        <f>sales_data!M1421</f>
        <v>14400</v>
      </c>
      <c r="Y239" t="str">
        <f>sales_data!N1421</f>
        <v>Офлайн-точка</v>
      </c>
      <c r="Z239" t="str">
        <f>sales_data!O1421</f>
        <v>Доставлен</v>
      </c>
    </row>
    <row r="240" spans="12:26" x14ac:dyDescent="0.25">
      <c r="L240">
        <f>sales_data!A1426</f>
        <v>3816</v>
      </c>
      <c r="M240">
        <f>sales_data!B1426</f>
        <v>45682</v>
      </c>
      <c r="N240">
        <f>sales_data!C1426</f>
        <v>25</v>
      </c>
      <c r="O240" t="str">
        <f>sales_data!D1426</f>
        <v>Январь</v>
      </c>
      <c r="P240" t="str">
        <f>sales_data!E1426</f>
        <v>Игорь</v>
      </c>
      <c r="Q240" t="str">
        <f>sales_data!F1426</f>
        <v>Новосибирск</v>
      </c>
      <c r="R240" t="str">
        <f>sales_data!G1426</f>
        <v>Сибирский</v>
      </c>
      <c r="S240" t="str">
        <f>sales_data!H1426</f>
        <v>Периферия</v>
      </c>
      <c r="T240" t="str">
        <f>sales_data!I1426</f>
        <v>Webcam</v>
      </c>
      <c r="U240" t="str">
        <f>sales_data!J1426</f>
        <v>Розница</v>
      </c>
      <c r="V240">
        <f>sales_data!K1426</f>
        <v>9</v>
      </c>
      <c r="W240">
        <f>sales_data!L1426</f>
        <v>3600</v>
      </c>
      <c r="X240">
        <f>sales_data!M1426</f>
        <v>32400</v>
      </c>
      <c r="Y240" t="str">
        <f>sales_data!N1426</f>
        <v>Интернет-магазин</v>
      </c>
      <c r="Z240" t="str">
        <f>sales_data!O1426</f>
        <v>Отменён</v>
      </c>
    </row>
    <row r="241" spans="12:26" x14ac:dyDescent="0.25">
      <c r="L241">
        <f>sales_data!A1428</f>
        <v>4526</v>
      </c>
      <c r="M241">
        <f>sales_data!B1428</f>
        <v>45899</v>
      </c>
      <c r="N241">
        <f>sales_data!C1428</f>
        <v>30</v>
      </c>
      <c r="O241" t="str">
        <f>sales_data!D1428</f>
        <v>Август</v>
      </c>
      <c r="P241" t="str">
        <f>sales_data!E1428</f>
        <v>Светлана</v>
      </c>
      <c r="Q241" t="str">
        <f>sales_data!F1428</f>
        <v>Москва</v>
      </c>
      <c r="R241" t="str">
        <f>sales_data!G1428</f>
        <v>Центральный</v>
      </c>
      <c r="S241" t="str">
        <f>sales_data!H1428</f>
        <v>Периферия</v>
      </c>
      <c r="T241" t="str">
        <f>sales_data!I1428</f>
        <v>Webcam</v>
      </c>
      <c r="U241" t="str">
        <f>sales_data!J1428</f>
        <v>Опт</v>
      </c>
      <c r="V241">
        <f>sales_data!K1428</f>
        <v>35</v>
      </c>
      <c r="W241">
        <f>sales_data!L1428</f>
        <v>3600</v>
      </c>
      <c r="X241">
        <f>sales_data!M1428</f>
        <v>126000</v>
      </c>
      <c r="Y241" t="str">
        <f>sales_data!N1428</f>
        <v>Офлайн-точка</v>
      </c>
      <c r="Z241" t="str">
        <f>sales_data!O1428</f>
        <v>В пути</v>
      </c>
    </row>
    <row r="242" spans="12:26" x14ac:dyDescent="0.25">
      <c r="L242">
        <f>sales_data!A1437</f>
        <v>2702</v>
      </c>
      <c r="M242">
        <f>sales_data!B1437</f>
        <v>45970</v>
      </c>
      <c r="N242">
        <f>sales_data!C1437</f>
        <v>9</v>
      </c>
      <c r="O242" t="str">
        <f>sales_data!D1437</f>
        <v>Ноябрь</v>
      </c>
      <c r="P242" t="str">
        <f>sales_data!E1437</f>
        <v>Игорь</v>
      </c>
      <c r="Q242" t="str">
        <f>sales_data!F1437</f>
        <v>Красноярск</v>
      </c>
      <c r="R242" t="str">
        <f>sales_data!G1437</f>
        <v>Сибирский</v>
      </c>
      <c r="S242" t="str">
        <f>sales_data!H1437</f>
        <v>Периферия</v>
      </c>
      <c r="T242" t="str">
        <f>sales_data!I1437</f>
        <v>Keyboard</v>
      </c>
      <c r="U242" t="str">
        <f>sales_data!J1437</f>
        <v>Розница</v>
      </c>
      <c r="V242">
        <f>sales_data!K1437</f>
        <v>3</v>
      </c>
      <c r="W242">
        <f>sales_data!L1437</f>
        <v>3700</v>
      </c>
      <c r="X242">
        <f>sales_data!M1437</f>
        <v>11100</v>
      </c>
      <c r="Y242" t="str">
        <f>sales_data!N1437</f>
        <v>Офлайн-точка</v>
      </c>
      <c r="Z242" t="str">
        <f>sales_data!O1437</f>
        <v>Отменён</v>
      </c>
    </row>
    <row r="243" spans="12:26" x14ac:dyDescent="0.25">
      <c r="L243">
        <f>sales_data!A1443</f>
        <v>4668</v>
      </c>
      <c r="M243">
        <f>sales_data!B1443</f>
        <v>45970</v>
      </c>
      <c r="N243">
        <f>sales_data!C1443</f>
        <v>9</v>
      </c>
      <c r="O243" t="str">
        <f>sales_data!D1443</f>
        <v>Ноябрь</v>
      </c>
      <c r="P243" t="str">
        <f>sales_data!E1443</f>
        <v>Сергей</v>
      </c>
      <c r="Q243" t="str">
        <f>sales_data!F1443</f>
        <v>Казань</v>
      </c>
      <c r="R243" t="str">
        <f>sales_data!G1443</f>
        <v>Приволжский</v>
      </c>
      <c r="S243" t="str">
        <f>sales_data!H1443</f>
        <v>Периферия</v>
      </c>
      <c r="T243" t="str">
        <f>sales_data!I1443</f>
        <v>Webcam</v>
      </c>
      <c r="U243" t="str">
        <f>sales_data!J1443</f>
        <v>Опт</v>
      </c>
      <c r="V243">
        <f>sales_data!K1443</f>
        <v>47</v>
      </c>
      <c r="W243">
        <f>sales_data!L1443</f>
        <v>3700</v>
      </c>
      <c r="X243">
        <f>sales_data!M1443</f>
        <v>173900</v>
      </c>
      <c r="Y243" t="str">
        <f>sales_data!N1443</f>
        <v>Интернет-магазин</v>
      </c>
      <c r="Z243" t="str">
        <f>sales_data!O1443</f>
        <v>В пути</v>
      </c>
    </row>
    <row r="244" spans="12:26" x14ac:dyDescent="0.25">
      <c r="L244">
        <f>sales_data!A1444</f>
        <v>21</v>
      </c>
      <c r="M244">
        <f>sales_data!B1444</f>
        <v>45843</v>
      </c>
      <c r="N244">
        <f>sales_data!C1444</f>
        <v>5</v>
      </c>
      <c r="O244" t="str">
        <f>sales_data!D1444</f>
        <v>Июль</v>
      </c>
      <c r="P244" t="str">
        <f>sales_data!E1444</f>
        <v>Ксения</v>
      </c>
      <c r="Q244" t="str">
        <f>sales_data!F1444</f>
        <v>Пермь</v>
      </c>
      <c r="R244" t="str">
        <f>sales_data!G1444</f>
        <v>Приволжский</v>
      </c>
      <c r="S244" t="str">
        <f>sales_data!H1444</f>
        <v>Периферия</v>
      </c>
      <c r="T244" t="str">
        <f>sales_data!I1444</f>
        <v>Keyboard</v>
      </c>
      <c r="U244" t="str">
        <f>sales_data!J1444</f>
        <v>Розница</v>
      </c>
      <c r="V244">
        <f>sales_data!K1444</f>
        <v>4</v>
      </c>
      <c r="W244">
        <f>sales_data!L1444</f>
        <v>3800</v>
      </c>
      <c r="X244">
        <f>sales_data!M1444</f>
        <v>15200</v>
      </c>
      <c r="Y244" t="str">
        <f>sales_data!N1444</f>
        <v>Интернет-магазин</v>
      </c>
      <c r="Z244" t="str">
        <f>sales_data!O1444</f>
        <v>Доставлен</v>
      </c>
    </row>
    <row r="245" spans="12:26" x14ac:dyDescent="0.25">
      <c r="L245">
        <f>sales_data!A1448</f>
        <v>1497</v>
      </c>
      <c r="M245">
        <f>sales_data!B1448</f>
        <v>45992</v>
      </c>
      <c r="N245">
        <f>sales_data!C1448</f>
        <v>1</v>
      </c>
      <c r="O245" t="str">
        <f>sales_data!D1448</f>
        <v>Декабрь</v>
      </c>
      <c r="P245" t="str">
        <f>sales_data!E1448</f>
        <v>Анна</v>
      </c>
      <c r="Q245" t="str">
        <f>sales_data!F1448</f>
        <v>Москва</v>
      </c>
      <c r="R245" t="str">
        <f>sales_data!G1448</f>
        <v>Центральный</v>
      </c>
      <c r="S245" t="str">
        <f>sales_data!H1448</f>
        <v>Периферия</v>
      </c>
      <c r="T245" t="str">
        <f>sales_data!I1448</f>
        <v>Webcam</v>
      </c>
      <c r="U245" t="str">
        <f>sales_data!J1448</f>
        <v>Опт</v>
      </c>
      <c r="V245">
        <f>sales_data!K1448</f>
        <v>17</v>
      </c>
      <c r="W245">
        <f>sales_data!L1448</f>
        <v>3800</v>
      </c>
      <c r="X245">
        <f>sales_data!M1448</f>
        <v>64600</v>
      </c>
      <c r="Y245" t="str">
        <f>sales_data!N1448</f>
        <v>Офлайн-точка</v>
      </c>
      <c r="Z245" t="str">
        <f>sales_data!O1448</f>
        <v>Доставлен</v>
      </c>
    </row>
    <row r="246" spans="12:26" x14ac:dyDescent="0.25">
      <c r="L246">
        <f>sales_data!A1453</f>
        <v>2960</v>
      </c>
      <c r="M246">
        <f>sales_data!B1453</f>
        <v>45939</v>
      </c>
      <c r="N246">
        <f>sales_data!C1453</f>
        <v>9</v>
      </c>
      <c r="O246" t="str">
        <f>sales_data!D1453</f>
        <v>Октябрь</v>
      </c>
      <c r="P246" t="str">
        <f>sales_data!E1453</f>
        <v>Игорь</v>
      </c>
      <c r="Q246" t="str">
        <f>sales_data!F1453</f>
        <v>Красноярск</v>
      </c>
      <c r="R246" t="str">
        <f>sales_data!G1453</f>
        <v>Сибирский</v>
      </c>
      <c r="S246" t="str">
        <f>sales_data!H1453</f>
        <v>Периферия</v>
      </c>
      <c r="T246" t="str">
        <f>sales_data!I1453</f>
        <v>Webcam</v>
      </c>
      <c r="U246" t="str">
        <f>sales_data!J1453</f>
        <v>Розница</v>
      </c>
      <c r="V246">
        <f>sales_data!K1453</f>
        <v>1</v>
      </c>
      <c r="W246">
        <f>sales_data!L1453</f>
        <v>3800</v>
      </c>
      <c r="X246">
        <f>sales_data!M1453</f>
        <v>3800</v>
      </c>
      <c r="Y246" t="str">
        <f>sales_data!N1453</f>
        <v>Интернет-магазин</v>
      </c>
      <c r="Z246" t="str">
        <f>sales_data!O1453</f>
        <v>Отменён</v>
      </c>
    </row>
    <row r="247" spans="12:26" x14ac:dyDescent="0.25">
      <c r="L247">
        <f>sales_data!A1455</f>
        <v>3544</v>
      </c>
      <c r="M247">
        <f>sales_data!B1455</f>
        <v>45914</v>
      </c>
      <c r="N247">
        <f>sales_data!C1455</f>
        <v>14</v>
      </c>
      <c r="O247" t="str">
        <f>sales_data!D1455</f>
        <v>Сентябрь</v>
      </c>
      <c r="P247" t="str">
        <f>sales_data!E1455</f>
        <v>Алексей</v>
      </c>
      <c r="Q247" t="str">
        <f>sales_data!F1455</f>
        <v>Новосибирск</v>
      </c>
      <c r="R247" t="str">
        <f>sales_data!G1455</f>
        <v>Сибирский</v>
      </c>
      <c r="S247" t="str">
        <f>sales_data!H1455</f>
        <v>Периферия</v>
      </c>
      <c r="T247" t="str">
        <f>sales_data!I1455</f>
        <v>Webcam</v>
      </c>
      <c r="U247" t="str">
        <f>sales_data!J1455</f>
        <v>Розница</v>
      </c>
      <c r="V247">
        <f>sales_data!K1455</f>
        <v>10</v>
      </c>
      <c r="W247">
        <f>sales_data!L1455</f>
        <v>3800</v>
      </c>
      <c r="X247">
        <f>sales_data!M1455</f>
        <v>38000</v>
      </c>
      <c r="Y247" t="str">
        <f>sales_data!N1455</f>
        <v>Интернет-магазин</v>
      </c>
      <c r="Z247" t="str">
        <f>sales_data!O1455</f>
        <v>Доставлен</v>
      </c>
    </row>
    <row r="248" spans="12:26" x14ac:dyDescent="0.25">
      <c r="L248">
        <f>sales_data!A1458</f>
        <v>4830</v>
      </c>
      <c r="M248">
        <f>sales_data!B1458</f>
        <v>45681</v>
      </c>
      <c r="N248">
        <f>sales_data!C1458</f>
        <v>24</v>
      </c>
      <c r="O248" t="str">
        <f>sales_data!D1458</f>
        <v>Январь</v>
      </c>
      <c r="P248" t="str">
        <f>sales_data!E1458</f>
        <v>Светлана</v>
      </c>
      <c r="Q248" t="str">
        <f>sales_data!F1458</f>
        <v>Самара</v>
      </c>
      <c r="R248" t="str">
        <f>sales_data!G1458</f>
        <v>Приволжский</v>
      </c>
      <c r="S248" t="str">
        <f>sales_data!H1458</f>
        <v>Периферия</v>
      </c>
      <c r="T248" t="str">
        <f>sales_data!I1458</f>
        <v>Webcam</v>
      </c>
      <c r="U248" t="str">
        <f>sales_data!J1458</f>
        <v>Розница</v>
      </c>
      <c r="V248">
        <f>sales_data!K1458</f>
        <v>7</v>
      </c>
      <c r="W248">
        <f>sales_data!L1458</f>
        <v>3800</v>
      </c>
      <c r="X248">
        <f>sales_data!M1458</f>
        <v>26600</v>
      </c>
      <c r="Y248" t="str">
        <f>sales_data!N1458</f>
        <v>Офлайн-точка</v>
      </c>
      <c r="Z248" t="str">
        <f>sales_data!O1458</f>
        <v>Отменён</v>
      </c>
    </row>
    <row r="249" spans="12:26" x14ac:dyDescent="0.25">
      <c r="L249">
        <f>sales_data!A1470</f>
        <v>2647</v>
      </c>
      <c r="M249">
        <f>sales_data!B1470</f>
        <v>45687</v>
      </c>
      <c r="N249">
        <f>sales_data!C1470</f>
        <v>30</v>
      </c>
      <c r="O249" t="str">
        <f>sales_data!D1470</f>
        <v>Январь</v>
      </c>
      <c r="P249" t="str">
        <f>sales_data!E1470</f>
        <v>Мария</v>
      </c>
      <c r="Q249" t="str">
        <f>sales_data!F1470</f>
        <v>Красноярск</v>
      </c>
      <c r="R249" t="str">
        <f>sales_data!G1470</f>
        <v>Сибирский</v>
      </c>
      <c r="S249" t="str">
        <f>sales_data!H1470</f>
        <v>Периферия</v>
      </c>
      <c r="T249" t="str">
        <f>sales_data!I1470</f>
        <v>Webcam</v>
      </c>
      <c r="U249" t="str">
        <f>sales_data!J1470</f>
        <v>Розница</v>
      </c>
      <c r="V249">
        <f>sales_data!K1470</f>
        <v>10</v>
      </c>
      <c r="W249">
        <f>sales_data!L1470</f>
        <v>3900</v>
      </c>
      <c r="X249">
        <f>sales_data!M1470</f>
        <v>39000</v>
      </c>
      <c r="Y249" t="str">
        <f>sales_data!N1470</f>
        <v>Офлайн-точка</v>
      </c>
      <c r="Z249" t="str">
        <f>sales_data!O1470</f>
        <v>Отменён</v>
      </c>
    </row>
    <row r="250" spans="12:26" x14ac:dyDescent="0.25">
      <c r="L250">
        <f>sales_data!A1471</f>
        <v>2746</v>
      </c>
      <c r="M250">
        <f>sales_data!B1471</f>
        <v>45769</v>
      </c>
      <c r="N250">
        <f>sales_data!C1471</f>
        <v>22</v>
      </c>
      <c r="O250" t="str">
        <f>sales_data!D1471</f>
        <v>Апрель</v>
      </c>
      <c r="P250" t="str">
        <f>sales_data!E1471</f>
        <v>Наталья</v>
      </c>
      <c r="Q250" t="str">
        <f>sales_data!F1471</f>
        <v>Санкт-Петербург</v>
      </c>
      <c r="R250" t="str">
        <f>sales_data!G1471</f>
        <v>Северо-Западный</v>
      </c>
      <c r="S250" t="str">
        <f>sales_data!H1471</f>
        <v>Периферия</v>
      </c>
      <c r="T250" t="str">
        <f>sales_data!I1471</f>
        <v>Webcam</v>
      </c>
      <c r="U250" t="str">
        <f>sales_data!J1471</f>
        <v>Розница</v>
      </c>
      <c r="V250">
        <f>sales_data!K1471</f>
        <v>2</v>
      </c>
      <c r="W250">
        <f>sales_data!L1471</f>
        <v>3900</v>
      </c>
      <c r="X250">
        <f>sales_data!M1471</f>
        <v>7800</v>
      </c>
      <c r="Y250" t="str">
        <f>sales_data!N1471</f>
        <v>Офлайн-точка</v>
      </c>
      <c r="Z250" t="str">
        <f>sales_data!O1471</f>
        <v>Отменён</v>
      </c>
    </row>
    <row r="251" spans="12:26" x14ac:dyDescent="0.25">
      <c r="L251">
        <f>sales_data!A1488</f>
        <v>4681</v>
      </c>
      <c r="M251">
        <f>sales_data!B1488</f>
        <v>45742</v>
      </c>
      <c r="N251">
        <f>sales_data!C1488</f>
        <v>26</v>
      </c>
      <c r="O251" t="str">
        <f>sales_data!D1488</f>
        <v>Март</v>
      </c>
      <c r="P251" t="str">
        <f>sales_data!E1488</f>
        <v>Павел</v>
      </c>
      <c r="Q251" t="str">
        <f>sales_data!F1488</f>
        <v>Москва</v>
      </c>
      <c r="R251" t="str">
        <f>sales_data!G1488</f>
        <v>Центральный</v>
      </c>
      <c r="S251" t="str">
        <f>sales_data!H1488</f>
        <v>Периферия</v>
      </c>
      <c r="T251" t="str">
        <f>sales_data!I1488</f>
        <v>Webcam</v>
      </c>
      <c r="U251" t="str">
        <f>sales_data!J1488</f>
        <v>Розница</v>
      </c>
      <c r="V251">
        <f>sales_data!K1488</f>
        <v>5</v>
      </c>
      <c r="W251">
        <f>sales_data!L1488</f>
        <v>4000</v>
      </c>
      <c r="X251">
        <f>sales_data!M1488</f>
        <v>20000</v>
      </c>
      <c r="Y251" t="str">
        <f>sales_data!N1488</f>
        <v>Офлайн-точка</v>
      </c>
      <c r="Z251" t="str">
        <f>sales_data!O1488</f>
        <v>В пути</v>
      </c>
    </row>
    <row r="252" spans="12:26" x14ac:dyDescent="0.25">
      <c r="L252">
        <f>sales_data!A1504</f>
        <v>3244</v>
      </c>
      <c r="M252">
        <f>sales_data!B1504</f>
        <v>45952</v>
      </c>
      <c r="N252">
        <f>sales_data!C1504</f>
        <v>22</v>
      </c>
      <c r="O252" t="str">
        <f>sales_data!D1504</f>
        <v>Октябрь</v>
      </c>
      <c r="P252" t="str">
        <f>sales_data!E1504</f>
        <v>Сергей</v>
      </c>
      <c r="Q252" t="str">
        <f>sales_data!F1504</f>
        <v>Самара</v>
      </c>
      <c r="R252" t="str">
        <f>sales_data!G1504</f>
        <v>Приволжский</v>
      </c>
      <c r="S252" t="str">
        <f>sales_data!H1504</f>
        <v>Периферия</v>
      </c>
      <c r="T252" t="str">
        <f>sales_data!I1504</f>
        <v>Webcam</v>
      </c>
      <c r="U252" t="str">
        <f>sales_data!J1504</f>
        <v>Розница</v>
      </c>
      <c r="V252">
        <f>sales_data!K1504</f>
        <v>6</v>
      </c>
      <c r="W252">
        <f>sales_data!L1504</f>
        <v>4200</v>
      </c>
      <c r="X252">
        <f>sales_data!M1504</f>
        <v>25200</v>
      </c>
      <c r="Y252" t="str">
        <f>sales_data!N1504</f>
        <v>Офлайн-точка</v>
      </c>
      <c r="Z252" t="str">
        <f>sales_data!O1504</f>
        <v>Отменён</v>
      </c>
    </row>
    <row r="253" spans="12:26" x14ac:dyDescent="0.25">
      <c r="L253">
        <f>sales_data!A1506</f>
        <v>4261</v>
      </c>
      <c r="M253">
        <f>sales_data!B1506</f>
        <v>45934</v>
      </c>
      <c r="N253">
        <f>sales_data!C1506</f>
        <v>4</v>
      </c>
      <c r="O253" t="str">
        <f>sales_data!D1506</f>
        <v>Октябрь</v>
      </c>
      <c r="P253" t="str">
        <f>sales_data!E1506</f>
        <v>Елена</v>
      </c>
      <c r="Q253" t="str">
        <f>sales_data!F1506</f>
        <v>Челябинск</v>
      </c>
      <c r="R253" t="str">
        <f>sales_data!G1506</f>
        <v>Уральский</v>
      </c>
      <c r="S253" t="str">
        <f>sales_data!H1506</f>
        <v>Периферия</v>
      </c>
      <c r="T253" t="str">
        <f>sales_data!I1506</f>
        <v>Webcam</v>
      </c>
      <c r="U253" t="str">
        <f>sales_data!J1506</f>
        <v>Розница</v>
      </c>
      <c r="V253">
        <f>sales_data!K1506</f>
        <v>5</v>
      </c>
      <c r="W253">
        <f>sales_data!L1506</f>
        <v>4200</v>
      </c>
      <c r="X253">
        <f>sales_data!M1506</f>
        <v>21000</v>
      </c>
      <c r="Y253" t="str">
        <f>sales_data!N1506</f>
        <v>Интернет-магазин</v>
      </c>
      <c r="Z253" t="str">
        <f>sales_data!O1506</f>
        <v>Отменён</v>
      </c>
    </row>
    <row r="254" spans="12:26" x14ac:dyDescent="0.25">
      <c r="L254">
        <f>sales_data!A1511</f>
        <v>2405</v>
      </c>
      <c r="M254">
        <f>sales_data!B1511</f>
        <v>45777</v>
      </c>
      <c r="N254">
        <f>sales_data!C1511</f>
        <v>30</v>
      </c>
      <c r="O254" t="str">
        <f>sales_data!D1511</f>
        <v>Апрель</v>
      </c>
      <c r="P254" t="str">
        <f>sales_data!E1511</f>
        <v>Владимир</v>
      </c>
      <c r="Q254" t="str">
        <f>sales_data!F1511</f>
        <v>Казань</v>
      </c>
      <c r="R254" t="str">
        <f>sales_data!G1511</f>
        <v>Приволжский</v>
      </c>
      <c r="S254" t="str">
        <f>sales_data!H1511</f>
        <v>Периферия</v>
      </c>
      <c r="T254" t="str">
        <f>sales_data!I1511</f>
        <v>Webcam</v>
      </c>
      <c r="U254" t="str">
        <f>sales_data!J1511</f>
        <v>Розница</v>
      </c>
      <c r="V254">
        <f>sales_data!K1511</f>
        <v>4</v>
      </c>
      <c r="W254">
        <f>sales_data!L1511</f>
        <v>4300</v>
      </c>
      <c r="X254">
        <f>sales_data!M1511</f>
        <v>17200</v>
      </c>
      <c r="Y254" t="str">
        <f>sales_data!N1511</f>
        <v>Офлайн-точка</v>
      </c>
      <c r="Z254" t="str">
        <f>sales_data!O1511</f>
        <v>Отменён</v>
      </c>
    </row>
    <row r="255" spans="12:26" x14ac:dyDescent="0.25">
      <c r="L255">
        <f>sales_data!A1518</f>
        <v>38</v>
      </c>
      <c r="M255">
        <f>sales_data!B1518</f>
        <v>45818</v>
      </c>
      <c r="N255">
        <f>sales_data!C1518</f>
        <v>10</v>
      </c>
      <c r="O255" t="str">
        <f>sales_data!D1518</f>
        <v>Июнь</v>
      </c>
      <c r="P255" t="str">
        <f>sales_data!E1518</f>
        <v>Дмитрий</v>
      </c>
      <c r="Q255" t="str">
        <f>sales_data!F1518</f>
        <v>Екатеринбург</v>
      </c>
      <c r="R255" t="str">
        <f>sales_data!G1518</f>
        <v>Уральский</v>
      </c>
      <c r="S255" t="str">
        <f>sales_data!H1518</f>
        <v>Принтеры</v>
      </c>
      <c r="T255" t="str">
        <f>sales_data!I1518</f>
        <v>Printer Ink</v>
      </c>
      <c r="U255" t="str">
        <f>sales_data!J1518</f>
        <v>Опт</v>
      </c>
      <c r="V255">
        <f>sales_data!K1518</f>
        <v>34</v>
      </c>
      <c r="W255">
        <f>sales_data!L1518</f>
        <v>5400</v>
      </c>
      <c r="X255">
        <f>sales_data!M1518</f>
        <v>183600</v>
      </c>
      <c r="Y255" t="str">
        <f>sales_data!N1518</f>
        <v>Офлайн-точка</v>
      </c>
      <c r="Z255" t="str">
        <f>sales_data!O1518</f>
        <v>Доставлен</v>
      </c>
    </row>
    <row r="256" spans="12:26" x14ac:dyDescent="0.25">
      <c r="L256">
        <f>sales_data!A1548</f>
        <v>1429</v>
      </c>
      <c r="M256">
        <f>sales_data!B1548</f>
        <v>45714</v>
      </c>
      <c r="N256">
        <f>sales_data!C1548</f>
        <v>26</v>
      </c>
      <c r="O256" t="str">
        <f>sales_data!D1548</f>
        <v>Февраль</v>
      </c>
      <c r="P256" t="str">
        <f>sales_data!E1548</f>
        <v>Дмитрий</v>
      </c>
      <c r="Q256" t="str">
        <f>sales_data!F1548</f>
        <v>Москва</v>
      </c>
      <c r="R256" t="str">
        <f>sales_data!G1548</f>
        <v>Центральный</v>
      </c>
      <c r="S256" t="str">
        <f>sales_data!H1548</f>
        <v>Принтеры</v>
      </c>
      <c r="T256" t="str">
        <f>sales_data!I1548</f>
        <v>Printer Ink</v>
      </c>
      <c r="U256" t="str">
        <f>sales_data!J1548</f>
        <v>Опт</v>
      </c>
      <c r="V256">
        <f>sales_data!K1548</f>
        <v>6</v>
      </c>
      <c r="W256">
        <f>sales_data!L1548</f>
        <v>5900</v>
      </c>
      <c r="X256">
        <f>sales_data!M1548</f>
        <v>35400</v>
      </c>
      <c r="Y256" t="str">
        <f>sales_data!N1548</f>
        <v>Офлайн-точка</v>
      </c>
      <c r="Z256" t="str">
        <f>sales_data!O1548</f>
        <v>Отменён</v>
      </c>
    </row>
    <row r="257" spans="12:26" x14ac:dyDescent="0.25">
      <c r="L257">
        <f>sales_data!A1559</f>
        <v>591</v>
      </c>
      <c r="M257">
        <f>sales_data!B1559</f>
        <v>46014</v>
      </c>
      <c r="N257">
        <f>sales_data!C1559</f>
        <v>23</v>
      </c>
      <c r="O257" t="str">
        <f>sales_data!D1559</f>
        <v>Декабрь</v>
      </c>
      <c r="P257" t="str">
        <f>sales_data!E1559</f>
        <v>Сергей</v>
      </c>
      <c r="Q257" t="str">
        <f>sales_data!F1559</f>
        <v>Санкт-Петербург</v>
      </c>
      <c r="R257" t="str">
        <f>sales_data!G1559</f>
        <v>Северо-Западный</v>
      </c>
      <c r="S257" t="str">
        <f>sales_data!H1559</f>
        <v>Принтеры</v>
      </c>
      <c r="T257" t="str">
        <f>sales_data!I1559</f>
        <v>Printer Ink</v>
      </c>
      <c r="U257" t="str">
        <f>sales_data!J1559</f>
        <v>Опт</v>
      </c>
      <c r="V257">
        <f>sales_data!K1559</f>
        <v>35</v>
      </c>
      <c r="W257">
        <f>sales_data!L1559</f>
        <v>6000</v>
      </c>
      <c r="X257">
        <f>sales_data!M1559</f>
        <v>210000</v>
      </c>
      <c r="Y257" t="str">
        <f>sales_data!N1559</f>
        <v>Интернет-магазин</v>
      </c>
      <c r="Z257" t="str">
        <f>sales_data!O1559</f>
        <v>Доставлен</v>
      </c>
    </row>
    <row r="258" spans="12:26" x14ac:dyDescent="0.25">
      <c r="L258">
        <f>sales_data!A1560</f>
        <v>718</v>
      </c>
      <c r="M258">
        <f>sales_data!B1560</f>
        <v>45908</v>
      </c>
      <c r="N258">
        <f>sales_data!C1560</f>
        <v>8</v>
      </c>
      <c r="O258" t="str">
        <f>sales_data!D1560</f>
        <v>Сентябрь</v>
      </c>
      <c r="P258" t="str">
        <f>sales_data!E1560</f>
        <v>Алексей</v>
      </c>
      <c r="Q258" t="str">
        <f>sales_data!F1560</f>
        <v>Краснодар</v>
      </c>
      <c r="R258" t="str">
        <f>sales_data!G1560</f>
        <v>Южный</v>
      </c>
      <c r="S258" t="str">
        <f>sales_data!H1560</f>
        <v>Принтеры</v>
      </c>
      <c r="T258" t="str">
        <f>sales_data!I1560</f>
        <v>Printer Ink</v>
      </c>
      <c r="U258" t="str">
        <f>sales_data!J1560</f>
        <v>Опт</v>
      </c>
      <c r="V258">
        <f>sales_data!K1560</f>
        <v>30</v>
      </c>
      <c r="W258">
        <f>sales_data!L1560</f>
        <v>6000</v>
      </c>
      <c r="X258">
        <f>sales_data!M1560</f>
        <v>180000</v>
      </c>
      <c r="Y258" t="str">
        <f>sales_data!N1560</f>
        <v>Интернет-магазин</v>
      </c>
      <c r="Z258" t="str">
        <f>sales_data!O1560</f>
        <v>Отменён</v>
      </c>
    </row>
    <row r="259" spans="12:26" x14ac:dyDescent="0.25">
      <c r="L259">
        <f>sales_data!A1562</f>
        <v>1360</v>
      </c>
      <c r="M259">
        <f>sales_data!B1562</f>
        <v>45820</v>
      </c>
      <c r="N259">
        <f>sales_data!C1562</f>
        <v>12</v>
      </c>
      <c r="O259" t="str">
        <f>sales_data!D1562</f>
        <v>Июнь</v>
      </c>
      <c r="P259" t="str">
        <f>sales_data!E1562</f>
        <v>Игорь</v>
      </c>
      <c r="Q259" t="str">
        <f>sales_data!F1562</f>
        <v>Омск</v>
      </c>
      <c r="R259" t="str">
        <f>sales_data!G1562</f>
        <v>Сибирский</v>
      </c>
      <c r="S259" t="str">
        <f>sales_data!H1562</f>
        <v>Принтеры</v>
      </c>
      <c r="T259" t="str">
        <f>sales_data!I1562</f>
        <v>Printer Ink</v>
      </c>
      <c r="U259" t="str">
        <f>sales_data!J1562</f>
        <v>Опт</v>
      </c>
      <c r="V259">
        <f>sales_data!K1562</f>
        <v>12</v>
      </c>
      <c r="W259">
        <f>sales_data!L1562</f>
        <v>6000</v>
      </c>
      <c r="X259">
        <f>sales_data!M1562</f>
        <v>72000</v>
      </c>
      <c r="Y259" t="str">
        <f>sales_data!N1562</f>
        <v>Офлайн-точка</v>
      </c>
      <c r="Z259" t="str">
        <f>sales_data!O1562</f>
        <v>В пути</v>
      </c>
    </row>
    <row r="260" spans="12:26" x14ac:dyDescent="0.25">
      <c r="L260">
        <f>sales_data!A1565</f>
        <v>2996</v>
      </c>
      <c r="M260">
        <f>sales_data!B1565</f>
        <v>45750</v>
      </c>
      <c r="N260">
        <f>sales_data!C1565</f>
        <v>3</v>
      </c>
      <c r="O260" t="str">
        <f>sales_data!D1565</f>
        <v>Апрель</v>
      </c>
      <c r="P260" t="str">
        <f>sales_data!E1565</f>
        <v>Павел</v>
      </c>
      <c r="Q260" t="str">
        <f>sales_data!F1565</f>
        <v>Новосибирск</v>
      </c>
      <c r="R260" t="str">
        <f>sales_data!G1565</f>
        <v>Сибирский</v>
      </c>
      <c r="S260" t="str">
        <f>sales_data!H1565</f>
        <v>Принтеры</v>
      </c>
      <c r="T260" t="str">
        <f>sales_data!I1565</f>
        <v>Printer Ink</v>
      </c>
      <c r="U260" t="str">
        <f>sales_data!J1565</f>
        <v>Опт</v>
      </c>
      <c r="V260">
        <f>sales_data!K1565</f>
        <v>18</v>
      </c>
      <c r="W260">
        <f>sales_data!L1565</f>
        <v>6000</v>
      </c>
      <c r="X260">
        <f>sales_data!M1565</f>
        <v>108000</v>
      </c>
      <c r="Y260" t="str">
        <f>sales_data!N1565</f>
        <v>Интернет-магазин</v>
      </c>
      <c r="Z260" t="str">
        <f>sales_data!O1565</f>
        <v>Доставлен</v>
      </c>
    </row>
    <row r="261" spans="12:26" x14ac:dyDescent="0.25">
      <c r="L261">
        <f>sales_data!A1575</f>
        <v>524</v>
      </c>
      <c r="M261">
        <f>sales_data!B1575</f>
        <v>45719</v>
      </c>
      <c r="N261">
        <f>sales_data!C1575</f>
        <v>3</v>
      </c>
      <c r="O261" t="str">
        <f>sales_data!D1575</f>
        <v>Март</v>
      </c>
      <c r="P261" t="str">
        <f>sales_data!E1575</f>
        <v>Ксения</v>
      </c>
      <c r="Q261" t="str">
        <f>sales_data!F1575</f>
        <v>Пермь</v>
      </c>
      <c r="R261" t="str">
        <f>sales_data!G1575</f>
        <v>Приволжский</v>
      </c>
      <c r="S261" t="str">
        <f>sales_data!H1575</f>
        <v>Принтеры</v>
      </c>
      <c r="T261" t="str">
        <f>sales_data!I1575</f>
        <v>Printer Ink</v>
      </c>
      <c r="U261" t="str">
        <f>sales_data!J1575</f>
        <v>Опт</v>
      </c>
      <c r="V261">
        <f>sales_data!K1575</f>
        <v>17</v>
      </c>
      <c r="W261">
        <f>sales_data!L1575</f>
        <v>6100</v>
      </c>
      <c r="X261">
        <f>sales_data!M1575</f>
        <v>103700</v>
      </c>
      <c r="Y261" t="str">
        <f>sales_data!N1575</f>
        <v>Офлайн-точка</v>
      </c>
      <c r="Z261" t="str">
        <f>sales_data!O1575</f>
        <v>Доставлен</v>
      </c>
    </row>
    <row r="262" spans="12:26" x14ac:dyDescent="0.25">
      <c r="L262">
        <f>sales_data!A1577</f>
        <v>695</v>
      </c>
      <c r="M262">
        <f>sales_data!B1577</f>
        <v>45973</v>
      </c>
      <c r="N262">
        <f>sales_data!C1577</f>
        <v>12</v>
      </c>
      <c r="O262" t="str">
        <f>sales_data!D1577</f>
        <v>Ноябрь</v>
      </c>
      <c r="P262" t="str">
        <f>sales_data!E1577</f>
        <v>Владимир</v>
      </c>
      <c r="Q262" t="str">
        <f>sales_data!F1577</f>
        <v>Красноярск</v>
      </c>
      <c r="R262" t="str">
        <f>sales_data!G1577</f>
        <v>Сибирский</v>
      </c>
      <c r="S262" t="str">
        <f>sales_data!H1577</f>
        <v>Принтеры</v>
      </c>
      <c r="T262" t="str">
        <f>sales_data!I1577</f>
        <v>Printer Ink</v>
      </c>
      <c r="U262" t="str">
        <f>sales_data!J1577</f>
        <v>Опт</v>
      </c>
      <c r="V262">
        <f>sales_data!K1577</f>
        <v>7</v>
      </c>
      <c r="W262">
        <f>sales_data!L1577</f>
        <v>6100</v>
      </c>
      <c r="X262">
        <f>sales_data!M1577</f>
        <v>42700</v>
      </c>
      <c r="Y262" t="str">
        <f>sales_data!N1577</f>
        <v>Интернет-магазин</v>
      </c>
      <c r="Z262" t="str">
        <f>sales_data!O1577</f>
        <v>Доставлен</v>
      </c>
    </row>
    <row r="263" spans="12:26" x14ac:dyDescent="0.25">
      <c r="L263">
        <f>sales_data!A1598</f>
        <v>3330</v>
      </c>
      <c r="M263">
        <f>sales_data!B1598</f>
        <v>45684</v>
      </c>
      <c r="N263">
        <f>sales_data!C1598</f>
        <v>27</v>
      </c>
      <c r="O263" t="str">
        <f>sales_data!D1598</f>
        <v>Январь</v>
      </c>
      <c r="P263" t="str">
        <f>sales_data!E1598</f>
        <v>Борис</v>
      </c>
      <c r="Q263" t="str">
        <f>sales_data!F1598</f>
        <v>Самара</v>
      </c>
      <c r="R263" t="str">
        <f>sales_data!G1598</f>
        <v>Приволжский</v>
      </c>
      <c r="S263" t="str">
        <f>sales_data!H1598</f>
        <v>Принтеры</v>
      </c>
      <c r="T263" t="str">
        <f>sales_data!I1598</f>
        <v>Printer Ink</v>
      </c>
      <c r="U263" t="str">
        <f>sales_data!J1598</f>
        <v>Опт</v>
      </c>
      <c r="V263">
        <f>sales_data!K1598</f>
        <v>13</v>
      </c>
      <c r="W263">
        <f>sales_data!L1598</f>
        <v>6200</v>
      </c>
      <c r="X263">
        <f>sales_data!M1598</f>
        <v>80600</v>
      </c>
      <c r="Y263" t="str">
        <f>sales_data!N1598</f>
        <v>Офлайн-точка</v>
      </c>
      <c r="Z263" t="str">
        <f>sales_data!O1598</f>
        <v>Доставлен</v>
      </c>
    </row>
    <row r="264" spans="12:26" x14ac:dyDescent="0.25">
      <c r="L264">
        <f>sales_data!A1600</f>
        <v>4047</v>
      </c>
      <c r="M264">
        <f>sales_data!B1600</f>
        <v>45736</v>
      </c>
      <c r="N264">
        <f>sales_data!C1600</f>
        <v>20</v>
      </c>
      <c r="O264" t="str">
        <f>sales_data!D1600</f>
        <v>Март</v>
      </c>
      <c r="P264" t="str">
        <f>sales_data!E1600</f>
        <v>Мария</v>
      </c>
      <c r="Q264" t="str">
        <f>sales_data!F1600</f>
        <v>Омск</v>
      </c>
      <c r="R264" t="str">
        <f>sales_data!G1600</f>
        <v>Сибирский</v>
      </c>
      <c r="S264" t="str">
        <f>sales_data!H1600</f>
        <v>Принтеры</v>
      </c>
      <c r="T264" t="str">
        <f>sales_data!I1600</f>
        <v>Printer Ink</v>
      </c>
      <c r="U264" t="str">
        <f>sales_data!J1600</f>
        <v>Опт</v>
      </c>
      <c r="V264">
        <f>sales_data!K1600</f>
        <v>11</v>
      </c>
      <c r="W264">
        <f>sales_data!L1600</f>
        <v>6200</v>
      </c>
      <c r="X264">
        <f>sales_data!M1600</f>
        <v>68200</v>
      </c>
      <c r="Y264" t="str">
        <f>sales_data!N1600</f>
        <v>Офлайн-точка</v>
      </c>
      <c r="Z264" t="str">
        <f>sales_data!O1600</f>
        <v>Доставлен</v>
      </c>
    </row>
    <row r="265" spans="12:26" x14ac:dyDescent="0.25">
      <c r="L265">
        <f>sales_data!A1605</f>
        <v>1649</v>
      </c>
      <c r="M265">
        <f>sales_data!B1605</f>
        <v>45899</v>
      </c>
      <c r="N265">
        <f>sales_data!C1605</f>
        <v>30</v>
      </c>
      <c r="O265" t="str">
        <f>sales_data!D1605</f>
        <v>Август</v>
      </c>
      <c r="P265" t="str">
        <f>sales_data!E1605</f>
        <v>Мария</v>
      </c>
      <c r="Q265" t="str">
        <f>sales_data!F1605</f>
        <v>Ростов-на-Дону</v>
      </c>
      <c r="R265" t="str">
        <f>sales_data!G1605</f>
        <v>Южный</v>
      </c>
      <c r="S265" t="str">
        <f>sales_data!H1605</f>
        <v>Принтеры</v>
      </c>
      <c r="T265" t="str">
        <f>sales_data!I1605</f>
        <v>Printer Ink</v>
      </c>
      <c r="U265" t="str">
        <f>sales_data!J1605</f>
        <v>Опт</v>
      </c>
      <c r="V265">
        <f>sales_data!K1605</f>
        <v>47</v>
      </c>
      <c r="W265">
        <f>sales_data!L1605</f>
        <v>6300</v>
      </c>
      <c r="X265">
        <f>sales_data!M1605</f>
        <v>296100</v>
      </c>
      <c r="Y265" t="str">
        <f>sales_data!N1605</f>
        <v>Офлайн-точка</v>
      </c>
      <c r="Z265" t="str">
        <f>sales_data!O1605</f>
        <v>В пути</v>
      </c>
    </row>
    <row r="266" spans="12:26" x14ac:dyDescent="0.25">
      <c r="L266">
        <f>sales_data!A1612</f>
        <v>4453</v>
      </c>
      <c r="M266">
        <f>sales_data!B1612</f>
        <v>45804</v>
      </c>
      <c r="N266">
        <f>sales_data!C1612</f>
        <v>27</v>
      </c>
      <c r="O266" t="str">
        <f>sales_data!D1612</f>
        <v>Май</v>
      </c>
      <c r="P266" t="str">
        <f>sales_data!E1612</f>
        <v>Игорь</v>
      </c>
      <c r="Q266" t="str">
        <f>sales_data!F1612</f>
        <v>Красноярск</v>
      </c>
      <c r="R266" t="str">
        <f>sales_data!G1612</f>
        <v>Сибирский</v>
      </c>
      <c r="S266" t="str">
        <f>sales_data!H1612</f>
        <v>Принтеры</v>
      </c>
      <c r="T266" t="str">
        <f>sales_data!I1612</f>
        <v>Printer Ink</v>
      </c>
      <c r="U266" t="str">
        <f>sales_data!J1612</f>
        <v>Опт</v>
      </c>
      <c r="V266">
        <f>sales_data!K1612</f>
        <v>31</v>
      </c>
      <c r="W266">
        <f>sales_data!L1612</f>
        <v>6300</v>
      </c>
      <c r="X266">
        <f>sales_data!M1612</f>
        <v>195300</v>
      </c>
      <c r="Y266" t="str">
        <f>sales_data!N1612</f>
        <v>Офлайн-точка</v>
      </c>
      <c r="Z266" t="str">
        <f>sales_data!O1612</f>
        <v>Отменён</v>
      </c>
    </row>
    <row r="267" spans="12:26" x14ac:dyDescent="0.25">
      <c r="L267">
        <f>sales_data!A1620</f>
        <v>4057</v>
      </c>
      <c r="M267">
        <f>sales_data!B1620</f>
        <v>45694</v>
      </c>
      <c r="N267">
        <f>sales_data!C1620</f>
        <v>6</v>
      </c>
      <c r="O267" t="str">
        <f>sales_data!D1620</f>
        <v>Февраль</v>
      </c>
      <c r="P267" t="str">
        <f>sales_data!E1620</f>
        <v>Дмитрий</v>
      </c>
      <c r="Q267" t="str">
        <f>sales_data!F1620</f>
        <v>Пермь</v>
      </c>
      <c r="R267" t="str">
        <f>sales_data!G1620</f>
        <v>Приволжский</v>
      </c>
      <c r="S267" t="str">
        <f>sales_data!H1620</f>
        <v>Принтеры</v>
      </c>
      <c r="T267" t="str">
        <f>sales_data!I1620</f>
        <v>Printer Ink</v>
      </c>
      <c r="U267" t="str">
        <f>sales_data!J1620</f>
        <v>Опт</v>
      </c>
      <c r="V267">
        <f>sales_data!K1620</f>
        <v>9</v>
      </c>
      <c r="W267">
        <f>sales_data!L1620</f>
        <v>6400</v>
      </c>
      <c r="X267">
        <f>sales_data!M1620</f>
        <v>57600</v>
      </c>
      <c r="Y267" t="str">
        <f>sales_data!N1620</f>
        <v>Офлайн-точка</v>
      </c>
      <c r="Z267" t="str">
        <f>sales_data!O1620</f>
        <v>В пути</v>
      </c>
    </row>
    <row r="268" spans="12:26" x14ac:dyDescent="0.25">
      <c r="L268">
        <f>sales_data!A1623</f>
        <v>886</v>
      </c>
      <c r="M268">
        <f>sales_data!B1623</f>
        <v>45985</v>
      </c>
      <c r="N268">
        <f>sales_data!C1623</f>
        <v>24</v>
      </c>
      <c r="O268" t="str">
        <f>sales_data!D1623</f>
        <v>Ноябрь</v>
      </c>
      <c r="P268" t="str">
        <f>sales_data!E1623</f>
        <v>Ксения</v>
      </c>
      <c r="Q268" t="str">
        <f>sales_data!F1623</f>
        <v>Екатеринбург</v>
      </c>
      <c r="R268" t="str">
        <f>sales_data!G1623</f>
        <v>Уральский</v>
      </c>
      <c r="S268" t="str">
        <f>sales_data!H1623</f>
        <v>Принтеры</v>
      </c>
      <c r="T268" t="str">
        <f>sales_data!I1623</f>
        <v>Printer Ink</v>
      </c>
      <c r="U268" t="str">
        <f>sales_data!J1623</f>
        <v>Опт</v>
      </c>
      <c r="V268">
        <f>sales_data!K1623</f>
        <v>50</v>
      </c>
      <c r="W268">
        <f>sales_data!L1623</f>
        <v>6500</v>
      </c>
      <c r="X268">
        <f>sales_data!M1623</f>
        <v>325000</v>
      </c>
      <c r="Y268" t="str">
        <f>sales_data!N1623</f>
        <v>Интернет-магазин</v>
      </c>
      <c r="Z268" t="str">
        <f>sales_data!O1623</f>
        <v>Доставлен</v>
      </c>
    </row>
    <row r="269" spans="12:26" x14ac:dyDescent="0.25">
      <c r="L269">
        <f>sales_data!A1632</f>
        <v>1591</v>
      </c>
      <c r="M269">
        <f>sales_data!B1632</f>
        <v>45945</v>
      </c>
      <c r="N269">
        <f>sales_data!C1632</f>
        <v>15</v>
      </c>
      <c r="O269" t="str">
        <f>sales_data!D1632</f>
        <v>Октябрь</v>
      </c>
      <c r="P269" t="str">
        <f>sales_data!E1632</f>
        <v>Светлана</v>
      </c>
      <c r="Q269" t="str">
        <f>sales_data!F1632</f>
        <v>Новосибирск</v>
      </c>
      <c r="R269" t="str">
        <f>sales_data!G1632</f>
        <v>Сибирский</v>
      </c>
      <c r="S269" t="str">
        <f>sales_data!H1632</f>
        <v>Принтеры</v>
      </c>
      <c r="T269" t="str">
        <f>sales_data!I1632</f>
        <v>Printer Ink</v>
      </c>
      <c r="U269" t="str">
        <f>sales_data!J1632</f>
        <v>Розница</v>
      </c>
      <c r="V269">
        <f>sales_data!K1632</f>
        <v>3</v>
      </c>
      <c r="W269">
        <f>sales_data!L1632</f>
        <v>6600</v>
      </c>
      <c r="X269">
        <f>sales_data!M1632</f>
        <v>19800</v>
      </c>
      <c r="Y269" t="str">
        <f>sales_data!N1632</f>
        <v>Офлайн-точка</v>
      </c>
      <c r="Z269" t="str">
        <f>sales_data!O1632</f>
        <v>Отменён</v>
      </c>
    </row>
    <row r="270" spans="12:26" x14ac:dyDescent="0.25">
      <c r="L270">
        <f>sales_data!A1635</f>
        <v>1475</v>
      </c>
      <c r="M270">
        <f>sales_data!B1635</f>
        <v>45712</v>
      </c>
      <c r="N270">
        <f>sales_data!C1635</f>
        <v>24</v>
      </c>
      <c r="O270" t="str">
        <f>sales_data!D1635</f>
        <v>Февраль</v>
      </c>
      <c r="P270" t="str">
        <f>sales_data!E1635</f>
        <v>Павел</v>
      </c>
      <c r="Q270" t="str">
        <f>sales_data!F1635</f>
        <v>Нижний Новгород</v>
      </c>
      <c r="R270" t="str">
        <f>sales_data!G1635</f>
        <v>Приволжский</v>
      </c>
      <c r="S270" t="str">
        <f>sales_data!H1635</f>
        <v>Принтеры</v>
      </c>
      <c r="T270" t="str">
        <f>sales_data!I1635</f>
        <v>Printer Ink</v>
      </c>
      <c r="U270" t="str">
        <f>sales_data!J1635</f>
        <v>Розница</v>
      </c>
      <c r="V270">
        <f>sales_data!K1635</f>
        <v>5</v>
      </c>
      <c r="W270">
        <f>sales_data!L1635</f>
        <v>6700</v>
      </c>
      <c r="X270">
        <f>sales_data!M1635</f>
        <v>33500</v>
      </c>
      <c r="Y270" t="str">
        <f>sales_data!N1635</f>
        <v>Офлайн-точка</v>
      </c>
      <c r="Z270" t="str">
        <f>sales_data!O1635</f>
        <v>Доставлен</v>
      </c>
    </row>
    <row r="271" spans="12:26" x14ac:dyDescent="0.25">
      <c r="L271">
        <f>sales_data!A1639</f>
        <v>3380</v>
      </c>
      <c r="M271">
        <f>sales_data!B1639</f>
        <v>46017</v>
      </c>
      <c r="N271">
        <f>sales_data!C1639</f>
        <v>26</v>
      </c>
      <c r="O271" t="str">
        <f>sales_data!D1639</f>
        <v>Декабрь</v>
      </c>
      <c r="P271" t="str">
        <f>sales_data!E1639</f>
        <v>Елена</v>
      </c>
      <c r="Q271" t="str">
        <f>sales_data!F1639</f>
        <v>Краснодар</v>
      </c>
      <c r="R271" t="str">
        <f>sales_data!G1639</f>
        <v>Южный</v>
      </c>
      <c r="S271" t="str">
        <f>sales_data!H1639</f>
        <v>Принтеры</v>
      </c>
      <c r="T271" t="str">
        <f>sales_data!I1639</f>
        <v>Printer Ink</v>
      </c>
      <c r="U271" t="str">
        <f>sales_data!J1639</f>
        <v>Розница</v>
      </c>
      <c r="V271">
        <f>sales_data!K1639</f>
        <v>10</v>
      </c>
      <c r="W271">
        <f>sales_data!L1639</f>
        <v>6700</v>
      </c>
      <c r="X271">
        <f>sales_data!M1639</f>
        <v>67000</v>
      </c>
      <c r="Y271" t="str">
        <f>sales_data!N1639</f>
        <v>Интернет-магазин</v>
      </c>
      <c r="Z271" t="str">
        <f>sales_data!O1639</f>
        <v>В пути</v>
      </c>
    </row>
    <row r="272" spans="12:26" x14ac:dyDescent="0.25">
      <c r="L272">
        <f>sales_data!A1641</f>
        <v>3745</v>
      </c>
      <c r="M272">
        <f>sales_data!B1641</f>
        <v>45918</v>
      </c>
      <c r="N272">
        <f>sales_data!C1641</f>
        <v>18</v>
      </c>
      <c r="O272" t="str">
        <f>sales_data!D1641</f>
        <v>Сентябрь</v>
      </c>
      <c r="P272" t="str">
        <f>sales_data!E1641</f>
        <v>Наталья</v>
      </c>
      <c r="Q272" t="str">
        <f>sales_data!F1641</f>
        <v>Омск</v>
      </c>
      <c r="R272" t="str">
        <f>sales_data!G1641</f>
        <v>Сибирский</v>
      </c>
      <c r="S272" t="str">
        <f>sales_data!H1641</f>
        <v>Принтеры</v>
      </c>
      <c r="T272" t="str">
        <f>sales_data!I1641</f>
        <v>Printer Ink</v>
      </c>
      <c r="U272" t="str">
        <f>sales_data!J1641</f>
        <v>Розница</v>
      </c>
      <c r="V272">
        <f>sales_data!K1641</f>
        <v>2</v>
      </c>
      <c r="W272">
        <f>sales_data!L1641</f>
        <v>6700</v>
      </c>
      <c r="X272">
        <f>sales_data!M1641</f>
        <v>13400</v>
      </c>
      <c r="Y272" t="str">
        <f>sales_data!N1641</f>
        <v>Интернет-магазин</v>
      </c>
      <c r="Z272" t="str">
        <f>sales_data!O1641</f>
        <v>Отменён</v>
      </c>
    </row>
    <row r="273" spans="12:26" x14ac:dyDescent="0.25">
      <c r="L273">
        <f>sales_data!A1646</f>
        <v>2445</v>
      </c>
      <c r="M273">
        <f>sales_data!B1646</f>
        <v>45873</v>
      </c>
      <c r="N273">
        <f>sales_data!C1646</f>
        <v>4</v>
      </c>
      <c r="O273" t="str">
        <f>sales_data!D1646</f>
        <v>Август</v>
      </c>
      <c r="P273" t="str">
        <f>sales_data!E1646</f>
        <v>Игорь</v>
      </c>
      <c r="Q273" t="str">
        <f>sales_data!F1646</f>
        <v>Новосибирск</v>
      </c>
      <c r="R273" t="str">
        <f>sales_data!G1646</f>
        <v>Сибирский</v>
      </c>
      <c r="S273" t="str">
        <f>sales_data!H1646</f>
        <v>Принтеры</v>
      </c>
      <c r="T273" t="str">
        <f>sales_data!I1646</f>
        <v>Printer Ink</v>
      </c>
      <c r="U273" t="str">
        <f>sales_data!J1646</f>
        <v>Розница</v>
      </c>
      <c r="V273">
        <f>sales_data!K1646</f>
        <v>9</v>
      </c>
      <c r="W273">
        <f>sales_data!L1646</f>
        <v>6800</v>
      </c>
      <c r="X273">
        <f>sales_data!M1646</f>
        <v>61200</v>
      </c>
      <c r="Y273" t="str">
        <f>sales_data!N1646</f>
        <v>Офлайн-точка</v>
      </c>
      <c r="Z273" t="str">
        <f>sales_data!O1646</f>
        <v>В пути</v>
      </c>
    </row>
    <row r="274" spans="12:26" x14ac:dyDescent="0.25">
      <c r="L274">
        <f>sales_data!A1652</f>
        <v>996</v>
      </c>
      <c r="M274">
        <f>sales_data!B1652</f>
        <v>45678</v>
      </c>
      <c r="N274">
        <f>sales_data!C1652</f>
        <v>21</v>
      </c>
      <c r="O274" t="str">
        <f>sales_data!D1652</f>
        <v>Январь</v>
      </c>
      <c r="P274" t="str">
        <f>sales_data!E1652</f>
        <v>Мария</v>
      </c>
      <c r="Q274" t="str">
        <f>sales_data!F1652</f>
        <v>Краснодар</v>
      </c>
      <c r="R274" t="str">
        <f>sales_data!G1652</f>
        <v>Южный</v>
      </c>
      <c r="S274" t="str">
        <f>sales_data!H1652</f>
        <v>Принтеры</v>
      </c>
      <c r="T274" t="str">
        <f>sales_data!I1652</f>
        <v>Printer Ink</v>
      </c>
      <c r="U274" t="str">
        <f>sales_data!J1652</f>
        <v>Розница</v>
      </c>
      <c r="V274">
        <f>sales_data!K1652</f>
        <v>8</v>
      </c>
      <c r="W274">
        <f>sales_data!L1652</f>
        <v>6900</v>
      </c>
      <c r="X274">
        <f>sales_data!M1652</f>
        <v>55200</v>
      </c>
      <c r="Y274" t="str">
        <f>sales_data!N1652</f>
        <v>Интернет-магазин</v>
      </c>
      <c r="Z274" t="str">
        <f>sales_data!O1652</f>
        <v>В пути</v>
      </c>
    </row>
    <row r="275" spans="12:26" x14ac:dyDescent="0.25">
      <c r="L275">
        <f>sales_data!A1663</f>
        <v>306</v>
      </c>
      <c r="M275">
        <f>sales_data!B1663</f>
        <v>45718</v>
      </c>
      <c r="N275">
        <f>sales_data!C1663</f>
        <v>2</v>
      </c>
      <c r="O275" t="str">
        <f>sales_data!D1663</f>
        <v>Март</v>
      </c>
      <c r="P275" t="str">
        <f>sales_data!E1663</f>
        <v>Алексей</v>
      </c>
      <c r="Q275" t="str">
        <f>sales_data!F1663</f>
        <v>Красноярск</v>
      </c>
      <c r="R275" t="str">
        <f>sales_data!G1663</f>
        <v>Сибирский</v>
      </c>
      <c r="S275" t="str">
        <f>sales_data!H1663</f>
        <v>Принтеры</v>
      </c>
      <c r="T275" t="str">
        <f>sales_data!I1663</f>
        <v>Printer Ink</v>
      </c>
      <c r="U275" t="str">
        <f>sales_data!J1663</f>
        <v>Розница</v>
      </c>
      <c r="V275">
        <f>sales_data!K1663</f>
        <v>7</v>
      </c>
      <c r="W275">
        <f>sales_data!L1663</f>
        <v>7000</v>
      </c>
      <c r="X275">
        <f>sales_data!M1663</f>
        <v>49000</v>
      </c>
      <c r="Y275" t="str">
        <f>sales_data!N1663</f>
        <v>Интернет-магазин</v>
      </c>
      <c r="Z275" t="str">
        <f>sales_data!O1663</f>
        <v>Отменён</v>
      </c>
    </row>
    <row r="276" spans="12:26" x14ac:dyDescent="0.25">
      <c r="L276">
        <f>sales_data!A1670</f>
        <v>1951</v>
      </c>
      <c r="M276">
        <f>sales_data!B1670</f>
        <v>45919</v>
      </c>
      <c r="N276">
        <f>sales_data!C1670</f>
        <v>19</v>
      </c>
      <c r="O276" t="str">
        <f>sales_data!D1670</f>
        <v>Сентябрь</v>
      </c>
      <c r="P276" t="str">
        <f>sales_data!E1670</f>
        <v>Наталья</v>
      </c>
      <c r="Q276" t="str">
        <f>sales_data!F1670</f>
        <v>Екатеринбург</v>
      </c>
      <c r="R276" t="str">
        <f>sales_data!G1670</f>
        <v>Уральский</v>
      </c>
      <c r="S276" t="str">
        <f>sales_data!H1670</f>
        <v>Принтеры</v>
      </c>
      <c r="T276" t="str">
        <f>sales_data!I1670</f>
        <v>Printer Laser</v>
      </c>
      <c r="U276" t="str">
        <f>sales_data!J1670</f>
        <v>Опт</v>
      </c>
      <c r="V276">
        <f>sales_data!K1670</f>
        <v>40</v>
      </c>
      <c r="W276">
        <f>sales_data!L1670</f>
        <v>7000</v>
      </c>
      <c r="X276">
        <f>sales_data!M1670</f>
        <v>280000</v>
      </c>
      <c r="Y276" t="str">
        <f>sales_data!N1670</f>
        <v>Интернет-магазин</v>
      </c>
      <c r="Z276" t="str">
        <f>sales_data!O1670</f>
        <v>Доставлен</v>
      </c>
    </row>
    <row r="277" spans="12:26" x14ac:dyDescent="0.25">
      <c r="L277">
        <f>sales_data!A1671</f>
        <v>2096</v>
      </c>
      <c r="M277">
        <f>sales_data!B1671</f>
        <v>45825</v>
      </c>
      <c r="N277">
        <f>sales_data!C1671</f>
        <v>17</v>
      </c>
      <c r="O277" t="str">
        <f>sales_data!D1671</f>
        <v>Июнь</v>
      </c>
      <c r="P277" t="str">
        <f>sales_data!E1671</f>
        <v>Дмитрий</v>
      </c>
      <c r="Q277" t="str">
        <f>sales_data!F1671</f>
        <v>Новосибирск</v>
      </c>
      <c r="R277" t="str">
        <f>sales_data!G1671</f>
        <v>Сибирский</v>
      </c>
      <c r="S277" t="str">
        <f>sales_data!H1671</f>
        <v>Принтеры</v>
      </c>
      <c r="T277" t="str">
        <f>sales_data!I1671</f>
        <v>Printer Ink</v>
      </c>
      <c r="U277" t="str">
        <f>sales_data!J1671</f>
        <v>Розница</v>
      </c>
      <c r="V277">
        <f>sales_data!K1671</f>
        <v>1</v>
      </c>
      <c r="W277">
        <f>sales_data!L1671</f>
        <v>7000</v>
      </c>
      <c r="X277">
        <f>sales_data!M1671</f>
        <v>7000</v>
      </c>
      <c r="Y277" t="str">
        <f>sales_data!N1671</f>
        <v>Интернет-магазин</v>
      </c>
      <c r="Z277" t="str">
        <f>sales_data!O1671</f>
        <v>Доставлен</v>
      </c>
    </row>
    <row r="278" spans="12:26" x14ac:dyDescent="0.25">
      <c r="L278">
        <f>sales_data!A1681</f>
        <v>319</v>
      </c>
      <c r="M278">
        <f>sales_data!B1681</f>
        <v>45698</v>
      </c>
      <c r="N278">
        <f>sales_data!C1681</f>
        <v>10</v>
      </c>
      <c r="O278" t="str">
        <f>sales_data!D1681</f>
        <v>Февраль</v>
      </c>
      <c r="P278" t="str">
        <f>sales_data!E1681</f>
        <v>Игорь</v>
      </c>
      <c r="Q278" t="str">
        <f>sales_data!F1681</f>
        <v>Нижний Новгород</v>
      </c>
      <c r="R278" t="str">
        <f>sales_data!G1681</f>
        <v>Приволжский</v>
      </c>
      <c r="S278" t="str">
        <f>sales_data!H1681</f>
        <v>Принтеры</v>
      </c>
      <c r="T278" t="str">
        <f>sales_data!I1681</f>
        <v>Printer Ink</v>
      </c>
      <c r="U278" t="str">
        <f>sales_data!J1681</f>
        <v>Розница</v>
      </c>
      <c r="V278">
        <f>sales_data!K1681</f>
        <v>5</v>
      </c>
      <c r="W278">
        <f>sales_data!L1681</f>
        <v>7100</v>
      </c>
      <c r="X278">
        <f>sales_data!M1681</f>
        <v>35500</v>
      </c>
      <c r="Y278" t="str">
        <f>sales_data!N1681</f>
        <v>Интернет-магазин</v>
      </c>
      <c r="Z278" t="str">
        <f>sales_data!O1681</f>
        <v>Отменён</v>
      </c>
    </row>
    <row r="279" spans="12:26" x14ac:dyDescent="0.25">
      <c r="L279">
        <f>sales_data!A1684</f>
        <v>1115</v>
      </c>
      <c r="M279">
        <f>sales_data!B1684</f>
        <v>45849</v>
      </c>
      <c r="N279">
        <f>sales_data!C1684</f>
        <v>11</v>
      </c>
      <c r="O279" t="str">
        <f>sales_data!D1684</f>
        <v>Июль</v>
      </c>
      <c r="P279" t="str">
        <f>sales_data!E1684</f>
        <v>Игорь</v>
      </c>
      <c r="Q279" t="str">
        <f>sales_data!F1684</f>
        <v>Омск</v>
      </c>
      <c r="R279" t="str">
        <f>sales_data!G1684</f>
        <v>Сибирский</v>
      </c>
      <c r="S279" t="str">
        <f>sales_data!H1684</f>
        <v>Принтеры</v>
      </c>
      <c r="T279" t="str">
        <f>sales_data!I1684</f>
        <v>Printer Ink</v>
      </c>
      <c r="U279" t="str">
        <f>sales_data!J1684</f>
        <v>Розница</v>
      </c>
      <c r="V279">
        <f>sales_data!K1684</f>
        <v>10</v>
      </c>
      <c r="W279">
        <f>sales_data!L1684</f>
        <v>7100</v>
      </c>
      <c r="X279">
        <f>sales_data!M1684</f>
        <v>71000</v>
      </c>
      <c r="Y279" t="str">
        <f>sales_data!N1684</f>
        <v>Интернет-магазин</v>
      </c>
      <c r="Z279" t="str">
        <f>sales_data!O1684</f>
        <v>Отменён</v>
      </c>
    </row>
    <row r="280" spans="12:26" x14ac:dyDescent="0.25">
      <c r="L280">
        <f>sales_data!A1685</f>
        <v>1278</v>
      </c>
      <c r="M280">
        <f>sales_data!B1685</f>
        <v>45802</v>
      </c>
      <c r="N280">
        <f>sales_data!C1685</f>
        <v>25</v>
      </c>
      <c r="O280" t="str">
        <f>sales_data!D1685</f>
        <v>Май</v>
      </c>
      <c r="P280" t="str">
        <f>sales_data!E1685</f>
        <v>Павел</v>
      </c>
      <c r="Q280" t="str">
        <f>sales_data!F1685</f>
        <v>Санкт-Петербург</v>
      </c>
      <c r="R280" t="str">
        <f>sales_data!G1685</f>
        <v>Северо-Западный</v>
      </c>
      <c r="S280" t="str">
        <f>sales_data!H1685</f>
        <v>Принтеры</v>
      </c>
      <c r="T280" t="str">
        <f>sales_data!I1685</f>
        <v>Printer Ink</v>
      </c>
      <c r="U280" t="str">
        <f>sales_data!J1685</f>
        <v>Розница</v>
      </c>
      <c r="V280">
        <f>sales_data!K1685</f>
        <v>9</v>
      </c>
      <c r="W280">
        <f>sales_data!L1685</f>
        <v>7100</v>
      </c>
      <c r="X280">
        <f>sales_data!M1685</f>
        <v>63900</v>
      </c>
      <c r="Y280" t="str">
        <f>sales_data!N1685</f>
        <v>Интернет-магазин</v>
      </c>
      <c r="Z280" t="str">
        <f>sales_data!O1685</f>
        <v>Доставлен</v>
      </c>
    </row>
    <row r="281" spans="12:26" x14ac:dyDescent="0.25">
      <c r="L281">
        <f>sales_data!A1691</f>
        <v>3086</v>
      </c>
      <c r="M281">
        <f>sales_data!B1691</f>
        <v>45784</v>
      </c>
      <c r="N281">
        <f>sales_data!C1691</f>
        <v>7</v>
      </c>
      <c r="O281" t="str">
        <f>sales_data!D1691</f>
        <v>Май</v>
      </c>
      <c r="P281" t="str">
        <f>sales_data!E1691</f>
        <v>Павел</v>
      </c>
      <c r="Q281" t="str">
        <f>sales_data!F1691</f>
        <v>Екатеринбург</v>
      </c>
      <c r="R281" t="str">
        <f>sales_data!G1691</f>
        <v>Уральский</v>
      </c>
      <c r="S281" t="str">
        <f>sales_data!H1691</f>
        <v>Принтеры</v>
      </c>
      <c r="T281" t="str">
        <f>sales_data!I1691</f>
        <v>Printer Ink</v>
      </c>
      <c r="U281" t="str">
        <f>sales_data!J1691</f>
        <v>Розница</v>
      </c>
      <c r="V281">
        <f>sales_data!K1691</f>
        <v>1</v>
      </c>
      <c r="W281">
        <f>sales_data!L1691</f>
        <v>7100</v>
      </c>
      <c r="X281">
        <f>sales_data!M1691</f>
        <v>7100</v>
      </c>
      <c r="Y281" t="str">
        <f>sales_data!N1691</f>
        <v>Офлайн-точка</v>
      </c>
      <c r="Z281" t="str">
        <f>sales_data!O1691</f>
        <v>В пути</v>
      </c>
    </row>
    <row r="282" spans="12:26" x14ac:dyDescent="0.25">
      <c r="L282">
        <f>sales_data!A1697</f>
        <v>4252</v>
      </c>
      <c r="M282">
        <f>sales_data!B1697</f>
        <v>45974</v>
      </c>
      <c r="N282">
        <f>sales_data!C1697</f>
        <v>13</v>
      </c>
      <c r="O282" t="str">
        <f>sales_data!D1697</f>
        <v>Ноябрь</v>
      </c>
      <c r="P282" t="str">
        <f>sales_data!E1697</f>
        <v>Сергей</v>
      </c>
      <c r="Q282" t="str">
        <f>sales_data!F1697</f>
        <v>Самара</v>
      </c>
      <c r="R282" t="str">
        <f>sales_data!G1697</f>
        <v>Приволжский</v>
      </c>
      <c r="S282" t="str">
        <f>sales_data!H1697</f>
        <v>Принтеры</v>
      </c>
      <c r="T282" t="str">
        <f>sales_data!I1697</f>
        <v>Printer Ink</v>
      </c>
      <c r="U282" t="str">
        <f>sales_data!J1697</f>
        <v>Розница</v>
      </c>
      <c r="V282">
        <f>sales_data!K1697</f>
        <v>5</v>
      </c>
      <c r="W282">
        <f>sales_data!L1697</f>
        <v>7100</v>
      </c>
      <c r="X282">
        <f>sales_data!M1697</f>
        <v>35500</v>
      </c>
      <c r="Y282" t="str">
        <f>sales_data!N1697</f>
        <v>Офлайн-точка</v>
      </c>
      <c r="Z282" t="str">
        <f>sales_data!O1697</f>
        <v>Доставлен</v>
      </c>
    </row>
    <row r="283" spans="12:26" x14ac:dyDescent="0.25">
      <c r="L283">
        <f>sales_data!A1704</f>
        <v>1586</v>
      </c>
      <c r="M283">
        <f>sales_data!B1704</f>
        <v>45669</v>
      </c>
      <c r="N283">
        <f>sales_data!C1704</f>
        <v>12</v>
      </c>
      <c r="O283" t="str">
        <f>sales_data!D1704</f>
        <v>Январь</v>
      </c>
      <c r="P283" t="str">
        <f>sales_data!E1704</f>
        <v>Елена</v>
      </c>
      <c r="Q283" t="str">
        <f>sales_data!F1704</f>
        <v>Екатеринбург</v>
      </c>
      <c r="R283" t="str">
        <f>sales_data!G1704</f>
        <v>Уральский</v>
      </c>
      <c r="S283" t="str">
        <f>sales_data!H1704</f>
        <v>Принтеры</v>
      </c>
      <c r="T283" t="str">
        <f>sales_data!I1704</f>
        <v>Printer Ink</v>
      </c>
      <c r="U283" t="str">
        <f>sales_data!J1704</f>
        <v>Розница</v>
      </c>
      <c r="V283">
        <f>sales_data!K1704</f>
        <v>5</v>
      </c>
      <c r="W283">
        <f>sales_data!L1704</f>
        <v>7200</v>
      </c>
      <c r="X283">
        <f>sales_data!M1704</f>
        <v>36000</v>
      </c>
      <c r="Y283" t="str">
        <f>sales_data!N1704</f>
        <v>Офлайн-точка</v>
      </c>
      <c r="Z283" t="str">
        <f>sales_data!O1704</f>
        <v>В пути</v>
      </c>
    </row>
    <row r="284" spans="12:26" x14ac:dyDescent="0.25">
      <c r="L284">
        <f>sales_data!A1707</f>
        <v>2443</v>
      </c>
      <c r="M284">
        <f>sales_data!B1707</f>
        <v>45784</v>
      </c>
      <c r="N284">
        <f>sales_data!C1707</f>
        <v>7</v>
      </c>
      <c r="O284" t="str">
        <f>sales_data!D1707</f>
        <v>Май</v>
      </c>
      <c r="P284" t="str">
        <f>sales_data!E1707</f>
        <v>Алексей</v>
      </c>
      <c r="Q284" t="str">
        <f>sales_data!F1707</f>
        <v>Воронеж</v>
      </c>
      <c r="R284" t="str">
        <f>sales_data!G1707</f>
        <v>Центральный</v>
      </c>
      <c r="S284" t="str">
        <f>sales_data!H1707</f>
        <v>Принтеры</v>
      </c>
      <c r="T284" t="str">
        <f>sales_data!I1707</f>
        <v>Printer Laser</v>
      </c>
      <c r="U284" t="str">
        <f>sales_data!J1707</f>
        <v>Опт</v>
      </c>
      <c r="V284">
        <f>sales_data!K1707</f>
        <v>12</v>
      </c>
      <c r="W284">
        <f>sales_data!L1707</f>
        <v>7200</v>
      </c>
      <c r="X284">
        <f>sales_data!M1707</f>
        <v>86400</v>
      </c>
      <c r="Y284" t="str">
        <f>sales_data!N1707</f>
        <v>Интернет-магазин</v>
      </c>
      <c r="Z284" t="str">
        <f>sales_data!O1707</f>
        <v>В пути</v>
      </c>
    </row>
    <row r="285" spans="12:26" x14ac:dyDescent="0.25">
      <c r="L285">
        <f>sales_data!A1717</f>
        <v>4593</v>
      </c>
      <c r="M285">
        <f>sales_data!B1717</f>
        <v>45889</v>
      </c>
      <c r="N285">
        <f>sales_data!C1717</f>
        <v>20</v>
      </c>
      <c r="O285" t="str">
        <f>sales_data!D1717</f>
        <v>Август</v>
      </c>
      <c r="P285" t="str">
        <f>sales_data!E1717</f>
        <v>Татьяна</v>
      </c>
      <c r="Q285" t="str">
        <f>sales_data!F1717</f>
        <v>Омск</v>
      </c>
      <c r="R285" t="str">
        <f>sales_data!G1717</f>
        <v>Сибирский</v>
      </c>
      <c r="S285" t="str">
        <f>sales_data!H1717</f>
        <v>Принтеры</v>
      </c>
      <c r="T285" t="str">
        <f>sales_data!I1717</f>
        <v>Printer Ink</v>
      </c>
      <c r="U285" t="str">
        <f>sales_data!J1717</f>
        <v>Розница</v>
      </c>
      <c r="V285">
        <f>sales_data!K1717</f>
        <v>5</v>
      </c>
      <c r="W285">
        <f>sales_data!L1717</f>
        <v>7200</v>
      </c>
      <c r="X285">
        <f>sales_data!M1717</f>
        <v>36000</v>
      </c>
      <c r="Y285" t="str">
        <f>sales_data!N1717</f>
        <v>Офлайн-точка</v>
      </c>
      <c r="Z285" t="str">
        <f>sales_data!O1717</f>
        <v>В пути</v>
      </c>
    </row>
    <row r="286" spans="12:26" x14ac:dyDescent="0.25">
      <c r="L286">
        <f>sales_data!A1721</f>
        <v>1106</v>
      </c>
      <c r="M286">
        <f>sales_data!B1721</f>
        <v>45826</v>
      </c>
      <c r="N286">
        <f>sales_data!C1721</f>
        <v>18</v>
      </c>
      <c r="O286" t="str">
        <f>sales_data!D1721</f>
        <v>Июнь</v>
      </c>
      <c r="P286" t="str">
        <f>sales_data!E1721</f>
        <v>Светлана</v>
      </c>
      <c r="Q286" t="str">
        <f>sales_data!F1721</f>
        <v>Санкт-Петербург</v>
      </c>
      <c r="R286" t="str">
        <f>sales_data!G1721</f>
        <v>Северо-Западный</v>
      </c>
      <c r="S286" t="str">
        <f>sales_data!H1721</f>
        <v>Принтеры</v>
      </c>
      <c r="T286" t="str">
        <f>sales_data!I1721</f>
        <v>Printer Laser</v>
      </c>
      <c r="U286" t="str">
        <f>sales_data!J1721</f>
        <v>Опт</v>
      </c>
      <c r="V286">
        <f>sales_data!K1721</f>
        <v>19</v>
      </c>
      <c r="W286">
        <f>sales_data!L1721</f>
        <v>7300</v>
      </c>
      <c r="X286">
        <f>sales_data!M1721</f>
        <v>138700</v>
      </c>
      <c r="Y286" t="str">
        <f>sales_data!N1721</f>
        <v>Интернет-магазин</v>
      </c>
      <c r="Z286" t="str">
        <f>sales_data!O1721</f>
        <v>Отменён</v>
      </c>
    </row>
    <row r="287" spans="12:26" x14ac:dyDescent="0.25">
      <c r="L287">
        <f>sales_data!A1726</f>
        <v>1846</v>
      </c>
      <c r="M287">
        <f>sales_data!B1726</f>
        <v>45700</v>
      </c>
      <c r="N287">
        <f>sales_data!C1726</f>
        <v>12</v>
      </c>
      <c r="O287" t="str">
        <f>sales_data!D1726</f>
        <v>Февраль</v>
      </c>
      <c r="P287" t="str">
        <f>sales_data!E1726</f>
        <v>Павел</v>
      </c>
      <c r="Q287" t="str">
        <f>sales_data!F1726</f>
        <v>Москва</v>
      </c>
      <c r="R287" t="str">
        <f>sales_data!G1726</f>
        <v>Центральный</v>
      </c>
      <c r="S287" t="str">
        <f>sales_data!H1726</f>
        <v>Принтеры</v>
      </c>
      <c r="T287" t="str">
        <f>sales_data!I1726</f>
        <v>Printer Laser</v>
      </c>
      <c r="U287" t="str">
        <f>sales_data!J1726</f>
        <v>Опт</v>
      </c>
      <c r="V287">
        <f>sales_data!K1726</f>
        <v>40</v>
      </c>
      <c r="W287">
        <f>sales_data!L1726</f>
        <v>7300</v>
      </c>
      <c r="X287">
        <f>sales_data!M1726</f>
        <v>292000</v>
      </c>
      <c r="Y287" t="str">
        <f>sales_data!N1726</f>
        <v>Офлайн-точка</v>
      </c>
      <c r="Z287" t="str">
        <f>sales_data!O1726</f>
        <v>Отменён</v>
      </c>
    </row>
    <row r="288" spans="12:26" x14ac:dyDescent="0.25">
      <c r="L288">
        <f>sales_data!A1739</f>
        <v>16</v>
      </c>
      <c r="M288">
        <f>sales_data!B1739</f>
        <v>45739</v>
      </c>
      <c r="N288">
        <f>sales_data!C1739</f>
        <v>23</v>
      </c>
      <c r="O288" t="str">
        <f>sales_data!D1739</f>
        <v>Март</v>
      </c>
      <c r="P288" t="str">
        <f>sales_data!E1739</f>
        <v>Наталья</v>
      </c>
      <c r="Q288" t="str">
        <f>sales_data!F1739</f>
        <v>Ростов-на-Дону</v>
      </c>
      <c r="R288" t="str">
        <f>sales_data!G1739</f>
        <v>Южный</v>
      </c>
      <c r="S288" t="str">
        <f>sales_data!H1739</f>
        <v>Принтеры</v>
      </c>
      <c r="T288" t="str">
        <f>sales_data!I1739</f>
        <v>Printer Laser</v>
      </c>
      <c r="U288" t="str">
        <f>sales_data!J1739</f>
        <v>Опт</v>
      </c>
      <c r="V288">
        <f>sales_data!K1739</f>
        <v>29</v>
      </c>
      <c r="W288">
        <f>sales_data!L1739</f>
        <v>7400</v>
      </c>
      <c r="X288">
        <f>sales_data!M1739</f>
        <v>214600</v>
      </c>
      <c r="Y288" t="str">
        <f>sales_data!N1739</f>
        <v>Офлайн-точка</v>
      </c>
      <c r="Z288" t="str">
        <f>sales_data!O1739</f>
        <v>Отменён</v>
      </c>
    </row>
    <row r="289" spans="12:26" x14ac:dyDescent="0.25">
      <c r="L289">
        <f>sales_data!A1744</f>
        <v>1248</v>
      </c>
      <c r="M289">
        <f>sales_data!B1744</f>
        <v>45714</v>
      </c>
      <c r="N289">
        <f>sales_data!C1744</f>
        <v>26</v>
      </c>
      <c r="O289" t="str">
        <f>sales_data!D1744</f>
        <v>Февраль</v>
      </c>
      <c r="P289" t="str">
        <f>sales_data!E1744</f>
        <v>Татьяна</v>
      </c>
      <c r="Q289" t="str">
        <f>sales_data!F1744</f>
        <v>Самара</v>
      </c>
      <c r="R289" t="str">
        <f>sales_data!G1744</f>
        <v>Приволжский</v>
      </c>
      <c r="S289" t="str">
        <f>sales_data!H1744</f>
        <v>Принтеры</v>
      </c>
      <c r="T289" t="str">
        <f>sales_data!I1744</f>
        <v>Printer Laser</v>
      </c>
      <c r="U289" t="str">
        <f>sales_data!J1744</f>
        <v>Опт</v>
      </c>
      <c r="V289">
        <f>sales_data!K1744</f>
        <v>45</v>
      </c>
      <c r="W289">
        <f>sales_data!L1744</f>
        <v>7400</v>
      </c>
      <c r="X289">
        <f>sales_data!M1744</f>
        <v>333000</v>
      </c>
      <c r="Y289" t="str">
        <f>sales_data!N1744</f>
        <v>Интернет-магазин</v>
      </c>
      <c r="Z289" t="str">
        <f>sales_data!O1744</f>
        <v>В пути</v>
      </c>
    </row>
    <row r="290" spans="12:26" x14ac:dyDescent="0.25">
      <c r="L290">
        <f>sales_data!A1751</f>
        <v>3101</v>
      </c>
      <c r="M290">
        <f>sales_data!B1751</f>
        <v>45947</v>
      </c>
      <c r="N290">
        <f>sales_data!C1751</f>
        <v>17</v>
      </c>
      <c r="O290" t="str">
        <f>sales_data!D1751</f>
        <v>Октябрь</v>
      </c>
      <c r="P290" t="str">
        <f>sales_data!E1751</f>
        <v>Сергей</v>
      </c>
      <c r="Q290" t="str">
        <f>sales_data!F1751</f>
        <v>Нижний Новгород</v>
      </c>
      <c r="R290" t="str">
        <f>sales_data!G1751</f>
        <v>Приволжский</v>
      </c>
      <c r="S290" t="str">
        <f>sales_data!H1751</f>
        <v>Принтеры</v>
      </c>
      <c r="T290" t="str">
        <f>sales_data!I1751</f>
        <v>Printer Laser</v>
      </c>
      <c r="U290" t="str">
        <f>sales_data!J1751</f>
        <v>Опт</v>
      </c>
      <c r="V290">
        <f>sales_data!K1751</f>
        <v>43</v>
      </c>
      <c r="W290">
        <f>sales_data!L1751</f>
        <v>7400</v>
      </c>
      <c r="X290">
        <f>sales_data!M1751</f>
        <v>318200</v>
      </c>
      <c r="Y290" t="str">
        <f>sales_data!N1751</f>
        <v>Интернет-магазин</v>
      </c>
      <c r="Z290" t="str">
        <f>sales_data!O1751</f>
        <v>Доставлен</v>
      </c>
    </row>
    <row r="291" spans="12:26" x14ac:dyDescent="0.25">
      <c r="L291">
        <f>sales_data!A1754</f>
        <v>4380</v>
      </c>
      <c r="M291">
        <f>sales_data!B1754</f>
        <v>45661</v>
      </c>
      <c r="N291">
        <f>sales_data!C1754</f>
        <v>4</v>
      </c>
      <c r="O291" t="str">
        <f>sales_data!D1754</f>
        <v>Январь</v>
      </c>
      <c r="P291" t="str">
        <f>sales_data!E1754</f>
        <v>Анна</v>
      </c>
      <c r="Q291" t="str">
        <f>sales_data!F1754</f>
        <v>Санкт-Петербург</v>
      </c>
      <c r="R291" t="str">
        <f>sales_data!G1754</f>
        <v>Северо-Западный</v>
      </c>
      <c r="S291" t="str">
        <f>sales_data!H1754</f>
        <v>Принтеры</v>
      </c>
      <c r="T291" t="str">
        <f>sales_data!I1754</f>
        <v>Printer Laser</v>
      </c>
      <c r="U291" t="str">
        <f>sales_data!J1754</f>
        <v>Опт</v>
      </c>
      <c r="V291">
        <f>sales_data!K1754</f>
        <v>18</v>
      </c>
      <c r="W291">
        <f>sales_data!L1754</f>
        <v>7400</v>
      </c>
      <c r="X291">
        <f>sales_data!M1754</f>
        <v>133200</v>
      </c>
      <c r="Y291" t="str">
        <f>sales_data!N1754</f>
        <v>Офлайн-точка</v>
      </c>
      <c r="Z291" t="str">
        <f>sales_data!O1754</f>
        <v>В пути</v>
      </c>
    </row>
    <row r="292" spans="12:26" x14ac:dyDescent="0.25">
      <c r="L292">
        <f>sales_data!A1770</f>
        <v>283</v>
      </c>
      <c r="M292">
        <f>sales_data!B1770</f>
        <v>46017</v>
      </c>
      <c r="N292">
        <f>sales_data!C1770</f>
        <v>26</v>
      </c>
      <c r="O292" t="str">
        <f>sales_data!D1770</f>
        <v>Декабрь</v>
      </c>
      <c r="P292" t="str">
        <f>sales_data!E1770</f>
        <v>Мария</v>
      </c>
      <c r="Q292" t="str">
        <f>sales_data!F1770</f>
        <v>Воронеж</v>
      </c>
      <c r="R292" t="str">
        <f>sales_data!G1770</f>
        <v>Центральный</v>
      </c>
      <c r="S292" t="str">
        <f>sales_data!H1770</f>
        <v>Принтеры</v>
      </c>
      <c r="T292" t="str">
        <f>sales_data!I1770</f>
        <v>Printer Ink</v>
      </c>
      <c r="U292" t="str">
        <f>sales_data!J1770</f>
        <v>Розница</v>
      </c>
      <c r="V292">
        <f>sales_data!K1770</f>
        <v>10</v>
      </c>
      <c r="W292">
        <f>sales_data!L1770</f>
        <v>7600</v>
      </c>
      <c r="X292">
        <f>sales_data!M1770</f>
        <v>76000</v>
      </c>
      <c r="Y292" t="str">
        <f>sales_data!N1770</f>
        <v>Интернет-магазин</v>
      </c>
      <c r="Z292" t="str">
        <f>sales_data!O1770</f>
        <v>Отменён</v>
      </c>
    </row>
    <row r="293" spans="12:26" x14ac:dyDescent="0.25">
      <c r="L293">
        <f>sales_data!A1790</f>
        <v>2154</v>
      </c>
      <c r="M293">
        <f>sales_data!B1790</f>
        <v>45876</v>
      </c>
      <c r="N293">
        <f>sales_data!C1790</f>
        <v>7</v>
      </c>
      <c r="O293" t="str">
        <f>sales_data!D1790</f>
        <v>Август</v>
      </c>
      <c r="P293" t="str">
        <f>sales_data!E1790</f>
        <v>Наталья</v>
      </c>
      <c r="Q293" t="str">
        <f>sales_data!F1790</f>
        <v>Москва</v>
      </c>
      <c r="R293" t="str">
        <f>sales_data!G1790</f>
        <v>Центральный</v>
      </c>
      <c r="S293" t="str">
        <f>sales_data!H1790</f>
        <v>Принтеры</v>
      </c>
      <c r="T293" t="str">
        <f>sales_data!I1790</f>
        <v>Printer Laser</v>
      </c>
      <c r="U293" t="str">
        <f>sales_data!J1790</f>
        <v>Опт</v>
      </c>
      <c r="V293">
        <f>sales_data!K1790</f>
        <v>27</v>
      </c>
      <c r="W293">
        <f>sales_data!L1790</f>
        <v>7700</v>
      </c>
      <c r="X293">
        <f>sales_data!M1790</f>
        <v>207900</v>
      </c>
      <c r="Y293" t="str">
        <f>sales_data!N1790</f>
        <v>Офлайн-точка</v>
      </c>
      <c r="Z293" t="str">
        <f>sales_data!O1790</f>
        <v>Отменён</v>
      </c>
    </row>
    <row r="294" spans="12:26" x14ac:dyDescent="0.25">
      <c r="L294">
        <f>sales_data!A1791</f>
        <v>3408</v>
      </c>
      <c r="M294">
        <f>sales_data!B1791</f>
        <v>45982</v>
      </c>
      <c r="N294">
        <f>sales_data!C1791</f>
        <v>21</v>
      </c>
      <c r="O294" t="str">
        <f>sales_data!D1791</f>
        <v>Ноябрь</v>
      </c>
      <c r="P294" t="str">
        <f>sales_data!E1791</f>
        <v>Игорь</v>
      </c>
      <c r="Q294" t="str">
        <f>sales_data!F1791</f>
        <v>Екатеринбург</v>
      </c>
      <c r="R294" t="str">
        <f>sales_data!G1791</f>
        <v>Уральский</v>
      </c>
      <c r="S294" t="str">
        <f>sales_data!H1791</f>
        <v>Принтеры</v>
      </c>
      <c r="T294" t="str">
        <f>sales_data!I1791</f>
        <v>Printer Laser</v>
      </c>
      <c r="U294" t="str">
        <f>sales_data!J1791</f>
        <v>Опт</v>
      </c>
      <c r="V294">
        <f>sales_data!K1791</f>
        <v>42</v>
      </c>
      <c r="W294">
        <f>sales_data!L1791</f>
        <v>7700</v>
      </c>
      <c r="X294">
        <f>sales_data!M1791</f>
        <v>323400</v>
      </c>
      <c r="Y294" t="str">
        <f>sales_data!N1791</f>
        <v>Офлайн-точка</v>
      </c>
      <c r="Z294" t="str">
        <f>sales_data!O1791</f>
        <v>Отменён</v>
      </c>
    </row>
    <row r="295" spans="12:26" x14ac:dyDescent="0.25">
      <c r="L295">
        <f>sales_data!A1804</f>
        <v>2314</v>
      </c>
      <c r="M295">
        <f>sales_data!B1804</f>
        <v>45703</v>
      </c>
      <c r="N295">
        <f>sales_data!C1804</f>
        <v>15</v>
      </c>
      <c r="O295" t="str">
        <f>sales_data!D1804</f>
        <v>Февраль</v>
      </c>
      <c r="P295" t="str">
        <f>sales_data!E1804</f>
        <v>Игорь</v>
      </c>
      <c r="Q295" t="str">
        <f>sales_data!F1804</f>
        <v>Екатеринбург</v>
      </c>
      <c r="R295" t="str">
        <f>sales_data!G1804</f>
        <v>Уральский</v>
      </c>
      <c r="S295" t="str">
        <f>sales_data!H1804</f>
        <v>Принтеры</v>
      </c>
      <c r="T295" t="str">
        <f>sales_data!I1804</f>
        <v>Printer Laser</v>
      </c>
      <c r="U295" t="str">
        <f>sales_data!J1804</f>
        <v>Опт</v>
      </c>
      <c r="V295">
        <f>sales_data!K1804</f>
        <v>25</v>
      </c>
      <c r="W295">
        <f>sales_data!L1804</f>
        <v>7800</v>
      </c>
      <c r="X295">
        <f>sales_data!M1804</f>
        <v>195000</v>
      </c>
      <c r="Y295" t="str">
        <f>sales_data!N1804</f>
        <v>Интернет-магазин</v>
      </c>
      <c r="Z295" t="str">
        <f>sales_data!O1804</f>
        <v>Доставлен</v>
      </c>
    </row>
    <row r="296" spans="12:26" x14ac:dyDescent="0.25">
      <c r="L296">
        <f>sales_data!A1813</f>
        <v>214</v>
      </c>
      <c r="M296">
        <f>sales_data!B1813</f>
        <v>45690</v>
      </c>
      <c r="N296">
        <f>sales_data!C1813</f>
        <v>2</v>
      </c>
      <c r="O296" t="str">
        <f>sales_data!D1813</f>
        <v>Февраль</v>
      </c>
      <c r="P296" t="str">
        <f>sales_data!E1813</f>
        <v>Алексей</v>
      </c>
      <c r="Q296" t="str">
        <f>sales_data!F1813</f>
        <v>Красноярск</v>
      </c>
      <c r="R296" t="str">
        <f>sales_data!G1813</f>
        <v>Сибирский</v>
      </c>
      <c r="S296" t="str">
        <f>sales_data!H1813</f>
        <v>Принтеры</v>
      </c>
      <c r="T296" t="str">
        <f>sales_data!I1813</f>
        <v>Printer Laser</v>
      </c>
      <c r="U296" t="str">
        <f>sales_data!J1813</f>
        <v>Опт</v>
      </c>
      <c r="V296">
        <f>sales_data!K1813</f>
        <v>17</v>
      </c>
      <c r="W296">
        <f>sales_data!L1813</f>
        <v>7900</v>
      </c>
      <c r="X296">
        <f>sales_data!M1813</f>
        <v>134300</v>
      </c>
      <c r="Y296" t="str">
        <f>sales_data!N1813</f>
        <v>Интернет-магазин</v>
      </c>
      <c r="Z296" t="str">
        <f>sales_data!O1813</f>
        <v>Доставлен</v>
      </c>
    </row>
    <row r="297" spans="12:26" x14ac:dyDescent="0.25">
      <c r="L297">
        <f>sales_data!A1817</f>
        <v>1901</v>
      </c>
      <c r="M297">
        <f>sales_data!B1817</f>
        <v>45802</v>
      </c>
      <c r="N297">
        <f>sales_data!C1817</f>
        <v>25</v>
      </c>
      <c r="O297" t="str">
        <f>sales_data!D1817</f>
        <v>Май</v>
      </c>
      <c r="P297" t="str">
        <f>sales_data!E1817</f>
        <v>Елена</v>
      </c>
      <c r="Q297" t="str">
        <f>sales_data!F1817</f>
        <v>Санкт-Петербург</v>
      </c>
      <c r="R297" t="str">
        <f>sales_data!G1817</f>
        <v>Северо-Западный</v>
      </c>
      <c r="S297" t="str">
        <f>sales_data!H1817</f>
        <v>Принтеры</v>
      </c>
      <c r="T297" t="str">
        <f>sales_data!I1817</f>
        <v>Printer Laser</v>
      </c>
      <c r="U297" t="str">
        <f>sales_data!J1817</f>
        <v>Опт</v>
      </c>
      <c r="V297">
        <f>sales_data!K1817</f>
        <v>37</v>
      </c>
      <c r="W297">
        <f>sales_data!L1817</f>
        <v>7900</v>
      </c>
      <c r="X297">
        <f>sales_data!M1817</f>
        <v>292300</v>
      </c>
      <c r="Y297" t="str">
        <f>sales_data!N1817</f>
        <v>Интернет-магазин</v>
      </c>
      <c r="Z297" t="str">
        <f>sales_data!O1817</f>
        <v>Доставлен</v>
      </c>
    </row>
    <row r="298" spans="12:26" x14ac:dyDescent="0.25">
      <c r="L298">
        <f>sales_data!A1819</f>
        <v>2236</v>
      </c>
      <c r="M298">
        <f>sales_data!B1819</f>
        <v>45918</v>
      </c>
      <c r="N298">
        <f>sales_data!C1819</f>
        <v>18</v>
      </c>
      <c r="O298" t="str">
        <f>sales_data!D1819</f>
        <v>Сентябрь</v>
      </c>
      <c r="P298" t="str">
        <f>sales_data!E1819</f>
        <v>Мария</v>
      </c>
      <c r="Q298" t="str">
        <f>sales_data!F1819</f>
        <v>Казань</v>
      </c>
      <c r="R298" t="str">
        <f>sales_data!G1819</f>
        <v>Приволжский</v>
      </c>
      <c r="S298" t="str">
        <f>sales_data!H1819</f>
        <v>Принтеры</v>
      </c>
      <c r="T298" t="str">
        <f>sales_data!I1819</f>
        <v>Printer Laser</v>
      </c>
      <c r="U298" t="str">
        <f>sales_data!J1819</f>
        <v>Опт</v>
      </c>
      <c r="V298">
        <f>sales_data!K1819</f>
        <v>45</v>
      </c>
      <c r="W298">
        <f>sales_data!L1819</f>
        <v>7900</v>
      </c>
      <c r="X298">
        <f>sales_data!M1819</f>
        <v>355500</v>
      </c>
      <c r="Y298" t="str">
        <f>sales_data!N1819</f>
        <v>Офлайн-точка</v>
      </c>
      <c r="Z298" t="str">
        <f>sales_data!O1819</f>
        <v>В пути</v>
      </c>
    </row>
    <row r="299" spans="12:26" x14ac:dyDescent="0.25">
      <c r="L299">
        <f>sales_data!A1822</f>
        <v>3554</v>
      </c>
      <c r="M299">
        <f>sales_data!B1822</f>
        <v>45993</v>
      </c>
      <c r="N299">
        <f>sales_data!C1822</f>
        <v>2</v>
      </c>
      <c r="O299" t="str">
        <f>sales_data!D1822</f>
        <v>Декабрь</v>
      </c>
      <c r="P299" t="str">
        <f>sales_data!E1822</f>
        <v>Ксения</v>
      </c>
      <c r="Q299" t="str">
        <f>sales_data!F1822</f>
        <v>Новосибирск</v>
      </c>
      <c r="R299" t="str">
        <f>sales_data!G1822</f>
        <v>Сибирский</v>
      </c>
      <c r="S299" t="str">
        <f>sales_data!H1822</f>
        <v>Принтеры</v>
      </c>
      <c r="T299" t="str">
        <f>sales_data!I1822</f>
        <v>Printer Ink</v>
      </c>
      <c r="U299" t="str">
        <f>sales_data!J1822</f>
        <v>Розница</v>
      </c>
      <c r="V299">
        <f>sales_data!K1822</f>
        <v>2</v>
      </c>
      <c r="W299">
        <f>sales_data!L1822</f>
        <v>7900</v>
      </c>
      <c r="X299">
        <f>sales_data!M1822</f>
        <v>15800</v>
      </c>
      <c r="Y299" t="str">
        <f>sales_data!N1822</f>
        <v>Интернет-магазин</v>
      </c>
      <c r="Z299" t="str">
        <f>sales_data!O1822</f>
        <v>Доставлен</v>
      </c>
    </row>
    <row r="300" spans="12:26" x14ac:dyDescent="0.25">
      <c r="L300">
        <f>sales_data!A1837</f>
        <v>15</v>
      </c>
      <c r="M300">
        <f>sales_data!B1837</f>
        <v>45770</v>
      </c>
      <c r="N300">
        <f>sales_data!C1837</f>
        <v>23</v>
      </c>
      <c r="O300" t="str">
        <f>sales_data!D1837</f>
        <v>Апрель</v>
      </c>
      <c r="P300" t="str">
        <f>sales_data!E1837</f>
        <v>Светлана</v>
      </c>
      <c r="Q300" t="str">
        <f>sales_data!F1837</f>
        <v>Самара</v>
      </c>
      <c r="R300" t="str">
        <f>sales_data!G1837</f>
        <v>Приволжский</v>
      </c>
      <c r="S300" t="str">
        <f>sales_data!H1837</f>
        <v>Принтеры</v>
      </c>
      <c r="T300" t="str">
        <f>sales_data!I1837</f>
        <v>Printer Laser</v>
      </c>
      <c r="U300" t="str">
        <f>sales_data!J1837</f>
        <v>Розница</v>
      </c>
      <c r="V300">
        <f>sales_data!K1837</f>
        <v>2</v>
      </c>
      <c r="W300">
        <f>sales_data!L1837</f>
        <v>8200</v>
      </c>
      <c r="X300">
        <f>sales_data!M1837</f>
        <v>16400</v>
      </c>
      <c r="Y300" t="str">
        <f>sales_data!N1837</f>
        <v>Интернет-магазин</v>
      </c>
      <c r="Z300" t="str">
        <f>sales_data!O1837</f>
        <v>Отменён</v>
      </c>
    </row>
    <row r="301" spans="12:26" x14ac:dyDescent="0.25">
      <c r="L301">
        <f>sales_data!A1838</f>
        <v>72</v>
      </c>
      <c r="M301">
        <f>sales_data!B1838</f>
        <v>45770</v>
      </c>
      <c r="N301">
        <f>sales_data!C1838</f>
        <v>23</v>
      </c>
      <c r="O301" t="str">
        <f>sales_data!D1838</f>
        <v>Апрель</v>
      </c>
      <c r="P301" t="str">
        <f>sales_data!E1838</f>
        <v>Елена</v>
      </c>
      <c r="Q301" t="str">
        <f>sales_data!F1838</f>
        <v>Нижний Новгород</v>
      </c>
      <c r="R301" t="str">
        <f>sales_data!G1838</f>
        <v>Приволжский</v>
      </c>
      <c r="S301" t="str">
        <f>sales_data!H1838</f>
        <v>Принтеры</v>
      </c>
      <c r="T301" t="str">
        <f>sales_data!I1838</f>
        <v>Printer Laser</v>
      </c>
      <c r="U301" t="str">
        <f>sales_data!J1838</f>
        <v>Опт</v>
      </c>
      <c r="V301">
        <f>sales_data!K1838</f>
        <v>26</v>
      </c>
      <c r="W301">
        <f>sales_data!L1838</f>
        <v>8200</v>
      </c>
      <c r="X301">
        <f>sales_data!M1838</f>
        <v>213200</v>
      </c>
      <c r="Y301" t="str">
        <f>sales_data!N1838</f>
        <v>Офлайн-точка</v>
      </c>
      <c r="Z301" t="str">
        <f>sales_data!O1838</f>
        <v>Отменён</v>
      </c>
    </row>
    <row r="302" spans="12:26" x14ac:dyDescent="0.25">
      <c r="L302">
        <f>sales_data!A1845</f>
        <v>2929</v>
      </c>
      <c r="M302">
        <f>sales_data!B1845</f>
        <v>45778</v>
      </c>
      <c r="N302">
        <f>sales_data!C1845</f>
        <v>1</v>
      </c>
      <c r="O302" t="str">
        <f>sales_data!D1845</f>
        <v>Май</v>
      </c>
      <c r="P302" t="str">
        <f>sales_data!E1845</f>
        <v>Игорь</v>
      </c>
      <c r="Q302" t="str">
        <f>sales_data!F1845</f>
        <v>Самара</v>
      </c>
      <c r="R302" t="str">
        <f>sales_data!G1845</f>
        <v>Приволжский</v>
      </c>
      <c r="S302" t="str">
        <f>sales_data!H1845</f>
        <v>Принтеры</v>
      </c>
      <c r="T302" t="str">
        <f>sales_data!I1845</f>
        <v>Printer Laser</v>
      </c>
      <c r="U302" t="str">
        <f>sales_data!J1845</f>
        <v>Опт</v>
      </c>
      <c r="V302">
        <f>sales_data!K1845</f>
        <v>31</v>
      </c>
      <c r="W302">
        <f>sales_data!L1845</f>
        <v>8300</v>
      </c>
      <c r="X302">
        <f>sales_data!M1845</f>
        <v>257300</v>
      </c>
      <c r="Y302" t="str">
        <f>sales_data!N1845</f>
        <v>Интернет-магазин</v>
      </c>
      <c r="Z302" t="str">
        <f>sales_data!O1845</f>
        <v>Доставлен</v>
      </c>
    </row>
    <row r="303" spans="12:26" x14ac:dyDescent="0.25">
      <c r="L303">
        <f>sales_data!A1854</f>
        <v>2255</v>
      </c>
      <c r="M303">
        <f>sales_data!B1854</f>
        <v>45665</v>
      </c>
      <c r="N303">
        <f>sales_data!C1854</f>
        <v>8</v>
      </c>
      <c r="O303" t="str">
        <f>sales_data!D1854</f>
        <v>Январь</v>
      </c>
      <c r="P303" t="str">
        <f>sales_data!E1854</f>
        <v>Мария</v>
      </c>
      <c r="Q303" t="str">
        <f>sales_data!F1854</f>
        <v>Челябинск</v>
      </c>
      <c r="R303" t="str">
        <f>sales_data!G1854</f>
        <v>Уральский</v>
      </c>
      <c r="S303" t="str">
        <f>sales_data!H1854</f>
        <v>Принтеры</v>
      </c>
      <c r="T303" t="str">
        <f>sales_data!I1854</f>
        <v>Printer Laser</v>
      </c>
      <c r="U303" t="str">
        <f>sales_data!J1854</f>
        <v>Розница</v>
      </c>
      <c r="V303">
        <f>sales_data!K1854</f>
        <v>4</v>
      </c>
      <c r="W303">
        <f>sales_data!L1854</f>
        <v>8400</v>
      </c>
      <c r="X303">
        <f>sales_data!M1854</f>
        <v>33600</v>
      </c>
      <c r="Y303" t="str">
        <f>sales_data!N1854</f>
        <v>Офлайн-точка</v>
      </c>
      <c r="Z303" t="str">
        <f>sales_data!O1854</f>
        <v>Отменён</v>
      </c>
    </row>
    <row r="304" spans="12:26" x14ac:dyDescent="0.25">
      <c r="L304">
        <f>sales_data!A1862</f>
        <v>4227</v>
      </c>
      <c r="M304">
        <f>sales_data!B1862</f>
        <v>45658</v>
      </c>
      <c r="N304">
        <f>sales_data!C1862</f>
        <v>1</v>
      </c>
      <c r="O304" t="str">
        <f>sales_data!D1862</f>
        <v>Январь</v>
      </c>
      <c r="P304" t="str">
        <f>sales_data!E1862</f>
        <v>Игорь</v>
      </c>
      <c r="Q304" t="str">
        <f>sales_data!F1862</f>
        <v>Новосибирск</v>
      </c>
      <c r="R304" t="str">
        <f>sales_data!G1862</f>
        <v>Сибирский</v>
      </c>
      <c r="S304" t="str">
        <f>sales_data!H1862</f>
        <v>Принтеры</v>
      </c>
      <c r="T304" t="str">
        <f>sales_data!I1862</f>
        <v>Printer Laser</v>
      </c>
      <c r="U304" t="str">
        <f>sales_data!J1862</f>
        <v>Опт</v>
      </c>
      <c r="V304">
        <f>sales_data!K1862</f>
        <v>7</v>
      </c>
      <c r="W304">
        <f>sales_data!L1862</f>
        <v>8400</v>
      </c>
      <c r="X304">
        <f>sales_data!M1862</f>
        <v>58800</v>
      </c>
      <c r="Y304" t="str">
        <f>sales_data!N1862</f>
        <v>Офлайн-точка</v>
      </c>
      <c r="Z304" t="str">
        <f>sales_data!O1862</f>
        <v>В пути</v>
      </c>
    </row>
    <row r="305" spans="12:26" x14ac:dyDescent="0.25">
      <c r="L305">
        <f>sales_data!A1865</f>
        <v>2844</v>
      </c>
      <c r="M305">
        <f>sales_data!B1865</f>
        <v>45852</v>
      </c>
      <c r="N305">
        <f>sales_data!C1865</f>
        <v>14</v>
      </c>
      <c r="O305" t="str">
        <f>sales_data!D1865</f>
        <v>Июль</v>
      </c>
      <c r="P305" t="str">
        <f>sales_data!E1865</f>
        <v>Елена</v>
      </c>
      <c r="Q305" t="str">
        <f>sales_data!F1865</f>
        <v>Новосибирск</v>
      </c>
      <c r="R305" t="str">
        <f>sales_data!G1865</f>
        <v>Сибирский</v>
      </c>
      <c r="S305" t="str">
        <f>sales_data!H1865</f>
        <v>Принтеры</v>
      </c>
      <c r="T305" t="str">
        <f>sales_data!I1865</f>
        <v>Printer Laser</v>
      </c>
      <c r="U305" t="str">
        <f>sales_data!J1865</f>
        <v>Розница</v>
      </c>
      <c r="V305">
        <f>sales_data!K1865</f>
        <v>9</v>
      </c>
      <c r="W305">
        <f>sales_data!L1865</f>
        <v>8500</v>
      </c>
      <c r="X305">
        <f>sales_data!M1865</f>
        <v>76500</v>
      </c>
      <c r="Y305" t="str">
        <f>sales_data!N1865</f>
        <v>Интернет-магазин</v>
      </c>
      <c r="Z305" t="str">
        <f>sales_data!O1865</f>
        <v>В пути</v>
      </c>
    </row>
    <row r="306" spans="12:26" x14ac:dyDescent="0.25">
      <c r="L306">
        <f>sales_data!A1886</f>
        <v>3711</v>
      </c>
      <c r="M306">
        <f>sales_data!B1886</f>
        <v>45903</v>
      </c>
      <c r="N306">
        <f>sales_data!C1886</f>
        <v>3</v>
      </c>
      <c r="O306" t="str">
        <f>sales_data!D1886</f>
        <v>Сентябрь</v>
      </c>
      <c r="P306" t="str">
        <f>sales_data!E1886</f>
        <v>Ольга</v>
      </c>
      <c r="Q306" t="str">
        <f>sales_data!F1886</f>
        <v>Уфа</v>
      </c>
      <c r="R306" t="str">
        <f>sales_data!G1886</f>
        <v>Приволжский</v>
      </c>
      <c r="S306" t="str">
        <f>sales_data!H1886</f>
        <v>Принтеры</v>
      </c>
      <c r="T306" t="str">
        <f>sales_data!I1886</f>
        <v>Printer Photo</v>
      </c>
      <c r="U306" t="str">
        <f>sales_data!J1886</f>
        <v>Опт</v>
      </c>
      <c r="V306">
        <f>sales_data!K1886</f>
        <v>43</v>
      </c>
      <c r="W306">
        <f>sales_data!L1886</f>
        <v>8700</v>
      </c>
      <c r="X306">
        <f>sales_data!M1886</f>
        <v>374100</v>
      </c>
      <c r="Y306" t="str">
        <f>sales_data!N1886</f>
        <v>Интернет-магазин</v>
      </c>
      <c r="Z306" t="str">
        <f>sales_data!O1886</f>
        <v>Доставлен</v>
      </c>
    </row>
    <row r="307" spans="12:26" x14ac:dyDescent="0.25">
      <c r="L307">
        <f>sales_data!A1889</f>
        <v>719</v>
      </c>
      <c r="M307">
        <f>sales_data!B1889</f>
        <v>45852</v>
      </c>
      <c r="N307">
        <f>sales_data!C1889</f>
        <v>14</v>
      </c>
      <c r="O307" t="str">
        <f>sales_data!D1889</f>
        <v>Июль</v>
      </c>
      <c r="P307" t="str">
        <f>sales_data!E1889</f>
        <v>Алексей</v>
      </c>
      <c r="Q307" t="str">
        <f>sales_data!F1889</f>
        <v>Краснодар</v>
      </c>
      <c r="R307" t="str">
        <f>sales_data!G1889</f>
        <v>Южный</v>
      </c>
      <c r="S307" t="str">
        <f>sales_data!H1889</f>
        <v>Принтеры</v>
      </c>
      <c r="T307" t="str">
        <f>sales_data!I1889</f>
        <v>Printer Laser</v>
      </c>
      <c r="U307" t="str">
        <f>sales_data!J1889</f>
        <v>Розница</v>
      </c>
      <c r="V307">
        <f>sales_data!K1889</f>
        <v>8</v>
      </c>
      <c r="W307">
        <f>sales_data!L1889</f>
        <v>8800</v>
      </c>
      <c r="X307">
        <f>sales_data!M1889</f>
        <v>70400</v>
      </c>
      <c r="Y307" t="str">
        <f>sales_data!N1889</f>
        <v>Офлайн-точка</v>
      </c>
      <c r="Z307" t="str">
        <f>sales_data!O1889</f>
        <v>Доставлен</v>
      </c>
    </row>
    <row r="308" spans="12:26" x14ac:dyDescent="0.25">
      <c r="L308">
        <f>sales_data!A1896</f>
        <v>3003</v>
      </c>
      <c r="M308">
        <f>sales_data!B1896</f>
        <v>46005</v>
      </c>
      <c r="N308">
        <f>sales_data!C1896</f>
        <v>14</v>
      </c>
      <c r="O308" t="str">
        <f>sales_data!D1896</f>
        <v>Декабрь</v>
      </c>
      <c r="P308" t="str">
        <f>sales_data!E1896</f>
        <v>Ольга</v>
      </c>
      <c r="Q308" t="str">
        <f>sales_data!F1896</f>
        <v>Екатеринбург</v>
      </c>
      <c r="R308" t="str">
        <f>sales_data!G1896</f>
        <v>Уральский</v>
      </c>
      <c r="S308" t="str">
        <f>sales_data!H1896</f>
        <v>Принтеры</v>
      </c>
      <c r="T308" t="str">
        <f>sales_data!I1896</f>
        <v>Printer Laser</v>
      </c>
      <c r="U308" t="str">
        <f>sales_data!J1896</f>
        <v>Розница</v>
      </c>
      <c r="V308">
        <f>sales_data!K1896</f>
        <v>7</v>
      </c>
      <c r="W308">
        <f>sales_data!L1896</f>
        <v>8800</v>
      </c>
      <c r="X308">
        <f>sales_data!M1896</f>
        <v>61600</v>
      </c>
      <c r="Y308" t="str">
        <f>sales_data!N1896</f>
        <v>Интернет-магазин</v>
      </c>
      <c r="Z308" t="str">
        <f>sales_data!O1896</f>
        <v>Доставлен</v>
      </c>
    </row>
    <row r="309" spans="12:26" x14ac:dyDescent="0.25">
      <c r="L309">
        <f>sales_data!A1898</f>
        <v>3218</v>
      </c>
      <c r="M309">
        <f>sales_data!B1898</f>
        <v>45728</v>
      </c>
      <c r="N309">
        <f>sales_data!C1898</f>
        <v>12</v>
      </c>
      <c r="O309" t="str">
        <f>sales_data!D1898</f>
        <v>Март</v>
      </c>
      <c r="P309" t="str">
        <f>sales_data!E1898</f>
        <v>Дмитрий</v>
      </c>
      <c r="Q309" t="str">
        <f>sales_data!F1898</f>
        <v>Екатеринбург</v>
      </c>
      <c r="R309" t="str">
        <f>sales_data!G1898</f>
        <v>Уральский</v>
      </c>
      <c r="S309" t="str">
        <f>sales_data!H1898</f>
        <v>Принтеры</v>
      </c>
      <c r="T309" t="str">
        <f>sales_data!I1898</f>
        <v>Printer Laser</v>
      </c>
      <c r="U309" t="str">
        <f>sales_data!J1898</f>
        <v>Розница</v>
      </c>
      <c r="V309">
        <f>sales_data!K1898</f>
        <v>10</v>
      </c>
      <c r="W309">
        <f>sales_data!L1898</f>
        <v>8800</v>
      </c>
      <c r="X309">
        <f>sales_data!M1898</f>
        <v>88000</v>
      </c>
      <c r="Y309" t="str">
        <f>sales_data!N1898</f>
        <v>Интернет-магазин</v>
      </c>
      <c r="Z309" t="str">
        <f>sales_data!O1898</f>
        <v>Отменён</v>
      </c>
    </row>
    <row r="310" spans="12:26" x14ac:dyDescent="0.25">
      <c r="L310">
        <f>sales_data!A1904</f>
        <v>3929</v>
      </c>
      <c r="M310">
        <f>sales_data!B1904</f>
        <v>45711</v>
      </c>
      <c r="N310">
        <f>sales_data!C1904</f>
        <v>23</v>
      </c>
      <c r="O310" t="str">
        <f>sales_data!D1904</f>
        <v>Февраль</v>
      </c>
      <c r="P310" t="str">
        <f>sales_data!E1904</f>
        <v>Борис</v>
      </c>
      <c r="Q310" t="str">
        <f>sales_data!F1904</f>
        <v>Москва</v>
      </c>
      <c r="R310" t="str">
        <f>sales_data!G1904</f>
        <v>Центральный</v>
      </c>
      <c r="S310" t="str">
        <f>sales_data!H1904</f>
        <v>Принтеры</v>
      </c>
      <c r="T310" t="str">
        <f>sales_data!I1904</f>
        <v>Printer Photo</v>
      </c>
      <c r="U310" t="str">
        <f>sales_data!J1904</f>
        <v>Опт</v>
      </c>
      <c r="V310">
        <f>sales_data!K1904</f>
        <v>24</v>
      </c>
      <c r="W310">
        <f>sales_data!L1904</f>
        <v>8800</v>
      </c>
      <c r="X310">
        <f>sales_data!M1904</f>
        <v>211200</v>
      </c>
      <c r="Y310" t="str">
        <f>sales_data!N1904</f>
        <v>Офлайн-точка</v>
      </c>
      <c r="Z310" t="str">
        <f>sales_data!O1904</f>
        <v>В пути</v>
      </c>
    </row>
    <row r="311" spans="12:26" x14ac:dyDescent="0.25">
      <c r="L311">
        <f>sales_data!A1907</f>
        <v>465</v>
      </c>
      <c r="M311">
        <f>sales_data!B1907</f>
        <v>45817</v>
      </c>
      <c r="N311">
        <f>sales_data!C1907</f>
        <v>9</v>
      </c>
      <c r="O311" t="str">
        <f>sales_data!D1907</f>
        <v>Июнь</v>
      </c>
      <c r="P311" t="str">
        <f>sales_data!E1907</f>
        <v>Елена</v>
      </c>
      <c r="Q311" t="str">
        <f>sales_data!F1907</f>
        <v>Пермь</v>
      </c>
      <c r="R311" t="str">
        <f>sales_data!G1907</f>
        <v>Приволжский</v>
      </c>
      <c r="S311" t="str">
        <f>sales_data!H1907</f>
        <v>Принтеры</v>
      </c>
      <c r="T311" t="str">
        <f>sales_data!I1907</f>
        <v>Printer Laser</v>
      </c>
      <c r="U311" t="str">
        <f>sales_data!J1907</f>
        <v>Розница</v>
      </c>
      <c r="V311">
        <f>sales_data!K1907</f>
        <v>3</v>
      </c>
      <c r="W311">
        <f>sales_data!L1907</f>
        <v>8900</v>
      </c>
      <c r="X311">
        <f>sales_data!M1907</f>
        <v>26700</v>
      </c>
      <c r="Y311" t="str">
        <f>sales_data!N1907</f>
        <v>Офлайн-точка</v>
      </c>
      <c r="Z311" t="str">
        <f>sales_data!O1907</f>
        <v>Отменён</v>
      </c>
    </row>
    <row r="312" spans="12:26" x14ac:dyDescent="0.25">
      <c r="L312">
        <f>sales_data!A1911</f>
        <v>2570</v>
      </c>
      <c r="M312">
        <f>sales_data!B1911</f>
        <v>45963</v>
      </c>
      <c r="N312">
        <f>sales_data!C1911</f>
        <v>2</v>
      </c>
      <c r="O312" t="str">
        <f>sales_data!D1911</f>
        <v>Ноябрь</v>
      </c>
      <c r="P312" t="str">
        <f>sales_data!E1911</f>
        <v>Светлана</v>
      </c>
      <c r="Q312" t="str">
        <f>sales_data!F1911</f>
        <v>Москва</v>
      </c>
      <c r="R312" t="str">
        <f>sales_data!G1911</f>
        <v>Центральный</v>
      </c>
      <c r="S312" t="str">
        <f>sales_data!H1911</f>
        <v>Принтеры</v>
      </c>
      <c r="T312" t="str">
        <f>sales_data!I1911</f>
        <v>Printer Laser</v>
      </c>
      <c r="U312" t="str">
        <f>sales_data!J1911</f>
        <v>Розница</v>
      </c>
      <c r="V312">
        <f>sales_data!K1911</f>
        <v>6</v>
      </c>
      <c r="W312">
        <f>sales_data!L1911</f>
        <v>8900</v>
      </c>
      <c r="X312">
        <f>sales_data!M1911</f>
        <v>53400</v>
      </c>
      <c r="Y312" t="str">
        <f>sales_data!N1911</f>
        <v>Интернет-магазин</v>
      </c>
      <c r="Z312" t="str">
        <f>sales_data!O1911</f>
        <v>Доставлен</v>
      </c>
    </row>
    <row r="313" spans="12:26" x14ac:dyDescent="0.25">
      <c r="L313">
        <f>sales_data!A1912</f>
        <v>2664</v>
      </c>
      <c r="M313">
        <f>sales_data!B1912</f>
        <v>45683</v>
      </c>
      <c r="N313">
        <f>sales_data!C1912</f>
        <v>26</v>
      </c>
      <c r="O313" t="str">
        <f>sales_data!D1912</f>
        <v>Январь</v>
      </c>
      <c r="P313" t="str">
        <f>sales_data!E1912</f>
        <v>Анна</v>
      </c>
      <c r="Q313" t="str">
        <f>sales_data!F1912</f>
        <v>Казань</v>
      </c>
      <c r="R313" t="str">
        <f>sales_data!G1912</f>
        <v>Приволжский</v>
      </c>
      <c r="S313" t="str">
        <f>sales_data!H1912</f>
        <v>Принтеры</v>
      </c>
      <c r="T313" t="str">
        <f>sales_data!I1912</f>
        <v>Printer Photo</v>
      </c>
      <c r="U313" t="str">
        <f>sales_data!J1912</f>
        <v>Опт</v>
      </c>
      <c r="V313">
        <f>sales_data!K1912</f>
        <v>24</v>
      </c>
      <c r="W313">
        <f>sales_data!L1912</f>
        <v>8900</v>
      </c>
      <c r="X313">
        <f>sales_data!M1912</f>
        <v>213600</v>
      </c>
      <c r="Y313" t="str">
        <f>sales_data!N1912</f>
        <v>Офлайн-точка</v>
      </c>
      <c r="Z313" t="str">
        <f>sales_data!O1912</f>
        <v>Отменён</v>
      </c>
    </row>
    <row r="314" spans="12:26" x14ac:dyDescent="0.25">
      <c r="L314">
        <f>sales_data!A1933</f>
        <v>86</v>
      </c>
      <c r="M314">
        <f>sales_data!B1933</f>
        <v>45888</v>
      </c>
      <c r="N314">
        <f>sales_data!C1933</f>
        <v>19</v>
      </c>
      <c r="O314" t="str">
        <f>sales_data!D1933</f>
        <v>Август</v>
      </c>
      <c r="P314" t="str">
        <f>sales_data!E1933</f>
        <v>Дмитрий</v>
      </c>
      <c r="Q314" t="str">
        <f>sales_data!F1933</f>
        <v>Красноярск</v>
      </c>
      <c r="R314" t="str">
        <f>sales_data!G1933</f>
        <v>Сибирский</v>
      </c>
      <c r="S314" t="str">
        <f>sales_data!H1933</f>
        <v>Принтеры</v>
      </c>
      <c r="T314" t="str">
        <f>sales_data!I1933</f>
        <v>Printer Photo</v>
      </c>
      <c r="U314" t="str">
        <f>sales_data!J1933</f>
        <v>Опт</v>
      </c>
      <c r="V314">
        <f>sales_data!K1933</f>
        <v>6</v>
      </c>
      <c r="W314">
        <f>sales_data!L1933</f>
        <v>9100</v>
      </c>
      <c r="X314">
        <f>sales_data!M1933</f>
        <v>54600</v>
      </c>
      <c r="Y314" t="str">
        <f>sales_data!N1933</f>
        <v>Офлайн-точка</v>
      </c>
      <c r="Z314" t="str">
        <f>sales_data!O1933</f>
        <v>В пути</v>
      </c>
    </row>
    <row r="315" spans="12:26" x14ac:dyDescent="0.25">
      <c r="L315">
        <f>sales_data!A1939</f>
        <v>2521</v>
      </c>
      <c r="M315">
        <f>sales_data!B1939</f>
        <v>45970</v>
      </c>
      <c r="N315">
        <f>sales_data!C1939</f>
        <v>9</v>
      </c>
      <c r="O315" t="str">
        <f>sales_data!D1939</f>
        <v>Ноябрь</v>
      </c>
      <c r="P315" t="str">
        <f>sales_data!E1939</f>
        <v>Светлана</v>
      </c>
      <c r="Q315" t="str">
        <f>sales_data!F1939</f>
        <v>Пермь</v>
      </c>
      <c r="R315" t="str">
        <f>sales_data!G1939</f>
        <v>Приволжский</v>
      </c>
      <c r="S315" t="str">
        <f>sales_data!H1939</f>
        <v>Принтеры</v>
      </c>
      <c r="T315" t="str">
        <f>sales_data!I1939</f>
        <v>Printer Laser</v>
      </c>
      <c r="U315" t="str">
        <f>sales_data!J1939</f>
        <v>Розница</v>
      </c>
      <c r="V315">
        <f>sales_data!K1939</f>
        <v>6</v>
      </c>
      <c r="W315">
        <f>sales_data!L1939</f>
        <v>9100</v>
      </c>
      <c r="X315">
        <f>sales_data!M1939</f>
        <v>54600</v>
      </c>
      <c r="Y315" t="str">
        <f>sales_data!N1939</f>
        <v>Интернет-магазин</v>
      </c>
      <c r="Z315" t="str">
        <f>sales_data!O1939</f>
        <v>В пути</v>
      </c>
    </row>
    <row r="316" spans="12:26" x14ac:dyDescent="0.25">
      <c r="L316">
        <f>sales_data!A1943</f>
        <v>3144</v>
      </c>
      <c r="M316">
        <f>sales_data!B1943</f>
        <v>45673</v>
      </c>
      <c r="N316">
        <f>sales_data!C1943</f>
        <v>16</v>
      </c>
      <c r="O316" t="str">
        <f>sales_data!D1943</f>
        <v>Январь</v>
      </c>
      <c r="P316" t="str">
        <f>sales_data!E1943</f>
        <v>Сергей</v>
      </c>
      <c r="Q316" t="str">
        <f>sales_data!F1943</f>
        <v>Воронеж</v>
      </c>
      <c r="R316" t="str">
        <f>sales_data!G1943</f>
        <v>Центральный</v>
      </c>
      <c r="S316" t="str">
        <f>sales_data!H1943</f>
        <v>Принтеры</v>
      </c>
      <c r="T316" t="str">
        <f>sales_data!I1943</f>
        <v>Printer Photo</v>
      </c>
      <c r="U316" t="str">
        <f>sales_data!J1943</f>
        <v>Опт</v>
      </c>
      <c r="V316">
        <f>sales_data!K1943</f>
        <v>43</v>
      </c>
      <c r="W316">
        <f>sales_data!L1943</f>
        <v>9100</v>
      </c>
      <c r="X316">
        <f>sales_data!M1943</f>
        <v>391300</v>
      </c>
      <c r="Y316" t="str">
        <f>sales_data!N1943</f>
        <v>Интернет-магазин</v>
      </c>
      <c r="Z316" t="str">
        <f>sales_data!O1943</f>
        <v>Отменён</v>
      </c>
    </row>
    <row r="317" spans="12:26" x14ac:dyDescent="0.25">
      <c r="L317">
        <f>sales_data!A1945</f>
        <v>3636</v>
      </c>
      <c r="M317">
        <f>sales_data!B1945</f>
        <v>45924</v>
      </c>
      <c r="N317">
        <f>sales_data!C1945</f>
        <v>24</v>
      </c>
      <c r="O317" t="str">
        <f>sales_data!D1945</f>
        <v>Сентябрь</v>
      </c>
      <c r="P317" t="str">
        <f>sales_data!E1945</f>
        <v>Дмитрий</v>
      </c>
      <c r="Q317" t="str">
        <f>sales_data!F1945</f>
        <v>Самара</v>
      </c>
      <c r="R317" t="str">
        <f>sales_data!G1945</f>
        <v>Приволжский</v>
      </c>
      <c r="S317" t="str">
        <f>sales_data!H1945</f>
        <v>Принтеры</v>
      </c>
      <c r="T317" t="str">
        <f>sales_data!I1945</f>
        <v>Printer Laser</v>
      </c>
      <c r="U317" t="str">
        <f>sales_data!J1945</f>
        <v>Розница</v>
      </c>
      <c r="V317">
        <f>sales_data!K1945</f>
        <v>5</v>
      </c>
      <c r="W317">
        <f>sales_data!L1945</f>
        <v>9100</v>
      </c>
      <c r="X317">
        <f>sales_data!M1945</f>
        <v>45500</v>
      </c>
      <c r="Y317" t="str">
        <f>sales_data!N1945</f>
        <v>Офлайн-точка</v>
      </c>
      <c r="Z317" t="str">
        <f>sales_data!O1945</f>
        <v>Доставлен</v>
      </c>
    </row>
    <row r="318" spans="12:26" x14ac:dyDescent="0.25">
      <c r="L318">
        <f>sales_data!A1948</f>
        <v>4559</v>
      </c>
      <c r="M318">
        <f>sales_data!B1948</f>
        <v>45908</v>
      </c>
      <c r="N318">
        <f>sales_data!C1948</f>
        <v>8</v>
      </c>
      <c r="O318" t="str">
        <f>sales_data!D1948</f>
        <v>Сентябрь</v>
      </c>
      <c r="P318" t="str">
        <f>sales_data!E1948</f>
        <v>Ольга</v>
      </c>
      <c r="Q318" t="str">
        <f>sales_data!F1948</f>
        <v>Челябинск</v>
      </c>
      <c r="R318" t="str">
        <f>sales_data!G1948</f>
        <v>Уральский</v>
      </c>
      <c r="S318" t="str">
        <f>sales_data!H1948</f>
        <v>Принтеры</v>
      </c>
      <c r="T318" t="str">
        <f>sales_data!I1948</f>
        <v>Printer Photo</v>
      </c>
      <c r="U318" t="str">
        <f>sales_data!J1948</f>
        <v>Опт</v>
      </c>
      <c r="V318">
        <f>sales_data!K1948</f>
        <v>36</v>
      </c>
      <c r="W318">
        <f>sales_data!L1948</f>
        <v>9100</v>
      </c>
      <c r="X318">
        <f>sales_data!M1948</f>
        <v>327600</v>
      </c>
      <c r="Y318" t="str">
        <f>sales_data!N1948</f>
        <v>Офлайн-точка</v>
      </c>
      <c r="Z318" t="str">
        <f>sales_data!O1948</f>
        <v>Отменён</v>
      </c>
    </row>
    <row r="319" spans="12:26" x14ac:dyDescent="0.25">
      <c r="L319">
        <f>sales_data!A1961</f>
        <v>2692</v>
      </c>
      <c r="M319">
        <f>sales_data!B1961</f>
        <v>45812</v>
      </c>
      <c r="N319">
        <f>sales_data!C1961</f>
        <v>4</v>
      </c>
      <c r="O319" t="str">
        <f>sales_data!D1961</f>
        <v>Июнь</v>
      </c>
      <c r="P319" t="str">
        <f>sales_data!E1961</f>
        <v>Дмитрий</v>
      </c>
      <c r="Q319" t="str">
        <f>sales_data!F1961</f>
        <v>Ростов-на-Дону</v>
      </c>
      <c r="R319" t="str">
        <f>sales_data!G1961</f>
        <v>Южный</v>
      </c>
      <c r="S319" t="str">
        <f>sales_data!H1961</f>
        <v>Принтеры</v>
      </c>
      <c r="T319" t="str">
        <f>sales_data!I1961</f>
        <v>Printer Photo</v>
      </c>
      <c r="U319" t="str">
        <f>sales_data!J1961</f>
        <v>Опт</v>
      </c>
      <c r="V319">
        <f>sales_data!K1961</f>
        <v>39</v>
      </c>
      <c r="W319">
        <f>sales_data!L1961</f>
        <v>9200</v>
      </c>
      <c r="X319">
        <f>sales_data!M1961</f>
        <v>358800</v>
      </c>
      <c r="Y319" t="str">
        <f>sales_data!N1961</f>
        <v>Интернет-магазин</v>
      </c>
      <c r="Z319" t="str">
        <f>sales_data!O1961</f>
        <v>Доставлен</v>
      </c>
    </row>
    <row r="320" spans="12:26" x14ac:dyDescent="0.25">
      <c r="L320">
        <f>sales_data!A1964</f>
        <v>3397</v>
      </c>
      <c r="M320">
        <f>sales_data!B1964</f>
        <v>45698</v>
      </c>
      <c r="N320">
        <f>sales_data!C1964</f>
        <v>10</v>
      </c>
      <c r="O320" t="str">
        <f>sales_data!D1964</f>
        <v>Февраль</v>
      </c>
      <c r="P320" t="str">
        <f>sales_data!E1964</f>
        <v>Игорь</v>
      </c>
      <c r="Q320" t="str">
        <f>sales_data!F1964</f>
        <v>Красноярск</v>
      </c>
      <c r="R320" t="str">
        <f>sales_data!G1964</f>
        <v>Сибирский</v>
      </c>
      <c r="S320" t="str">
        <f>sales_data!H1964</f>
        <v>Принтеры</v>
      </c>
      <c r="T320" t="str">
        <f>sales_data!I1964</f>
        <v>Printer Laser</v>
      </c>
      <c r="U320" t="str">
        <f>sales_data!J1964</f>
        <v>Розница</v>
      </c>
      <c r="V320">
        <f>sales_data!K1964</f>
        <v>8</v>
      </c>
      <c r="W320">
        <f>sales_data!L1964</f>
        <v>9200</v>
      </c>
      <c r="X320">
        <f>sales_data!M1964</f>
        <v>73600</v>
      </c>
      <c r="Y320" t="str">
        <f>sales_data!N1964</f>
        <v>Интернет-магазин</v>
      </c>
      <c r="Z320" t="str">
        <f>sales_data!O1964</f>
        <v>Доставлен</v>
      </c>
    </row>
    <row r="321" spans="12:26" x14ac:dyDescent="0.25">
      <c r="L321">
        <f>sales_data!A1975</f>
        <v>1045</v>
      </c>
      <c r="M321">
        <f>sales_data!B1975</f>
        <v>45957</v>
      </c>
      <c r="N321">
        <f>sales_data!C1975</f>
        <v>27</v>
      </c>
      <c r="O321" t="str">
        <f>sales_data!D1975</f>
        <v>Октябрь</v>
      </c>
      <c r="P321" t="str">
        <f>sales_data!E1975</f>
        <v>Павел</v>
      </c>
      <c r="Q321" t="str">
        <f>sales_data!F1975</f>
        <v>Ростов-на-Дону</v>
      </c>
      <c r="R321" t="str">
        <f>sales_data!G1975</f>
        <v>Южный</v>
      </c>
      <c r="S321" t="str">
        <f>sales_data!H1975</f>
        <v>Принтеры</v>
      </c>
      <c r="T321" t="str">
        <f>sales_data!I1975</f>
        <v>Printer Photo</v>
      </c>
      <c r="U321" t="str">
        <f>sales_data!J1975</f>
        <v>Опт</v>
      </c>
      <c r="V321">
        <f>sales_data!K1975</f>
        <v>31</v>
      </c>
      <c r="W321">
        <f>sales_data!L1975</f>
        <v>9300</v>
      </c>
      <c r="X321">
        <f>sales_data!M1975</f>
        <v>288300</v>
      </c>
      <c r="Y321" t="str">
        <f>sales_data!N1975</f>
        <v>Интернет-магазин</v>
      </c>
      <c r="Z321" t="str">
        <f>sales_data!O1975</f>
        <v>Доставлен</v>
      </c>
    </row>
    <row r="322" spans="12:26" x14ac:dyDescent="0.25">
      <c r="L322">
        <f>sales_data!A1982</f>
        <v>2994</v>
      </c>
      <c r="M322">
        <f>sales_data!B1982</f>
        <v>45900</v>
      </c>
      <c r="N322">
        <f>sales_data!C1982</f>
        <v>31</v>
      </c>
      <c r="O322" t="str">
        <f>sales_data!D1982</f>
        <v>Август</v>
      </c>
      <c r="P322" t="str">
        <f>sales_data!E1982</f>
        <v>Мария</v>
      </c>
      <c r="Q322" t="str">
        <f>sales_data!F1982</f>
        <v>Омск</v>
      </c>
      <c r="R322" t="str">
        <f>sales_data!G1982</f>
        <v>Сибирский</v>
      </c>
      <c r="S322" t="str">
        <f>sales_data!H1982</f>
        <v>Принтеры</v>
      </c>
      <c r="T322" t="str">
        <f>sales_data!I1982</f>
        <v>Printer Photo</v>
      </c>
      <c r="U322" t="str">
        <f>sales_data!J1982</f>
        <v>Опт</v>
      </c>
      <c r="V322">
        <f>sales_data!K1982</f>
        <v>27</v>
      </c>
      <c r="W322">
        <f>sales_data!L1982</f>
        <v>9300</v>
      </c>
      <c r="X322">
        <f>sales_data!M1982</f>
        <v>251100</v>
      </c>
      <c r="Y322" t="str">
        <f>sales_data!N1982</f>
        <v>Офлайн-точка</v>
      </c>
      <c r="Z322" t="str">
        <f>sales_data!O1982</f>
        <v>Доставлен</v>
      </c>
    </row>
    <row r="323" spans="12:26" x14ac:dyDescent="0.25">
      <c r="L323">
        <f>sales_data!A1993</f>
        <v>1641</v>
      </c>
      <c r="M323">
        <f>sales_data!B1993</f>
        <v>45753</v>
      </c>
      <c r="N323">
        <f>sales_data!C1993</f>
        <v>6</v>
      </c>
      <c r="O323" t="str">
        <f>sales_data!D1993</f>
        <v>Апрель</v>
      </c>
      <c r="P323" t="str">
        <f>sales_data!E1993</f>
        <v>Наталья</v>
      </c>
      <c r="Q323" t="str">
        <f>sales_data!F1993</f>
        <v>Москва</v>
      </c>
      <c r="R323" t="str">
        <f>sales_data!G1993</f>
        <v>Центральный</v>
      </c>
      <c r="S323" t="str">
        <f>sales_data!H1993</f>
        <v>Принтеры</v>
      </c>
      <c r="T323" t="str">
        <f>sales_data!I1993</f>
        <v>Printer Photo</v>
      </c>
      <c r="U323" t="str">
        <f>sales_data!J1993</f>
        <v>Опт</v>
      </c>
      <c r="V323">
        <f>sales_data!K1993</f>
        <v>30</v>
      </c>
      <c r="W323">
        <f>sales_data!L1993</f>
        <v>9400</v>
      </c>
      <c r="X323">
        <f>sales_data!M1993</f>
        <v>282000</v>
      </c>
      <c r="Y323" t="str">
        <f>sales_data!N1993</f>
        <v>Офлайн-точка</v>
      </c>
      <c r="Z323" t="str">
        <f>sales_data!O1993</f>
        <v>Доставлен</v>
      </c>
    </row>
    <row r="324" spans="12:26" x14ac:dyDescent="0.25">
      <c r="L324">
        <f>sales_data!A2012</f>
        <v>2973</v>
      </c>
      <c r="M324">
        <f>sales_data!B2012</f>
        <v>45913</v>
      </c>
      <c r="N324">
        <f>sales_data!C2012</f>
        <v>13</v>
      </c>
      <c r="O324" t="str">
        <f>sales_data!D2012</f>
        <v>Сентябрь</v>
      </c>
      <c r="P324" t="str">
        <f>sales_data!E2012</f>
        <v>Ольга</v>
      </c>
      <c r="Q324" t="str">
        <f>sales_data!F2012</f>
        <v>Екатеринбург</v>
      </c>
      <c r="R324" t="str">
        <f>sales_data!G2012</f>
        <v>Уральский</v>
      </c>
      <c r="S324" t="str">
        <f>sales_data!H2012</f>
        <v>Мониторы</v>
      </c>
      <c r="T324" t="str">
        <f>sales_data!I2012</f>
        <v>Monitor 21</v>
      </c>
      <c r="U324" t="str">
        <f>sales_data!J2012</f>
        <v>Опт</v>
      </c>
      <c r="V324">
        <f>sales_data!K2012</f>
        <v>12</v>
      </c>
      <c r="W324">
        <f>sales_data!L2012</f>
        <v>9500</v>
      </c>
      <c r="X324">
        <f>sales_data!M2012</f>
        <v>114000</v>
      </c>
      <c r="Y324" t="str">
        <f>sales_data!N2012</f>
        <v>Офлайн-точка</v>
      </c>
      <c r="Z324" t="str">
        <f>sales_data!O2012</f>
        <v>В пути</v>
      </c>
    </row>
    <row r="325" spans="12:26" x14ac:dyDescent="0.25">
      <c r="L325">
        <f>sales_data!A2017</f>
        <v>3752</v>
      </c>
      <c r="M325">
        <f>sales_data!B2017</f>
        <v>45901</v>
      </c>
      <c r="N325">
        <f>sales_data!C2017</f>
        <v>1</v>
      </c>
      <c r="O325" t="str">
        <f>sales_data!D2017</f>
        <v>Сентябрь</v>
      </c>
      <c r="P325" t="str">
        <f>sales_data!E2017</f>
        <v>Ольга</v>
      </c>
      <c r="Q325" t="str">
        <f>sales_data!F2017</f>
        <v>Челябинск</v>
      </c>
      <c r="R325" t="str">
        <f>sales_data!G2017</f>
        <v>Уральский</v>
      </c>
      <c r="S325" t="str">
        <f>sales_data!H2017</f>
        <v>Принтеры</v>
      </c>
      <c r="T325" t="str">
        <f>sales_data!I2017</f>
        <v>Printer Photo</v>
      </c>
      <c r="U325" t="str">
        <f>sales_data!J2017</f>
        <v>Опт</v>
      </c>
      <c r="V325">
        <f>sales_data!K2017</f>
        <v>6</v>
      </c>
      <c r="W325">
        <f>sales_data!L2017</f>
        <v>9500</v>
      </c>
      <c r="X325">
        <f>sales_data!M2017</f>
        <v>57000</v>
      </c>
      <c r="Y325" t="str">
        <f>sales_data!N2017</f>
        <v>Офлайн-точка</v>
      </c>
      <c r="Z325" t="str">
        <f>sales_data!O2017</f>
        <v>Доставлен</v>
      </c>
    </row>
    <row r="326" spans="12:26" x14ac:dyDescent="0.25">
      <c r="L326">
        <f>sales_data!A2028</f>
        <v>1263</v>
      </c>
      <c r="M326">
        <f>sales_data!B2028</f>
        <v>45921</v>
      </c>
      <c r="N326">
        <f>sales_data!C2028</f>
        <v>21</v>
      </c>
      <c r="O326" t="str">
        <f>sales_data!D2028</f>
        <v>Сентябрь</v>
      </c>
      <c r="P326" t="str">
        <f>sales_data!E2028</f>
        <v>Игорь</v>
      </c>
      <c r="Q326" t="str">
        <f>sales_data!F2028</f>
        <v>Москва</v>
      </c>
      <c r="R326" t="str">
        <f>sales_data!G2028</f>
        <v>Центральный</v>
      </c>
      <c r="S326" t="str">
        <f>sales_data!H2028</f>
        <v>Принтеры</v>
      </c>
      <c r="T326" t="str">
        <f>sales_data!I2028</f>
        <v>Printer Photo</v>
      </c>
      <c r="U326" t="str">
        <f>sales_data!J2028</f>
        <v>Опт</v>
      </c>
      <c r="V326">
        <f>sales_data!K2028</f>
        <v>15</v>
      </c>
      <c r="W326">
        <f>sales_data!L2028</f>
        <v>9600</v>
      </c>
      <c r="X326">
        <f>sales_data!M2028</f>
        <v>144000</v>
      </c>
      <c r="Y326" t="str">
        <f>sales_data!N2028</f>
        <v>Офлайн-точка</v>
      </c>
      <c r="Z326" t="str">
        <f>sales_data!O2028</f>
        <v>Доставлен</v>
      </c>
    </row>
    <row r="327" spans="12:26" x14ac:dyDescent="0.25">
      <c r="L327">
        <f>sales_data!A2031</f>
        <v>1908</v>
      </c>
      <c r="M327">
        <f>sales_data!B2031</f>
        <v>45911</v>
      </c>
      <c r="N327">
        <f>sales_data!C2031</f>
        <v>11</v>
      </c>
      <c r="O327" t="str">
        <f>sales_data!D2031</f>
        <v>Сентябрь</v>
      </c>
      <c r="P327" t="str">
        <f>sales_data!E2031</f>
        <v>Сергей</v>
      </c>
      <c r="Q327" t="str">
        <f>sales_data!F2031</f>
        <v>Уфа</v>
      </c>
      <c r="R327" t="str">
        <f>sales_data!G2031</f>
        <v>Приволжский</v>
      </c>
      <c r="S327" t="str">
        <f>sales_data!H2031</f>
        <v>Мониторы</v>
      </c>
      <c r="T327" t="str">
        <f>sales_data!I2031</f>
        <v>Monitor 21</v>
      </c>
      <c r="U327" t="str">
        <f>sales_data!J2031</f>
        <v>Опт</v>
      </c>
      <c r="V327">
        <f>sales_data!K2031</f>
        <v>48</v>
      </c>
      <c r="W327">
        <f>sales_data!L2031</f>
        <v>9600</v>
      </c>
      <c r="X327">
        <f>sales_data!M2031</f>
        <v>460800</v>
      </c>
      <c r="Y327" t="str">
        <f>sales_data!N2031</f>
        <v>Интернет-магазин</v>
      </c>
      <c r="Z327" t="str">
        <f>sales_data!O2031</f>
        <v>В пути</v>
      </c>
    </row>
    <row r="328" spans="12:26" x14ac:dyDescent="0.25">
      <c r="L328">
        <f>sales_data!A2033</f>
        <v>2459</v>
      </c>
      <c r="M328">
        <f>sales_data!B2033</f>
        <v>45900</v>
      </c>
      <c r="N328">
        <f>sales_data!C2033</f>
        <v>31</v>
      </c>
      <c r="O328" t="str">
        <f>sales_data!D2033</f>
        <v>Август</v>
      </c>
      <c r="P328" t="str">
        <f>sales_data!E2033</f>
        <v>Сергей</v>
      </c>
      <c r="Q328" t="str">
        <f>sales_data!F2033</f>
        <v>Самара</v>
      </c>
      <c r="R328" t="str">
        <f>sales_data!G2033</f>
        <v>Приволжский</v>
      </c>
      <c r="S328" t="str">
        <f>sales_data!H2033</f>
        <v>Принтеры</v>
      </c>
      <c r="T328" t="str">
        <f>sales_data!I2033</f>
        <v>Printer Photo</v>
      </c>
      <c r="U328" t="str">
        <f>sales_data!J2033</f>
        <v>Опт</v>
      </c>
      <c r="V328">
        <f>sales_data!K2033</f>
        <v>40</v>
      </c>
      <c r="W328">
        <f>sales_data!L2033</f>
        <v>9600</v>
      </c>
      <c r="X328">
        <f>sales_data!M2033</f>
        <v>384000</v>
      </c>
      <c r="Y328" t="str">
        <f>sales_data!N2033</f>
        <v>Интернет-магазин</v>
      </c>
      <c r="Z328" t="str">
        <f>sales_data!O2033</f>
        <v>Доставлен</v>
      </c>
    </row>
    <row r="329" spans="12:26" x14ac:dyDescent="0.25">
      <c r="L329">
        <f>sales_data!A2038</f>
        <v>4335</v>
      </c>
      <c r="M329">
        <f>sales_data!B2038</f>
        <v>45884</v>
      </c>
      <c r="N329">
        <f>sales_data!C2038</f>
        <v>15</v>
      </c>
      <c r="O329" t="str">
        <f>sales_data!D2038</f>
        <v>Август</v>
      </c>
      <c r="P329" t="str">
        <f>sales_data!E2038</f>
        <v>Светлана</v>
      </c>
      <c r="Q329" t="str">
        <f>sales_data!F2038</f>
        <v>Новосибирск</v>
      </c>
      <c r="R329" t="str">
        <f>sales_data!G2038</f>
        <v>Сибирский</v>
      </c>
      <c r="S329" t="str">
        <f>sales_data!H2038</f>
        <v>Принтеры</v>
      </c>
      <c r="T329" t="str">
        <f>sales_data!I2038</f>
        <v>Printer Photo</v>
      </c>
      <c r="U329" t="str">
        <f>sales_data!J2038</f>
        <v>Опт</v>
      </c>
      <c r="V329">
        <f>sales_data!K2038</f>
        <v>8</v>
      </c>
      <c r="W329">
        <f>sales_data!L2038</f>
        <v>9600</v>
      </c>
      <c r="X329">
        <f>sales_data!M2038</f>
        <v>76800</v>
      </c>
      <c r="Y329" t="str">
        <f>sales_data!N2038</f>
        <v>Офлайн-точка</v>
      </c>
      <c r="Z329" t="str">
        <f>sales_data!O2038</f>
        <v>Отменён</v>
      </c>
    </row>
    <row r="330" spans="12:26" x14ac:dyDescent="0.25">
      <c r="L330">
        <f>sales_data!A2039</f>
        <v>4981</v>
      </c>
      <c r="M330">
        <f>sales_data!B2039</f>
        <v>45703</v>
      </c>
      <c r="N330">
        <f>sales_data!C2039</f>
        <v>15</v>
      </c>
      <c r="O330" t="str">
        <f>sales_data!D2039</f>
        <v>Февраль</v>
      </c>
      <c r="P330" t="str">
        <f>sales_data!E2039</f>
        <v>Татьяна</v>
      </c>
      <c r="Q330" t="str">
        <f>sales_data!F2039</f>
        <v>Новосибирск</v>
      </c>
      <c r="R330" t="str">
        <f>sales_data!G2039</f>
        <v>Сибирский</v>
      </c>
      <c r="S330" t="str">
        <f>sales_data!H2039</f>
        <v>Периферия</v>
      </c>
      <c r="T330" t="str">
        <f>sales_data!I2039</f>
        <v>Dock Station</v>
      </c>
      <c r="U330" t="str">
        <f>sales_data!J2039</f>
        <v>Опт</v>
      </c>
      <c r="V330">
        <f>sales_data!K2039</f>
        <v>32</v>
      </c>
      <c r="W330">
        <f>sales_data!L2039</f>
        <v>9600</v>
      </c>
      <c r="X330">
        <f>sales_data!M2039</f>
        <v>307200</v>
      </c>
      <c r="Y330" t="str">
        <f>sales_data!N2039</f>
        <v>Офлайн-точка</v>
      </c>
      <c r="Z330" t="str">
        <f>sales_data!O2039</f>
        <v>Доставлен</v>
      </c>
    </row>
    <row r="331" spans="12:26" x14ac:dyDescent="0.25">
      <c r="L331">
        <f>sales_data!A2041</f>
        <v>197</v>
      </c>
      <c r="M331">
        <f>sales_data!B2041</f>
        <v>45844</v>
      </c>
      <c r="N331">
        <f>sales_data!C2041</f>
        <v>6</v>
      </c>
      <c r="O331" t="str">
        <f>sales_data!D2041</f>
        <v>Июль</v>
      </c>
      <c r="P331" t="str">
        <f>sales_data!E2041</f>
        <v>Татьяна</v>
      </c>
      <c r="Q331" t="str">
        <f>sales_data!F2041</f>
        <v>Уфа</v>
      </c>
      <c r="R331" t="str">
        <f>sales_data!G2041</f>
        <v>Приволжский</v>
      </c>
      <c r="S331" t="str">
        <f>sales_data!H2041</f>
        <v>Мониторы</v>
      </c>
      <c r="T331" t="str">
        <f>sales_data!I2041</f>
        <v>Monitor 21</v>
      </c>
      <c r="U331" t="str">
        <f>sales_data!J2041</f>
        <v>Опт</v>
      </c>
      <c r="V331">
        <f>sales_data!K2041</f>
        <v>33</v>
      </c>
      <c r="W331">
        <f>sales_data!L2041</f>
        <v>9700</v>
      </c>
      <c r="X331">
        <f>sales_data!M2041</f>
        <v>320100</v>
      </c>
      <c r="Y331" t="str">
        <f>sales_data!N2041</f>
        <v>Интернет-магазин</v>
      </c>
      <c r="Z331" t="str">
        <f>sales_data!O2041</f>
        <v>Отменён</v>
      </c>
    </row>
    <row r="332" spans="12:26" x14ac:dyDescent="0.25">
      <c r="L332">
        <f>sales_data!A2048</f>
        <v>2382</v>
      </c>
      <c r="M332">
        <f>sales_data!B2048</f>
        <v>46004</v>
      </c>
      <c r="N332">
        <f>sales_data!C2048</f>
        <v>13</v>
      </c>
      <c r="O332" t="str">
        <f>sales_data!D2048</f>
        <v>Декабрь</v>
      </c>
      <c r="P332" t="str">
        <f>sales_data!E2048</f>
        <v>Наталья</v>
      </c>
      <c r="Q332" t="str">
        <f>sales_data!F2048</f>
        <v>Краснодар</v>
      </c>
      <c r="R332" t="str">
        <f>sales_data!G2048</f>
        <v>Южный</v>
      </c>
      <c r="S332" t="str">
        <f>sales_data!H2048</f>
        <v>Периферия</v>
      </c>
      <c r="T332" t="str">
        <f>sales_data!I2048</f>
        <v>Dock Station</v>
      </c>
      <c r="U332" t="str">
        <f>sales_data!J2048</f>
        <v>Опт</v>
      </c>
      <c r="V332">
        <f>sales_data!K2048</f>
        <v>16</v>
      </c>
      <c r="W332">
        <f>sales_data!L2048</f>
        <v>9700</v>
      </c>
      <c r="X332">
        <f>sales_data!M2048</f>
        <v>155200</v>
      </c>
      <c r="Y332" t="str">
        <f>sales_data!N2048</f>
        <v>Интернет-магазин</v>
      </c>
      <c r="Z332" t="str">
        <f>sales_data!O2048</f>
        <v>В пути</v>
      </c>
    </row>
    <row r="333" spans="12:26" x14ac:dyDescent="0.25">
      <c r="L333">
        <f>sales_data!A2051</f>
        <v>4299</v>
      </c>
      <c r="M333">
        <f>sales_data!B2051</f>
        <v>45852</v>
      </c>
      <c r="N333">
        <f>sales_data!C2051</f>
        <v>14</v>
      </c>
      <c r="O333" t="str">
        <f>sales_data!D2051</f>
        <v>Июль</v>
      </c>
      <c r="P333" t="str">
        <f>sales_data!E2051</f>
        <v>Сергей</v>
      </c>
      <c r="Q333" t="str">
        <f>sales_data!F2051</f>
        <v>Москва</v>
      </c>
      <c r="R333" t="str">
        <f>sales_data!G2051</f>
        <v>Центральный</v>
      </c>
      <c r="S333" t="str">
        <f>sales_data!H2051</f>
        <v>Периферия</v>
      </c>
      <c r="T333" t="str">
        <f>sales_data!I2051</f>
        <v>Dock Station</v>
      </c>
      <c r="U333" t="str">
        <f>sales_data!J2051</f>
        <v>Опт</v>
      </c>
      <c r="V333">
        <f>sales_data!K2051</f>
        <v>47</v>
      </c>
      <c r="W333">
        <f>sales_data!L2051</f>
        <v>9700</v>
      </c>
      <c r="X333">
        <f>sales_data!M2051</f>
        <v>455900</v>
      </c>
      <c r="Y333" t="str">
        <f>sales_data!N2051</f>
        <v>Офлайн-точка</v>
      </c>
      <c r="Z333" t="str">
        <f>sales_data!O2051</f>
        <v>В пути</v>
      </c>
    </row>
    <row r="334" spans="12:26" x14ac:dyDescent="0.25">
      <c r="L334">
        <f>sales_data!A2066</f>
        <v>334</v>
      </c>
      <c r="M334">
        <f>sales_data!B2066</f>
        <v>45852</v>
      </c>
      <c r="N334">
        <f>sales_data!C2066</f>
        <v>14</v>
      </c>
      <c r="O334" t="str">
        <f>sales_data!D2066</f>
        <v>Июль</v>
      </c>
      <c r="P334" t="str">
        <f>sales_data!E2066</f>
        <v>Светлана</v>
      </c>
      <c r="Q334" t="str">
        <f>sales_data!F2066</f>
        <v>Казань</v>
      </c>
      <c r="R334" t="str">
        <f>sales_data!G2066</f>
        <v>Приволжский</v>
      </c>
      <c r="S334" t="str">
        <f>sales_data!H2066</f>
        <v>Периферия</v>
      </c>
      <c r="T334" t="str">
        <f>sales_data!I2066</f>
        <v>Dock Station</v>
      </c>
      <c r="U334" t="str">
        <f>sales_data!J2066</f>
        <v>Опт</v>
      </c>
      <c r="V334">
        <f>sales_data!K2066</f>
        <v>36</v>
      </c>
      <c r="W334">
        <f>sales_data!L2066</f>
        <v>9900</v>
      </c>
      <c r="X334">
        <f>sales_data!M2066</f>
        <v>356400</v>
      </c>
      <c r="Y334" t="str">
        <f>sales_data!N2066</f>
        <v>Интернет-магазин</v>
      </c>
      <c r="Z334" t="str">
        <f>sales_data!O2066</f>
        <v>Доставлен</v>
      </c>
    </row>
    <row r="335" spans="12:26" x14ac:dyDescent="0.25">
      <c r="L335">
        <f>sales_data!A2084</f>
        <v>4066</v>
      </c>
      <c r="M335">
        <f>sales_data!B2084</f>
        <v>45958</v>
      </c>
      <c r="N335">
        <f>sales_data!C2084</f>
        <v>28</v>
      </c>
      <c r="O335" t="str">
        <f>sales_data!D2084</f>
        <v>Октябрь</v>
      </c>
      <c r="P335" t="str">
        <f>sales_data!E2084</f>
        <v>Татьяна</v>
      </c>
      <c r="Q335" t="str">
        <f>sales_data!F2084</f>
        <v>Москва</v>
      </c>
      <c r="R335" t="str">
        <f>sales_data!G2084</f>
        <v>Центральный</v>
      </c>
      <c r="S335" t="str">
        <f>sales_data!H2084</f>
        <v>Периферия</v>
      </c>
      <c r="T335" t="str">
        <f>sales_data!I2084</f>
        <v>Dock Station</v>
      </c>
      <c r="U335" t="str">
        <f>sales_data!J2084</f>
        <v>Опт</v>
      </c>
      <c r="V335">
        <f>sales_data!K2084</f>
        <v>7</v>
      </c>
      <c r="W335">
        <f>sales_data!L2084</f>
        <v>9900</v>
      </c>
      <c r="X335">
        <f>sales_data!M2084</f>
        <v>69300</v>
      </c>
      <c r="Y335" t="str">
        <f>sales_data!N2084</f>
        <v>Офлайн-точка</v>
      </c>
      <c r="Z335" t="str">
        <f>sales_data!O2084</f>
        <v>В пути</v>
      </c>
    </row>
    <row r="336" spans="12:26" x14ac:dyDescent="0.25">
      <c r="L336">
        <f>sales_data!A2085</f>
        <v>4098</v>
      </c>
      <c r="M336">
        <f>sales_data!B2085</f>
        <v>45997</v>
      </c>
      <c r="N336">
        <f>sales_data!C2085</f>
        <v>6</v>
      </c>
      <c r="O336" t="str">
        <f>sales_data!D2085</f>
        <v>Декабрь</v>
      </c>
      <c r="P336" t="str">
        <f>sales_data!E2085</f>
        <v>Татьяна</v>
      </c>
      <c r="Q336" t="str">
        <f>sales_data!F2085</f>
        <v>Ростов-на-Дону</v>
      </c>
      <c r="R336" t="str">
        <f>sales_data!G2085</f>
        <v>Южный</v>
      </c>
      <c r="S336" t="str">
        <f>sales_data!H2085</f>
        <v>Периферия</v>
      </c>
      <c r="T336" t="str">
        <f>sales_data!I2085</f>
        <v>Dock Station</v>
      </c>
      <c r="U336" t="str">
        <f>sales_data!J2085</f>
        <v>Опт</v>
      </c>
      <c r="V336">
        <f>sales_data!K2085</f>
        <v>5</v>
      </c>
      <c r="W336">
        <f>sales_data!L2085</f>
        <v>9900</v>
      </c>
      <c r="X336">
        <f>sales_data!M2085</f>
        <v>49500</v>
      </c>
      <c r="Y336" t="str">
        <f>sales_data!N2085</f>
        <v>Интернет-магазин</v>
      </c>
      <c r="Z336" t="str">
        <f>sales_data!O2085</f>
        <v>Отменён</v>
      </c>
    </row>
    <row r="337" spans="12:26" x14ac:dyDescent="0.25">
      <c r="L337">
        <f>sales_data!A2089</f>
        <v>4698</v>
      </c>
      <c r="M337">
        <f>sales_data!B2089</f>
        <v>45702</v>
      </c>
      <c r="N337">
        <f>sales_data!C2089</f>
        <v>14</v>
      </c>
      <c r="O337" t="str">
        <f>sales_data!D2089</f>
        <v>Февраль</v>
      </c>
      <c r="P337" t="str">
        <f>sales_data!E2089</f>
        <v>Светлана</v>
      </c>
      <c r="Q337" t="str">
        <f>sales_data!F2089</f>
        <v>Нижний Новгород</v>
      </c>
      <c r="R337" t="str">
        <f>sales_data!G2089</f>
        <v>Приволжский</v>
      </c>
      <c r="S337" t="str">
        <f>sales_data!H2089</f>
        <v>Принтеры</v>
      </c>
      <c r="T337" t="str">
        <f>sales_data!I2089</f>
        <v>Printer Photo</v>
      </c>
      <c r="U337" t="str">
        <f>sales_data!J2089</f>
        <v>Опт</v>
      </c>
      <c r="V337">
        <f>sales_data!K2089</f>
        <v>30</v>
      </c>
      <c r="W337">
        <f>sales_data!L2089</f>
        <v>9900</v>
      </c>
      <c r="X337">
        <f>sales_data!M2089</f>
        <v>297000</v>
      </c>
      <c r="Y337" t="str">
        <f>sales_data!N2089</f>
        <v>Интернет-магазин</v>
      </c>
      <c r="Z337" t="str">
        <f>sales_data!O2089</f>
        <v>Доставлен</v>
      </c>
    </row>
    <row r="338" spans="12:26" x14ac:dyDescent="0.25">
      <c r="L338">
        <f>sales_data!A2090</f>
        <v>52</v>
      </c>
      <c r="M338">
        <f>sales_data!B2090</f>
        <v>45800</v>
      </c>
      <c r="N338">
        <f>sales_data!C2090</f>
        <v>23</v>
      </c>
      <c r="O338" t="str">
        <f>sales_data!D2090</f>
        <v>Май</v>
      </c>
      <c r="P338" t="str">
        <f>sales_data!E2090</f>
        <v>Владимир</v>
      </c>
      <c r="Q338" t="str">
        <f>sales_data!F2090</f>
        <v>Санкт-Петербург</v>
      </c>
      <c r="R338" t="str">
        <f>sales_data!G2090</f>
        <v>Северо-Западный</v>
      </c>
      <c r="S338" t="str">
        <f>sales_data!H2090</f>
        <v>Периферия</v>
      </c>
      <c r="T338" t="str">
        <f>sales_data!I2090</f>
        <v>Dock Station</v>
      </c>
      <c r="U338" t="str">
        <f>sales_data!J2090</f>
        <v>Опт</v>
      </c>
      <c r="V338">
        <f>sales_data!K2090</f>
        <v>48</v>
      </c>
      <c r="W338">
        <f>sales_data!L2090</f>
        <v>10000</v>
      </c>
      <c r="X338">
        <f>sales_data!M2090</f>
        <v>480000</v>
      </c>
      <c r="Y338" t="str">
        <f>sales_data!N2090</f>
        <v>Офлайн-точка</v>
      </c>
      <c r="Z338" t="str">
        <f>sales_data!O2090</f>
        <v>Доставлен</v>
      </c>
    </row>
    <row r="339" spans="12:26" x14ac:dyDescent="0.25">
      <c r="L339">
        <f>sales_data!A2112</f>
        <v>645</v>
      </c>
      <c r="M339">
        <f>sales_data!B2112</f>
        <v>45881</v>
      </c>
      <c r="N339">
        <f>sales_data!C2112</f>
        <v>12</v>
      </c>
      <c r="O339" t="str">
        <f>sales_data!D2112</f>
        <v>Август</v>
      </c>
      <c r="P339" t="str">
        <f>sales_data!E2112</f>
        <v>Ольга</v>
      </c>
      <c r="Q339" t="str">
        <f>sales_data!F2112</f>
        <v>Новосибирск</v>
      </c>
      <c r="R339" t="str">
        <f>sales_data!G2112</f>
        <v>Сибирский</v>
      </c>
      <c r="S339" t="str">
        <f>sales_data!H2112</f>
        <v>Мониторы</v>
      </c>
      <c r="T339" t="str">
        <f>sales_data!I2112</f>
        <v>Monitor 21</v>
      </c>
      <c r="U339" t="str">
        <f>sales_data!J2112</f>
        <v>Опт</v>
      </c>
      <c r="V339">
        <f>sales_data!K2112</f>
        <v>19</v>
      </c>
      <c r="W339">
        <f>sales_data!L2112</f>
        <v>10100</v>
      </c>
      <c r="X339">
        <f>sales_data!M2112</f>
        <v>191900</v>
      </c>
      <c r="Y339" t="str">
        <f>sales_data!N2112</f>
        <v>Офлайн-точка</v>
      </c>
      <c r="Z339" t="str">
        <f>sales_data!O2112</f>
        <v>Доставлен</v>
      </c>
    </row>
    <row r="340" spans="12:26" x14ac:dyDescent="0.25">
      <c r="L340">
        <f>sales_data!A2115</f>
        <v>1967</v>
      </c>
      <c r="M340">
        <f>sales_data!B2115</f>
        <v>45715</v>
      </c>
      <c r="N340">
        <f>sales_data!C2115</f>
        <v>27</v>
      </c>
      <c r="O340" t="str">
        <f>sales_data!D2115</f>
        <v>Февраль</v>
      </c>
      <c r="P340" t="str">
        <f>sales_data!E2115</f>
        <v>Борис</v>
      </c>
      <c r="Q340" t="str">
        <f>sales_data!F2115</f>
        <v>Уфа</v>
      </c>
      <c r="R340" t="str">
        <f>sales_data!G2115</f>
        <v>Приволжский</v>
      </c>
      <c r="S340" t="str">
        <f>sales_data!H2115</f>
        <v>Мониторы</v>
      </c>
      <c r="T340" t="str">
        <f>sales_data!I2115</f>
        <v>Monitor 21</v>
      </c>
      <c r="U340" t="str">
        <f>sales_data!J2115</f>
        <v>Опт</v>
      </c>
      <c r="V340">
        <f>sales_data!K2115</f>
        <v>22</v>
      </c>
      <c r="W340">
        <f>sales_data!L2115</f>
        <v>10100</v>
      </c>
      <c r="X340">
        <f>sales_data!M2115</f>
        <v>222200</v>
      </c>
      <c r="Y340" t="str">
        <f>sales_data!N2115</f>
        <v>Интернет-магазин</v>
      </c>
      <c r="Z340" t="str">
        <f>sales_data!O2115</f>
        <v>Отменён</v>
      </c>
    </row>
    <row r="341" spans="12:26" x14ac:dyDescent="0.25">
      <c r="L341">
        <f>sales_data!A2130</f>
        <v>1359</v>
      </c>
      <c r="M341">
        <f>sales_data!B2130</f>
        <v>45713</v>
      </c>
      <c r="N341">
        <f>sales_data!C2130</f>
        <v>25</v>
      </c>
      <c r="O341" t="str">
        <f>sales_data!D2130</f>
        <v>Февраль</v>
      </c>
      <c r="P341" t="str">
        <f>sales_data!E2130</f>
        <v>Ксения</v>
      </c>
      <c r="Q341" t="str">
        <f>sales_data!F2130</f>
        <v>Воронеж</v>
      </c>
      <c r="R341" t="str">
        <f>sales_data!G2130</f>
        <v>Центральный</v>
      </c>
      <c r="S341" t="str">
        <f>sales_data!H2130</f>
        <v>Принтеры</v>
      </c>
      <c r="T341" t="str">
        <f>sales_data!I2130</f>
        <v>Printer Photo</v>
      </c>
      <c r="U341" t="str">
        <f>sales_data!J2130</f>
        <v>Розница</v>
      </c>
      <c r="V341">
        <f>sales_data!K2130</f>
        <v>7</v>
      </c>
      <c r="W341">
        <f>sales_data!L2130</f>
        <v>10200</v>
      </c>
      <c r="X341">
        <f>sales_data!M2130</f>
        <v>71400</v>
      </c>
      <c r="Y341" t="str">
        <f>sales_data!N2130</f>
        <v>Офлайн-точка</v>
      </c>
      <c r="Z341" t="str">
        <f>sales_data!O2130</f>
        <v>Доставлен</v>
      </c>
    </row>
    <row r="342" spans="12:26" x14ac:dyDescent="0.25">
      <c r="L342">
        <f>sales_data!A2139</f>
        <v>108</v>
      </c>
      <c r="M342">
        <f>sales_data!B2139</f>
        <v>45795</v>
      </c>
      <c r="N342">
        <f>sales_data!C2139</f>
        <v>18</v>
      </c>
      <c r="O342" t="str">
        <f>sales_data!D2139</f>
        <v>Май</v>
      </c>
      <c r="P342" t="str">
        <f>sales_data!E2139</f>
        <v>Сергей</v>
      </c>
      <c r="Q342" t="str">
        <f>sales_data!F2139</f>
        <v>Москва</v>
      </c>
      <c r="R342" t="str">
        <f>sales_data!G2139</f>
        <v>Центральный</v>
      </c>
      <c r="S342" t="str">
        <f>sales_data!H2139</f>
        <v>Мониторы</v>
      </c>
      <c r="T342" t="str">
        <f>sales_data!I2139</f>
        <v>Monitor 21</v>
      </c>
      <c r="U342" t="str">
        <f>sales_data!J2139</f>
        <v>Опт</v>
      </c>
      <c r="V342">
        <f>sales_data!K2139</f>
        <v>22</v>
      </c>
      <c r="W342">
        <f>sales_data!L2139</f>
        <v>10300</v>
      </c>
      <c r="X342">
        <f>sales_data!M2139</f>
        <v>226600</v>
      </c>
      <c r="Y342" t="str">
        <f>sales_data!N2139</f>
        <v>Интернет-магазин</v>
      </c>
      <c r="Z342" t="str">
        <f>sales_data!O2139</f>
        <v>Отменён</v>
      </c>
    </row>
    <row r="343" spans="12:26" x14ac:dyDescent="0.25">
      <c r="L343">
        <f>sales_data!A2142</f>
        <v>2976</v>
      </c>
      <c r="M343">
        <f>sales_data!B2142</f>
        <v>45912</v>
      </c>
      <c r="N343">
        <f>sales_data!C2142</f>
        <v>12</v>
      </c>
      <c r="O343" t="str">
        <f>sales_data!D2142</f>
        <v>Сентябрь</v>
      </c>
      <c r="P343" t="str">
        <f>sales_data!E2142</f>
        <v>Мария</v>
      </c>
      <c r="Q343" t="str">
        <f>sales_data!F2142</f>
        <v>Санкт-Петербург</v>
      </c>
      <c r="R343" t="str">
        <f>sales_data!G2142</f>
        <v>Северо-Западный</v>
      </c>
      <c r="S343" t="str">
        <f>sales_data!H2142</f>
        <v>Периферия</v>
      </c>
      <c r="T343" t="str">
        <f>sales_data!I2142</f>
        <v>Dock Station</v>
      </c>
      <c r="U343" t="str">
        <f>sales_data!J2142</f>
        <v>Опт</v>
      </c>
      <c r="V343">
        <f>sales_data!K2142</f>
        <v>14</v>
      </c>
      <c r="W343">
        <f>sales_data!L2142</f>
        <v>10300</v>
      </c>
      <c r="X343">
        <f>sales_data!M2142</f>
        <v>144200</v>
      </c>
      <c r="Y343" t="str">
        <f>sales_data!N2142</f>
        <v>Офлайн-точка</v>
      </c>
      <c r="Z343" t="str">
        <f>sales_data!O2142</f>
        <v>Отменён</v>
      </c>
    </row>
    <row r="344" spans="12:26" x14ac:dyDescent="0.25">
      <c r="L344">
        <f>sales_data!A2148</f>
        <v>3824</v>
      </c>
      <c r="M344">
        <f>sales_data!B2148</f>
        <v>45823</v>
      </c>
      <c r="N344">
        <f>sales_data!C2148</f>
        <v>15</v>
      </c>
      <c r="O344" t="str">
        <f>sales_data!D2148</f>
        <v>Июнь</v>
      </c>
      <c r="P344" t="str">
        <f>sales_data!E2148</f>
        <v>Наталья</v>
      </c>
      <c r="Q344" t="str">
        <f>sales_data!F2148</f>
        <v>Самара</v>
      </c>
      <c r="R344" t="str">
        <f>sales_data!G2148</f>
        <v>Приволжский</v>
      </c>
      <c r="S344" t="str">
        <f>sales_data!H2148</f>
        <v>Мониторы</v>
      </c>
      <c r="T344" t="str">
        <f>sales_data!I2148</f>
        <v>Monitor 21</v>
      </c>
      <c r="U344" t="str">
        <f>sales_data!J2148</f>
        <v>Опт</v>
      </c>
      <c r="V344">
        <f>sales_data!K2148</f>
        <v>22</v>
      </c>
      <c r="W344">
        <f>sales_data!L2148</f>
        <v>10300</v>
      </c>
      <c r="X344">
        <f>sales_data!M2148</f>
        <v>226600</v>
      </c>
      <c r="Y344" t="str">
        <f>sales_data!N2148</f>
        <v>Офлайн-точка</v>
      </c>
      <c r="Z344" t="str">
        <f>sales_data!O2148</f>
        <v>Отменён</v>
      </c>
    </row>
    <row r="345" spans="12:26" x14ac:dyDescent="0.25">
      <c r="L345">
        <f>sales_data!A2155</f>
        <v>116</v>
      </c>
      <c r="M345">
        <f>sales_data!B2155</f>
        <v>45894</v>
      </c>
      <c r="N345">
        <f>sales_data!C2155</f>
        <v>25</v>
      </c>
      <c r="O345" t="str">
        <f>sales_data!D2155</f>
        <v>Август</v>
      </c>
      <c r="P345" t="str">
        <f>sales_data!E2155</f>
        <v>Борис</v>
      </c>
      <c r="Q345" t="str">
        <f>sales_data!F2155</f>
        <v>Ростов-на-Дону</v>
      </c>
      <c r="R345" t="str">
        <f>sales_data!G2155</f>
        <v>Южный</v>
      </c>
      <c r="S345" t="str">
        <f>sales_data!H2155</f>
        <v>Мониторы</v>
      </c>
      <c r="T345" t="str">
        <f>sales_data!I2155</f>
        <v>Monitor 21</v>
      </c>
      <c r="U345" t="str">
        <f>sales_data!J2155</f>
        <v>Опт</v>
      </c>
      <c r="V345">
        <f>sales_data!K2155</f>
        <v>37</v>
      </c>
      <c r="W345">
        <f>sales_data!L2155</f>
        <v>10400</v>
      </c>
      <c r="X345">
        <f>sales_data!M2155</f>
        <v>384800</v>
      </c>
      <c r="Y345" t="str">
        <f>sales_data!N2155</f>
        <v>Офлайн-точка</v>
      </c>
      <c r="Z345" t="str">
        <f>sales_data!O2155</f>
        <v>В пути</v>
      </c>
    </row>
    <row r="346" spans="12:26" x14ac:dyDescent="0.25">
      <c r="L346">
        <f>sales_data!A2167</f>
        <v>1222</v>
      </c>
      <c r="M346">
        <f>sales_data!B2167</f>
        <v>45684</v>
      </c>
      <c r="N346">
        <f>sales_data!C2167</f>
        <v>27</v>
      </c>
      <c r="O346" t="str">
        <f>sales_data!D2167</f>
        <v>Январь</v>
      </c>
      <c r="P346" t="str">
        <f>sales_data!E2167</f>
        <v>Ксения</v>
      </c>
      <c r="Q346" t="str">
        <f>sales_data!F2167</f>
        <v>Пермь</v>
      </c>
      <c r="R346" t="str">
        <f>sales_data!G2167</f>
        <v>Приволжский</v>
      </c>
      <c r="S346" t="str">
        <f>sales_data!H2167</f>
        <v>Мониторы</v>
      </c>
      <c r="T346" t="str">
        <f>sales_data!I2167</f>
        <v>Monitor 21</v>
      </c>
      <c r="U346" t="str">
        <f>sales_data!J2167</f>
        <v>Опт</v>
      </c>
      <c r="V346">
        <f>sales_data!K2167</f>
        <v>24</v>
      </c>
      <c r="W346">
        <f>sales_data!L2167</f>
        <v>10400</v>
      </c>
      <c r="X346">
        <f>sales_data!M2167</f>
        <v>249600</v>
      </c>
      <c r="Y346" t="str">
        <f>sales_data!N2167</f>
        <v>Интернет-магазин</v>
      </c>
      <c r="Z346" t="str">
        <f>sales_data!O2167</f>
        <v>Доставлен</v>
      </c>
    </row>
    <row r="347" spans="12:26" x14ac:dyDescent="0.25">
      <c r="L347">
        <f>sales_data!A2179</f>
        <v>3326</v>
      </c>
      <c r="M347">
        <f>sales_data!B2179</f>
        <v>45882</v>
      </c>
      <c r="N347">
        <f>sales_data!C2179</f>
        <v>13</v>
      </c>
      <c r="O347" t="str">
        <f>sales_data!D2179</f>
        <v>Август</v>
      </c>
      <c r="P347" t="str">
        <f>sales_data!E2179</f>
        <v>Ольга</v>
      </c>
      <c r="Q347" t="str">
        <f>sales_data!F2179</f>
        <v>Самара</v>
      </c>
      <c r="R347" t="str">
        <f>sales_data!G2179</f>
        <v>Приволжский</v>
      </c>
      <c r="S347" t="str">
        <f>sales_data!H2179</f>
        <v>Мониторы</v>
      </c>
      <c r="T347" t="str">
        <f>sales_data!I2179</f>
        <v>Monitor 21</v>
      </c>
      <c r="U347" t="str">
        <f>sales_data!J2179</f>
        <v>Опт</v>
      </c>
      <c r="V347">
        <f>sales_data!K2179</f>
        <v>27</v>
      </c>
      <c r="W347">
        <f>sales_data!L2179</f>
        <v>10400</v>
      </c>
      <c r="X347">
        <f>sales_data!M2179</f>
        <v>280800</v>
      </c>
      <c r="Y347" t="str">
        <f>sales_data!N2179</f>
        <v>Интернет-магазин</v>
      </c>
      <c r="Z347" t="str">
        <f>sales_data!O2179</f>
        <v>Доставлен</v>
      </c>
    </row>
    <row r="348" spans="12:26" x14ac:dyDescent="0.25">
      <c r="L348">
        <f>sales_data!A2181</f>
        <v>4506</v>
      </c>
      <c r="M348">
        <f>sales_data!B2181</f>
        <v>45860</v>
      </c>
      <c r="N348">
        <f>sales_data!C2181</f>
        <v>22</v>
      </c>
      <c r="O348" t="str">
        <f>sales_data!D2181</f>
        <v>Июль</v>
      </c>
      <c r="P348" t="str">
        <f>sales_data!E2181</f>
        <v>Игорь</v>
      </c>
      <c r="Q348" t="str">
        <f>sales_data!F2181</f>
        <v>Нижний Новгород</v>
      </c>
      <c r="R348" t="str">
        <f>sales_data!G2181</f>
        <v>Приволжский</v>
      </c>
      <c r="S348" t="str">
        <f>sales_data!H2181</f>
        <v>Мониторы</v>
      </c>
      <c r="T348" t="str">
        <f>sales_data!I2181</f>
        <v>Monitor 21</v>
      </c>
      <c r="U348" t="str">
        <f>sales_data!J2181</f>
        <v>Опт</v>
      </c>
      <c r="V348">
        <f>sales_data!K2181</f>
        <v>48</v>
      </c>
      <c r="W348">
        <f>sales_data!L2181</f>
        <v>10400</v>
      </c>
      <c r="X348">
        <f>sales_data!M2181</f>
        <v>499200</v>
      </c>
      <c r="Y348" t="str">
        <f>sales_data!N2181</f>
        <v>Офлайн-точка</v>
      </c>
      <c r="Z348" t="str">
        <f>sales_data!O2181</f>
        <v>Доставлен</v>
      </c>
    </row>
    <row r="349" spans="12:26" x14ac:dyDescent="0.25">
      <c r="L349">
        <f>sales_data!A2185</f>
        <v>261</v>
      </c>
      <c r="M349">
        <f>sales_data!B2185</f>
        <v>45869</v>
      </c>
      <c r="N349">
        <f>sales_data!C2185</f>
        <v>31</v>
      </c>
      <c r="O349" t="str">
        <f>sales_data!D2185</f>
        <v>Июль</v>
      </c>
      <c r="P349" t="str">
        <f>sales_data!E2185</f>
        <v>Алексей</v>
      </c>
      <c r="Q349" t="str">
        <f>sales_data!F2185</f>
        <v>Новосибирск</v>
      </c>
      <c r="R349" t="str">
        <f>sales_data!G2185</f>
        <v>Сибирский</v>
      </c>
      <c r="S349" t="str">
        <f>sales_data!H2185</f>
        <v>Принтеры</v>
      </c>
      <c r="T349" t="str">
        <f>sales_data!I2185</f>
        <v>Printer Photo</v>
      </c>
      <c r="U349" t="str">
        <f>sales_data!J2185</f>
        <v>Розница</v>
      </c>
      <c r="V349">
        <f>sales_data!K2185</f>
        <v>3</v>
      </c>
      <c r="W349">
        <f>sales_data!L2185</f>
        <v>10500</v>
      </c>
      <c r="X349">
        <f>sales_data!M2185</f>
        <v>31500</v>
      </c>
      <c r="Y349" t="str">
        <f>sales_data!N2185</f>
        <v>Интернет-магазин</v>
      </c>
      <c r="Z349" t="str">
        <f>sales_data!O2185</f>
        <v>Отменён</v>
      </c>
    </row>
    <row r="350" spans="12:26" x14ac:dyDescent="0.25">
      <c r="L350">
        <f>sales_data!A2186</f>
        <v>522</v>
      </c>
      <c r="M350">
        <f>sales_data!B2186</f>
        <v>45771</v>
      </c>
      <c r="N350">
        <f>sales_data!C2186</f>
        <v>24</v>
      </c>
      <c r="O350" t="str">
        <f>sales_data!D2186</f>
        <v>Апрель</v>
      </c>
      <c r="P350" t="str">
        <f>sales_data!E2186</f>
        <v>Анна</v>
      </c>
      <c r="Q350" t="str">
        <f>sales_data!F2186</f>
        <v>Краснодар</v>
      </c>
      <c r="R350" t="str">
        <f>sales_data!G2186</f>
        <v>Южный</v>
      </c>
      <c r="S350" t="str">
        <f>sales_data!H2186</f>
        <v>Периферия</v>
      </c>
      <c r="T350" t="str">
        <f>sales_data!I2186</f>
        <v>Dock Station</v>
      </c>
      <c r="U350" t="str">
        <f>sales_data!J2186</f>
        <v>Опт</v>
      </c>
      <c r="V350">
        <f>sales_data!K2186</f>
        <v>49</v>
      </c>
      <c r="W350">
        <f>sales_data!L2186</f>
        <v>10500</v>
      </c>
      <c r="X350">
        <f>sales_data!M2186</f>
        <v>514500</v>
      </c>
      <c r="Y350" t="str">
        <f>sales_data!N2186</f>
        <v>Интернет-магазин</v>
      </c>
      <c r="Z350" t="str">
        <f>sales_data!O2186</f>
        <v>Доставлен</v>
      </c>
    </row>
    <row r="351" spans="12:26" x14ac:dyDescent="0.25">
      <c r="L351">
        <f>sales_data!A2190</f>
        <v>1522</v>
      </c>
      <c r="M351">
        <f>sales_data!B2190</f>
        <v>45785</v>
      </c>
      <c r="N351">
        <f>sales_data!C2190</f>
        <v>8</v>
      </c>
      <c r="O351" t="str">
        <f>sales_data!D2190</f>
        <v>Май</v>
      </c>
      <c r="P351" t="str">
        <f>sales_data!E2190</f>
        <v>Наталья</v>
      </c>
      <c r="Q351" t="str">
        <f>sales_data!F2190</f>
        <v>Самара</v>
      </c>
      <c r="R351" t="str">
        <f>sales_data!G2190</f>
        <v>Приволжский</v>
      </c>
      <c r="S351" t="str">
        <f>sales_data!H2190</f>
        <v>Периферия</v>
      </c>
      <c r="T351" t="str">
        <f>sales_data!I2190</f>
        <v>Dock Station</v>
      </c>
      <c r="U351" t="str">
        <f>sales_data!J2190</f>
        <v>Опт</v>
      </c>
      <c r="V351">
        <f>sales_data!K2190</f>
        <v>7</v>
      </c>
      <c r="W351">
        <f>sales_data!L2190</f>
        <v>10500</v>
      </c>
      <c r="X351">
        <f>sales_data!M2190</f>
        <v>73500</v>
      </c>
      <c r="Y351" t="str">
        <f>sales_data!N2190</f>
        <v>Офлайн-точка</v>
      </c>
      <c r="Z351" t="str">
        <f>sales_data!O2190</f>
        <v>В пути</v>
      </c>
    </row>
    <row r="352" spans="12:26" x14ac:dyDescent="0.25">
      <c r="L352">
        <f>sales_data!A2192</f>
        <v>2277</v>
      </c>
      <c r="M352">
        <f>sales_data!B2192</f>
        <v>45931</v>
      </c>
      <c r="N352">
        <f>sales_data!C2192</f>
        <v>1</v>
      </c>
      <c r="O352" t="str">
        <f>sales_data!D2192</f>
        <v>Октябрь</v>
      </c>
      <c r="P352" t="str">
        <f>sales_data!E2192</f>
        <v>Борис</v>
      </c>
      <c r="Q352" t="str">
        <f>sales_data!F2192</f>
        <v>Воронеж</v>
      </c>
      <c r="R352" t="str">
        <f>sales_data!G2192</f>
        <v>Центральный</v>
      </c>
      <c r="S352" t="str">
        <f>sales_data!H2192</f>
        <v>Мониторы</v>
      </c>
      <c r="T352" t="str">
        <f>sales_data!I2192</f>
        <v>Monitor 21</v>
      </c>
      <c r="U352" t="str">
        <f>sales_data!J2192</f>
        <v>Опт</v>
      </c>
      <c r="V352">
        <f>sales_data!K2192</f>
        <v>47</v>
      </c>
      <c r="W352">
        <f>sales_data!L2192</f>
        <v>10500</v>
      </c>
      <c r="X352">
        <f>sales_data!M2192</f>
        <v>493500</v>
      </c>
      <c r="Y352" t="str">
        <f>sales_data!N2192</f>
        <v>Интернет-магазин</v>
      </c>
      <c r="Z352" t="str">
        <f>sales_data!O2192</f>
        <v>Доставлен</v>
      </c>
    </row>
    <row r="353" spans="12:26" x14ac:dyDescent="0.25">
      <c r="L353">
        <f>sales_data!A2205</f>
        <v>4071</v>
      </c>
      <c r="M353">
        <f>sales_data!B2205</f>
        <v>45795</v>
      </c>
      <c r="N353">
        <f>sales_data!C2205</f>
        <v>18</v>
      </c>
      <c r="O353" t="str">
        <f>sales_data!D2205</f>
        <v>Май</v>
      </c>
      <c r="P353" t="str">
        <f>sales_data!E2205</f>
        <v>Анна</v>
      </c>
      <c r="Q353" t="str">
        <f>sales_data!F2205</f>
        <v>Новосибирск</v>
      </c>
      <c r="R353" t="str">
        <f>sales_data!G2205</f>
        <v>Сибирский</v>
      </c>
      <c r="S353" t="str">
        <f>sales_data!H2205</f>
        <v>Мониторы</v>
      </c>
      <c r="T353" t="str">
        <f>sales_data!I2205</f>
        <v>Monitor 21</v>
      </c>
      <c r="U353" t="str">
        <f>sales_data!J2205</f>
        <v>Опт</v>
      </c>
      <c r="V353">
        <f>sales_data!K2205</f>
        <v>21</v>
      </c>
      <c r="W353">
        <f>sales_data!L2205</f>
        <v>10500</v>
      </c>
      <c r="X353">
        <f>sales_data!M2205</f>
        <v>220500</v>
      </c>
      <c r="Y353" t="str">
        <f>sales_data!N2205</f>
        <v>Офлайн-точка</v>
      </c>
      <c r="Z353" t="str">
        <f>sales_data!O2205</f>
        <v>Доставлен</v>
      </c>
    </row>
    <row r="354" spans="12:26" x14ac:dyDescent="0.25">
      <c r="L354">
        <f>sales_data!A2219</f>
        <v>4025</v>
      </c>
      <c r="M354">
        <f>sales_data!B2219</f>
        <v>45932</v>
      </c>
      <c r="N354">
        <f>sales_data!C2219</f>
        <v>2</v>
      </c>
      <c r="O354" t="str">
        <f>sales_data!D2219</f>
        <v>Октябрь</v>
      </c>
      <c r="P354" t="str">
        <f>sales_data!E2219</f>
        <v>Наталья</v>
      </c>
      <c r="Q354" t="str">
        <f>sales_data!F2219</f>
        <v>Казань</v>
      </c>
      <c r="R354" t="str">
        <f>sales_data!G2219</f>
        <v>Приволжский</v>
      </c>
      <c r="S354" t="str">
        <f>sales_data!H2219</f>
        <v>Принтеры</v>
      </c>
      <c r="T354" t="str">
        <f>sales_data!I2219</f>
        <v>Printer Photo</v>
      </c>
      <c r="U354" t="str">
        <f>sales_data!J2219</f>
        <v>Розница</v>
      </c>
      <c r="V354">
        <f>sales_data!K2219</f>
        <v>9</v>
      </c>
      <c r="W354">
        <f>sales_data!L2219</f>
        <v>10600</v>
      </c>
      <c r="X354">
        <f>sales_data!M2219</f>
        <v>95400</v>
      </c>
      <c r="Y354" t="str">
        <f>sales_data!N2219</f>
        <v>Интернет-магазин</v>
      </c>
      <c r="Z354" t="str">
        <f>sales_data!O2219</f>
        <v>Доставлен</v>
      </c>
    </row>
    <row r="355" spans="12:26" x14ac:dyDescent="0.25">
      <c r="L355">
        <f>sales_data!A2220</f>
        <v>4030</v>
      </c>
      <c r="M355">
        <f>sales_data!B2220</f>
        <v>45803</v>
      </c>
      <c r="N355">
        <f>sales_data!C2220</f>
        <v>26</v>
      </c>
      <c r="O355" t="str">
        <f>sales_data!D2220</f>
        <v>Май</v>
      </c>
      <c r="P355" t="str">
        <f>sales_data!E2220</f>
        <v>Сергей</v>
      </c>
      <c r="Q355" t="str">
        <f>sales_data!F2220</f>
        <v>Самара</v>
      </c>
      <c r="R355" t="str">
        <f>sales_data!G2220</f>
        <v>Приволжский</v>
      </c>
      <c r="S355" t="str">
        <f>sales_data!H2220</f>
        <v>Мониторы</v>
      </c>
      <c r="T355" t="str">
        <f>sales_data!I2220</f>
        <v>Monitor 21</v>
      </c>
      <c r="U355" t="str">
        <f>sales_data!J2220</f>
        <v>Опт</v>
      </c>
      <c r="V355">
        <f>sales_data!K2220</f>
        <v>10</v>
      </c>
      <c r="W355">
        <f>sales_data!L2220</f>
        <v>10600</v>
      </c>
      <c r="X355">
        <f>sales_data!M2220</f>
        <v>106000</v>
      </c>
      <c r="Y355" t="str">
        <f>sales_data!N2220</f>
        <v>Офлайн-точка</v>
      </c>
      <c r="Z355" t="str">
        <f>sales_data!O2220</f>
        <v>В пути</v>
      </c>
    </row>
    <row r="356" spans="12:26" x14ac:dyDescent="0.25">
      <c r="L356">
        <f>sales_data!A2222</f>
        <v>87</v>
      </c>
      <c r="M356">
        <f>sales_data!B2222</f>
        <v>45751</v>
      </c>
      <c r="N356">
        <f>sales_data!C2222</f>
        <v>4</v>
      </c>
      <c r="O356" t="str">
        <f>sales_data!D2222</f>
        <v>Апрель</v>
      </c>
      <c r="P356" t="str">
        <f>sales_data!E2222</f>
        <v>Павел</v>
      </c>
      <c r="Q356" t="str">
        <f>sales_data!F2222</f>
        <v>Новосибирск</v>
      </c>
      <c r="R356" t="str">
        <f>sales_data!G2222</f>
        <v>Сибирский</v>
      </c>
      <c r="S356" t="str">
        <f>sales_data!H2222</f>
        <v>Периферия</v>
      </c>
      <c r="T356" t="str">
        <f>sales_data!I2222</f>
        <v>Dock Station</v>
      </c>
      <c r="U356" t="str">
        <f>sales_data!J2222</f>
        <v>Опт</v>
      </c>
      <c r="V356">
        <f>sales_data!K2222</f>
        <v>22</v>
      </c>
      <c r="W356">
        <f>sales_data!L2222</f>
        <v>10700</v>
      </c>
      <c r="X356">
        <f>sales_data!M2222</f>
        <v>235400</v>
      </c>
      <c r="Y356" t="str">
        <f>sales_data!N2222</f>
        <v>Офлайн-точка</v>
      </c>
      <c r="Z356" t="str">
        <f>sales_data!O2222</f>
        <v>Отменён</v>
      </c>
    </row>
    <row r="357" spans="12:26" x14ac:dyDescent="0.25">
      <c r="L357">
        <f>sales_data!A2224</f>
        <v>213</v>
      </c>
      <c r="M357">
        <f>sales_data!B2224</f>
        <v>45831</v>
      </c>
      <c r="N357">
        <f>sales_data!C2224</f>
        <v>23</v>
      </c>
      <c r="O357" t="str">
        <f>sales_data!D2224</f>
        <v>Июнь</v>
      </c>
      <c r="P357" t="str">
        <f>sales_data!E2224</f>
        <v>Владимир</v>
      </c>
      <c r="Q357" t="str">
        <f>sales_data!F2224</f>
        <v>Ростов-на-Дону</v>
      </c>
      <c r="R357" t="str">
        <f>sales_data!G2224</f>
        <v>Южный</v>
      </c>
      <c r="S357" t="str">
        <f>sales_data!H2224</f>
        <v>Мониторы</v>
      </c>
      <c r="T357" t="str">
        <f>sales_data!I2224</f>
        <v>Monitor 21</v>
      </c>
      <c r="U357" t="str">
        <f>sales_data!J2224</f>
        <v>Опт</v>
      </c>
      <c r="V357">
        <f>sales_data!K2224</f>
        <v>45</v>
      </c>
      <c r="W357">
        <f>sales_data!L2224</f>
        <v>10700</v>
      </c>
      <c r="X357">
        <f>sales_data!M2224</f>
        <v>481500</v>
      </c>
      <c r="Y357" t="str">
        <f>sales_data!N2224</f>
        <v>Интернет-магазин</v>
      </c>
      <c r="Z357" t="str">
        <f>sales_data!O2224</f>
        <v>Доставлен</v>
      </c>
    </row>
    <row r="358" spans="12:26" x14ac:dyDescent="0.25">
      <c r="L358">
        <f>sales_data!A2235</f>
        <v>4196</v>
      </c>
      <c r="M358">
        <f>sales_data!B2235</f>
        <v>45842</v>
      </c>
      <c r="N358">
        <f>sales_data!C2235</f>
        <v>4</v>
      </c>
      <c r="O358" t="str">
        <f>sales_data!D2235</f>
        <v>Июль</v>
      </c>
      <c r="P358" t="str">
        <f>sales_data!E2235</f>
        <v>Сергей</v>
      </c>
      <c r="Q358" t="str">
        <f>sales_data!F2235</f>
        <v>Екатеринбург</v>
      </c>
      <c r="R358" t="str">
        <f>sales_data!G2235</f>
        <v>Уральский</v>
      </c>
      <c r="S358" t="str">
        <f>sales_data!H2235</f>
        <v>Принтеры</v>
      </c>
      <c r="T358" t="str">
        <f>sales_data!I2235</f>
        <v>Printer Photo</v>
      </c>
      <c r="U358" t="str">
        <f>sales_data!J2235</f>
        <v>Розница</v>
      </c>
      <c r="V358">
        <f>sales_data!K2235</f>
        <v>3</v>
      </c>
      <c r="W358">
        <f>sales_data!L2235</f>
        <v>10700</v>
      </c>
      <c r="X358">
        <f>sales_data!M2235</f>
        <v>32100</v>
      </c>
      <c r="Y358" t="str">
        <f>sales_data!N2235</f>
        <v>Интернет-магазин</v>
      </c>
      <c r="Z358" t="str">
        <f>sales_data!O2235</f>
        <v>Отменён</v>
      </c>
    </row>
    <row r="359" spans="12:26" x14ac:dyDescent="0.25">
      <c r="L359">
        <f>sales_data!A2236</f>
        <v>226</v>
      </c>
      <c r="M359">
        <f>sales_data!B2236</f>
        <v>45716</v>
      </c>
      <c r="N359">
        <f>sales_data!C2236</f>
        <v>28</v>
      </c>
      <c r="O359" t="str">
        <f>sales_data!D2236</f>
        <v>Февраль</v>
      </c>
      <c r="P359" t="str">
        <f>sales_data!E2236</f>
        <v>Анна</v>
      </c>
      <c r="Q359" t="str">
        <f>sales_data!F2236</f>
        <v>Уфа</v>
      </c>
      <c r="R359" t="str">
        <f>sales_data!G2236</f>
        <v>Приволжский</v>
      </c>
      <c r="S359" t="str">
        <f>sales_data!H2236</f>
        <v>Мониторы</v>
      </c>
      <c r="T359" t="str">
        <f>sales_data!I2236</f>
        <v>Monitor 21</v>
      </c>
      <c r="U359" t="str">
        <f>sales_data!J2236</f>
        <v>Опт</v>
      </c>
      <c r="V359">
        <f>sales_data!K2236</f>
        <v>40</v>
      </c>
      <c r="W359">
        <f>sales_data!L2236</f>
        <v>10800</v>
      </c>
      <c r="X359">
        <f>sales_data!M2236</f>
        <v>432000</v>
      </c>
      <c r="Y359" t="str">
        <f>sales_data!N2236</f>
        <v>Интернет-магазин</v>
      </c>
      <c r="Z359" t="str">
        <f>sales_data!O2236</f>
        <v>В пути</v>
      </c>
    </row>
    <row r="360" spans="12:26" x14ac:dyDescent="0.25">
      <c r="L360">
        <f>sales_data!A2244</f>
        <v>3595</v>
      </c>
      <c r="M360">
        <f>sales_data!B2244</f>
        <v>45990</v>
      </c>
      <c r="N360">
        <f>sales_data!C2244</f>
        <v>29</v>
      </c>
      <c r="O360" t="str">
        <f>sales_data!D2244</f>
        <v>Ноябрь</v>
      </c>
      <c r="P360" t="str">
        <f>sales_data!E2244</f>
        <v>Елена</v>
      </c>
      <c r="Q360" t="str">
        <f>sales_data!F2244</f>
        <v>Екатеринбург</v>
      </c>
      <c r="R360" t="str">
        <f>sales_data!G2244</f>
        <v>Уральский</v>
      </c>
      <c r="S360" t="str">
        <f>sales_data!H2244</f>
        <v>Мониторы</v>
      </c>
      <c r="T360" t="str">
        <f>sales_data!I2244</f>
        <v>Monitor 21</v>
      </c>
      <c r="U360" t="str">
        <f>sales_data!J2244</f>
        <v>Опт</v>
      </c>
      <c r="V360">
        <f>sales_data!K2244</f>
        <v>39</v>
      </c>
      <c r="W360">
        <f>sales_data!L2244</f>
        <v>10800</v>
      </c>
      <c r="X360">
        <f>sales_data!M2244</f>
        <v>421200</v>
      </c>
      <c r="Y360" t="str">
        <f>sales_data!N2244</f>
        <v>Интернет-магазин</v>
      </c>
      <c r="Z360" t="str">
        <f>sales_data!O2244</f>
        <v>В пути</v>
      </c>
    </row>
    <row r="361" spans="12:26" x14ac:dyDescent="0.25">
      <c r="L361">
        <f>sales_data!A2254</f>
        <v>2069</v>
      </c>
      <c r="M361">
        <f>sales_data!B2254</f>
        <v>45893</v>
      </c>
      <c r="N361">
        <f>sales_data!C2254</f>
        <v>24</v>
      </c>
      <c r="O361" t="str">
        <f>sales_data!D2254</f>
        <v>Август</v>
      </c>
      <c r="P361" t="str">
        <f>sales_data!E2254</f>
        <v>Игорь</v>
      </c>
      <c r="Q361" t="str">
        <f>sales_data!F2254</f>
        <v>Омск</v>
      </c>
      <c r="R361" t="str">
        <f>sales_data!G2254</f>
        <v>Сибирский</v>
      </c>
      <c r="S361" t="str">
        <f>sales_data!H2254</f>
        <v>Периферия</v>
      </c>
      <c r="T361" t="str">
        <f>sales_data!I2254</f>
        <v>Dock Station</v>
      </c>
      <c r="U361" t="str">
        <f>sales_data!J2254</f>
        <v>Опт</v>
      </c>
      <c r="V361">
        <f>sales_data!K2254</f>
        <v>8</v>
      </c>
      <c r="W361">
        <f>sales_data!L2254</f>
        <v>10900</v>
      </c>
      <c r="X361">
        <f>sales_data!M2254</f>
        <v>87200</v>
      </c>
      <c r="Y361" t="str">
        <f>sales_data!N2254</f>
        <v>Интернет-магазин</v>
      </c>
      <c r="Z361" t="str">
        <f>sales_data!O2254</f>
        <v>В пути</v>
      </c>
    </row>
    <row r="362" spans="12:26" x14ac:dyDescent="0.25">
      <c r="L362">
        <f>sales_data!A2258</f>
        <v>3363</v>
      </c>
      <c r="M362">
        <f>sales_data!B2258</f>
        <v>45748</v>
      </c>
      <c r="N362">
        <f>sales_data!C2258</f>
        <v>1</v>
      </c>
      <c r="O362" t="str">
        <f>sales_data!D2258</f>
        <v>Апрель</v>
      </c>
      <c r="P362" t="str">
        <f>sales_data!E2258</f>
        <v>Ольга</v>
      </c>
      <c r="Q362" t="str">
        <f>sales_data!F2258</f>
        <v>Нижний Новгород</v>
      </c>
      <c r="R362" t="str">
        <f>sales_data!G2258</f>
        <v>Приволжский</v>
      </c>
      <c r="S362" t="str">
        <f>sales_data!H2258</f>
        <v>Периферия</v>
      </c>
      <c r="T362" t="str">
        <f>sales_data!I2258</f>
        <v>Dock Station</v>
      </c>
      <c r="U362" t="str">
        <f>sales_data!J2258</f>
        <v>Розница</v>
      </c>
      <c r="V362">
        <f>sales_data!K2258</f>
        <v>5</v>
      </c>
      <c r="W362">
        <f>sales_data!L2258</f>
        <v>10900</v>
      </c>
      <c r="X362">
        <f>sales_data!M2258</f>
        <v>54500</v>
      </c>
      <c r="Y362" t="str">
        <f>sales_data!N2258</f>
        <v>Офлайн-точка</v>
      </c>
      <c r="Z362" t="str">
        <f>sales_data!O2258</f>
        <v>В пути</v>
      </c>
    </row>
    <row r="363" spans="12:26" x14ac:dyDescent="0.25">
      <c r="L363">
        <f>sales_data!A2265</f>
        <v>4860</v>
      </c>
      <c r="M363">
        <f>sales_data!B2265</f>
        <v>45790</v>
      </c>
      <c r="N363">
        <f>sales_data!C2265</f>
        <v>13</v>
      </c>
      <c r="O363" t="str">
        <f>sales_data!D2265</f>
        <v>Май</v>
      </c>
      <c r="P363" t="str">
        <f>sales_data!E2265</f>
        <v>Сергей</v>
      </c>
      <c r="Q363" t="str">
        <f>sales_data!F2265</f>
        <v>Самара</v>
      </c>
      <c r="R363" t="str">
        <f>sales_data!G2265</f>
        <v>Приволжский</v>
      </c>
      <c r="S363" t="str">
        <f>sales_data!H2265</f>
        <v>Принтеры</v>
      </c>
      <c r="T363" t="str">
        <f>sales_data!I2265</f>
        <v>Printer Photo</v>
      </c>
      <c r="U363" t="str">
        <f>sales_data!J2265</f>
        <v>Розница</v>
      </c>
      <c r="V363">
        <f>sales_data!K2265</f>
        <v>2</v>
      </c>
      <c r="W363">
        <f>sales_data!L2265</f>
        <v>10900</v>
      </c>
      <c r="X363">
        <f>sales_data!M2265</f>
        <v>21800</v>
      </c>
      <c r="Y363" t="str">
        <f>sales_data!N2265</f>
        <v>Интернет-магазин</v>
      </c>
      <c r="Z363" t="str">
        <f>sales_data!O2265</f>
        <v>Доставлен</v>
      </c>
    </row>
    <row r="364" spans="12:26" x14ac:dyDescent="0.25">
      <c r="L364">
        <f>sales_data!A2272</f>
        <v>442</v>
      </c>
      <c r="M364">
        <f>sales_data!B2272</f>
        <v>45658</v>
      </c>
      <c r="N364">
        <f>sales_data!C2272</f>
        <v>1</v>
      </c>
      <c r="O364" t="str">
        <f>sales_data!D2272</f>
        <v>Январь</v>
      </c>
      <c r="P364" t="str">
        <f>sales_data!E2272</f>
        <v>Анна</v>
      </c>
      <c r="Q364" t="str">
        <f>sales_data!F2272</f>
        <v>Нижний Новгород</v>
      </c>
      <c r="R364" t="str">
        <f>sales_data!G2272</f>
        <v>Приволжский</v>
      </c>
      <c r="S364" t="str">
        <f>sales_data!H2272</f>
        <v>Принтеры</v>
      </c>
      <c r="T364" t="str">
        <f>sales_data!I2272</f>
        <v>Printer Photo</v>
      </c>
      <c r="U364" t="str">
        <f>sales_data!J2272</f>
        <v>Розница</v>
      </c>
      <c r="V364">
        <f>sales_data!K2272</f>
        <v>7</v>
      </c>
      <c r="W364">
        <f>sales_data!L2272</f>
        <v>11000</v>
      </c>
      <c r="X364">
        <f>sales_data!M2272</f>
        <v>77000</v>
      </c>
      <c r="Y364" t="str">
        <f>sales_data!N2272</f>
        <v>Офлайн-точка</v>
      </c>
      <c r="Z364" t="str">
        <f>sales_data!O2272</f>
        <v>В пути</v>
      </c>
    </row>
    <row r="365" spans="12:26" x14ac:dyDescent="0.25">
      <c r="L365">
        <f>sales_data!A2273</f>
        <v>462</v>
      </c>
      <c r="M365">
        <f>sales_data!B2273</f>
        <v>45793</v>
      </c>
      <c r="N365">
        <f>sales_data!C2273</f>
        <v>16</v>
      </c>
      <c r="O365" t="str">
        <f>sales_data!D2273</f>
        <v>Май</v>
      </c>
      <c r="P365" t="str">
        <f>sales_data!E2273</f>
        <v>Ольга</v>
      </c>
      <c r="Q365" t="str">
        <f>sales_data!F2273</f>
        <v>Ростов-на-Дону</v>
      </c>
      <c r="R365" t="str">
        <f>sales_data!G2273</f>
        <v>Южный</v>
      </c>
      <c r="S365" t="str">
        <f>sales_data!H2273</f>
        <v>Принтеры</v>
      </c>
      <c r="T365" t="str">
        <f>sales_data!I2273</f>
        <v>Printer Photo</v>
      </c>
      <c r="U365" t="str">
        <f>sales_data!J2273</f>
        <v>Розница</v>
      </c>
      <c r="V365">
        <f>sales_data!K2273</f>
        <v>3</v>
      </c>
      <c r="W365">
        <f>sales_data!L2273</f>
        <v>11000</v>
      </c>
      <c r="X365">
        <f>sales_data!M2273</f>
        <v>33000</v>
      </c>
      <c r="Y365" t="str">
        <f>sales_data!N2273</f>
        <v>Офлайн-точка</v>
      </c>
      <c r="Z365" t="str">
        <f>sales_data!O2273</f>
        <v>В пути</v>
      </c>
    </row>
    <row r="366" spans="12:26" x14ac:dyDescent="0.25">
      <c r="L366">
        <f>sales_data!A2283</f>
        <v>3823</v>
      </c>
      <c r="M366">
        <f>sales_data!B2283</f>
        <v>45874</v>
      </c>
      <c r="N366">
        <f>sales_data!C2283</f>
        <v>5</v>
      </c>
      <c r="O366" t="str">
        <f>sales_data!D2283</f>
        <v>Август</v>
      </c>
      <c r="P366" t="str">
        <f>sales_data!E2283</f>
        <v>Павел</v>
      </c>
      <c r="Q366" t="str">
        <f>sales_data!F2283</f>
        <v>Воронеж</v>
      </c>
      <c r="R366" t="str">
        <f>sales_data!G2283</f>
        <v>Центральный</v>
      </c>
      <c r="S366" t="str">
        <f>sales_data!H2283</f>
        <v>Принтеры</v>
      </c>
      <c r="T366" t="str">
        <f>sales_data!I2283</f>
        <v>Printer Photo</v>
      </c>
      <c r="U366" t="str">
        <f>sales_data!J2283</f>
        <v>Розница</v>
      </c>
      <c r="V366">
        <f>sales_data!K2283</f>
        <v>10</v>
      </c>
      <c r="W366">
        <f>sales_data!L2283</f>
        <v>11000</v>
      </c>
      <c r="X366">
        <f>sales_data!M2283</f>
        <v>110000</v>
      </c>
      <c r="Y366" t="str">
        <f>sales_data!N2283</f>
        <v>Офлайн-точка</v>
      </c>
      <c r="Z366" t="str">
        <f>sales_data!O2283</f>
        <v>В пути</v>
      </c>
    </row>
    <row r="367" spans="12:26" x14ac:dyDescent="0.25">
      <c r="L367">
        <f>sales_data!A2292</f>
        <v>2446</v>
      </c>
      <c r="M367">
        <f>sales_data!B2292</f>
        <v>45848</v>
      </c>
      <c r="N367">
        <f>sales_data!C2292</f>
        <v>10</v>
      </c>
      <c r="O367" t="str">
        <f>sales_data!D2292</f>
        <v>Июль</v>
      </c>
      <c r="P367" t="str">
        <f>sales_data!E2292</f>
        <v>Сергей</v>
      </c>
      <c r="Q367" t="str">
        <f>sales_data!F2292</f>
        <v>Москва</v>
      </c>
      <c r="R367" t="str">
        <f>sales_data!G2292</f>
        <v>Центральный</v>
      </c>
      <c r="S367" t="str">
        <f>sales_data!H2292</f>
        <v>Принтеры</v>
      </c>
      <c r="T367" t="str">
        <f>sales_data!I2292</f>
        <v>Printer Photo</v>
      </c>
      <c r="U367" t="str">
        <f>sales_data!J2292</f>
        <v>Розница</v>
      </c>
      <c r="V367">
        <f>sales_data!K2292</f>
        <v>1</v>
      </c>
      <c r="W367">
        <f>sales_data!L2292</f>
        <v>11100</v>
      </c>
      <c r="X367">
        <f>sales_data!M2292</f>
        <v>11100</v>
      </c>
      <c r="Y367" t="str">
        <f>sales_data!N2292</f>
        <v>Интернет-магазин</v>
      </c>
      <c r="Z367" t="str">
        <f>sales_data!O2292</f>
        <v>Отменён</v>
      </c>
    </row>
    <row r="368" spans="12:26" x14ac:dyDescent="0.25">
      <c r="L368">
        <f>sales_data!A2315</f>
        <v>745</v>
      </c>
      <c r="M368">
        <f>sales_data!B2315</f>
        <v>45831</v>
      </c>
      <c r="N368">
        <f>sales_data!C2315</f>
        <v>23</v>
      </c>
      <c r="O368" t="str">
        <f>sales_data!D2315</f>
        <v>Июнь</v>
      </c>
      <c r="P368" t="str">
        <f>sales_data!E2315</f>
        <v>Ксения</v>
      </c>
      <c r="Q368" t="str">
        <f>sales_data!F2315</f>
        <v>Ростов-на-Дону</v>
      </c>
      <c r="R368" t="str">
        <f>sales_data!G2315</f>
        <v>Южный</v>
      </c>
      <c r="S368" t="str">
        <f>sales_data!H2315</f>
        <v>Принтеры</v>
      </c>
      <c r="T368" t="str">
        <f>sales_data!I2315</f>
        <v>Printer Photo</v>
      </c>
      <c r="U368" t="str">
        <f>sales_data!J2315</f>
        <v>Розница</v>
      </c>
      <c r="V368">
        <f>sales_data!K2315</f>
        <v>3</v>
      </c>
      <c r="W368">
        <f>sales_data!L2315</f>
        <v>11300</v>
      </c>
      <c r="X368">
        <f>sales_data!M2315</f>
        <v>33900</v>
      </c>
      <c r="Y368" t="str">
        <f>sales_data!N2315</f>
        <v>Офлайн-точка</v>
      </c>
      <c r="Z368" t="str">
        <f>sales_data!O2315</f>
        <v>Доставлен</v>
      </c>
    </row>
    <row r="369" spans="12:26" x14ac:dyDescent="0.25">
      <c r="L369">
        <f>sales_data!A2327</f>
        <v>4317</v>
      </c>
      <c r="M369">
        <f>sales_data!B2327</f>
        <v>45909</v>
      </c>
      <c r="N369">
        <f>sales_data!C2327</f>
        <v>9</v>
      </c>
      <c r="O369" t="str">
        <f>sales_data!D2327</f>
        <v>Сентябрь</v>
      </c>
      <c r="P369" t="str">
        <f>sales_data!E2327</f>
        <v>Елена</v>
      </c>
      <c r="Q369" t="str">
        <f>sales_data!F2327</f>
        <v>Уфа</v>
      </c>
      <c r="R369" t="str">
        <f>sales_data!G2327</f>
        <v>Приволжский</v>
      </c>
      <c r="S369" t="str">
        <f>sales_data!H2327</f>
        <v>Периферия</v>
      </c>
      <c r="T369" t="str">
        <f>sales_data!I2327</f>
        <v>Dock Station</v>
      </c>
      <c r="U369" t="str">
        <f>sales_data!J2327</f>
        <v>Розница</v>
      </c>
      <c r="V369">
        <f>sales_data!K2327</f>
        <v>1</v>
      </c>
      <c r="W369">
        <f>sales_data!L2327</f>
        <v>11300</v>
      </c>
      <c r="X369">
        <f>sales_data!M2327</f>
        <v>11300</v>
      </c>
      <c r="Y369" t="str">
        <f>sales_data!N2327</f>
        <v>Интернет-магазин</v>
      </c>
      <c r="Z369" t="str">
        <f>sales_data!O2327</f>
        <v>Доставлен</v>
      </c>
    </row>
    <row r="370" spans="12:26" x14ac:dyDescent="0.25">
      <c r="L370">
        <f>sales_data!A2329</f>
        <v>4742</v>
      </c>
      <c r="M370">
        <f>sales_data!B2329</f>
        <v>45932</v>
      </c>
      <c r="N370">
        <f>sales_data!C2329</f>
        <v>2</v>
      </c>
      <c r="O370" t="str">
        <f>sales_data!D2329</f>
        <v>Октябрь</v>
      </c>
      <c r="P370" t="str">
        <f>sales_data!E2329</f>
        <v>Дмитрий</v>
      </c>
      <c r="Q370" t="str">
        <f>sales_data!F2329</f>
        <v>Краснодар</v>
      </c>
      <c r="R370" t="str">
        <f>sales_data!G2329</f>
        <v>Южный</v>
      </c>
      <c r="S370" t="str">
        <f>sales_data!H2329</f>
        <v>Принтеры</v>
      </c>
      <c r="T370" t="str">
        <f>sales_data!I2329</f>
        <v>Printer Photo</v>
      </c>
      <c r="U370" t="str">
        <f>sales_data!J2329</f>
        <v>Розница</v>
      </c>
      <c r="V370">
        <f>sales_data!K2329</f>
        <v>3</v>
      </c>
      <c r="W370">
        <f>sales_data!L2329</f>
        <v>11300</v>
      </c>
      <c r="X370">
        <f>sales_data!M2329</f>
        <v>33900</v>
      </c>
      <c r="Y370" t="str">
        <f>sales_data!N2329</f>
        <v>Офлайн-точка</v>
      </c>
      <c r="Z370" t="str">
        <f>sales_data!O2329</f>
        <v>Доставлен</v>
      </c>
    </row>
    <row r="371" spans="12:26" x14ac:dyDescent="0.25">
      <c r="L371">
        <f>sales_data!A2330</f>
        <v>4775</v>
      </c>
      <c r="M371">
        <f>sales_data!B2330</f>
        <v>45807</v>
      </c>
      <c r="N371">
        <f>sales_data!C2330</f>
        <v>30</v>
      </c>
      <c r="O371" t="str">
        <f>sales_data!D2330</f>
        <v>Май</v>
      </c>
      <c r="P371" t="str">
        <f>sales_data!E2330</f>
        <v>Татьяна</v>
      </c>
      <c r="Q371" t="str">
        <f>sales_data!F2330</f>
        <v>Санкт-Петербург</v>
      </c>
      <c r="R371" t="str">
        <f>sales_data!G2330</f>
        <v>Северо-Западный</v>
      </c>
      <c r="S371" t="str">
        <f>sales_data!H2330</f>
        <v>Принтеры</v>
      </c>
      <c r="T371" t="str">
        <f>sales_data!I2330</f>
        <v>Printer MFP</v>
      </c>
      <c r="U371" t="str">
        <f>sales_data!J2330</f>
        <v>Опт</v>
      </c>
      <c r="V371">
        <f>sales_data!K2330</f>
        <v>9</v>
      </c>
      <c r="W371">
        <f>sales_data!L2330</f>
        <v>11300</v>
      </c>
      <c r="X371">
        <f>sales_data!M2330</f>
        <v>101700</v>
      </c>
      <c r="Y371" t="str">
        <f>sales_data!N2330</f>
        <v>Офлайн-точка</v>
      </c>
      <c r="Z371" t="str">
        <f>sales_data!O2330</f>
        <v>Отменён</v>
      </c>
    </row>
    <row r="372" spans="12:26" x14ac:dyDescent="0.25">
      <c r="L372">
        <f>sales_data!A2335</f>
        <v>1432</v>
      </c>
      <c r="M372">
        <f>sales_data!B2335</f>
        <v>45708</v>
      </c>
      <c r="N372">
        <f>sales_data!C2335</f>
        <v>20</v>
      </c>
      <c r="O372" t="str">
        <f>sales_data!D2335</f>
        <v>Февраль</v>
      </c>
      <c r="P372" t="str">
        <f>sales_data!E2335</f>
        <v>Анна</v>
      </c>
      <c r="Q372" t="str">
        <f>sales_data!F2335</f>
        <v>Ростов-на-Дону</v>
      </c>
      <c r="R372" t="str">
        <f>sales_data!G2335</f>
        <v>Южный</v>
      </c>
      <c r="S372" t="str">
        <f>sales_data!H2335</f>
        <v>Принтеры</v>
      </c>
      <c r="T372" t="str">
        <f>sales_data!I2335</f>
        <v>Printer Photo</v>
      </c>
      <c r="U372" t="str">
        <f>sales_data!J2335</f>
        <v>Розница</v>
      </c>
      <c r="V372">
        <f>sales_data!K2335</f>
        <v>5</v>
      </c>
      <c r="W372">
        <f>sales_data!L2335</f>
        <v>11400</v>
      </c>
      <c r="X372">
        <f>sales_data!M2335</f>
        <v>57000</v>
      </c>
      <c r="Y372" t="str">
        <f>sales_data!N2335</f>
        <v>Интернет-магазин</v>
      </c>
      <c r="Z372" t="str">
        <f>sales_data!O2335</f>
        <v>В пути</v>
      </c>
    </row>
    <row r="373" spans="12:26" x14ac:dyDescent="0.25">
      <c r="L373">
        <f>sales_data!A2342</f>
        <v>3779</v>
      </c>
      <c r="M373">
        <f>sales_data!B2342</f>
        <v>45743</v>
      </c>
      <c r="N373">
        <f>sales_data!C2342</f>
        <v>27</v>
      </c>
      <c r="O373" t="str">
        <f>sales_data!D2342</f>
        <v>Март</v>
      </c>
      <c r="P373" t="str">
        <f>sales_data!E2342</f>
        <v>Алексей</v>
      </c>
      <c r="Q373" t="str">
        <f>sales_data!F2342</f>
        <v>Санкт-Петербург</v>
      </c>
      <c r="R373" t="str">
        <f>sales_data!G2342</f>
        <v>Северо-Западный</v>
      </c>
      <c r="S373" t="str">
        <f>sales_data!H2342</f>
        <v>Принтеры</v>
      </c>
      <c r="T373" t="str">
        <f>sales_data!I2342</f>
        <v>Printer MFP</v>
      </c>
      <c r="U373" t="str">
        <f>sales_data!J2342</f>
        <v>Опт</v>
      </c>
      <c r="V373">
        <f>sales_data!K2342</f>
        <v>44</v>
      </c>
      <c r="W373">
        <f>sales_data!L2342</f>
        <v>11400</v>
      </c>
      <c r="X373">
        <f>sales_data!M2342</f>
        <v>501600</v>
      </c>
      <c r="Y373" t="str">
        <f>sales_data!N2342</f>
        <v>Интернет-магазин</v>
      </c>
      <c r="Z373" t="str">
        <f>sales_data!O2342</f>
        <v>Отменён</v>
      </c>
    </row>
    <row r="374" spans="12:26" x14ac:dyDescent="0.25">
      <c r="L374">
        <f>sales_data!A2357</f>
        <v>231</v>
      </c>
      <c r="M374">
        <f>sales_data!B2357</f>
        <v>45760</v>
      </c>
      <c r="N374">
        <f>sales_data!C2357</f>
        <v>13</v>
      </c>
      <c r="O374" t="str">
        <f>sales_data!D2357</f>
        <v>Апрель</v>
      </c>
      <c r="P374" t="str">
        <f>sales_data!E2357</f>
        <v>Наталья</v>
      </c>
      <c r="Q374" t="str">
        <f>sales_data!F2357</f>
        <v>Казань</v>
      </c>
      <c r="R374" t="str">
        <f>sales_data!G2357</f>
        <v>Приволжский</v>
      </c>
      <c r="S374" t="str">
        <f>sales_data!H2357</f>
        <v>Мониторы</v>
      </c>
      <c r="T374" t="str">
        <f>sales_data!I2357</f>
        <v>Monitor 21</v>
      </c>
      <c r="U374" t="str">
        <f>sales_data!J2357</f>
        <v>Розница</v>
      </c>
      <c r="V374">
        <f>sales_data!K2357</f>
        <v>6</v>
      </c>
      <c r="W374">
        <f>sales_data!L2357</f>
        <v>11600</v>
      </c>
      <c r="X374">
        <f>sales_data!M2357</f>
        <v>69600</v>
      </c>
      <c r="Y374" t="str">
        <f>sales_data!N2357</f>
        <v>Офлайн-точка</v>
      </c>
      <c r="Z374" t="str">
        <f>sales_data!O2357</f>
        <v>В пути</v>
      </c>
    </row>
    <row r="375" spans="12:26" x14ac:dyDescent="0.25">
      <c r="L375">
        <f>sales_data!A2362</f>
        <v>1989</v>
      </c>
      <c r="M375">
        <f>sales_data!B2362</f>
        <v>45909</v>
      </c>
      <c r="N375">
        <f>sales_data!C2362</f>
        <v>9</v>
      </c>
      <c r="O375" t="str">
        <f>sales_data!D2362</f>
        <v>Сентябрь</v>
      </c>
      <c r="P375" t="str">
        <f>sales_data!E2362</f>
        <v>Анна</v>
      </c>
      <c r="Q375" t="str">
        <f>sales_data!F2362</f>
        <v>Челябинск</v>
      </c>
      <c r="R375" t="str">
        <f>sales_data!G2362</f>
        <v>Уральский</v>
      </c>
      <c r="S375" t="str">
        <f>sales_data!H2362</f>
        <v>Периферия</v>
      </c>
      <c r="T375" t="str">
        <f>sales_data!I2362</f>
        <v>Dock Station</v>
      </c>
      <c r="U375" t="str">
        <f>sales_data!J2362</f>
        <v>Розница</v>
      </c>
      <c r="V375">
        <f>sales_data!K2362</f>
        <v>5</v>
      </c>
      <c r="W375">
        <f>sales_data!L2362</f>
        <v>11600</v>
      </c>
      <c r="X375">
        <f>sales_data!M2362</f>
        <v>58000</v>
      </c>
      <c r="Y375" t="str">
        <f>sales_data!N2362</f>
        <v>Офлайн-точка</v>
      </c>
      <c r="Z375" t="str">
        <f>sales_data!O2362</f>
        <v>В пути</v>
      </c>
    </row>
    <row r="376" spans="12:26" x14ac:dyDescent="0.25">
      <c r="L376">
        <f>sales_data!A2370</f>
        <v>130</v>
      </c>
      <c r="M376">
        <f>sales_data!B2370</f>
        <v>45853</v>
      </c>
      <c r="N376">
        <f>sales_data!C2370</f>
        <v>15</v>
      </c>
      <c r="O376" t="str">
        <f>sales_data!D2370</f>
        <v>Июль</v>
      </c>
      <c r="P376" t="str">
        <f>sales_data!E2370</f>
        <v>Сергей</v>
      </c>
      <c r="Q376" t="str">
        <f>sales_data!F2370</f>
        <v>Ростов-на-Дону</v>
      </c>
      <c r="R376" t="str">
        <f>sales_data!G2370</f>
        <v>Южный</v>
      </c>
      <c r="S376" t="str">
        <f>sales_data!H2370</f>
        <v>Мониторы</v>
      </c>
      <c r="T376" t="str">
        <f>sales_data!I2370</f>
        <v>Monitor 21</v>
      </c>
      <c r="U376" t="str">
        <f>sales_data!J2370</f>
        <v>Розница</v>
      </c>
      <c r="V376">
        <f>sales_data!K2370</f>
        <v>4</v>
      </c>
      <c r="W376">
        <f>sales_data!L2370</f>
        <v>11700</v>
      </c>
      <c r="X376">
        <f>sales_data!M2370</f>
        <v>46800</v>
      </c>
      <c r="Y376" t="str">
        <f>sales_data!N2370</f>
        <v>Офлайн-точка</v>
      </c>
      <c r="Z376" t="str">
        <f>sales_data!O2370</f>
        <v>Отменён</v>
      </c>
    </row>
    <row r="377" spans="12:26" x14ac:dyDescent="0.25">
      <c r="L377">
        <f>sales_data!A2372</f>
        <v>2111</v>
      </c>
      <c r="M377">
        <f>sales_data!B2372</f>
        <v>45960</v>
      </c>
      <c r="N377">
        <f>sales_data!C2372</f>
        <v>30</v>
      </c>
      <c r="O377" t="str">
        <f>sales_data!D2372</f>
        <v>Октябрь</v>
      </c>
      <c r="P377" t="str">
        <f>sales_data!E2372</f>
        <v>Дмитрий</v>
      </c>
      <c r="Q377" t="str">
        <f>sales_data!F2372</f>
        <v>Челябинск</v>
      </c>
      <c r="R377" t="str">
        <f>sales_data!G2372</f>
        <v>Уральский</v>
      </c>
      <c r="S377" t="str">
        <f>sales_data!H2372</f>
        <v>Периферия</v>
      </c>
      <c r="T377" t="str">
        <f>sales_data!I2372</f>
        <v>Dock Station</v>
      </c>
      <c r="U377" t="str">
        <f>sales_data!J2372</f>
        <v>Розница</v>
      </c>
      <c r="V377">
        <f>sales_data!K2372</f>
        <v>4</v>
      </c>
      <c r="W377">
        <f>sales_data!L2372</f>
        <v>11700</v>
      </c>
      <c r="X377">
        <f>sales_data!M2372</f>
        <v>46800</v>
      </c>
      <c r="Y377" t="str">
        <f>sales_data!N2372</f>
        <v>Офлайн-точка</v>
      </c>
      <c r="Z377" t="str">
        <f>sales_data!O2372</f>
        <v>В пути</v>
      </c>
    </row>
    <row r="378" spans="12:26" x14ac:dyDescent="0.25">
      <c r="L378">
        <f>sales_data!A2373</f>
        <v>2283</v>
      </c>
      <c r="M378">
        <f>sales_data!B2373</f>
        <v>46006</v>
      </c>
      <c r="N378">
        <f>sales_data!C2373</f>
        <v>15</v>
      </c>
      <c r="O378" t="str">
        <f>sales_data!D2373</f>
        <v>Декабрь</v>
      </c>
      <c r="P378" t="str">
        <f>sales_data!E2373</f>
        <v>Ксения</v>
      </c>
      <c r="Q378" t="str">
        <f>sales_data!F2373</f>
        <v>Санкт-Петербург</v>
      </c>
      <c r="R378" t="str">
        <f>sales_data!G2373</f>
        <v>Северо-Западный</v>
      </c>
      <c r="S378" t="str">
        <f>sales_data!H2373</f>
        <v>Принтеры</v>
      </c>
      <c r="T378" t="str">
        <f>sales_data!I2373</f>
        <v>Printer Photo</v>
      </c>
      <c r="U378" t="str">
        <f>sales_data!J2373</f>
        <v>Розница</v>
      </c>
      <c r="V378">
        <f>sales_data!K2373</f>
        <v>7</v>
      </c>
      <c r="W378">
        <f>sales_data!L2373</f>
        <v>11700</v>
      </c>
      <c r="X378">
        <f>sales_data!M2373</f>
        <v>81900</v>
      </c>
      <c r="Y378" t="str">
        <f>sales_data!N2373</f>
        <v>Офлайн-точка</v>
      </c>
      <c r="Z378" t="str">
        <f>sales_data!O2373</f>
        <v>Доставлен</v>
      </c>
    </row>
    <row r="379" spans="12:26" x14ac:dyDescent="0.25">
      <c r="L379">
        <f>sales_data!A2374</f>
        <v>2319</v>
      </c>
      <c r="M379">
        <f>sales_data!B2374</f>
        <v>45688</v>
      </c>
      <c r="N379">
        <f>sales_data!C2374</f>
        <v>31</v>
      </c>
      <c r="O379" t="str">
        <f>sales_data!D2374</f>
        <v>Январь</v>
      </c>
      <c r="P379" t="str">
        <f>sales_data!E2374</f>
        <v>Сергей</v>
      </c>
      <c r="Q379" t="str">
        <f>sales_data!F2374</f>
        <v>Уфа</v>
      </c>
      <c r="R379" t="str">
        <f>sales_data!G2374</f>
        <v>Приволжский</v>
      </c>
      <c r="S379" t="str">
        <f>sales_data!H2374</f>
        <v>Мониторы</v>
      </c>
      <c r="T379" t="str">
        <f>sales_data!I2374</f>
        <v>Monitor 21</v>
      </c>
      <c r="U379" t="str">
        <f>sales_data!J2374</f>
        <v>Розница</v>
      </c>
      <c r="V379">
        <f>sales_data!K2374</f>
        <v>5</v>
      </c>
      <c r="W379">
        <f>sales_data!L2374</f>
        <v>11700</v>
      </c>
      <c r="X379">
        <f>sales_data!M2374</f>
        <v>58500</v>
      </c>
      <c r="Y379" t="str">
        <f>sales_data!N2374</f>
        <v>Офлайн-точка</v>
      </c>
      <c r="Z379" t="str">
        <f>sales_data!O2374</f>
        <v>Доставлен</v>
      </c>
    </row>
    <row r="380" spans="12:26" x14ac:dyDescent="0.25">
      <c r="L380">
        <f>sales_data!A2386</f>
        <v>103</v>
      </c>
      <c r="M380">
        <f>sales_data!B2386</f>
        <v>45959</v>
      </c>
      <c r="N380">
        <f>sales_data!C2386</f>
        <v>29</v>
      </c>
      <c r="O380" t="str">
        <f>sales_data!D2386</f>
        <v>Октябрь</v>
      </c>
      <c r="P380" t="str">
        <f>sales_data!E2386</f>
        <v>Татьяна</v>
      </c>
      <c r="Q380" t="str">
        <f>sales_data!F2386</f>
        <v>Красноярск</v>
      </c>
      <c r="R380" t="str">
        <f>sales_data!G2386</f>
        <v>Сибирский</v>
      </c>
      <c r="S380" t="str">
        <f>sales_data!H2386</f>
        <v>Мониторы</v>
      </c>
      <c r="T380" t="str">
        <f>sales_data!I2386</f>
        <v>Monitor 21</v>
      </c>
      <c r="U380" t="str">
        <f>sales_data!J2386</f>
        <v>Розница</v>
      </c>
      <c r="V380">
        <f>sales_data!K2386</f>
        <v>9</v>
      </c>
      <c r="W380">
        <f>sales_data!L2386</f>
        <v>11800</v>
      </c>
      <c r="X380">
        <f>sales_data!M2386</f>
        <v>106200</v>
      </c>
      <c r="Y380" t="str">
        <f>sales_data!N2386</f>
        <v>Интернет-магазин</v>
      </c>
      <c r="Z380" t="str">
        <f>sales_data!O2386</f>
        <v>Отменён</v>
      </c>
    </row>
    <row r="381" spans="12:26" x14ac:dyDescent="0.25">
      <c r="L381">
        <f>sales_data!A2387</f>
        <v>190</v>
      </c>
      <c r="M381">
        <f>sales_data!B2387</f>
        <v>45706</v>
      </c>
      <c r="N381">
        <f>sales_data!C2387</f>
        <v>18</v>
      </c>
      <c r="O381" t="str">
        <f>sales_data!D2387</f>
        <v>Февраль</v>
      </c>
      <c r="P381" t="str">
        <f>sales_data!E2387</f>
        <v>Мария</v>
      </c>
      <c r="Q381" t="str">
        <f>sales_data!F2387</f>
        <v>Ростов-на-Дону</v>
      </c>
      <c r="R381" t="str">
        <f>sales_data!G2387</f>
        <v>Южный</v>
      </c>
      <c r="S381" t="str">
        <f>sales_data!H2387</f>
        <v>Принтеры</v>
      </c>
      <c r="T381" t="str">
        <f>sales_data!I2387</f>
        <v>Printer MFP</v>
      </c>
      <c r="U381" t="str">
        <f>sales_data!J2387</f>
        <v>Опт</v>
      </c>
      <c r="V381">
        <f>sales_data!K2387</f>
        <v>47</v>
      </c>
      <c r="W381">
        <f>sales_data!L2387</f>
        <v>11800</v>
      </c>
      <c r="X381">
        <f>sales_data!M2387</f>
        <v>554600</v>
      </c>
      <c r="Y381" t="str">
        <f>sales_data!N2387</f>
        <v>Интернет-магазин</v>
      </c>
      <c r="Z381" t="str">
        <f>sales_data!O2387</f>
        <v>В пути</v>
      </c>
    </row>
    <row r="382" spans="12:26" x14ac:dyDescent="0.25">
      <c r="L382">
        <f>sales_data!A2388</f>
        <v>338</v>
      </c>
      <c r="M382">
        <f>sales_data!B2388</f>
        <v>45991</v>
      </c>
      <c r="N382">
        <f>sales_data!C2388</f>
        <v>30</v>
      </c>
      <c r="O382" t="str">
        <f>sales_data!D2388</f>
        <v>Ноябрь</v>
      </c>
      <c r="P382" t="str">
        <f>sales_data!E2388</f>
        <v>Сергей</v>
      </c>
      <c r="Q382" t="str">
        <f>sales_data!F2388</f>
        <v>Казань</v>
      </c>
      <c r="R382" t="str">
        <f>sales_data!G2388</f>
        <v>Приволжский</v>
      </c>
      <c r="S382" t="str">
        <f>sales_data!H2388</f>
        <v>Периферия</v>
      </c>
      <c r="T382" t="str">
        <f>sales_data!I2388</f>
        <v>Dock Station</v>
      </c>
      <c r="U382" t="str">
        <f>sales_data!J2388</f>
        <v>Розница</v>
      </c>
      <c r="V382">
        <f>sales_data!K2388</f>
        <v>8</v>
      </c>
      <c r="W382">
        <f>sales_data!L2388</f>
        <v>11800</v>
      </c>
      <c r="X382">
        <f>sales_data!M2388</f>
        <v>94400</v>
      </c>
      <c r="Y382" t="str">
        <f>sales_data!N2388</f>
        <v>Офлайн-точка</v>
      </c>
      <c r="Z382" t="str">
        <f>sales_data!O2388</f>
        <v>Доставлен</v>
      </c>
    </row>
    <row r="383" spans="12:26" x14ac:dyDescent="0.25">
      <c r="L383">
        <f>sales_data!A2389</f>
        <v>413</v>
      </c>
      <c r="M383">
        <f>sales_data!B2389</f>
        <v>45712</v>
      </c>
      <c r="N383">
        <f>sales_data!C2389</f>
        <v>24</v>
      </c>
      <c r="O383" t="str">
        <f>sales_data!D2389</f>
        <v>Февраль</v>
      </c>
      <c r="P383" t="str">
        <f>sales_data!E2389</f>
        <v>Светлана</v>
      </c>
      <c r="Q383" t="str">
        <f>sales_data!F2389</f>
        <v>Челябинск</v>
      </c>
      <c r="R383" t="str">
        <f>sales_data!G2389</f>
        <v>Уральский</v>
      </c>
      <c r="S383" t="str">
        <f>sales_data!H2389</f>
        <v>Принтеры</v>
      </c>
      <c r="T383" t="str">
        <f>sales_data!I2389</f>
        <v>Printer MFP</v>
      </c>
      <c r="U383" t="str">
        <f>sales_data!J2389</f>
        <v>Опт</v>
      </c>
      <c r="V383">
        <f>sales_data!K2389</f>
        <v>12</v>
      </c>
      <c r="W383">
        <f>sales_data!L2389</f>
        <v>11800</v>
      </c>
      <c r="X383">
        <f>sales_data!M2389</f>
        <v>141600</v>
      </c>
      <c r="Y383" t="str">
        <f>sales_data!N2389</f>
        <v>Офлайн-точка</v>
      </c>
      <c r="Z383" t="str">
        <f>sales_data!O2389</f>
        <v>Доставлен</v>
      </c>
    </row>
    <row r="384" spans="12:26" x14ac:dyDescent="0.25">
      <c r="L384">
        <f>sales_data!A2393</f>
        <v>1656</v>
      </c>
      <c r="M384">
        <f>sales_data!B2393</f>
        <v>45791</v>
      </c>
      <c r="N384">
        <f>sales_data!C2393</f>
        <v>14</v>
      </c>
      <c r="O384" t="str">
        <f>sales_data!D2393</f>
        <v>Май</v>
      </c>
      <c r="P384" t="str">
        <f>sales_data!E2393</f>
        <v>Ольга</v>
      </c>
      <c r="Q384" t="str">
        <f>sales_data!F2393</f>
        <v>Казань</v>
      </c>
      <c r="R384" t="str">
        <f>sales_data!G2393</f>
        <v>Приволжский</v>
      </c>
      <c r="S384" t="str">
        <f>sales_data!H2393</f>
        <v>Мониторы</v>
      </c>
      <c r="T384" t="str">
        <f>sales_data!I2393</f>
        <v>Monitor 21</v>
      </c>
      <c r="U384" t="str">
        <f>sales_data!J2393</f>
        <v>Розница</v>
      </c>
      <c r="V384">
        <f>sales_data!K2393</f>
        <v>8</v>
      </c>
      <c r="W384">
        <f>sales_data!L2393</f>
        <v>11800</v>
      </c>
      <c r="X384">
        <f>sales_data!M2393</f>
        <v>94400</v>
      </c>
      <c r="Y384" t="str">
        <f>sales_data!N2393</f>
        <v>Интернет-магазин</v>
      </c>
      <c r="Z384" t="str">
        <f>sales_data!O2393</f>
        <v>В пути</v>
      </c>
    </row>
    <row r="385" spans="12:26" x14ac:dyDescent="0.25">
      <c r="L385">
        <f>sales_data!A2397</f>
        <v>3897</v>
      </c>
      <c r="M385">
        <f>sales_data!B2397</f>
        <v>45713</v>
      </c>
      <c r="N385">
        <f>sales_data!C2397</f>
        <v>25</v>
      </c>
      <c r="O385" t="str">
        <f>sales_data!D2397</f>
        <v>Февраль</v>
      </c>
      <c r="P385" t="str">
        <f>sales_data!E2397</f>
        <v>Мария</v>
      </c>
      <c r="Q385" t="str">
        <f>sales_data!F2397</f>
        <v>Новосибирск</v>
      </c>
      <c r="R385" t="str">
        <f>sales_data!G2397</f>
        <v>Сибирский</v>
      </c>
      <c r="S385" t="str">
        <f>sales_data!H2397</f>
        <v>Принтеры</v>
      </c>
      <c r="T385" t="str">
        <f>sales_data!I2397</f>
        <v>Printer Photo</v>
      </c>
      <c r="U385" t="str">
        <f>sales_data!J2397</f>
        <v>Розница</v>
      </c>
      <c r="V385">
        <f>sales_data!K2397</f>
        <v>10</v>
      </c>
      <c r="W385">
        <f>sales_data!L2397</f>
        <v>11800</v>
      </c>
      <c r="X385">
        <f>sales_data!M2397</f>
        <v>118000</v>
      </c>
      <c r="Y385" t="str">
        <f>sales_data!N2397</f>
        <v>Офлайн-точка</v>
      </c>
      <c r="Z385" t="str">
        <f>sales_data!O2397</f>
        <v>Доставлен</v>
      </c>
    </row>
    <row r="386" spans="12:26" x14ac:dyDescent="0.25">
      <c r="L386">
        <f>sales_data!A2399</f>
        <v>4235</v>
      </c>
      <c r="M386">
        <f>sales_data!B2399</f>
        <v>45803</v>
      </c>
      <c r="N386">
        <f>sales_data!C2399</f>
        <v>26</v>
      </c>
      <c r="O386" t="str">
        <f>sales_data!D2399</f>
        <v>Май</v>
      </c>
      <c r="P386" t="str">
        <f>sales_data!E2399</f>
        <v>Дмитрий</v>
      </c>
      <c r="Q386" t="str">
        <f>sales_data!F2399</f>
        <v>Новосибирск</v>
      </c>
      <c r="R386" t="str">
        <f>sales_data!G2399</f>
        <v>Сибирский</v>
      </c>
      <c r="S386" t="str">
        <f>sales_data!H2399</f>
        <v>Принтеры</v>
      </c>
      <c r="T386" t="str">
        <f>sales_data!I2399</f>
        <v>Printer MFP</v>
      </c>
      <c r="U386" t="str">
        <f>sales_data!J2399</f>
        <v>Опт</v>
      </c>
      <c r="V386">
        <f>sales_data!K2399</f>
        <v>43</v>
      </c>
      <c r="W386">
        <f>sales_data!L2399</f>
        <v>11800</v>
      </c>
      <c r="X386">
        <f>sales_data!M2399</f>
        <v>507400</v>
      </c>
      <c r="Y386" t="str">
        <f>sales_data!N2399</f>
        <v>Офлайн-точка</v>
      </c>
      <c r="Z386" t="str">
        <f>sales_data!O2399</f>
        <v>В пути</v>
      </c>
    </row>
    <row r="387" spans="12:26" x14ac:dyDescent="0.25">
      <c r="L387">
        <f>sales_data!A2402</f>
        <v>628</v>
      </c>
      <c r="M387">
        <f>sales_data!B2402</f>
        <v>45842</v>
      </c>
      <c r="N387">
        <f>sales_data!C2402</f>
        <v>4</v>
      </c>
      <c r="O387" t="str">
        <f>sales_data!D2402</f>
        <v>Июль</v>
      </c>
      <c r="P387" t="str">
        <f>sales_data!E2402</f>
        <v>Мария</v>
      </c>
      <c r="Q387" t="str">
        <f>sales_data!F2402</f>
        <v>Самара</v>
      </c>
      <c r="R387" t="str">
        <f>sales_data!G2402</f>
        <v>Приволжский</v>
      </c>
      <c r="S387" t="str">
        <f>sales_data!H2402</f>
        <v>Периферия</v>
      </c>
      <c r="T387" t="str">
        <f>sales_data!I2402</f>
        <v>Dock Station</v>
      </c>
      <c r="U387" t="str">
        <f>sales_data!J2402</f>
        <v>Розница</v>
      </c>
      <c r="V387">
        <f>sales_data!K2402</f>
        <v>7</v>
      </c>
      <c r="W387">
        <f>sales_data!L2402</f>
        <v>11900</v>
      </c>
      <c r="X387">
        <f>sales_data!M2402</f>
        <v>83300</v>
      </c>
      <c r="Y387" t="str">
        <f>sales_data!N2402</f>
        <v>Интернет-магазин</v>
      </c>
      <c r="Z387" t="str">
        <f>sales_data!O2402</f>
        <v>В пути</v>
      </c>
    </row>
    <row r="388" spans="12:26" x14ac:dyDescent="0.25">
      <c r="L388">
        <f>sales_data!A2416</f>
        <v>1091</v>
      </c>
      <c r="M388">
        <f>sales_data!B2416</f>
        <v>45961</v>
      </c>
      <c r="N388">
        <f>sales_data!C2416</f>
        <v>31</v>
      </c>
      <c r="O388" t="str">
        <f>sales_data!D2416</f>
        <v>Октябрь</v>
      </c>
      <c r="P388" t="str">
        <f>sales_data!E2416</f>
        <v>Наталья</v>
      </c>
      <c r="Q388" t="str">
        <f>sales_data!F2416</f>
        <v>Ростов-на-Дону</v>
      </c>
      <c r="R388" t="str">
        <f>sales_data!G2416</f>
        <v>Южный</v>
      </c>
      <c r="S388" t="str">
        <f>sales_data!H2416</f>
        <v>Периферия</v>
      </c>
      <c r="T388" t="str">
        <f>sales_data!I2416</f>
        <v>Dock Station</v>
      </c>
      <c r="U388" t="str">
        <f>sales_data!J2416</f>
        <v>Розница</v>
      </c>
      <c r="V388">
        <f>sales_data!K2416</f>
        <v>2</v>
      </c>
      <c r="W388">
        <f>sales_data!L2416</f>
        <v>12000</v>
      </c>
      <c r="X388">
        <f>sales_data!M2416</f>
        <v>24000</v>
      </c>
      <c r="Y388" t="str">
        <f>sales_data!N2416</f>
        <v>Офлайн-точка</v>
      </c>
      <c r="Z388" t="str">
        <f>sales_data!O2416</f>
        <v>Доставлен</v>
      </c>
    </row>
    <row r="389" spans="12:26" x14ac:dyDescent="0.25">
      <c r="L389">
        <f>sales_data!A2421</f>
        <v>2453</v>
      </c>
      <c r="M389">
        <f>sales_data!B2421</f>
        <v>45752</v>
      </c>
      <c r="N389">
        <f>sales_data!C2421</f>
        <v>5</v>
      </c>
      <c r="O389" t="str">
        <f>sales_data!D2421</f>
        <v>Апрель</v>
      </c>
      <c r="P389" t="str">
        <f>sales_data!E2421</f>
        <v>Наталья</v>
      </c>
      <c r="Q389" t="str">
        <f>sales_data!F2421</f>
        <v>Нижний Новгород</v>
      </c>
      <c r="R389" t="str">
        <f>sales_data!G2421</f>
        <v>Приволжский</v>
      </c>
      <c r="S389" t="str">
        <f>sales_data!H2421</f>
        <v>Периферия</v>
      </c>
      <c r="T389" t="str">
        <f>sales_data!I2421</f>
        <v>Dock Station</v>
      </c>
      <c r="U389" t="str">
        <f>sales_data!J2421</f>
        <v>Розница</v>
      </c>
      <c r="V389">
        <f>sales_data!K2421</f>
        <v>2</v>
      </c>
      <c r="W389">
        <f>sales_data!L2421</f>
        <v>12000</v>
      </c>
      <c r="X389">
        <f>sales_data!M2421</f>
        <v>24000</v>
      </c>
      <c r="Y389" t="str">
        <f>sales_data!N2421</f>
        <v>Офлайн-точка</v>
      </c>
      <c r="Z389" t="str">
        <f>sales_data!O2421</f>
        <v>Отменён</v>
      </c>
    </row>
    <row r="390" spans="12:26" x14ac:dyDescent="0.25">
      <c r="L390">
        <f>sales_data!A2431</f>
        <v>1173</v>
      </c>
      <c r="M390">
        <f>sales_data!B2431</f>
        <v>45775</v>
      </c>
      <c r="N390">
        <f>sales_data!C2431</f>
        <v>28</v>
      </c>
      <c r="O390" t="str">
        <f>sales_data!D2431</f>
        <v>Апрель</v>
      </c>
      <c r="P390" t="str">
        <f>sales_data!E2431</f>
        <v>Владимир</v>
      </c>
      <c r="Q390" t="str">
        <f>sales_data!F2431</f>
        <v>Уфа</v>
      </c>
      <c r="R390" t="str">
        <f>sales_data!G2431</f>
        <v>Приволжский</v>
      </c>
      <c r="S390" t="str">
        <f>sales_data!H2431</f>
        <v>Периферия</v>
      </c>
      <c r="T390" t="str">
        <f>sales_data!I2431</f>
        <v>Dock Station</v>
      </c>
      <c r="U390" t="str">
        <f>sales_data!J2431</f>
        <v>Розница</v>
      </c>
      <c r="V390">
        <f>sales_data!K2431</f>
        <v>4</v>
      </c>
      <c r="W390">
        <f>sales_data!L2431</f>
        <v>12100</v>
      </c>
      <c r="X390">
        <f>sales_data!M2431</f>
        <v>48400</v>
      </c>
      <c r="Y390" t="str">
        <f>sales_data!N2431</f>
        <v>Интернет-магазин</v>
      </c>
      <c r="Z390" t="str">
        <f>sales_data!O2431</f>
        <v>Отменён</v>
      </c>
    </row>
    <row r="391" spans="12:26" x14ac:dyDescent="0.25">
      <c r="L391">
        <f>sales_data!A2432</f>
        <v>1201</v>
      </c>
      <c r="M391">
        <f>sales_data!B2432</f>
        <v>45847</v>
      </c>
      <c r="N391">
        <f>sales_data!C2432</f>
        <v>9</v>
      </c>
      <c r="O391" t="str">
        <f>sales_data!D2432</f>
        <v>Июль</v>
      </c>
      <c r="P391" t="str">
        <f>sales_data!E2432</f>
        <v>Татьяна</v>
      </c>
      <c r="Q391" t="str">
        <f>sales_data!F2432</f>
        <v>Воронеж</v>
      </c>
      <c r="R391" t="str">
        <f>sales_data!G2432</f>
        <v>Центральный</v>
      </c>
      <c r="S391" t="str">
        <f>sales_data!H2432</f>
        <v>Периферия</v>
      </c>
      <c r="T391" t="str">
        <f>sales_data!I2432</f>
        <v>Dock Station</v>
      </c>
      <c r="U391" t="str">
        <f>sales_data!J2432</f>
        <v>Розница</v>
      </c>
      <c r="V391">
        <f>sales_data!K2432</f>
        <v>6</v>
      </c>
      <c r="W391">
        <f>sales_data!L2432</f>
        <v>12100</v>
      </c>
      <c r="X391">
        <f>sales_data!M2432</f>
        <v>72600</v>
      </c>
      <c r="Y391" t="str">
        <f>sales_data!N2432</f>
        <v>Офлайн-точка</v>
      </c>
      <c r="Z391" t="str">
        <f>sales_data!O2432</f>
        <v>В пути</v>
      </c>
    </row>
    <row r="392" spans="12:26" x14ac:dyDescent="0.25">
      <c r="L392">
        <f>sales_data!A2440</f>
        <v>2623</v>
      </c>
      <c r="M392">
        <f>sales_data!B2440</f>
        <v>46016</v>
      </c>
      <c r="N392">
        <f>sales_data!C2440</f>
        <v>25</v>
      </c>
      <c r="O392" t="str">
        <f>sales_data!D2440</f>
        <v>Декабрь</v>
      </c>
      <c r="P392" t="str">
        <f>sales_data!E2440</f>
        <v>Игорь</v>
      </c>
      <c r="Q392" t="str">
        <f>sales_data!F2440</f>
        <v>Пермь</v>
      </c>
      <c r="R392" t="str">
        <f>sales_data!G2440</f>
        <v>Приволжский</v>
      </c>
      <c r="S392" t="str">
        <f>sales_data!H2440</f>
        <v>Мониторы</v>
      </c>
      <c r="T392" t="str">
        <f>sales_data!I2440</f>
        <v>Monitor 21</v>
      </c>
      <c r="U392" t="str">
        <f>sales_data!J2440</f>
        <v>Розница</v>
      </c>
      <c r="V392">
        <f>sales_data!K2440</f>
        <v>1</v>
      </c>
      <c r="W392">
        <f>sales_data!L2440</f>
        <v>12100</v>
      </c>
      <c r="X392">
        <f>sales_data!M2440</f>
        <v>12100</v>
      </c>
      <c r="Y392" t="str">
        <f>sales_data!N2440</f>
        <v>Офлайн-точка</v>
      </c>
      <c r="Z392" t="str">
        <f>sales_data!O2440</f>
        <v>В пути</v>
      </c>
    </row>
    <row r="393" spans="12:26" x14ac:dyDescent="0.25">
      <c r="L393">
        <f>sales_data!A2464</f>
        <v>2653</v>
      </c>
      <c r="M393">
        <f>sales_data!B2464</f>
        <v>45728</v>
      </c>
      <c r="N393">
        <f>sales_data!C2464</f>
        <v>12</v>
      </c>
      <c r="O393" t="str">
        <f>sales_data!D2464</f>
        <v>Март</v>
      </c>
      <c r="P393" t="str">
        <f>sales_data!E2464</f>
        <v>Анна</v>
      </c>
      <c r="Q393" t="str">
        <f>sales_data!F2464</f>
        <v>Екатеринбург</v>
      </c>
      <c r="R393" t="str">
        <f>sales_data!G2464</f>
        <v>Уральский</v>
      </c>
      <c r="S393" t="str">
        <f>sales_data!H2464</f>
        <v>Мониторы</v>
      </c>
      <c r="T393" t="str">
        <f>sales_data!I2464</f>
        <v>Monitor 21</v>
      </c>
      <c r="U393" t="str">
        <f>sales_data!J2464</f>
        <v>Розница</v>
      </c>
      <c r="V393">
        <f>sales_data!K2464</f>
        <v>1</v>
      </c>
      <c r="W393">
        <f>sales_data!L2464</f>
        <v>12300</v>
      </c>
      <c r="X393">
        <f>sales_data!M2464</f>
        <v>12300</v>
      </c>
      <c r="Y393" t="str">
        <f>sales_data!N2464</f>
        <v>Интернет-магазин</v>
      </c>
      <c r="Z393" t="str">
        <f>sales_data!O2464</f>
        <v>Отменён</v>
      </c>
    </row>
    <row r="394" spans="12:26" x14ac:dyDescent="0.25">
      <c r="L394">
        <f>sales_data!A2471</f>
        <v>4207</v>
      </c>
      <c r="M394">
        <f>sales_data!B2471</f>
        <v>45689</v>
      </c>
      <c r="N394">
        <f>sales_data!C2471</f>
        <v>1</v>
      </c>
      <c r="O394" t="str">
        <f>sales_data!D2471</f>
        <v>Февраль</v>
      </c>
      <c r="P394" t="str">
        <f>sales_data!E2471</f>
        <v>Сергей</v>
      </c>
      <c r="Q394" t="str">
        <f>sales_data!F2471</f>
        <v>Челябинск</v>
      </c>
      <c r="R394" t="str">
        <f>sales_data!G2471</f>
        <v>Уральский</v>
      </c>
      <c r="S394" t="str">
        <f>sales_data!H2471</f>
        <v>Периферия</v>
      </c>
      <c r="T394" t="str">
        <f>sales_data!I2471</f>
        <v>Dock Station</v>
      </c>
      <c r="U394" t="str">
        <f>sales_data!J2471</f>
        <v>Розница</v>
      </c>
      <c r="V394">
        <f>sales_data!K2471</f>
        <v>7</v>
      </c>
      <c r="W394">
        <f>sales_data!L2471</f>
        <v>12300</v>
      </c>
      <c r="X394">
        <f>sales_data!M2471</f>
        <v>86100</v>
      </c>
      <c r="Y394" t="str">
        <f>sales_data!N2471</f>
        <v>Интернет-магазин</v>
      </c>
      <c r="Z394" t="str">
        <f>sales_data!O2471</f>
        <v>В пути</v>
      </c>
    </row>
    <row r="395" spans="12:26" x14ac:dyDescent="0.25">
      <c r="L395">
        <f>sales_data!A2474</f>
        <v>329</v>
      </c>
      <c r="M395">
        <f>sales_data!B2474</f>
        <v>45695</v>
      </c>
      <c r="N395">
        <f>sales_data!C2474</f>
        <v>7</v>
      </c>
      <c r="O395" t="str">
        <f>sales_data!D2474</f>
        <v>Февраль</v>
      </c>
      <c r="P395" t="str">
        <f>sales_data!E2474</f>
        <v>Борис</v>
      </c>
      <c r="Q395" t="str">
        <f>sales_data!F2474</f>
        <v>Екатеринбург</v>
      </c>
      <c r="R395" t="str">
        <f>sales_data!G2474</f>
        <v>Уральский</v>
      </c>
      <c r="S395" t="str">
        <f>sales_data!H2474</f>
        <v>Мониторы</v>
      </c>
      <c r="T395" t="str">
        <f>sales_data!I2474</f>
        <v>Monitor 21</v>
      </c>
      <c r="U395" t="str">
        <f>sales_data!J2474</f>
        <v>Розница</v>
      </c>
      <c r="V395">
        <f>sales_data!K2474</f>
        <v>7</v>
      </c>
      <c r="W395">
        <f>sales_data!L2474</f>
        <v>12400</v>
      </c>
      <c r="X395">
        <f>sales_data!M2474</f>
        <v>86800</v>
      </c>
      <c r="Y395" t="str">
        <f>sales_data!N2474</f>
        <v>Офлайн-точка</v>
      </c>
      <c r="Z395" t="str">
        <f>sales_data!O2474</f>
        <v>В пути</v>
      </c>
    </row>
    <row r="396" spans="12:26" x14ac:dyDescent="0.25">
      <c r="L396">
        <f>sales_data!A2478</f>
        <v>2134</v>
      </c>
      <c r="M396">
        <f>sales_data!B2478</f>
        <v>45716</v>
      </c>
      <c r="N396">
        <f>sales_data!C2478</f>
        <v>28</v>
      </c>
      <c r="O396" t="str">
        <f>sales_data!D2478</f>
        <v>Февраль</v>
      </c>
      <c r="P396" t="str">
        <f>sales_data!E2478</f>
        <v>Борис</v>
      </c>
      <c r="Q396" t="str">
        <f>sales_data!F2478</f>
        <v>Екатеринбург</v>
      </c>
      <c r="R396" t="str">
        <f>sales_data!G2478</f>
        <v>Уральский</v>
      </c>
      <c r="S396" t="str">
        <f>sales_data!H2478</f>
        <v>Периферия</v>
      </c>
      <c r="T396" t="str">
        <f>sales_data!I2478</f>
        <v>Dock Station</v>
      </c>
      <c r="U396" t="str">
        <f>sales_data!J2478</f>
        <v>Розница</v>
      </c>
      <c r="V396">
        <f>sales_data!K2478</f>
        <v>3</v>
      </c>
      <c r="W396">
        <f>sales_data!L2478</f>
        <v>12400</v>
      </c>
      <c r="X396">
        <f>sales_data!M2478</f>
        <v>37200</v>
      </c>
      <c r="Y396" t="str">
        <f>sales_data!N2478</f>
        <v>Интернет-магазин</v>
      </c>
      <c r="Z396" t="str">
        <f>sales_data!O2478</f>
        <v>Отменён</v>
      </c>
    </row>
    <row r="397" spans="12:26" x14ac:dyDescent="0.25">
      <c r="L397">
        <f>sales_data!A2481</f>
        <v>2607</v>
      </c>
      <c r="M397">
        <f>sales_data!B2481</f>
        <v>45881</v>
      </c>
      <c r="N397">
        <f>sales_data!C2481</f>
        <v>12</v>
      </c>
      <c r="O397" t="str">
        <f>sales_data!D2481</f>
        <v>Август</v>
      </c>
      <c r="P397" t="str">
        <f>sales_data!E2481</f>
        <v>Игорь</v>
      </c>
      <c r="Q397" t="str">
        <f>sales_data!F2481</f>
        <v>Омск</v>
      </c>
      <c r="R397" t="str">
        <f>sales_data!G2481</f>
        <v>Сибирский</v>
      </c>
      <c r="S397" t="str">
        <f>sales_data!H2481</f>
        <v>Принтеры</v>
      </c>
      <c r="T397" t="str">
        <f>sales_data!I2481</f>
        <v>Printer MFP</v>
      </c>
      <c r="U397" t="str">
        <f>sales_data!J2481</f>
        <v>Опт</v>
      </c>
      <c r="V397">
        <f>sales_data!K2481</f>
        <v>29</v>
      </c>
      <c r="W397">
        <f>sales_data!L2481</f>
        <v>12400</v>
      </c>
      <c r="X397">
        <f>sales_data!M2481</f>
        <v>359600</v>
      </c>
      <c r="Y397" t="str">
        <f>sales_data!N2481</f>
        <v>Офлайн-точка</v>
      </c>
      <c r="Z397" t="str">
        <f>sales_data!O2481</f>
        <v>Доставлен</v>
      </c>
    </row>
    <row r="398" spans="12:26" x14ac:dyDescent="0.25">
      <c r="L398">
        <f>sales_data!A2485</f>
        <v>4452</v>
      </c>
      <c r="M398">
        <f>sales_data!B2485</f>
        <v>45759</v>
      </c>
      <c r="N398">
        <f>sales_data!C2485</f>
        <v>12</v>
      </c>
      <c r="O398" t="str">
        <f>sales_data!D2485</f>
        <v>Апрель</v>
      </c>
      <c r="P398" t="str">
        <f>sales_data!E2485</f>
        <v>Павел</v>
      </c>
      <c r="Q398" t="str">
        <f>sales_data!F2485</f>
        <v>Санкт-Петербург</v>
      </c>
      <c r="R398" t="str">
        <f>sales_data!G2485</f>
        <v>Северо-Западный</v>
      </c>
      <c r="S398" t="str">
        <f>sales_data!H2485</f>
        <v>Принтеры</v>
      </c>
      <c r="T398" t="str">
        <f>sales_data!I2485</f>
        <v>Printer MFP</v>
      </c>
      <c r="U398" t="str">
        <f>sales_data!J2485</f>
        <v>Опт</v>
      </c>
      <c r="V398">
        <f>sales_data!K2485</f>
        <v>45</v>
      </c>
      <c r="W398">
        <f>sales_data!L2485</f>
        <v>12400</v>
      </c>
      <c r="X398">
        <f>sales_data!M2485</f>
        <v>558000</v>
      </c>
      <c r="Y398" t="str">
        <f>sales_data!N2485</f>
        <v>Интернет-магазин</v>
      </c>
      <c r="Z398" t="str">
        <f>sales_data!O2485</f>
        <v>Доставлен</v>
      </c>
    </row>
    <row r="399" spans="12:26" x14ac:dyDescent="0.25">
      <c r="L399">
        <f>sales_data!A2491</f>
        <v>3189</v>
      </c>
      <c r="M399">
        <f>sales_data!B2491</f>
        <v>45727</v>
      </c>
      <c r="N399">
        <f>sales_data!C2491</f>
        <v>11</v>
      </c>
      <c r="O399" t="str">
        <f>sales_data!D2491</f>
        <v>Март</v>
      </c>
      <c r="P399" t="str">
        <f>sales_data!E2491</f>
        <v>Анна</v>
      </c>
      <c r="Q399" t="str">
        <f>sales_data!F2491</f>
        <v>Омск</v>
      </c>
      <c r="R399" t="str">
        <f>sales_data!G2491</f>
        <v>Сибирский</v>
      </c>
      <c r="S399" t="str">
        <f>sales_data!H2491</f>
        <v>Периферия</v>
      </c>
      <c r="T399" t="str">
        <f>sales_data!I2491</f>
        <v>Dock Station</v>
      </c>
      <c r="U399" t="str">
        <f>sales_data!J2491</f>
        <v>Розница</v>
      </c>
      <c r="V399">
        <f>sales_data!K2491</f>
        <v>4</v>
      </c>
      <c r="W399">
        <f>sales_data!L2491</f>
        <v>12500</v>
      </c>
      <c r="X399">
        <f>sales_data!M2491</f>
        <v>50000</v>
      </c>
      <c r="Y399" t="str">
        <f>sales_data!N2491</f>
        <v>Офлайн-точка</v>
      </c>
      <c r="Z399" t="str">
        <f>sales_data!O2491</f>
        <v>В пути</v>
      </c>
    </row>
    <row r="400" spans="12:26" x14ac:dyDescent="0.25">
      <c r="L400">
        <f>sales_data!A2494</f>
        <v>3436</v>
      </c>
      <c r="M400">
        <f>sales_data!B2494</f>
        <v>45984</v>
      </c>
      <c r="N400">
        <f>sales_data!C2494</f>
        <v>23</v>
      </c>
      <c r="O400" t="str">
        <f>sales_data!D2494</f>
        <v>Ноябрь</v>
      </c>
      <c r="P400" t="str">
        <f>sales_data!E2494</f>
        <v>Анна</v>
      </c>
      <c r="Q400" t="str">
        <f>sales_data!F2494</f>
        <v>Уфа</v>
      </c>
      <c r="R400" t="str">
        <f>sales_data!G2494</f>
        <v>Приволжский</v>
      </c>
      <c r="S400" t="str">
        <f>sales_data!H2494</f>
        <v>Периферия</v>
      </c>
      <c r="T400" t="str">
        <f>sales_data!I2494</f>
        <v>Dock Station</v>
      </c>
      <c r="U400" t="str">
        <f>sales_data!J2494</f>
        <v>Розница</v>
      </c>
      <c r="V400">
        <f>sales_data!K2494</f>
        <v>9</v>
      </c>
      <c r="W400">
        <f>sales_data!L2494</f>
        <v>12500</v>
      </c>
      <c r="X400">
        <f>sales_data!M2494</f>
        <v>112500</v>
      </c>
      <c r="Y400" t="str">
        <f>sales_data!N2494</f>
        <v>Офлайн-точка</v>
      </c>
      <c r="Z400" t="str">
        <f>sales_data!O2494</f>
        <v>Доставлен</v>
      </c>
    </row>
    <row r="401" spans="12:26" x14ac:dyDescent="0.25">
      <c r="L401">
        <f>sales_data!A2497</f>
        <v>4475</v>
      </c>
      <c r="M401">
        <f>sales_data!B2497</f>
        <v>45849</v>
      </c>
      <c r="N401">
        <f>sales_data!C2497</f>
        <v>11</v>
      </c>
      <c r="O401" t="str">
        <f>sales_data!D2497</f>
        <v>Июль</v>
      </c>
      <c r="P401" t="str">
        <f>sales_data!E2497</f>
        <v>Анна</v>
      </c>
      <c r="Q401" t="str">
        <f>sales_data!F2497</f>
        <v>Воронеж</v>
      </c>
      <c r="R401" t="str">
        <f>sales_data!G2497</f>
        <v>Центральный</v>
      </c>
      <c r="S401" t="str">
        <f>sales_data!H2497</f>
        <v>Периферия</v>
      </c>
      <c r="T401" t="str">
        <f>sales_data!I2497</f>
        <v>Dock Station</v>
      </c>
      <c r="U401" t="str">
        <f>sales_data!J2497</f>
        <v>Розница</v>
      </c>
      <c r="V401">
        <f>sales_data!K2497</f>
        <v>10</v>
      </c>
      <c r="W401">
        <f>sales_data!L2497</f>
        <v>12500</v>
      </c>
      <c r="X401">
        <f>sales_data!M2497</f>
        <v>125000</v>
      </c>
      <c r="Y401" t="str">
        <f>sales_data!N2497</f>
        <v>Интернет-магазин</v>
      </c>
      <c r="Z401" t="str">
        <f>sales_data!O2497</f>
        <v>Отменён</v>
      </c>
    </row>
    <row r="402" spans="12:26" x14ac:dyDescent="0.25">
      <c r="L402">
        <f>sales_data!A2509</f>
        <v>4163</v>
      </c>
      <c r="M402">
        <f>sales_data!B2509</f>
        <v>45838</v>
      </c>
      <c r="N402">
        <f>sales_data!C2509</f>
        <v>30</v>
      </c>
      <c r="O402" t="str">
        <f>sales_data!D2509</f>
        <v>Июнь</v>
      </c>
      <c r="P402" t="str">
        <f>sales_data!E2509</f>
        <v>Сергей</v>
      </c>
      <c r="Q402" t="str">
        <f>sales_data!F2509</f>
        <v>Нижний Новгород</v>
      </c>
      <c r="R402" t="str">
        <f>sales_data!G2509</f>
        <v>Приволжский</v>
      </c>
      <c r="S402" t="str">
        <f>sales_data!H2509</f>
        <v>Принтеры</v>
      </c>
      <c r="T402" t="str">
        <f>sales_data!I2509</f>
        <v>Printer MFP</v>
      </c>
      <c r="U402" t="str">
        <f>sales_data!J2509</f>
        <v>Опт</v>
      </c>
      <c r="V402">
        <f>sales_data!K2509</f>
        <v>36</v>
      </c>
      <c r="W402">
        <f>sales_data!L2509</f>
        <v>12600</v>
      </c>
      <c r="X402">
        <f>sales_data!M2509</f>
        <v>453600</v>
      </c>
      <c r="Y402" t="str">
        <f>sales_data!N2509</f>
        <v>Интернет-магазин</v>
      </c>
      <c r="Z402" t="str">
        <f>sales_data!O2509</f>
        <v>Доставлен</v>
      </c>
    </row>
    <row r="403" spans="12:26" x14ac:dyDescent="0.25">
      <c r="L403">
        <f>sales_data!A2515</f>
        <v>2062</v>
      </c>
      <c r="M403">
        <f>sales_data!B2515</f>
        <v>45666</v>
      </c>
      <c r="N403">
        <f>sales_data!C2515</f>
        <v>9</v>
      </c>
      <c r="O403" t="str">
        <f>sales_data!D2515</f>
        <v>Январь</v>
      </c>
      <c r="P403" t="str">
        <f>sales_data!E2515</f>
        <v>Ксения</v>
      </c>
      <c r="Q403" t="str">
        <f>sales_data!F2515</f>
        <v>Новосибирск</v>
      </c>
      <c r="R403" t="str">
        <f>sales_data!G2515</f>
        <v>Сибирский</v>
      </c>
      <c r="S403" t="str">
        <f>sales_data!H2515</f>
        <v>Принтеры</v>
      </c>
      <c r="T403" t="str">
        <f>sales_data!I2515</f>
        <v>Printer MFP</v>
      </c>
      <c r="U403" t="str">
        <f>sales_data!J2515</f>
        <v>Опт</v>
      </c>
      <c r="V403">
        <f>sales_data!K2515</f>
        <v>30</v>
      </c>
      <c r="W403">
        <f>sales_data!L2515</f>
        <v>12700</v>
      </c>
      <c r="X403">
        <f>sales_data!M2515</f>
        <v>381000</v>
      </c>
      <c r="Y403" t="str">
        <f>sales_data!N2515</f>
        <v>Офлайн-точка</v>
      </c>
      <c r="Z403" t="str">
        <f>sales_data!O2515</f>
        <v>Отменён</v>
      </c>
    </row>
    <row r="404" spans="12:26" x14ac:dyDescent="0.25">
      <c r="L404">
        <f>sales_data!A2521</f>
        <v>3826</v>
      </c>
      <c r="M404">
        <f>sales_data!B2521</f>
        <v>45902</v>
      </c>
      <c r="N404">
        <f>sales_data!C2521</f>
        <v>2</v>
      </c>
      <c r="O404" t="str">
        <f>sales_data!D2521</f>
        <v>Сентябрь</v>
      </c>
      <c r="P404" t="str">
        <f>sales_data!E2521</f>
        <v>Игорь</v>
      </c>
      <c r="Q404" t="str">
        <f>sales_data!F2521</f>
        <v>Воронеж</v>
      </c>
      <c r="R404" t="str">
        <f>sales_data!G2521</f>
        <v>Центральный</v>
      </c>
      <c r="S404" t="str">
        <f>sales_data!H2521</f>
        <v>Периферия</v>
      </c>
      <c r="T404" t="str">
        <f>sales_data!I2521</f>
        <v>Dock Station</v>
      </c>
      <c r="U404" t="str">
        <f>sales_data!J2521</f>
        <v>Розница</v>
      </c>
      <c r="V404">
        <f>sales_data!K2521</f>
        <v>9</v>
      </c>
      <c r="W404">
        <f>sales_data!L2521</f>
        <v>12700</v>
      </c>
      <c r="X404">
        <f>sales_data!M2521</f>
        <v>114300</v>
      </c>
      <c r="Y404" t="str">
        <f>sales_data!N2521</f>
        <v>Офлайн-точка</v>
      </c>
      <c r="Z404" t="str">
        <f>sales_data!O2521</f>
        <v>В пути</v>
      </c>
    </row>
    <row r="405" spans="12:26" x14ac:dyDescent="0.25">
      <c r="L405">
        <f>sales_data!A2524</f>
        <v>4525</v>
      </c>
      <c r="M405">
        <f>sales_data!B2524</f>
        <v>45681</v>
      </c>
      <c r="N405">
        <f>sales_data!C2524</f>
        <v>24</v>
      </c>
      <c r="O405" t="str">
        <f>sales_data!D2524</f>
        <v>Январь</v>
      </c>
      <c r="P405" t="str">
        <f>sales_data!E2524</f>
        <v>Дмитрий</v>
      </c>
      <c r="Q405" t="str">
        <f>sales_data!F2524</f>
        <v>Екатеринбург</v>
      </c>
      <c r="R405" t="str">
        <f>sales_data!G2524</f>
        <v>Уральский</v>
      </c>
      <c r="S405" t="str">
        <f>sales_data!H2524</f>
        <v>Периферия</v>
      </c>
      <c r="T405" t="str">
        <f>sales_data!I2524</f>
        <v>Dock Station</v>
      </c>
      <c r="U405" t="str">
        <f>sales_data!J2524</f>
        <v>Розница</v>
      </c>
      <c r="V405">
        <f>sales_data!K2524</f>
        <v>9</v>
      </c>
      <c r="W405">
        <f>sales_data!L2524</f>
        <v>12700</v>
      </c>
      <c r="X405">
        <f>sales_data!M2524</f>
        <v>114300</v>
      </c>
      <c r="Y405" t="str">
        <f>sales_data!N2524</f>
        <v>Интернет-магазин</v>
      </c>
      <c r="Z405" t="str">
        <f>sales_data!O2524</f>
        <v>Отменён</v>
      </c>
    </row>
    <row r="406" spans="12:26" x14ac:dyDescent="0.25">
      <c r="L406">
        <f>sales_data!A2525</f>
        <v>4586</v>
      </c>
      <c r="M406">
        <f>sales_data!B2525</f>
        <v>45774</v>
      </c>
      <c r="N406">
        <f>sales_data!C2525</f>
        <v>27</v>
      </c>
      <c r="O406" t="str">
        <f>sales_data!D2525</f>
        <v>Апрель</v>
      </c>
      <c r="P406" t="str">
        <f>sales_data!E2525</f>
        <v>Татьяна</v>
      </c>
      <c r="Q406" t="str">
        <f>sales_data!F2525</f>
        <v>Омск</v>
      </c>
      <c r="R406" t="str">
        <f>sales_data!G2525</f>
        <v>Сибирский</v>
      </c>
      <c r="S406" t="str">
        <f>sales_data!H2525</f>
        <v>Периферия</v>
      </c>
      <c r="T406" t="str">
        <f>sales_data!I2525</f>
        <v>Dock Station</v>
      </c>
      <c r="U406" t="str">
        <f>sales_data!J2525</f>
        <v>Розница</v>
      </c>
      <c r="V406">
        <f>sales_data!K2525</f>
        <v>4</v>
      </c>
      <c r="W406">
        <f>sales_data!L2525</f>
        <v>12700</v>
      </c>
      <c r="X406">
        <f>sales_data!M2525</f>
        <v>50800</v>
      </c>
      <c r="Y406" t="str">
        <f>sales_data!N2525</f>
        <v>Офлайн-точка</v>
      </c>
      <c r="Z406" t="str">
        <f>sales_data!O2525</f>
        <v>В пути</v>
      </c>
    </row>
    <row r="407" spans="12:26" x14ac:dyDescent="0.25">
      <c r="L407">
        <f>sales_data!A2533</f>
        <v>1665</v>
      </c>
      <c r="M407">
        <f>sales_data!B2533</f>
        <v>45871</v>
      </c>
      <c r="N407">
        <f>sales_data!C2533</f>
        <v>2</v>
      </c>
      <c r="O407" t="str">
        <f>sales_data!D2533</f>
        <v>Август</v>
      </c>
      <c r="P407" t="str">
        <f>sales_data!E2533</f>
        <v>Анна</v>
      </c>
      <c r="Q407" t="str">
        <f>sales_data!F2533</f>
        <v>Челябинск</v>
      </c>
      <c r="R407" t="str">
        <f>sales_data!G2533</f>
        <v>Уральский</v>
      </c>
      <c r="S407" t="str">
        <f>sales_data!H2533</f>
        <v>Периферия</v>
      </c>
      <c r="T407" t="str">
        <f>sales_data!I2533</f>
        <v>Dock Station</v>
      </c>
      <c r="U407" t="str">
        <f>sales_data!J2533</f>
        <v>Розница</v>
      </c>
      <c r="V407">
        <f>sales_data!K2533</f>
        <v>10</v>
      </c>
      <c r="W407">
        <f>sales_data!L2533</f>
        <v>12800</v>
      </c>
      <c r="X407">
        <f>sales_data!M2533</f>
        <v>128000</v>
      </c>
      <c r="Y407" t="str">
        <f>sales_data!N2533</f>
        <v>Интернет-магазин</v>
      </c>
      <c r="Z407" t="str">
        <f>sales_data!O2533</f>
        <v>В пути</v>
      </c>
    </row>
    <row r="408" spans="12:26" x14ac:dyDescent="0.25">
      <c r="L408">
        <f>sales_data!A2546</f>
        <v>1185</v>
      </c>
      <c r="M408">
        <f>sales_data!B2546</f>
        <v>45855</v>
      </c>
      <c r="N408">
        <f>sales_data!C2546</f>
        <v>17</v>
      </c>
      <c r="O408" t="str">
        <f>sales_data!D2546</f>
        <v>Июль</v>
      </c>
      <c r="P408" t="str">
        <f>sales_data!E2546</f>
        <v>Ксения</v>
      </c>
      <c r="Q408" t="str">
        <f>sales_data!F2546</f>
        <v>Омск</v>
      </c>
      <c r="R408" t="str">
        <f>sales_data!G2546</f>
        <v>Сибирский</v>
      </c>
      <c r="S408" t="str">
        <f>sales_data!H2546</f>
        <v>Мониторы</v>
      </c>
      <c r="T408" t="str">
        <f>sales_data!I2546</f>
        <v>Monitor 24</v>
      </c>
      <c r="U408" t="str">
        <f>sales_data!J2546</f>
        <v>Опт</v>
      </c>
      <c r="V408">
        <f>sales_data!K2546</f>
        <v>21</v>
      </c>
      <c r="W408">
        <f>sales_data!L2546</f>
        <v>12900</v>
      </c>
      <c r="X408">
        <f>sales_data!M2546</f>
        <v>270900</v>
      </c>
      <c r="Y408" t="str">
        <f>sales_data!N2546</f>
        <v>Офлайн-точка</v>
      </c>
      <c r="Z408" t="str">
        <f>sales_data!O2546</f>
        <v>Отменён</v>
      </c>
    </row>
    <row r="409" spans="12:26" x14ac:dyDescent="0.25">
      <c r="L409">
        <f>sales_data!A2549</f>
        <v>2412</v>
      </c>
      <c r="M409">
        <f>sales_data!B2549</f>
        <v>45937</v>
      </c>
      <c r="N409">
        <f>sales_data!C2549</f>
        <v>7</v>
      </c>
      <c r="O409" t="str">
        <f>sales_data!D2549</f>
        <v>Октябрь</v>
      </c>
      <c r="P409" t="str">
        <f>sales_data!E2549</f>
        <v>Ксения</v>
      </c>
      <c r="Q409" t="str">
        <f>sales_data!F2549</f>
        <v>Нижний Новгород</v>
      </c>
      <c r="R409" t="str">
        <f>sales_data!G2549</f>
        <v>Приволжский</v>
      </c>
      <c r="S409" t="str">
        <f>sales_data!H2549</f>
        <v>Периферия</v>
      </c>
      <c r="T409" t="str">
        <f>sales_data!I2549</f>
        <v>Dock Station</v>
      </c>
      <c r="U409" t="str">
        <f>sales_data!J2549</f>
        <v>Розница</v>
      </c>
      <c r="V409">
        <f>sales_data!K2549</f>
        <v>3</v>
      </c>
      <c r="W409">
        <f>sales_data!L2549</f>
        <v>12900</v>
      </c>
      <c r="X409">
        <f>sales_data!M2549</f>
        <v>38700</v>
      </c>
      <c r="Y409" t="str">
        <f>sales_data!N2549</f>
        <v>Интернет-магазин</v>
      </c>
      <c r="Z409" t="str">
        <f>sales_data!O2549</f>
        <v>В пути</v>
      </c>
    </row>
    <row r="410" spans="12:26" x14ac:dyDescent="0.25">
      <c r="L410">
        <f>sales_data!A2550</f>
        <v>4537</v>
      </c>
      <c r="M410">
        <f>sales_data!B2550</f>
        <v>45812</v>
      </c>
      <c r="N410">
        <f>sales_data!C2550</f>
        <v>4</v>
      </c>
      <c r="O410" t="str">
        <f>sales_data!D2550</f>
        <v>Июнь</v>
      </c>
      <c r="P410" t="str">
        <f>sales_data!E2550</f>
        <v>Сергей</v>
      </c>
      <c r="Q410" t="str">
        <f>sales_data!F2550</f>
        <v>Омск</v>
      </c>
      <c r="R410" t="str">
        <f>sales_data!G2550</f>
        <v>Сибирский</v>
      </c>
      <c r="S410" t="str">
        <f>sales_data!H2550</f>
        <v>Принтеры</v>
      </c>
      <c r="T410" t="str">
        <f>sales_data!I2550</f>
        <v>Printer MFP</v>
      </c>
      <c r="U410" t="str">
        <f>sales_data!J2550</f>
        <v>Опт</v>
      </c>
      <c r="V410">
        <f>sales_data!K2550</f>
        <v>40</v>
      </c>
      <c r="W410">
        <f>sales_data!L2550</f>
        <v>12900</v>
      </c>
      <c r="X410">
        <f>sales_data!M2550</f>
        <v>516000</v>
      </c>
      <c r="Y410" t="str">
        <f>sales_data!N2550</f>
        <v>Офлайн-точка</v>
      </c>
      <c r="Z410" t="str">
        <f>sales_data!O2550</f>
        <v>Отменён</v>
      </c>
    </row>
    <row r="411" spans="12:26" x14ac:dyDescent="0.25">
      <c r="L411">
        <f>sales_data!A2552</f>
        <v>447</v>
      </c>
      <c r="M411">
        <f>sales_data!B2552</f>
        <v>45827</v>
      </c>
      <c r="N411">
        <f>sales_data!C2552</f>
        <v>19</v>
      </c>
      <c r="O411" t="str">
        <f>sales_data!D2552</f>
        <v>Июнь</v>
      </c>
      <c r="P411" t="str">
        <f>sales_data!E2552</f>
        <v>Дмитрий</v>
      </c>
      <c r="Q411" t="str">
        <f>sales_data!F2552</f>
        <v>Новосибирск</v>
      </c>
      <c r="R411" t="str">
        <f>sales_data!G2552</f>
        <v>Сибирский</v>
      </c>
      <c r="S411" t="str">
        <f>sales_data!H2552</f>
        <v>Принтеры</v>
      </c>
      <c r="T411" t="str">
        <f>sales_data!I2552</f>
        <v>Printer MFP</v>
      </c>
      <c r="U411" t="str">
        <f>sales_data!J2552</f>
        <v>Опт</v>
      </c>
      <c r="V411">
        <f>sales_data!K2552</f>
        <v>24</v>
      </c>
      <c r="W411">
        <f>sales_data!L2552</f>
        <v>13000</v>
      </c>
      <c r="X411">
        <f>sales_data!M2552</f>
        <v>312000</v>
      </c>
      <c r="Y411" t="str">
        <f>sales_data!N2552</f>
        <v>Интернет-магазин</v>
      </c>
      <c r="Z411" t="str">
        <f>sales_data!O2552</f>
        <v>Доставлен</v>
      </c>
    </row>
    <row r="412" spans="12:26" x14ac:dyDescent="0.25">
      <c r="L412">
        <f>sales_data!A2555</f>
        <v>1701</v>
      </c>
      <c r="M412">
        <f>sales_data!B2555</f>
        <v>46010</v>
      </c>
      <c r="N412">
        <f>sales_data!C2555</f>
        <v>19</v>
      </c>
      <c r="O412" t="str">
        <f>sales_data!D2555</f>
        <v>Декабрь</v>
      </c>
      <c r="P412" t="str">
        <f>sales_data!E2555</f>
        <v>Павел</v>
      </c>
      <c r="Q412" t="str">
        <f>sales_data!F2555</f>
        <v>Краснодар</v>
      </c>
      <c r="R412" t="str">
        <f>sales_data!G2555</f>
        <v>Южный</v>
      </c>
      <c r="S412" t="str">
        <f>sales_data!H2555</f>
        <v>Принтеры</v>
      </c>
      <c r="T412" t="str">
        <f>sales_data!I2555</f>
        <v>Printer MFP</v>
      </c>
      <c r="U412" t="str">
        <f>sales_data!J2555</f>
        <v>Опт</v>
      </c>
      <c r="V412">
        <f>sales_data!K2555</f>
        <v>43</v>
      </c>
      <c r="W412">
        <f>sales_data!L2555</f>
        <v>13000</v>
      </c>
      <c r="X412">
        <f>sales_data!M2555</f>
        <v>559000</v>
      </c>
      <c r="Y412" t="str">
        <f>sales_data!N2555</f>
        <v>Интернет-магазин</v>
      </c>
      <c r="Z412" t="str">
        <f>sales_data!O2555</f>
        <v>Доставлен</v>
      </c>
    </row>
    <row r="413" spans="12:26" x14ac:dyDescent="0.25">
      <c r="L413">
        <f>sales_data!A2561</f>
        <v>2826</v>
      </c>
      <c r="M413">
        <f>sales_data!B2561</f>
        <v>45928</v>
      </c>
      <c r="N413">
        <f>sales_data!C2561</f>
        <v>28</v>
      </c>
      <c r="O413" t="str">
        <f>sales_data!D2561</f>
        <v>Сентябрь</v>
      </c>
      <c r="P413" t="str">
        <f>sales_data!E2561</f>
        <v>Елена</v>
      </c>
      <c r="Q413" t="str">
        <f>sales_data!F2561</f>
        <v>Воронеж</v>
      </c>
      <c r="R413" t="str">
        <f>sales_data!G2561</f>
        <v>Центральный</v>
      </c>
      <c r="S413" t="str">
        <f>sales_data!H2561</f>
        <v>Периферия</v>
      </c>
      <c r="T413" t="str">
        <f>sales_data!I2561</f>
        <v>Dock Station</v>
      </c>
      <c r="U413" t="str">
        <f>sales_data!J2561</f>
        <v>Розница</v>
      </c>
      <c r="V413">
        <f>sales_data!K2561</f>
        <v>5</v>
      </c>
      <c r="W413">
        <f>sales_data!L2561</f>
        <v>13000</v>
      </c>
      <c r="X413">
        <f>sales_data!M2561</f>
        <v>65000</v>
      </c>
      <c r="Y413" t="str">
        <f>sales_data!N2561</f>
        <v>Интернет-магазин</v>
      </c>
      <c r="Z413" t="str">
        <f>sales_data!O2561</f>
        <v>В пути</v>
      </c>
    </row>
    <row r="414" spans="12:26" x14ac:dyDescent="0.25">
      <c r="L414">
        <f>sales_data!A2563</f>
        <v>3663</v>
      </c>
      <c r="M414">
        <f>sales_data!B2563</f>
        <v>45671</v>
      </c>
      <c r="N414">
        <f>sales_data!C2563</f>
        <v>14</v>
      </c>
      <c r="O414" t="str">
        <f>sales_data!D2563</f>
        <v>Январь</v>
      </c>
      <c r="P414" t="str">
        <f>sales_data!E2563</f>
        <v>Владимир</v>
      </c>
      <c r="Q414" t="str">
        <f>sales_data!F2563</f>
        <v>Екатеринбург</v>
      </c>
      <c r="R414" t="str">
        <f>sales_data!G2563</f>
        <v>Уральский</v>
      </c>
      <c r="S414" t="str">
        <f>sales_data!H2563</f>
        <v>Принтеры</v>
      </c>
      <c r="T414" t="str">
        <f>sales_data!I2563</f>
        <v>Printer MFP</v>
      </c>
      <c r="U414" t="str">
        <f>sales_data!J2563</f>
        <v>Опт</v>
      </c>
      <c r="V414">
        <f>sales_data!K2563</f>
        <v>39</v>
      </c>
      <c r="W414">
        <f>sales_data!L2563</f>
        <v>13000</v>
      </c>
      <c r="X414">
        <f>sales_data!M2563</f>
        <v>507000</v>
      </c>
      <c r="Y414" t="str">
        <f>sales_data!N2563</f>
        <v>Офлайн-точка</v>
      </c>
      <c r="Z414" t="str">
        <f>sales_data!O2563</f>
        <v>Отменён</v>
      </c>
    </row>
    <row r="415" spans="12:26" x14ac:dyDescent="0.25">
      <c r="L415">
        <f>sales_data!A2564</f>
        <v>3743</v>
      </c>
      <c r="M415">
        <f>sales_data!B2564</f>
        <v>45682</v>
      </c>
      <c r="N415">
        <f>sales_data!C2564</f>
        <v>25</v>
      </c>
      <c r="O415" t="str">
        <f>sales_data!D2564</f>
        <v>Январь</v>
      </c>
      <c r="P415" t="str">
        <f>sales_data!E2564</f>
        <v>Ксения</v>
      </c>
      <c r="Q415" t="str">
        <f>sales_data!F2564</f>
        <v>Новосибирск</v>
      </c>
      <c r="R415" t="str">
        <f>sales_data!G2564</f>
        <v>Сибирский</v>
      </c>
      <c r="S415" t="str">
        <f>sales_data!H2564</f>
        <v>Принтеры</v>
      </c>
      <c r="T415" t="str">
        <f>sales_data!I2564</f>
        <v>Printer MFP</v>
      </c>
      <c r="U415" t="str">
        <f>sales_data!J2564</f>
        <v>Опт</v>
      </c>
      <c r="V415">
        <f>sales_data!K2564</f>
        <v>14</v>
      </c>
      <c r="W415">
        <f>sales_data!L2564</f>
        <v>13000</v>
      </c>
      <c r="X415">
        <f>sales_data!M2564</f>
        <v>182000</v>
      </c>
      <c r="Y415" t="str">
        <f>sales_data!N2564</f>
        <v>Интернет-магазин</v>
      </c>
      <c r="Z415" t="str">
        <f>sales_data!O2564</f>
        <v>Доставлен</v>
      </c>
    </row>
    <row r="416" spans="12:26" x14ac:dyDescent="0.25">
      <c r="L416">
        <f>sales_data!A2565</f>
        <v>3973</v>
      </c>
      <c r="M416">
        <f>sales_data!B2565</f>
        <v>45742</v>
      </c>
      <c r="N416">
        <f>sales_data!C2565</f>
        <v>26</v>
      </c>
      <c r="O416" t="str">
        <f>sales_data!D2565</f>
        <v>Март</v>
      </c>
      <c r="P416" t="str">
        <f>sales_data!E2565</f>
        <v>Анна</v>
      </c>
      <c r="Q416" t="str">
        <f>sales_data!F2565</f>
        <v>Воронеж</v>
      </c>
      <c r="R416" t="str">
        <f>sales_data!G2565</f>
        <v>Центральный</v>
      </c>
      <c r="S416" t="str">
        <f>sales_data!H2565</f>
        <v>Принтеры</v>
      </c>
      <c r="T416" t="str">
        <f>sales_data!I2565</f>
        <v>Printer MFP</v>
      </c>
      <c r="U416" t="str">
        <f>sales_data!J2565</f>
        <v>Опт</v>
      </c>
      <c r="V416">
        <f>sales_data!K2565</f>
        <v>24</v>
      </c>
      <c r="W416">
        <f>sales_data!L2565</f>
        <v>13000</v>
      </c>
      <c r="X416">
        <f>sales_data!M2565</f>
        <v>312000</v>
      </c>
      <c r="Y416" t="str">
        <f>sales_data!N2565</f>
        <v>Интернет-магазин</v>
      </c>
      <c r="Z416" t="str">
        <f>sales_data!O2565</f>
        <v>В пути</v>
      </c>
    </row>
    <row r="417" spans="12:26" x14ac:dyDescent="0.25">
      <c r="L417">
        <f>sales_data!A2571</f>
        <v>3652</v>
      </c>
      <c r="M417">
        <f>sales_data!B2571</f>
        <v>45899</v>
      </c>
      <c r="N417">
        <f>sales_data!C2571</f>
        <v>30</v>
      </c>
      <c r="O417" t="str">
        <f>sales_data!D2571</f>
        <v>Август</v>
      </c>
      <c r="P417" t="str">
        <f>sales_data!E2571</f>
        <v>Светлана</v>
      </c>
      <c r="Q417" t="str">
        <f>sales_data!F2571</f>
        <v>Омск</v>
      </c>
      <c r="R417" t="str">
        <f>sales_data!G2571</f>
        <v>Сибирский</v>
      </c>
      <c r="S417" t="str">
        <f>sales_data!H2571</f>
        <v>Принтеры</v>
      </c>
      <c r="T417" t="str">
        <f>sales_data!I2571</f>
        <v>Printer MFP</v>
      </c>
      <c r="U417" t="str">
        <f>sales_data!J2571</f>
        <v>Опт</v>
      </c>
      <c r="V417">
        <f>sales_data!K2571</f>
        <v>29</v>
      </c>
      <c r="W417">
        <f>sales_data!L2571</f>
        <v>13100</v>
      </c>
      <c r="X417">
        <f>sales_data!M2571</f>
        <v>379900</v>
      </c>
      <c r="Y417" t="str">
        <f>sales_data!N2571</f>
        <v>Интернет-магазин</v>
      </c>
      <c r="Z417" t="str">
        <f>sales_data!O2571</f>
        <v>Отменён</v>
      </c>
    </row>
    <row r="418" spans="12:26" x14ac:dyDescent="0.25">
      <c r="L418">
        <f>sales_data!A2575</f>
        <v>4801</v>
      </c>
      <c r="M418">
        <f>sales_data!B2575</f>
        <v>45834</v>
      </c>
      <c r="N418">
        <f>sales_data!C2575</f>
        <v>26</v>
      </c>
      <c r="O418" t="str">
        <f>sales_data!D2575</f>
        <v>Июнь</v>
      </c>
      <c r="P418" t="str">
        <f>sales_data!E2575</f>
        <v>Елена</v>
      </c>
      <c r="Q418" t="str">
        <f>sales_data!F2575</f>
        <v>Казань</v>
      </c>
      <c r="R418" t="str">
        <f>sales_data!G2575</f>
        <v>Приволжский</v>
      </c>
      <c r="S418" t="str">
        <f>sales_data!H2575</f>
        <v>Принтеры</v>
      </c>
      <c r="T418" t="str">
        <f>sales_data!I2575</f>
        <v>Printer MFP</v>
      </c>
      <c r="U418" t="str">
        <f>sales_data!J2575</f>
        <v>Опт</v>
      </c>
      <c r="V418">
        <f>sales_data!K2575</f>
        <v>9</v>
      </c>
      <c r="W418">
        <f>sales_data!L2575</f>
        <v>13100</v>
      </c>
      <c r="X418">
        <f>sales_data!M2575</f>
        <v>117900</v>
      </c>
      <c r="Y418" t="str">
        <f>sales_data!N2575</f>
        <v>Офлайн-точка</v>
      </c>
      <c r="Z418" t="str">
        <f>sales_data!O2575</f>
        <v>Отменён</v>
      </c>
    </row>
    <row r="419" spans="12:26" x14ac:dyDescent="0.25">
      <c r="L419">
        <f>sales_data!A2588</f>
        <v>4893</v>
      </c>
      <c r="M419">
        <f>sales_data!B2588</f>
        <v>45951</v>
      </c>
      <c r="N419">
        <f>sales_data!C2588</f>
        <v>21</v>
      </c>
      <c r="O419" t="str">
        <f>sales_data!D2588</f>
        <v>Октябрь</v>
      </c>
      <c r="P419" t="str">
        <f>sales_data!E2588</f>
        <v>Владимир</v>
      </c>
      <c r="Q419" t="str">
        <f>sales_data!F2588</f>
        <v>Омск</v>
      </c>
      <c r="R419" t="str">
        <f>sales_data!G2588</f>
        <v>Сибирский</v>
      </c>
      <c r="S419" t="str">
        <f>sales_data!H2588</f>
        <v>Мониторы</v>
      </c>
      <c r="T419" t="str">
        <f>sales_data!I2588</f>
        <v>Monitor 24</v>
      </c>
      <c r="U419" t="str">
        <f>sales_data!J2588</f>
        <v>Опт</v>
      </c>
      <c r="V419">
        <f>sales_data!K2588</f>
        <v>34</v>
      </c>
      <c r="W419">
        <f>sales_data!L2588</f>
        <v>13200</v>
      </c>
      <c r="X419">
        <f>sales_data!M2588</f>
        <v>448800</v>
      </c>
      <c r="Y419" t="str">
        <f>sales_data!N2588</f>
        <v>Интернет-магазин</v>
      </c>
      <c r="Z419" t="str">
        <f>sales_data!O2588</f>
        <v>В пути</v>
      </c>
    </row>
    <row r="420" spans="12:26" x14ac:dyDescent="0.25">
      <c r="L420">
        <f>sales_data!A2593</f>
        <v>3208</v>
      </c>
      <c r="M420">
        <f>sales_data!B2593</f>
        <v>45823</v>
      </c>
      <c r="N420">
        <f>sales_data!C2593</f>
        <v>15</v>
      </c>
      <c r="O420" t="str">
        <f>sales_data!D2593</f>
        <v>Июнь</v>
      </c>
      <c r="P420" t="str">
        <f>sales_data!E2593</f>
        <v>Алексей</v>
      </c>
      <c r="Q420" t="str">
        <f>sales_data!F2593</f>
        <v>Омск</v>
      </c>
      <c r="R420" t="str">
        <f>sales_data!G2593</f>
        <v>Сибирский</v>
      </c>
      <c r="S420" t="str">
        <f>sales_data!H2593</f>
        <v>Принтеры</v>
      </c>
      <c r="T420" t="str">
        <f>sales_data!I2593</f>
        <v>Printer MFP</v>
      </c>
      <c r="U420" t="str">
        <f>sales_data!J2593</f>
        <v>Опт</v>
      </c>
      <c r="V420">
        <f>sales_data!K2593</f>
        <v>30</v>
      </c>
      <c r="W420">
        <f>sales_data!L2593</f>
        <v>13300</v>
      </c>
      <c r="X420">
        <f>sales_data!M2593</f>
        <v>399000</v>
      </c>
      <c r="Y420" t="str">
        <f>sales_data!N2593</f>
        <v>Интернет-магазин</v>
      </c>
      <c r="Z420" t="str">
        <f>sales_data!O2593</f>
        <v>В пути</v>
      </c>
    </row>
    <row r="421" spans="12:26" x14ac:dyDescent="0.25">
      <c r="L421">
        <f>sales_data!A2616</f>
        <v>4003</v>
      </c>
      <c r="M421">
        <f>sales_data!B2616</f>
        <v>45816</v>
      </c>
      <c r="N421">
        <f>sales_data!C2616</f>
        <v>8</v>
      </c>
      <c r="O421" t="str">
        <f>sales_data!D2616</f>
        <v>Июнь</v>
      </c>
      <c r="P421" t="str">
        <f>sales_data!E2616</f>
        <v>Борис</v>
      </c>
      <c r="Q421" t="str">
        <f>sales_data!F2616</f>
        <v>Пермь</v>
      </c>
      <c r="R421" t="str">
        <f>sales_data!G2616</f>
        <v>Приволжский</v>
      </c>
      <c r="S421" t="str">
        <f>sales_data!H2616</f>
        <v>Мониторы</v>
      </c>
      <c r="T421" t="str">
        <f>sales_data!I2616</f>
        <v>Monitor 24</v>
      </c>
      <c r="U421" t="str">
        <f>sales_data!J2616</f>
        <v>Опт</v>
      </c>
      <c r="V421">
        <f>sales_data!K2616</f>
        <v>35</v>
      </c>
      <c r="W421">
        <f>sales_data!L2616</f>
        <v>13600</v>
      </c>
      <c r="X421">
        <f>sales_data!M2616</f>
        <v>476000</v>
      </c>
      <c r="Y421" t="str">
        <f>sales_data!N2616</f>
        <v>Офлайн-точка</v>
      </c>
      <c r="Z421" t="str">
        <f>sales_data!O2616</f>
        <v>Доставлен</v>
      </c>
    </row>
    <row r="422" spans="12:26" x14ac:dyDescent="0.25">
      <c r="L422">
        <f>sales_data!A2619</f>
        <v>2988</v>
      </c>
      <c r="M422">
        <f>sales_data!B2619</f>
        <v>45728</v>
      </c>
      <c r="N422">
        <f>sales_data!C2619</f>
        <v>12</v>
      </c>
      <c r="O422" t="str">
        <f>sales_data!D2619</f>
        <v>Март</v>
      </c>
      <c r="P422" t="str">
        <f>sales_data!E2619</f>
        <v>Игорь</v>
      </c>
      <c r="Q422" t="str">
        <f>sales_data!F2619</f>
        <v>Омск</v>
      </c>
      <c r="R422" t="str">
        <f>sales_data!G2619</f>
        <v>Сибирский</v>
      </c>
      <c r="S422" t="str">
        <f>sales_data!H2619</f>
        <v>Мониторы</v>
      </c>
      <c r="T422" t="str">
        <f>sales_data!I2619</f>
        <v>Monitor 24</v>
      </c>
      <c r="U422" t="str">
        <f>sales_data!J2619</f>
        <v>Опт</v>
      </c>
      <c r="V422">
        <f>sales_data!K2619</f>
        <v>37</v>
      </c>
      <c r="W422">
        <f>sales_data!L2619</f>
        <v>13700</v>
      </c>
      <c r="X422">
        <f>sales_data!M2619</f>
        <v>506900</v>
      </c>
      <c r="Y422" t="str">
        <f>sales_data!N2619</f>
        <v>Офлайн-точка</v>
      </c>
      <c r="Z422" t="str">
        <f>sales_data!O2619</f>
        <v>Отменён</v>
      </c>
    </row>
    <row r="423" spans="12:26" x14ac:dyDescent="0.25">
      <c r="L423">
        <f>sales_data!A2624</f>
        <v>1374</v>
      </c>
      <c r="M423">
        <f>sales_data!B2624</f>
        <v>45838</v>
      </c>
      <c r="N423">
        <f>sales_data!C2624</f>
        <v>30</v>
      </c>
      <c r="O423" t="str">
        <f>sales_data!D2624</f>
        <v>Июнь</v>
      </c>
      <c r="P423" t="str">
        <f>sales_data!E2624</f>
        <v>Владимир</v>
      </c>
      <c r="Q423" t="str">
        <f>sales_data!F2624</f>
        <v>Самара</v>
      </c>
      <c r="R423" t="str">
        <f>sales_data!G2624</f>
        <v>Приволжский</v>
      </c>
      <c r="S423" t="str">
        <f>sales_data!H2624</f>
        <v>Принтеры</v>
      </c>
      <c r="T423" t="str">
        <f>sales_data!I2624</f>
        <v>Printer MFP</v>
      </c>
      <c r="U423" t="str">
        <f>sales_data!J2624</f>
        <v>Розница</v>
      </c>
      <c r="V423">
        <f>sales_data!K2624</f>
        <v>3</v>
      </c>
      <c r="W423">
        <f>sales_data!L2624</f>
        <v>13800</v>
      </c>
      <c r="X423">
        <f>sales_data!M2624</f>
        <v>41400</v>
      </c>
      <c r="Y423" t="str">
        <f>sales_data!N2624</f>
        <v>Офлайн-точка</v>
      </c>
      <c r="Z423" t="str">
        <f>sales_data!O2624</f>
        <v>В пути</v>
      </c>
    </row>
    <row r="424" spans="12:26" x14ac:dyDescent="0.25">
      <c r="L424">
        <f>sales_data!A2626</f>
        <v>2304</v>
      </c>
      <c r="M424">
        <f>sales_data!B2626</f>
        <v>45808</v>
      </c>
      <c r="N424">
        <f>sales_data!C2626</f>
        <v>31</v>
      </c>
      <c r="O424" t="str">
        <f>sales_data!D2626</f>
        <v>Май</v>
      </c>
      <c r="P424" t="str">
        <f>sales_data!E2626</f>
        <v>Светлана</v>
      </c>
      <c r="Q424" t="str">
        <f>sales_data!F2626</f>
        <v>Ростов-на-Дону</v>
      </c>
      <c r="R424" t="str">
        <f>sales_data!G2626</f>
        <v>Южный</v>
      </c>
      <c r="S424" t="str">
        <f>sales_data!H2626</f>
        <v>Мониторы</v>
      </c>
      <c r="T424" t="str">
        <f>sales_data!I2626</f>
        <v>Monitor 24</v>
      </c>
      <c r="U424" t="str">
        <f>sales_data!J2626</f>
        <v>Опт</v>
      </c>
      <c r="V424">
        <f>sales_data!K2626</f>
        <v>30</v>
      </c>
      <c r="W424">
        <f>sales_data!L2626</f>
        <v>13800</v>
      </c>
      <c r="X424">
        <f>sales_data!M2626</f>
        <v>414000</v>
      </c>
      <c r="Y424" t="str">
        <f>sales_data!N2626</f>
        <v>Интернет-магазин</v>
      </c>
      <c r="Z424" t="str">
        <f>sales_data!O2626</f>
        <v>Доставлен</v>
      </c>
    </row>
    <row r="425" spans="12:26" x14ac:dyDescent="0.25">
      <c r="L425">
        <f>sales_data!A2627</f>
        <v>2774</v>
      </c>
      <c r="M425">
        <f>sales_data!B2627</f>
        <v>45782</v>
      </c>
      <c r="N425">
        <f>sales_data!C2627</f>
        <v>5</v>
      </c>
      <c r="O425" t="str">
        <f>sales_data!D2627</f>
        <v>Май</v>
      </c>
      <c r="P425" t="str">
        <f>sales_data!E2627</f>
        <v>Елена</v>
      </c>
      <c r="Q425" t="str">
        <f>sales_data!F2627</f>
        <v>Пермь</v>
      </c>
      <c r="R425" t="str">
        <f>sales_data!G2627</f>
        <v>Приволжский</v>
      </c>
      <c r="S425" t="str">
        <f>sales_data!H2627</f>
        <v>Принтеры</v>
      </c>
      <c r="T425" t="str">
        <f>sales_data!I2627</f>
        <v>Printer MFP</v>
      </c>
      <c r="U425" t="str">
        <f>sales_data!J2627</f>
        <v>Розница</v>
      </c>
      <c r="V425">
        <f>sales_data!K2627</f>
        <v>7</v>
      </c>
      <c r="W425">
        <f>sales_data!L2627</f>
        <v>13800</v>
      </c>
      <c r="X425">
        <f>sales_data!M2627</f>
        <v>96600</v>
      </c>
      <c r="Y425" t="str">
        <f>sales_data!N2627</f>
        <v>Интернет-магазин</v>
      </c>
      <c r="Z425" t="str">
        <f>sales_data!O2627</f>
        <v>В пути</v>
      </c>
    </row>
    <row r="426" spans="12:26" x14ac:dyDescent="0.25">
      <c r="L426">
        <f>sales_data!A2628</f>
        <v>3490</v>
      </c>
      <c r="M426">
        <f>sales_data!B2628</f>
        <v>45952</v>
      </c>
      <c r="N426">
        <f>sales_data!C2628</f>
        <v>22</v>
      </c>
      <c r="O426" t="str">
        <f>sales_data!D2628</f>
        <v>Октябрь</v>
      </c>
      <c r="P426" t="str">
        <f>sales_data!E2628</f>
        <v>Борис</v>
      </c>
      <c r="Q426" t="str">
        <f>sales_data!F2628</f>
        <v>Екатеринбург</v>
      </c>
      <c r="R426" t="str">
        <f>sales_data!G2628</f>
        <v>Уральский</v>
      </c>
      <c r="S426" t="str">
        <f>sales_data!H2628</f>
        <v>Принтеры</v>
      </c>
      <c r="T426" t="str">
        <f>sales_data!I2628</f>
        <v>Printer MFP</v>
      </c>
      <c r="U426" t="str">
        <f>sales_data!J2628</f>
        <v>Розница</v>
      </c>
      <c r="V426">
        <f>sales_data!K2628</f>
        <v>3</v>
      </c>
      <c r="W426">
        <f>sales_data!L2628</f>
        <v>13800</v>
      </c>
      <c r="X426">
        <f>sales_data!M2628</f>
        <v>41400</v>
      </c>
      <c r="Y426" t="str">
        <f>sales_data!N2628</f>
        <v>Интернет-магазин</v>
      </c>
      <c r="Z426" t="str">
        <f>sales_data!O2628</f>
        <v>Доставлен</v>
      </c>
    </row>
    <row r="427" spans="12:26" x14ac:dyDescent="0.25">
      <c r="L427">
        <f>sales_data!A2634</f>
        <v>1439</v>
      </c>
      <c r="M427">
        <f>sales_data!B2634</f>
        <v>45819</v>
      </c>
      <c r="N427">
        <f>sales_data!C2634</f>
        <v>11</v>
      </c>
      <c r="O427" t="str">
        <f>sales_data!D2634</f>
        <v>Июнь</v>
      </c>
      <c r="P427" t="str">
        <f>sales_data!E2634</f>
        <v>Татьяна</v>
      </c>
      <c r="Q427" t="str">
        <f>sales_data!F2634</f>
        <v>Санкт-Петербург</v>
      </c>
      <c r="R427" t="str">
        <f>sales_data!G2634</f>
        <v>Северо-Западный</v>
      </c>
      <c r="S427" t="str">
        <f>sales_data!H2634</f>
        <v>Мониторы</v>
      </c>
      <c r="T427" t="str">
        <f>sales_data!I2634</f>
        <v>Monitor 24</v>
      </c>
      <c r="U427" t="str">
        <f>sales_data!J2634</f>
        <v>Опт</v>
      </c>
      <c r="V427">
        <f>sales_data!K2634</f>
        <v>34</v>
      </c>
      <c r="W427">
        <f>sales_data!L2634</f>
        <v>13900</v>
      </c>
      <c r="X427">
        <f>sales_data!M2634</f>
        <v>472600</v>
      </c>
      <c r="Y427" t="str">
        <f>sales_data!N2634</f>
        <v>Интернет-магазин</v>
      </c>
      <c r="Z427" t="str">
        <f>sales_data!O2634</f>
        <v>Доставлен</v>
      </c>
    </row>
    <row r="428" spans="12:26" x14ac:dyDescent="0.25">
      <c r="L428">
        <f>sales_data!A2636</f>
        <v>4523</v>
      </c>
      <c r="M428">
        <f>sales_data!B2636</f>
        <v>45817</v>
      </c>
      <c r="N428">
        <f>sales_data!C2636</f>
        <v>9</v>
      </c>
      <c r="O428" t="str">
        <f>sales_data!D2636</f>
        <v>Июнь</v>
      </c>
      <c r="P428" t="str">
        <f>sales_data!E2636</f>
        <v>Елена</v>
      </c>
      <c r="Q428" t="str">
        <f>sales_data!F2636</f>
        <v>Уфа</v>
      </c>
      <c r="R428" t="str">
        <f>sales_data!G2636</f>
        <v>Приволжский</v>
      </c>
      <c r="S428" t="str">
        <f>sales_data!H2636</f>
        <v>Мониторы</v>
      </c>
      <c r="T428" t="str">
        <f>sales_data!I2636</f>
        <v>Monitor 24</v>
      </c>
      <c r="U428" t="str">
        <f>sales_data!J2636</f>
        <v>Опт</v>
      </c>
      <c r="V428">
        <f>sales_data!K2636</f>
        <v>17</v>
      </c>
      <c r="W428">
        <f>sales_data!L2636</f>
        <v>13900</v>
      </c>
      <c r="X428">
        <f>sales_data!M2636</f>
        <v>236300</v>
      </c>
      <c r="Y428" t="str">
        <f>sales_data!N2636</f>
        <v>Офлайн-точка</v>
      </c>
      <c r="Z428" t="str">
        <f>sales_data!O2636</f>
        <v>Доставлен</v>
      </c>
    </row>
    <row r="429" spans="12:26" x14ac:dyDescent="0.25">
      <c r="L429">
        <f>sales_data!A2637</f>
        <v>4543</v>
      </c>
      <c r="M429">
        <f>sales_data!B2637</f>
        <v>45665</v>
      </c>
      <c r="N429">
        <f>sales_data!C2637</f>
        <v>8</v>
      </c>
      <c r="O429" t="str">
        <f>sales_data!D2637</f>
        <v>Январь</v>
      </c>
      <c r="P429" t="str">
        <f>sales_data!E2637</f>
        <v>Елена</v>
      </c>
      <c r="Q429" t="str">
        <f>sales_data!F2637</f>
        <v>Челябинск</v>
      </c>
      <c r="R429" t="str">
        <f>sales_data!G2637</f>
        <v>Уральский</v>
      </c>
      <c r="S429" t="str">
        <f>sales_data!H2637</f>
        <v>Мониторы</v>
      </c>
      <c r="T429" t="str">
        <f>sales_data!I2637</f>
        <v>Monitor 27</v>
      </c>
      <c r="U429" t="str">
        <f>sales_data!J2637</f>
        <v>Опт</v>
      </c>
      <c r="V429">
        <f>sales_data!K2637</f>
        <v>38</v>
      </c>
      <c r="W429">
        <f>sales_data!L2637</f>
        <v>13900</v>
      </c>
      <c r="X429">
        <f>sales_data!M2637</f>
        <v>528200</v>
      </c>
      <c r="Y429" t="str">
        <f>sales_data!N2637</f>
        <v>Интернет-магазин</v>
      </c>
      <c r="Z429" t="str">
        <f>sales_data!O2637</f>
        <v>В пути</v>
      </c>
    </row>
    <row r="430" spans="12:26" x14ac:dyDescent="0.25">
      <c r="L430">
        <f>sales_data!A2638</f>
        <v>780</v>
      </c>
      <c r="M430">
        <f>sales_data!B2638</f>
        <v>45853</v>
      </c>
      <c r="N430">
        <f>sales_data!C2638</f>
        <v>15</v>
      </c>
      <c r="O430" t="str">
        <f>sales_data!D2638</f>
        <v>Июль</v>
      </c>
      <c r="P430" t="str">
        <f>sales_data!E2638</f>
        <v>Ольга</v>
      </c>
      <c r="Q430" t="str">
        <f>sales_data!F2638</f>
        <v>Самара</v>
      </c>
      <c r="R430" t="str">
        <f>sales_data!G2638</f>
        <v>Приволжский</v>
      </c>
      <c r="S430" t="str">
        <f>sales_data!H2638</f>
        <v>Мониторы</v>
      </c>
      <c r="T430" t="str">
        <f>sales_data!I2638</f>
        <v>Monitor 24</v>
      </c>
      <c r="U430" t="str">
        <f>sales_data!J2638</f>
        <v>Опт</v>
      </c>
      <c r="V430">
        <f>sales_data!K2638</f>
        <v>13</v>
      </c>
      <c r="W430">
        <f>sales_data!L2638</f>
        <v>14000</v>
      </c>
      <c r="X430">
        <f>sales_data!M2638</f>
        <v>182000</v>
      </c>
      <c r="Y430" t="str">
        <f>sales_data!N2638</f>
        <v>Интернет-магазин</v>
      </c>
      <c r="Z430" t="str">
        <f>sales_data!O2638</f>
        <v>Отменён</v>
      </c>
    </row>
    <row r="431" spans="12:26" x14ac:dyDescent="0.25">
      <c r="L431">
        <f>sales_data!A2648</f>
        <v>4213</v>
      </c>
      <c r="M431">
        <f>sales_data!B2648</f>
        <v>45670</v>
      </c>
      <c r="N431">
        <f>sales_data!C2648</f>
        <v>13</v>
      </c>
      <c r="O431" t="str">
        <f>sales_data!D2648</f>
        <v>Январь</v>
      </c>
      <c r="P431" t="str">
        <f>sales_data!E2648</f>
        <v>Павел</v>
      </c>
      <c r="Q431" t="str">
        <f>sales_data!F2648</f>
        <v>Санкт-Петербург</v>
      </c>
      <c r="R431" t="str">
        <f>sales_data!G2648</f>
        <v>Северо-Западный</v>
      </c>
      <c r="S431" t="str">
        <f>sales_data!H2648</f>
        <v>Мониторы</v>
      </c>
      <c r="T431" t="str">
        <f>sales_data!I2648</f>
        <v>Monitor 24</v>
      </c>
      <c r="U431" t="str">
        <f>sales_data!J2648</f>
        <v>Опт</v>
      </c>
      <c r="V431">
        <f>sales_data!K2648</f>
        <v>7</v>
      </c>
      <c r="W431">
        <f>sales_data!L2648</f>
        <v>14100</v>
      </c>
      <c r="X431">
        <f>sales_data!M2648</f>
        <v>98700</v>
      </c>
      <c r="Y431" t="str">
        <f>sales_data!N2648</f>
        <v>Интернет-магазин</v>
      </c>
      <c r="Z431" t="str">
        <f>sales_data!O2648</f>
        <v>Отменён</v>
      </c>
    </row>
    <row r="432" spans="12:26" x14ac:dyDescent="0.25">
      <c r="L432">
        <f>sales_data!A2653</f>
        <v>541</v>
      </c>
      <c r="M432">
        <f>sales_data!B2653</f>
        <v>45800</v>
      </c>
      <c r="N432">
        <f>sales_data!C2653</f>
        <v>23</v>
      </c>
      <c r="O432" t="str">
        <f>sales_data!D2653</f>
        <v>Май</v>
      </c>
      <c r="P432" t="str">
        <f>sales_data!E2653</f>
        <v>Мария</v>
      </c>
      <c r="Q432" t="str">
        <f>sales_data!F2653</f>
        <v>Екатеринбург</v>
      </c>
      <c r="R432" t="str">
        <f>sales_data!G2653</f>
        <v>Уральский</v>
      </c>
      <c r="S432" t="str">
        <f>sales_data!H2653</f>
        <v>Мониторы</v>
      </c>
      <c r="T432" t="str">
        <f>sales_data!I2653</f>
        <v>Monitor 24</v>
      </c>
      <c r="U432" t="str">
        <f>sales_data!J2653</f>
        <v>Опт</v>
      </c>
      <c r="V432">
        <f>sales_data!K2653</f>
        <v>5</v>
      </c>
      <c r="W432">
        <f>sales_data!L2653</f>
        <v>14200</v>
      </c>
      <c r="X432">
        <f>sales_data!M2653</f>
        <v>71000</v>
      </c>
      <c r="Y432" t="str">
        <f>sales_data!N2653</f>
        <v>Офлайн-точка</v>
      </c>
      <c r="Z432" t="str">
        <f>sales_data!O2653</f>
        <v>В пути</v>
      </c>
    </row>
    <row r="433" spans="12:26" x14ac:dyDescent="0.25">
      <c r="L433">
        <f>sales_data!A2668</f>
        <v>2035</v>
      </c>
      <c r="M433">
        <f>sales_data!B2668</f>
        <v>45784</v>
      </c>
      <c r="N433">
        <f>sales_data!C2668</f>
        <v>7</v>
      </c>
      <c r="O433" t="str">
        <f>sales_data!D2668</f>
        <v>Май</v>
      </c>
      <c r="P433" t="str">
        <f>sales_data!E2668</f>
        <v>Владимир</v>
      </c>
      <c r="Q433" t="str">
        <f>sales_data!F2668</f>
        <v>Нижний Новгород</v>
      </c>
      <c r="R433" t="str">
        <f>sales_data!G2668</f>
        <v>Приволжский</v>
      </c>
      <c r="S433" t="str">
        <f>sales_data!H2668</f>
        <v>Мониторы</v>
      </c>
      <c r="T433" t="str">
        <f>sales_data!I2668</f>
        <v>Monitor 24</v>
      </c>
      <c r="U433" t="str">
        <f>sales_data!J2668</f>
        <v>Опт</v>
      </c>
      <c r="V433">
        <f>sales_data!K2668</f>
        <v>44</v>
      </c>
      <c r="W433">
        <f>sales_data!L2668</f>
        <v>14300</v>
      </c>
      <c r="X433">
        <f>sales_data!M2668</f>
        <v>629200</v>
      </c>
      <c r="Y433" t="str">
        <f>sales_data!N2668</f>
        <v>Интернет-магазин</v>
      </c>
      <c r="Z433" t="str">
        <f>sales_data!O2668</f>
        <v>Доставлен</v>
      </c>
    </row>
    <row r="434" spans="12:26" x14ac:dyDescent="0.25">
      <c r="L434">
        <f>sales_data!A2682</f>
        <v>3227</v>
      </c>
      <c r="M434">
        <f>sales_data!B2682</f>
        <v>45685</v>
      </c>
      <c r="N434">
        <f>sales_data!C2682</f>
        <v>28</v>
      </c>
      <c r="O434" t="str">
        <f>sales_data!D2682</f>
        <v>Январь</v>
      </c>
      <c r="P434" t="str">
        <f>sales_data!E2682</f>
        <v>Светлана</v>
      </c>
      <c r="Q434" t="str">
        <f>sales_data!F2682</f>
        <v>Воронеж</v>
      </c>
      <c r="R434" t="str">
        <f>sales_data!G2682</f>
        <v>Центральный</v>
      </c>
      <c r="S434" t="str">
        <f>sales_data!H2682</f>
        <v>Принтеры</v>
      </c>
      <c r="T434" t="str">
        <f>sales_data!I2682</f>
        <v>Printer MFP</v>
      </c>
      <c r="U434" t="str">
        <f>sales_data!J2682</f>
        <v>Розница</v>
      </c>
      <c r="V434">
        <f>sales_data!K2682</f>
        <v>7</v>
      </c>
      <c r="W434">
        <f>sales_data!L2682</f>
        <v>14400</v>
      </c>
      <c r="X434">
        <f>sales_data!M2682</f>
        <v>100800</v>
      </c>
      <c r="Y434" t="str">
        <f>sales_data!N2682</f>
        <v>Офлайн-точка</v>
      </c>
      <c r="Z434" t="str">
        <f>sales_data!O2682</f>
        <v>В пути</v>
      </c>
    </row>
    <row r="435" spans="12:26" x14ac:dyDescent="0.25">
      <c r="L435">
        <f>sales_data!A2691</f>
        <v>2284</v>
      </c>
      <c r="M435">
        <f>sales_data!B2691</f>
        <v>45865</v>
      </c>
      <c r="N435">
        <f>sales_data!C2691</f>
        <v>27</v>
      </c>
      <c r="O435" t="str">
        <f>sales_data!D2691</f>
        <v>Июль</v>
      </c>
      <c r="P435" t="str">
        <f>sales_data!E2691</f>
        <v>Мария</v>
      </c>
      <c r="Q435" t="str">
        <f>sales_data!F2691</f>
        <v>Красноярск</v>
      </c>
      <c r="R435" t="str">
        <f>sales_data!G2691</f>
        <v>Сибирский</v>
      </c>
      <c r="S435" t="str">
        <f>sales_data!H2691</f>
        <v>Мониторы</v>
      </c>
      <c r="T435" t="str">
        <f>sales_data!I2691</f>
        <v>Monitor 27</v>
      </c>
      <c r="U435" t="str">
        <f>sales_data!J2691</f>
        <v>Опт</v>
      </c>
      <c r="V435">
        <f>sales_data!K2691</f>
        <v>5</v>
      </c>
      <c r="W435">
        <f>sales_data!L2691</f>
        <v>14500</v>
      </c>
      <c r="X435">
        <f>sales_data!M2691</f>
        <v>72500</v>
      </c>
      <c r="Y435" t="str">
        <f>sales_data!N2691</f>
        <v>Офлайн-точка</v>
      </c>
      <c r="Z435" t="str">
        <f>sales_data!O2691</f>
        <v>Отменён</v>
      </c>
    </row>
    <row r="436" spans="12:26" x14ac:dyDescent="0.25">
      <c r="L436">
        <f>sales_data!A2697</f>
        <v>4840</v>
      </c>
      <c r="M436">
        <f>sales_data!B2697</f>
        <v>45874</v>
      </c>
      <c r="N436">
        <f>sales_data!C2697</f>
        <v>5</v>
      </c>
      <c r="O436" t="str">
        <f>sales_data!D2697</f>
        <v>Август</v>
      </c>
      <c r="P436" t="str">
        <f>sales_data!E2697</f>
        <v>Павел</v>
      </c>
      <c r="Q436" t="str">
        <f>sales_data!F2697</f>
        <v>Уфа</v>
      </c>
      <c r="R436" t="str">
        <f>sales_data!G2697</f>
        <v>Приволжский</v>
      </c>
      <c r="S436" t="str">
        <f>sales_data!H2697</f>
        <v>Принтеры</v>
      </c>
      <c r="T436" t="str">
        <f>sales_data!I2697</f>
        <v>Printer MFP</v>
      </c>
      <c r="U436" t="str">
        <f>sales_data!J2697</f>
        <v>Розница</v>
      </c>
      <c r="V436">
        <f>sales_data!K2697</f>
        <v>4</v>
      </c>
      <c r="W436">
        <f>sales_data!L2697</f>
        <v>14500</v>
      </c>
      <c r="X436">
        <f>sales_data!M2697</f>
        <v>58000</v>
      </c>
      <c r="Y436" t="str">
        <f>sales_data!N2697</f>
        <v>Офлайн-точка</v>
      </c>
      <c r="Z436" t="str">
        <f>sales_data!O2697</f>
        <v>В пути</v>
      </c>
    </row>
    <row r="437" spans="12:26" x14ac:dyDescent="0.25">
      <c r="L437">
        <f>sales_data!A2703</f>
        <v>3029</v>
      </c>
      <c r="M437">
        <f>sales_data!B2703</f>
        <v>45705</v>
      </c>
      <c r="N437">
        <f>sales_data!C2703</f>
        <v>17</v>
      </c>
      <c r="O437" t="str">
        <f>sales_data!D2703</f>
        <v>Февраль</v>
      </c>
      <c r="P437" t="str">
        <f>sales_data!E2703</f>
        <v>Сергей</v>
      </c>
      <c r="Q437" t="str">
        <f>sales_data!F2703</f>
        <v>Новосибирск</v>
      </c>
      <c r="R437" t="str">
        <f>sales_data!G2703</f>
        <v>Сибирский</v>
      </c>
      <c r="S437" t="str">
        <f>sales_data!H2703</f>
        <v>Принтеры</v>
      </c>
      <c r="T437" t="str">
        <f>sales_data!I2703</f>
        <v>Printer MFP</v>
      </c>
      <c r="U437" t="str">
        <f>sales_data!J2703</f>
        <v>Розница</v>
      </c>
      <c r="V437">
        <f>sales_data!K2703</f>
        <v>10</v>
      </c>
      <c r="W437">
        <f>sales_data!L2703</f>
        <v>14600</v>
      </c>
      <c r="X437">
        <f>sales_data!M2703</f>
        <v>146000</v>
      </c>
      <c r="Y437" t="str">
        <f>sales_data!N2703</f>
        <v>Интернет-магазин</v>
      </c>
      <c r="Z437" t="str">
        <f>sales_data!O2703</f>
        <v>Доставлен</v>
      </c>
    </row>
    <row r="438" spans="12:26" x14ac:dyDescent="0.25">
      <c r="L438">
        <f>sales_data!A2705</f>
        <v>4001</v>
      </c>
      <c r="M438">
        <f>sales_data!B2705</f>
        <v>45708</v>
      </c>
      <c r="N438">
        <f>sales_data!C2705</f>
        <v>20</v>
      </c>
      <c r="O438" t="str">
        <f>sales_data!D2705</f>
        <v>Февраль</v>
      </c>
      <c r="P438" t="str">
        <f>sales_data!E2705</f>
        <v>Ксения</v>
      </c>
      <c r="Q438" t="str">
        <f>sales_data!F2705</f>
        <v>Новосибирск</v>
      </c>
      <c r="R438" t="str">
        <f>sales_data!G2705</f>
        <v>Сибирский</v>
      </c>
      <c r="S438" t="str">
        <f>sales_data!H2705</f>
        <v>Мониторы</v>
      </c>
      <c r="T438" t="str">
        <f>sales_data!I2705</f>
        <v>Monitor 27</v>
      </c>
      <c r="U438" t="str">
        <f>sales_data!J2705</f>
        <v>Опт</v>
      </c>
      <c r="V438">
        <f>sales_data!K2705</f>
        <v>19</v>
      </c>
      <c r="W438">
        <f>sales_data!L2705</f>
        <v>14600</v>
      </c>
      <c r="X438">
        <f>sales_data!M2705</f>
        <v>277400</v>
      </c>
      <c r="Y438" t="str">
        <f>sales_data!N2705</f>
        <v>Офлайн-точка</v>
      </c>
      <c r="Z438" t="str">
        <f>sales_data!O2705</f>
        <v>В пути</v>
      </c>
    </row>
    <row r="439" spans="12:26" x14ac:dyDescent="0.25">
      <c r="L439">
        <f>sales_data!A2715</f>
        <v>3026</v>
      </c>
      <c r="M439">
        <f>sales_data!B2715</f>
        <v>45828</v>
      </c>
      <c r="N439">
        <f>sales_data!C2715</f>
        <v>20</v>
      </c>
      <c r="O439" t="str">
        <f>sales_data!D2715</f>
        <v>Июнь</v>
      </c>
      <c r="P439" t="str">
        <f>sales_data!E2715</f>
        <v>Наталья</v>
      </c>
      <c r="Q439" t="str">
        <f>sales_data!F2715</f>
        <v>Омск</v>
      </c>
      <c r="R439" t="str">
        <f>sales_data!G2715</f>
        <v>Сибирский</v>
      </c>
      <c r="S439" t="str">
        <f>sales_data!H2715</f>
        <v>Принтеры</v>
      </c>
      <c r="T439" t="str">
        <f>sales_data!I2715</f>
        <v>Printer MFP</v>
      </c>
      <c r="U439" t="str">
        <f>sales_data!J2715</f>
        <v>Розница</v>
      </c>
      <c r="V439">
        <f>sales_data!K2715</f>
        <v>1</v>
      </c>
      <c r="W439">
        <f>sales_data!L2715</f>
        <v>14700</v>
      </c>
      <c r="X439">
        <f>sales_data!M2715</f>
        <v>14700</v>
      </c>
      <c r="Y439" t="str">
        <f>sales_data!N2715</f>
        <v>Интернет-магазин</v>
      </c>
      <c r="Z439" t="str">
        <f>sales_data!O2715</f>
        <v>Доставлен</v>
      </c>
    </row>
    <row r="440" spans="12:26" x14ac:dyDescent="0.25">
      <c r="L440">
        <f>sales_data!A2717</f>
        <v>4077</v>
      </c>
      <c r="M440">
        <f>sales_data!B2717</f>
        <v>45773</v>
      </c>
      <c r="N440">
        <f>sales_data!C2717</f>
        <v>26</v>
      </c>
      <c r="O440" t="str">
        <f>sales_data!D2717</f>
        <v>Апрель</v>
      </c>
      <c r="P440" t="str">
        <f>sales_data!E2717</f>
        <v>Ольга</v>
      </c>
      <c r="Q440" t="str">
        <f>sales_data!F2717</f>
        <v>Москва</v>
      </c>
      <c r="R440" t="str">
        <f>sales_data!G2717</f>
        <v>Центральный</v>
      </c>
      <c r="S440" t="str">
        <f>sales_data!H2717</f>
        <v>Принтеры</v>
      </c>
      <c r="T440" t="str">
        <f>sales_data!I2717</f>
        <v>Printer MFP</v>
      </c>
      <c r="U440" t="str">
        <f>sales_data!J2717</f>
        <v>Розница</v>
      </c>
      <c r="V440">
        <f>sales_data!K2717</f>
        <v>1</v>
      </c>
      <c r="W440">
        <f>sales_data!L2717</f>
        <v>14700</v>
      </c>
      <c r="X440">
        <f>sales_data!M2717</f>
        <v>14700</v>
      </c>
      <c r="Y440" t="str">
        <f>sales_data!N2717</f>
        <v>Офлайн-точка</v>
      </c>
      <c r="Z440" t="str">
        <f>sales_data!O2717</f>
        <v>В пути</v>
      </c>
    </row>
    <row r="441" spans="12:26" x14ac:dyDescent="0.25">
      <c r="L441">
        <f>sales_data!A2722</f>
        <v>310</v>
      </c>
      <c r="M441">
        <f>sales_data!B2722</f>
        <v>45957</v>
      </c>
      <c r="N441">
        <f>sales_data!C2722</f>
        <v>27</v>
      </c>
      <c r="O441" t="str">
        <f>sales_data!D2722</f>
        <v>Октябрь</v>
      </c>
      <c r="P441" t="str">
        <f>sales_data!E2722</f>
        <v>Сергей</v>
      </c>
      <c r="Q441" t="str">
        <f>sales_data!F2722</f>
        <v>Уфа</v>
      </c>
      <c r="R441" t="str">
        <f>sales_data!G2722</f>
        <v>Приволжский</v>
      </c>
      <c r="S441" t="str">
        <f>sales_data!H2722</f>
        <v>Принтеры</v>
      </c>
      <c r="T441" t="str">
        <f>sales_data!I2722</f>
        <v>Printer MFP</v>
      </c>
      <c r="U441" t="str">
        <f>sales_data!J2722</f>
        <v>Розница</v>
      </c>
      <c r="V441">
        <f>sales_data!K2722</f>
        <v>4</v>
      </c>
      <c r="W441">
        <f>sales_data!L2722</f>
        <v>14800</v>
      </c>
      <c r="X441">
        <f>sales_data!M2722</f>
        <v>59200</v>
      </c>
      <c r="Y441" t="str">
        <f>sales_data!N2722</f>
        <v>Офлайн-точка</v>
      </c>
      <c r="Z441" t="str">
        <f>sales_data!O2722</f>
        <v>Доставлен</v>
      </c>
    </row>
    <row r="442" spans="12:26" x14ac:dyDescent="0.25">
      <c r="L442">
        <f>sales_data!A2726</f>
        <v>2835</v>
      </c>
      <c r="M442">
        <f>sales_data!B2726</f>
        <v>45722</v>
      </c>
      <c r="N442">
        <f>sales_data!C2726</f>
        <v>6</v>
      </c>
      <c r="O442" t="str">
        <f>sales_data!D2726</f>
        <v>Март</v>
      </c>
      <c r="P442" t="str">
        <f>sales_data!E2726</f>
        <v>Владимир</v>
      </c>
      <c r="Q442" t="str">
        <f>sales_data!F2726</f>
        <v>Омск</v>
      </c>
      <c r="R442" t="str">
        <f>sales_data!G2726</f>
        <v>Сибирский</v>
      </c>
      <c r="S442" t="str">
        <f>sales_data!H2726</f>
        <v>Принтеры</v>
      </c>
      <c r="T442" t="str">
        <f>sales_data!I2726</f>
        <v>Printer MFP</v>
      </c>
      <c r="U442" t="str">
        <f>sales_data!J2726</f>
        <v>Розница</v>
      </c>
      <c r="V442">
        <f>sales_data!K2726</f>
        <v>6</v>
      </c>
      <c r="W442">
        <f>sales_data!L2726</f>
        <v>14800</v>
      </c>
      <c r="X442">
        <f>sales_data!M2726</f>
        <v>88800</v>
      </c>
      <c r="Y442" t="str">
        <f>sales_data!N2726</f>
        <v>Офлайн-точка</v>
      </c>
      <c r="Z442" t="str">
        <f>sales_data!O2726</f>
        <v>Доставлен</v>
      </c>
    </row>
    <row r="443" spans="12:26" x14ac:dyDescent="0.25">
      <c r="L443">
        <f>sales_data!A2730</f>
        <v>3053</v>
      </c>
      <c r="M443">
        <f>sales_data!B2730</f>
        <v>45757</v>
      </c>
      <c r="N443">
        <f>sales_data!C2730</f>
        <v>10</v>
      </c>
      <c r="O443" t="str">
        <f>sales_data!D2730</f>
        <v>Апрель</v>
      </c>
      <c r="P443" t="str">
        <f>sales_data!E2730</f>
        <v>Светлана</v>
      </c>
      <c r="Q443" t="str">
        <f>sales_data!F2730</f>
        <v>Санкт-Петербург</v>
      </c>
      <c r="R443" t="str">
        <f>sales_data!G2730</f>
        <v>Северо-Западный</v>
      </c>
      <c r="S443" t="str">
        <f>sales_data!H2730</f>
        <v>Принтеры</v>
      </c>
      <c r="T443" t="str">
        <f>sales_data!I2730</f>
        <v>Printer MFP</v>
      </c>
      <c r="U443" t="str">
        <f>sales_data!J2730</f>
        <v>Розница</v>
      </c>
      <c r="V443">
        <f>sales_data!K2730</f>
        <v>1</v>
      </c>
      <c r="W443">
        <f>sales_data!L2730</f>
        <v>14800</v>
      </c>
      <c r="X443">
        <f>sales_data!M2730</f>
        <v>14800</v>
      </c>
      <c r="Y443" t="str">
        <f>sales_data!N2730</f>
        <v>Интернет-магазин</v>
      </c>
      <c r="Z443" t="str">
        <f>sales_data!O2730</f>
        <v>Отменён</v>
      </c>
    </row>
    <row r="444" spans="12:26" x14ac:dyDescent="0.25">
      <c r="L444">
        <f>sales_data!A2732</f>
        <v>3258</v>
      </c>
      <c r="M444">
        <f>sales_data!B2732</f>
        <v>45971</v>
      </c>
      <c r="N444">
        <f>sales_data!C2732</f>
        <v>10</v>
      </c>
      <c r="O444" t="str">
        <f>sales_data!D2732</f>
        <v>Ноябрь</v>
      </c>
      <c r="P444" t="str">
        <f>sales_data!E2732</f>
        <v>Алексей</v>
      </c>
      <c r="Q444" t="str">
        <f>sales_data!F2732</f>
        <v>Самара</v>
      </c>
      <c r="R444" t="str">
        <f>sales_data!G2732</f>
        <v>Приволжский</v>
      </c>
      <c r="S444" t="str">
        <f>sales_data!H2732</f>
        <v>Мониторы</v>
      </c>
      <c r="T444" t="str">
        <f>sales_data!I2732</f>
        <v>Monitor 27</v>
      </c>
      <c r="U444" t="str">
        <f>sales_data!J2732</f>
        <v>Опт</v>
      </c>
      <c r="V444">
        <f>sales_data!K2732</f>
        <v>9</v>
      </c>
      <c r="W444">
        <f>sales_data!L2732</f>
        <v>14800</v>
      </c>
      <c r="X444">
        <f>sales_data!M2732</f>
        <v>133200</v>
      </c>
      <c r="Y444" t="str">
        <f>sales_data!N2732</f>
        <v>Интернет-магазин</v>
      </c>
      <c r="Z444" t="str">
        <f>sales_data!O2732</f>
        <v>В пути</v>
      </c>
    </row>
    <row r="445" spans="12:26" x14ac:dyDescent="0.25">
      <c r="L445">
        <f>sales_data!A2747</f>
        <v>3758</v>
      </c>
      <c r="M445">
        <f>sales_data!B2747</f>
        <v>45783</v>
      </c>
      <c r="N445">
        <f>sales_data!C2747</f>
        <v>6</v>
      </c>
      <c r="O445" t="str">
        <f>sales_data!D2747</f>
        <v>Май</v>
      </c>
      <c r="P445" t="str">
        <f>sales_data!E2747</f>
        <v>Игорь</v>
      </c>
      <c r="Q445" t="str">
        <f>sales_data!F2747</f>
        <v>Казань</v>
      </c>
      <c r="R445" t="str">
        <f>sales_data!G2747</f>
        <v>Приволжский</v>
      </c>
      <c r="S445" t="str">
        <f>sales_data!H2747</f>
        <v>Мониторы</v>
      </c>
      <c r="T445" t="str">
        <f>sales_data!I2747</f>
        <v>Monitor 24</v>
      </c>
      <c r="U445" t="str">
        <f>sales_data!J2747</f>
        <v>Опт</v>
      </c>
      <c r="V445">
        <f>sales_data!K2747</f>
        <v>32</v>
      </c>
      <c r="W445">
        <f>sales_data!L2747</f>
        <v>15000</v>
      </c>
      <c r="X445">
        <f>sales_data!M2747</f>
        <v>480000</v>
      </c>
      <c r="Y445" t="str">
        <f>sales_data!N2747</f>
        <v>Интернет-магазин</v>
      </c>
      <c r="Z445" t="str">
        <f>sales_data!O2747</f>
        <v>Отменён</v>
      </c>
    </row>
    <row r="446" spans="12:26" x14ac:dyDescent="0.25">
      <c r="L446">
        <f>sales_data!A2755</f>
        <v>3342</v>
      </c>
      <c r="M446">
        <f>sales_data!B2755</f>
        <v>46014</v>
      </c>
      <c r="N446">
        <f>sales_data!C2755</f>
        <v>23</v>
      </c>
      <c r="O446" t="str">
        <f>sales_data!D2755</f>
        <v>Декабрь</v>
      </c>
      <c r="P446" t="str">
        <f>sales_data!E2755</f>
        <v>Мария</v>
      </c>
      <c r="Q446" t="str">
        <f>sales_data!F2755</f>
        <v>Челябинск</v>
      </c>
      <c r="R446" t="str">
        <f>sales_data!G2755</f>
        <v>Уральский</v>
      </c>
      <c r="S446" t="str">
        <f>sales_data!H2755</f>
        <v>Мониторы</v>
      </c>
      <c r="T446" t="str">
        <f>sales_data!I2755</f>
        <v>Monitor 27</v>
      </c>
      <c r="U446" t="str">
        <f>sales_data!J2755</f>
        <v>Опт</v>
      </c>
      <c r="V446">
        <f>sales_data!K2755</f>
        <v>18</v>
      </c>
      <c r="W446">
        <f>sales_data!L2755</f>
        <v>15100</v>
      </c>
      <c r="X446">
        <f>sales_data!M2755</f>
        <v>271800</v>
      </c>
      <c r="Y446" t="str">
        <f>sales_data!N2755</f>
        <v>Интернет-магазин</v>
      </c>
      <c r="Z446" t="str">
        <f>sales_data!O2755</f>
        <v>В пути</v>
      </c>
    </row>
    <row r="447" spans="12:26" x14ac:dyDescent="0.25">
      <c r="L447">
        <f>sales_data!A2762</f>
        <v>2361</v>
      </c>
      <c r="M447">
        <f>sales_data!B2762</f>
        <v>45861</v>
      </c>
      <c r="N447">
        <f>sales_data!C2762</f>
        <v>23</v>
      </c>
      <c r="O447" t="str">
        <f>sales_data!D2762</f>
        <v>Июль</v>
      </c>
      <c r="P447" t="str">
        <f>sales_data!E2762</f>
        <v>Анна</v>
      </c>
      <c r="Q447" t="str">
        <f>sales_data!F2762</f>
        <v>Ростов-на-Дону</v>
      </c>
      <c r="R447" t="str">
        <f>sales_data!G2762</f>
        <v>Южный</v>
      </c>
      <c r="S447" t="str">
        <f>sales_data!H2762</f>
        <v>Мониторы</v>
      </c>
      <c r="T447" t="str">
        <f>sales_data!I2762</f>
        <v>Monitor 24</v>
      </c>
      <c r="U447" t="str">
        <f>sales_data!J2762</f>
        <v>Розница</v>
      </c>
      <c r="V447">
        <f>sales_data!K2762</f>
        <v>4</v>
      </c>
      <c r="W447">
        <f>sales_data!L2762</f>
        <v>15200</v>
      </c>
      <c r="X447">
        <f>sales_data!M2762</f>
        <v>60800</v>
      </c>
      <c r="Y447" t="str">
        <f>sales_data!N2762</f>
        <v>Интернет-магазин</v>
      </c>
      <c r="Z447" t="str">
        <f>sales_data!O2762</f>
        <v>Доставлен</v>
      </c>
    </row>
    <row r="448" spans="12:26" x14ac:dyDescent="0.25">
      <c r="L448">
        <f>sales_data!A2763</f>
        <v>2437</v>
      </c>
      <c r="M448">
        <f>sales_data!B2763</f>
        <v>45894</v>
      </c>
      <c r="N448">
        <f>sales_data!C2763</f>
        <v>25</v>
      </c>
      <c r="O448" t="str">
        <f>sales_data!D2763</f>
        <v>Август</v>
      </c>
      <c r="P448" t="str">
        <f>sales_data!E2763</f>
        <v>Владимир</v>
      </c>
      <c r="Q448" t="str">
        <f>sales_data!F2763</f>
        <v>Самара</v>
      </c>
      <c r="R448" t="str">
        <f>sales_data!G2763</f>
        <v>Приволжский</v>
      </c>
      <c r="S448" t="str">
        <f>sales_data!H2763</f>
        <v>Мониторы</v>
      </c>
      <c r="T448" t="str">
        <f>sales_data!I2763</f>
        <v>Monitor 27</v>
      </c>
      <c r="U448" t="str">
        <f>sales_data!J2763</f>
        <v>Опт</v>
      </c>
      <c r="V448">
        <f>sales_data!K2763</f>
        <v>10</v>
      </c>
      <c r="W448">
        <f>sales_data!L2763</f>
        <v>15200</v>
      </c>
      <c r="X448">
        <f>sales_data!M2763</f>
        <v>152000</v>
      </c>
      <c r="Y448" t="str">
        <f>sales_data!N2763</f>
        <v>Офлайн-точка</v>
      </c>
      <c r="Z448" t="str">
        <f>sales_data!O2763</f>
        <v>В пути</v>
      </c>
    </row>
    <row r="449" spans="12:26" x14ac:dyDescent="0.25">
      <c r="L449">
        <f>sales_data!A2771</f>
        <v>4922</v>
      </c>
      <c r="M449">
        <f>sales_data!B2771</f>
        <v>45977</v>
      </c>
      <c r="N449">
        <f>sales_data!C2771</f>
        <v>16</v>
      </c>
      <c r="O449" t="str">
        <f>sales_data!D2771</f>
        <v>Ноябрь</v>
      </c>
      <c r="P449" t="str">
        <f>sales_data!E2771</f>
        <v>Мария</v>
      </c>
      <c r="Q449" t="str">
        <f>sales_data!F2771</f>
        <v>Уфа</v>
      </c>
      <c r="R449" t="str">
        <f>sales_data!G2771</f>
        <v>Приволжский</v>
      </c>
      <c r="S449" t="str">
        <f>sales_data!H2771</f>
        <v>Принтеры</v>
      </c>
      <c r="T449" t="str">
        <f>sales_data!I2771</f>
        <v>Printer MFP</v>
      </c>
      <c r="U449" t="str">
        <f>sales_data!J2771</f>
        <v>Розница</v>
      </c>
      <c r="V449">
        <f>sales_data!K2771</f>
        <v>8</v>
      </c>
      <c r="W449">
        <f>sales_data!L2771</f>
        <v>15200</v>
      </c>
      <c r="X449">
        <f>sales_data!M2771</f>
        <v>121600</v>
      </c>
      <c r="Y449" t="str">
        <f>sales_data!N2771</f>
        <v>Офлайн-точка</v>
      </c>
      <c r="Z449" t="str">
        <f>sales_data!O2771</f>
        <v>В пути</v>
      </c>
    </row>
    <row r="450" spans="12:26" x14ac:dyDescent="0.25">
      <c r="L450">
        <f>sales_data!A2779</f>
        <v>2649</v>
      </c>
      <c r="M450">
        <f>sales_data!B2779</f>
        <v>45786</v>
      </c>
      <c r="N450">
        <f>sales_data!C2779</f>
        <v>9</v>
      </c>
      <c r="O450" t="str">
        <f>sales_data!D2779</f>
        <v>Май</v>
      </c>
      <c r="P450" t="str">
        <f>sales_data!E2779</f>
        <v>Сергей</v>
      </c>
      <c r="Q450" t="str">
        <f>sales_data!F2779</f>
        <v>Санкт-Петербург</v>
      </c>
      <c r="R450" t="str">
        <f>sales_data!G2779</f>
        <v>Северо-Западный</v>
      </c>
      <c r="S450" t="str">
        <f>sales_data!H2779</f>
        <v>Мониторы</v>
      </c>
      <c r="T450" t="str">
        <f>sales_data!I2779</f>
        <v>Monitor 27</v>
      </c>
      <c r="U450" t="str">
        <f>sales_data!J2779</f>
        <v>Опт</v>
      </c>
      <c r="V450">
        <f>sales_data!K2779</f>
        <v>10</v>
      </c>
      <c r="W450">
        <f>sales_data!L2779</f>
        <v>15300</v>
      </c>
      <c r="X450">
        <f>sales_data!M2779</f>
        <v>153000</v>
      </c>
      <c r="Y450" t="str">
        <f>sales_data!N2779</f>
        <v>Офлайн-точка</v>
      </c>
      <c r="Z450" t="str">
        <f>sales_data!O2779</f>
        <v>Отменён</v>
      </c>
    </row>
    <row r="451" spans="12:26" x14ac:dyDescent="0.25">
      <c r="L451">
        <f>sales_data!A2785</f>
        <v>619</v>
      </c>
      <c r="M451">
        <f>sales_data!B2785</f>
        <v>45719</v>
      </c>
      <c r="N451">
        <f>sales_data!C2785</f>
        <v>3</v>
      </c>
      <c r="O451" t="str">
        <f>sales_data!D2785</f>
        <v>Март</v>
      </c>
      <c r="P451" t="str">
        <f>sales_data!E2785</f>
        <v>Алексей</v>
      </c>
      <c r="Q451" t="str">
        <f>sales_data!F2785</f>
        <v>Самара</v>
      </c>
      <c r="R451" t="str">
        <f>sales_data!G2785</f>
        <v>Приволжский</v>
      </c>
      <c r="S451" t="str">
        <f>sales_data!H2785</f>
        <v>Принтеры</v>
      </c>
      <c r="T451" t="str">
        <f>sales_data!I2785</f>
        <v>Printer MFP</v>
      </c>
      <c r="U451" t="str">
        <f>sales_data!J2785</f>
        <v>Розница</v>
      </c>
      <c r="V451">
        <f>sales_data!K2785</f>
        <v>1</v>
      </c>
      <c r="W451">
        <f>sales_data!L2785</f>
        <v>15400</v>
      </c>
      <c r="X451">
        <f>sales_data!M2785</f>
        <v>15400</v>
      </c>
      <c r="Y451" t="str">
        <f>sales_data!N2785</f>
        <v>Интернет-магазин</v>
      </c>
      <c r="Z451" t="str">
        <f>sales_data!O2785</f>
        <v>В пути</v>
      </c>
    </row>
    <row r="452" spans="12:26" x14ac:dyDescent="0.25">
      <c r="L452">
        <f>sales_data!A2789</f>
        <v>2758</v>
      </c>
      <c r="M452">
        <f>sales_data!B2789</f>
        <v>45737</v>
      </c>
      <c r="N452">
        <f>sales_data!C2789</f>
        <v>21</v>
      </c>
      <c r="O452" t="str">
        <f>sales_data!D2789</f>
        <v>Март</v>
      </c>
      <c r="P452" t="str">
        <f>sales_data!E2789</f>
        <v>Татьяна</v>
      </c>
      <c r="Q452" t="str">
        <f>sales_data!F2789</f>
        <v>Самара</v>
      </c>
      <c r="R452" t="str">
        <f>sales_data!G2789</f>
        <v>Приволжский</v>
      </c>
      <c r="S452" t="str">
        <f>sales_data!H2789</f>
        <v>Мониторы</v>
      </c>
      <c r="T452" t="str">
        <f>sales_data!I2789</f>
        <v>Monitor 24</v>
      </c>
      <c r="U452" t="str">
        <f>sales_data!J2789</f>
        <v>Розница</v>
      </c>
      <c r="V452">
        <f>sales_data!K2789</f>
        <v>10</v>
      </c>
      <c r="W452">
        <f>sales_data!L2789</f>
        <v>15400</v>
      </c>
      <c r="X452">
        <f>sales_data!M2789</f>
        <v>154000</v>
      </c>
      <c r="Y452" t="str">
        <f>sales_data!N2789</f>
        <v>Интернет-магазин</v>
      </c>
      <c r="Z452" t="str">
        <f>sales_data!O2789</f>
        <v>Доставлен</v>
      </c>
    </row>
    <row r="453" spans="12:26" x14ac:dyDescent="0.25">
      <c r="L453">
        <f>sales_data!A2800</f>
        <v>4842</v>
      </c>
      <c r="M453">
        <f>sales_data!B2800</f>
        <v>45891</v>
      </c>
      <c r="N453">
        <f>sales_data!C2800</f>
        <v>22</v>
      </c>
      <c r="O453" t="str">
        <f>sales_data!D2800</f>
        <v>Август</v>
      </c>
      <c r="P453" t="str">
        <f>sales_data!E2800</f>
        <v>Татьяна</v>
      </c>
      <c r="Q453" t="str">
        <f>sales_data!F2800</f>
        <v>Ростов-на-Дону</v>
      </c>
      <c r="R453" t="str">
        <f>sales_data!G2800</f>
        <v>Южный</v>
      </c>
      <c r="S453" t="str">
        <f>sales_data!H2800</f>
        <v>Мониторы</v>
      </c>
      <c r="T453" t="str">
        <f>sales_data!I2800</f>
        <v>Monitor 27</v>
      </c>
      <c r="U453" t="str">
        <f>sales_data!J2800</f>
        <v>Опт</v>
      </c>
      <c r="V453">
        <f>sales_data!K2800</f>
        <v>37</v>
      </c>
      <c r="W453">
        <f>sales_data!L2800</f>
        <v>15400</v>
      </c>
      <c r="X453">
        <f>sales_data!M2800</f>
        <v>569800</v>
      </c>
      <c r="Y453" t="str">
        <f>sales_data!N2800</f>
        <v>Офлайн-точка</v>
      </c>
      <c r="Z453" t="str">
        <f>sales_data!O2800</f>
        <v>Доставлен</v>
      </c>
    </row>
    <row r="454" spans="12:26" x14ac:dyDescent="0.25">
      <c r="L454">
        <f>sales_data!A2810</f>
        <v>2900</v>
      </c>
      <c r="M454">
        <f>sales_data!B2810</f>
        <v>45909</v>
      </c>
      <c r="N454">
        <f>sales_data!C2810</f>
        <v>9</v>
      </c>
      <c r="O454" t="str">
        <f>sales_data!D2810</f>
        <v>Сентябрь</v>
      </c>
      <c r="P454" t="str">
        <f>sales_data!E2810</f>
        <v>Татьяна</v>
      </c>
      <c r="Q454" t="str">
        <f>sales_data!F2810</f>
        <v>Уфа</v>
      </c>
      <c r="R454" t="str">
        <f>sales_data!G2810</f>
        <v>Приволжский</v>
      </c>
      <c r="S454" t="str">
        <f>sales_data!H2810</f>
        <v>Мониторы</v>
      </c>
      <c r="T454" t="str">
        <f>sales_data!I2810</f>
        <v>Monitor 27</v>
      </c>
      <c r="U454" t="str">
        <f>sales_data!J2810</f>
        <v>Опт</v>
      </c>
      <c r="V454">
        <f>sales_data!K2810</f>
        <v>26</v>
      </c>
      <c r="W454">
        <f>sales_data!L2810</f>
        <v>15500</v>
      </c>
      <c r="X454">
        <f>sales_data!M2810</f>
        <v>403000</v>
      </c>
      <c r="Y454" t="str">
        <f>sales_data!N2810</f>
        <v>Интернет-магазин</v>
      </c>
      <c r="Z454" t="str">
        <f>sales_data!O2810</f>
        <v>Доставлен</v>
      </c>
    </row>
    <row r="455" spans="12:26" x14ac:dyDescent="0.25">
      <c r="L455">
        <f>sales_data!A2815</f>
        <v>4609</v>
      </c>
      <c r="M455">
        <f>sales_data!B2815</f>
        <v>45979</v>
      </c>
      <c r="N455">
        <f>sales_data!C2815</f>
        <v>18</v>
      </c>
      <c r="O455" t="str">
        <f>sales_data!D2815</f>
        <v>Ноябрь</v>
      </c>
      <c r="P455" t="str">
        <f>sales_data!E2815</f>
        <v>Наталья</v>
      </c>
      <c r="Q455" t="str">
        <f>sales_data!F2815</f>
        <v>Красноярск</v>
      </c>
      <c r="R455" t="str">
        <f>sales_data!G2815</f>
        <v>Сибирский</v>
      </c>
      <c r="S455" t="str">
        <f>sales_data!H2815</f>
        <v>Принтеры</v>
      </c>
      <c r="T455" t="str">
        <f>sales_data!I2815</f>
        <v>Printer MFP</v>
      </c>
      <c r="U455" t="str">
        <f>sales_data!J2815</f>
        <v>Розница</v>
      </c>
      <c r="V455">
        <f>sales_data!K2815</f>
        <v>1</v>
      </c>
      <c r="W455">
        <f>sales_data!L2815</f>
        <v>15500</v>
      </c>
      <c r="X455">
        <f>sales_data!M2815</f>
        <v>15500</v>
      </c>
      <c r="Y455" t="str">
        <f>sales_data!N2815</f>
        <v>Офлайн-точка</v>
      </c>
      <c r="Z455" t="str">
        <f>sales_data!O2815</f>
        <v>В пути</v>
      </c>
    </row>
    <row r="456" spans="12:26" x14ac:dyDescent="0.25">
      <c r="L456">
        <f>sales_data!A2825</f>
        <v>3698</v>
      </c>
      <c r="M456">
        <f>sales_data!B2825</f>
        <v>45672</v>
      </c>
      <c r="N456">
        <f>sales_data!C2825</f>
        <v>15</v>
      </c>
      <c r="O456" t="str">
        <f>sales_data!D2825</f>
        <v>Январь</v>
      </c>
      <c r="P456" t="str">
        <f>sales_data!E2825</f>
        <v>Павел</v>
      </c>
      <c r="Q456" t="str">
        <f>sales_data!F2825</f>
        <v>Уфа</v>
      </c>
      <c r="R456" t="str">
        <f>sales_data!G2825</f>
        <v>Приволжский</v>
      </c>
      <c r="S456" t="str">
        <f>sales_data!H2825</f>
        <v>Мониторы</v>
      </c>
      <c r="T456" t="str">
        <f>sales_data!I2825</f>
        <v>Monitor 27</v>
      </c>
      <c r="U456" t="str">
        <f>sales_data!J2825</f>
        <v>Опт</v>
      </c>
      <c r="V456">
        <f>sales_data!K2825</f>
        <v>47</v>
      </c>
      <c r="W456">
        <f>sales_data!L2825</f>
        <v>15600</v>
      </c>
      <c r="X456">
        <f>sales_data!M2825</f>
        <v>733200</v>
      </c>
      <c r="Y456" t="str">
        <f>sales_data!N2825</f>
        <v>Интернет-магазин</v>
      </c>
      <c r="Z456" t="str">
        <f>sales_data!O2825</f>
        <v>Отменён</v>
      </c>
    </row>
    <row r="457" spans="12:26" x14ac:dyDescent="0.25">
      <c r="L457">
        <f>sales_data!A2831</f>
        <v>2170</v>
      </c>
      <c r="M457">
        <f>sales_data!B2831</f>
        <v>45932</v>
      </c>
      <c r="N457">
        <f>sales_data!C2831</f>
        <v>2</v>
      </c>
      <c r="O457" t="str">
        <f>sales_data!D2831</f>
        <v>Октябрь</v>
      </c>
      <c r="P457" t="str">
        <f>sales_data!E2831</f>
        <v>Алексей</v>
      </c>
      <c r="Q457" t="str">
        <f>sales_data!F2831</f>
        <v>Ростов-на-Дону</v>
      </c>
      <c r="R457" t="str">
        <f>sales_data!G2831</f>
        <v>Южный</v>
      </c>
      <c r="S457" t="str">
        <f>sales_data!H2831</f>
        <v>Мониторы</v>
      </c>
      <c r="T457" t="str">
        <f>sales_data!I2831</f>
        <v>Monitor 27</v>
      </c>
      <c r="U457" t="str">
        <f>sales_data!J2831</f>
        <v>Опт</v>
      </c>
      <c r="V457">
        <f>sales_data!K2831</f>
        <v>49</v>
      </c>
      <c r="W457">
        <f>sales_data!L2831</f>
        <v>15700</v>
      </c>
      <c r="X457">
        <f>sales_data!M2831</f>
        <v>769300</v>
      </c>
      <c r="Y457" t="str">
        <f>sales_data!N2831</f>
        <v>Офлайн-точка</v>
      </c>
      <c r="Z457" t="str">
        <f>sales_data!O2831</f>
        <v>Отменён</v>
      </c>
    </row>
    <row r="458" spans="12:26" x14ac:dyDescent="0.25">
      <c r="L458">
        <f>sales_data!A2833</f>
        <v>2487</v>
      </c>
      <c r="M458">
        <f>sales_data!B2833</f>
        <v>45953</v>
      </c>
      <c r="N458">
        <f>sales_data!C2833</f>
        <v>23</v>
      </c>
      <c r="O458" t="str">
        <f>sales_data!D2833</f>
        <v>Октябрь</v>
      </c>
      <c r="P458" t="str">
        <f>sales_data!E2833</f>
        <v>Мария</v>
      </c>
      <c r="Q458" t="str">
        <f>sales_data!F2833</f>
        <v>Воронеж</v>
      </c>
      <c r="R458" t="str">
        <f>sales_data!G2833</f>
        <v>Центральный</v>
      </c>
      <c r="S458" t="str">
        <f>sales_data!H2833</f>
        <v>Мониторы</v>
      </c>
      <c r="T458" t="str">
        <f>sales_data!I2833</f>
        <v>Monitor 24</v>
      </c>
      <c r="U458" t="str">
        <f>sales_data!J2833</f>
        <v>Розница</v>
      </c>
      <c r="V458">
        <f>sales_data!K2833</f>
        <v>2</v>
      </c>
      <c r="W458">
        <f>sales_data!L2833</f>
        <v>15700</v>
      </c>
      <c r="X458">
        <f>sales_data!M2833</f>
        <v>31400</v>
      </c>
      <c r="Y458" t="str">
        <f>sales_data!N2833</f>
        <v>Интернет-магазин</v>
      </c>
      <c r="Z458" t="str">
        <f>sales_data!O2833</f>
        <v>Доставлен</v>
      </c>
    </row>
    <row r="459" spans="12:26" x14ac:dyDescent="0.25">
      <c r="L459">
        <f>sales_data!A2838</f>
        <v>3449</v>
      </c>
      <c r="M459">
        <f>sales_data!B2838</f>
        <v>45965</v>
      </c>
      <c r="N459">
        <f>sales_data!C2838</f>
        <v>4</v>
      </c>
      <c r="O459" t="str">
        <f>sales_data!D2838</f>
        <v>Ноябрь</v>
      </c>
      <c r="P459" t="str">
        <f>sales_data!E2838</f>
        <v>Елена</v>
      </c>
      <c r="Q459" t="str">
        <f>sales_data!F2838</f>
        <v>Краснодар</v>
      </c>
      <c r="R459" t="str">
        <f>sales_data!G2838</f>
        <v>Южный</v>
      </c>
      <c r="S459" t="str">
        <f>sales_data!H2838</f>
        <v>Мониторы</v>
      </c>
      <c r="T459" t="str">
        <f>sales_data!I2838</f>
        <v>Monitor 24</v>
      </c>
      <c r="U459" t="str">
        <f>sales_data!J2838</f>
        <v>Розница</v>
      </c>
      <c r="V459">
        <f>sales_data!K2838</f>
        <v>6</v>
      </c>
      <c r="W459">
        <f>sales_data!L2838</f>
        <v>15700</v>
      </c>
      <c r="X459">
        <f>sales_data!M2838</f>
        <v>94200</v>
      </c>
      <c r="Y459" t="str">
        <f>sales_data!N2838</f>
        <v>Интернет-магазин</v>
      </c>
      <c r="Z459" t="str">
        <f>sales_data!O2838</f>
        <v>Отменён</v>
      </c>
    </row>
    <row r="460" spans="12:26" x14ac:dyDescent="0.25">
      <c r="L460">
        <f>sales_data!A2847</f>
        <v>2697</v>
      </c>
      <c r="M460">
        <f>sales_data!B2847</f>
        <v>45858</v>
      </c>
      <c r="N460">
        <f>sales_data!C2847</f>
        <v>20</v>
      </c>
      <c r="O460" t="str">
        <f>sales_data!D2847</f>
        <v>Июль</v>
      </c>
      <c r="P460" t="str">
        <f>sales_data!E2847</f>
        <v>Игорь</v>
      </c>
      <c r="Q460" t="str">
        <f>sales_data!F2847</f>
        <v>Казань</v>
      </c>
      <c r="R460" t="str">
        <f>sales_data!G2847</f>
        <v>Приволжский</v>
      </c>
      <c r="S460" t="str">
        <f>sales_data!H2847</f>
        <v>Принтеры</v>
      </c>
      <c r="T460" t="str">
        <f>sales_data!I2847</f>
        <v>Printer MFP</v>
      </c>
      <c r="U460" t="str">
        <f>sales_data!J2847</f>
        <v>Розница</v>
      </c>
      <c r="V460">
        <f>sales_data!K2847</f>
        <v>4</v>
      </c>
      <c r="W460">
        <f>sales_data!L2847</f>
        <v>15800</v>
      </c>
      <c r="X460">
        <f>sales_data!M2847</f>
        <v>63200</v>
      </c>
      <c r="Y460" t="str">
        <f>sales_data!N2847</f>
        <v>Интернет-магазин</v>
      </c>
      <c r="Z460" t="str">
        <f>sales_data!O2847</f>
        <v>Доставлен</v>
      </c>
    </row>
    <row r="461" spans="12:26" x14ac:dyDescent="0.25">
      <c r="L461">
        <f>sales_data!A2851</f>
        <v>3470</v>
      </c>
      <c r="M461">
        <f>sales_data!B2851</f>
        <v>45977</v>
      </c>
      <c r="N461">
        <f>sales_data!C2851</f>
        <v>16</v>
      </c>
      <c r="O461" t="str">
        <f>sales_data!D2851</f>
        <v>Ноябрь</v>
      </c>
      <c r="P461" t="str">
        <f>sales_data!E2851</f>
        <v>Анна</v>
      </c>
      <c r="Q461" t="str">
        <f>sales_data!F2851</f>
        <v>Казань</v>
      </c>
      <c r="R461" t="str">
        <f>sales_data!G2851</f>
        <v>Приволжский</v>
      </c>
      <c r="S461" t="str">
        <f>sales_data!H2851</f>
        <v>Мониторы</v>
      </c>
      <c r="T461" t="str">
        <f>sales_data!I2851</f>
        <v>Monitor 24</v>
      </c>
      <c r="U461" t="str">
        <f>sales_data!J2851</f>
        <v>Розница</v>
      </c>
      <c r="V461">
        <f>sales_data!K2851</f>
        <v>2</v>
      </c>
      <c r="W461">
        <f>sales_data!L2851</f>
        <v>15800</v>
      </c>
      <c r="X461">
        <f>sales_data!M2851</f>
        <v>31600</v>
      </c>
      <c r="Y461" t="str">
        <f>sales_data!N2851</f>
        <v>Офлайн-точка</v>
      </c>
      <c r="Z461" t="str">
        <f>sales_data!O2851</f>
        <v>В пути</v>
      </c>
    </row>
    <row r="462" spans="12:26" x14ac:dyDescent="0.25">
      <c r="L462">
        <f>sales_data!A2861</f>
        <v>3885</v>
      </c>
      <c r="M462">
        <f>sales_data!B2861</f>
        <v>45722</v>
      </c>
      <c r="N462">
        <f>sales_data!C2861</f>
        <v>6</v>
      </c>
      <c r="O462" t="str">
        <f>sales_data!D2861</f>
        <v>Март</v>
      </c>
      <c r="P462" t="str">
        <f>sales_data!E2861</f>
        <v>Татьяна</v>
      </c>
      <c r="Q462" t="str">
        <f>sales_data!F2861</f>
        <v>Казань</v>
      </c>
      <c r="R462" t="str">
        <f>sales_data!G2861</f>
        <v>Приволжский</v>
      </c>
      <c r="S462" t="str">
        <f>sales_data!H2861</f>
        <v>Мониторы</v>
      </c>
      <c r="T462" t="str">
        <f>sales_data!I2861</f>
        <v>Monitor 24</v>
      </c>
      <c r="U462" t="str">
        <f>sales_data!J2861</f>
        <v>Розница</v>
      </c>
      <c r="V462">
        <f>sales_data!K2861</f>
        <v>5</v>
      </c>
      <c r="W462">
        <f>sales_data!L2861</f>
        <v>15900</v>
      </c>
      <c r="X462">
        <f>sales_data!M2861</f>
        <v>79500</v>
      </c>
      <c r="Y462" t="str">
        <f>sales_data!N2861</f>
        <v>Интернет-магазин</v>
      </c>
      <c r="Z462" t="str">
        <f>sales_data!O2861</f>
        <v>В пути</v>
      </c>
    </row>
    <row r="463" spans="12:26" x14ac:dyDescent="0.25">
      <c r="L463">
        <f>sales_data!A2867</f>
        <v>369</v>
      </c>
      <c r="M463">
        <f>sales_data!B2867</f>
        <v>45799</v>
      </c>
      <c r="N463">
        <f>sales_data!C2867</f>
        <v>22</v>
      </c>
      <c r="O463" t="str">
        <f>sales_data!D2867</f>
        <v>Май</v>
      </c>
      <c r="P463" t="str">
        <f>sales_data!E2867</f>
        <v>Владимир</v>
      </c>
      <c r="Q463" t="str">
        <f>sales_data!F2867</f>
        <v>Ростов-на-Дону</v>
      </c>
      <c r="R463" t="str">
        <f>sales_data!G2867</f>
        <v>Южный</v>
      </c>
      <c r="S463" t="str">
        <f>sales_data!H2867</f>
        <v>Мониторы</v>
      </c>
      <c r="T463" t="str">
        <f>sales_data!I2867</f>
        <v>Monitor 24</v>
      </c>
      <c r="U463" t="str">
        <f>sales_data!J2867</f>
        <v>Розница</v>
      </c>
      <c r="V463">
        <f>sales_data!K2867</f>
        <v>3</v>
      </c>
      <c r="W463">
        <f>sales_data!L2867</f>
        <v>16100</v>
      </c>
      <c r="X463">
        <f>sales_data!M2867</f>
        <v>48300</v>
      </c>
      <c r="Y463" t="str">
        <f>sales_data!N2867</f>
        <v>Офлайн-точка</v>
      </c>
      <c r="Z463" t="str">
        <f>sales_data!O2867</f>
        <v>Доставлен</v>
      </c>
    </row>
    <row r="464" spans="12:26" x14ac:dyDescent="0.25">
      <c r="L464">
        <f>sales_data!A2872</f>
        <v>2174</v>
      </c>
      <c r="M464">
        <f>sales_data!B2872</f>
        <v>45798</v>
      </c>
      <c r="N464">
        <f>sales_data!C2872</f>
        <v>21</v>
      </c>
      <c r="O464" t="str">
        <f>sales_data!D2872</f>
        <v>Май</v>
      </c>
      <c r="P464" t="str">
        <f>sales_data!E2872</f>
        <v>Дмитрий</v>
      </c>
      <c r="Q464" t="str">
        <f>sales_data!F2872</f>
        <v>Казань</v>
      </c>
      <c r="R464" t="str">
        <f>sales_data!G2872</f>
        <v>Приволжский</v>
      </c>
      <c r="S464" t="str">
        <f>sales_data!H2872</f>
        <v>Мониторы</v>
      </c>
      <c r="T464" t="str">
        <f>sales_data!I2872</f>
        <v>Monitor 24</v>
      </c>
      <c r="U464" t="str">
        <f>sales_data!J2872</f>
        <v>Розница</v>
      </c>
      <c r="V464">
        <f>sales_data!K2872</f>
        <v>3</v>
      </c>
      <c r="W464">
        <f>sales_data!L2872</f>
        <v>16100</v>
      </c>
      <c r="X464">
        <f>sales_data!M2872</f>
        <v>48300</v>
      </c>
      <c r="Y464" t="str">
        <f>sales_data!N2872</f>
        <v>Интернет-магазин</v>
      </c>
      <c r="Z464" t="str">
        <f>sales_data!O2872</f>
        <v>Доставлен</v>
      </c>
    </row>
    <row r="465" spans="12:26" x14ac:dyDescent="0.25">
      <c r="L465">
        <f>sales_data!A2878</f>
        <v>652</v>
      </c>
      <c r="M465">
        <f>sales_data!B2878</f>
        <v>45699</v>
      </c>
      <c r="N465">
        <f>sales_data!C2878</f>
        <v>11</v>
      </c>
      <c r="O465" t="str">
        <f>sales_data!D2878</f>
        <v>Февраль</v>
      </c>
      <c r="P465" t="str">
        <f>sales_data!E2878</f>
        <v>Владимир</v>
      </c>
      <c r="Q465" t="str">
        <f>sales_data!F2878</f>
        <v>Красноярск</v>
      </c>
      <c r="R465" t="str">
        <f>sales_data!G2878</f>
        <v>Сибирский</v>
      </c>
      <c r="S465" t="str">
        <f>sales_data!H2878</f>
        <v>Мониторы</v>
      </c>
      <c r="T465" t="str">
        <f>sales_data!I2878</f>
        <v>Monitor 27</v>
      </c>
      <c r="U465" t="str">
        <f>sales_data!J2878</f>
        <v>Опт</v>
      </c>
      <c r="V465">
        <f>sales_data!K2878</f>
        <v>30</v>
      </c>
      <c r="W465">
        <f>sales_data!L2878</f>
        <v>16200</v>
      </c>
      <c r="X465">
        <f>sales_data!M2878</f>
        <v>486000</v>
      </c>
      <c r="Y465" t="str">
        <f>sales_data!N2878</f>
        <v>Интернет-магазин</v>
      </c>
      <c r="Z465" t="str">
        <f>sales_data!O2878</f>
        <v>Отменён</v>
      </c>
    </row>
    <row r="466" spans="12:26" x14ac:dyDescent="0.25">
      <c r="L466">
        <f>sales_data!A2879</f>
        <v>1098</v>
      </c>
      <c r="M466">
        <f>sales_data!B2879</f>
        <v>45922</v>
      </c>
      <c r="N466">
        <f>sales_data!C2879</f>
        <v>22</v>
      </c>
      <c r="O466" t="str">
        <f>sales_data!D2879</f>
        <v>Сентябрь</v>
      </c>
      <c r="P466" t="str">
        <f>sales_data!E2879</f>
        <v>Игорь</v>
      </c>
      <c r="Q466" t="str">
        <f>sales_data!F2879</f>
        <v>Омск</v>
      </c>
      <c r="R466" t="str">
        <f>sales_data!G2879</f>
        <v>Сибирский</v>
      </c>
      <c r="S466" t="str">
        <f>sales_data!H2879</f>
        <v>Мониторы</v>
      </c>
      <c r="T466" t="str">
        <f>sales_data!I2879</f>
        <v>Monitor 27</v>
      </c>
      <c r="U466" t="str">
        <f>sales_data!J2879</f>
        <v>Розница</v>
      </c>
      <c r="V466">
        <f>sales_data!K2879</f>
        <v>1</v>
      </c>
      <c r="W466">
        <f>sales_data!L2879</f>
        <v>16200</v>
      </c>
      <c r="X466">
        <f>sales_data!M2879</f>
        <v>16200</v>
      </c>
      <c r="Y466" t="str">
        <f>sales_data!N2879</f>
        <v>Интернет-магазин</v>
      </c>
      <c r="Z466" t="str">
        <f>sales_data!O2879</f>
        <v>Отменён</v>
      </c>
    </row>
    <row r="467" spans="12:26" x14ac:dyDescent="0.25">
      <c r="L467">
        <f>sales_data!A2880</f>
        <v>1122</v>
      </c>
      <c r="M467">
        <f>sales_data!B2880</f>
        <v>45788</v>
      </c>
      <c r="N467">
        <f>sales_data!C2880</f>
        <v>11</v>
      </c>
      <c r="O467" t="str">
        <f>sales_data!D2880</f>
        <v>Май</v>
      </c>
      <c r="P467" t="str">
        <f>sales_data!E2880</f>
        <v>Мария</v>
      </c>
      <c r="Q467" t="str">
        <f>sales_data!F2880</f>
        <v>Санкт-Петербург</v>
      </c>
      <c r="R467" t="str">
        <f>sales_data!G2880</f>
        <v>Северо-Западный</v>
      </c>
      <c r="S467" t="str">
        <f>sales_data!H2880</f>
        <v>Мониторы</v>
      </c>
      <c r="T467" t="str">
        <f>sales_data!I2880</f>
        <v>Monitor 27</v>
      </c>
      <c r="U467" t="str">
        <f>sales_data!J2880</f>
        <v>Опт</v>
      </c>
      <c r="V467">
        <f>sales_data!K2880</f>
        <v>33</v>
      </c>
      <c r="W467">
        <f>sales_data!L2880</f>
        <v>16200</v>
      </c>
      <c r="X467">
        <f>sales_data!M2880</f>
        <v>534600</v>
      </c>
      <c r="Y467" t="str">
        <f>sales_data!N2880</f>
        <v>Офлайн-точка</v>
      </c>
      <c r="Z467" t="str">
        <f>sales_data!O2880</f>
        <v>Доставлен</v>
      </c>
    </row>
    <row r="468" spans="12:26" x14ac:dyDescent="0.25">
      <c r="L468">
        <f>sales_data!A2882</f>
        <v>4855</v>
      </c>
      <c r="M468">
        <f>sales_data!B2882</f>
        <v>45677</v>
      </c>
      <c r="N468">
        <f>sales_data!C2882</f>
        <v>20</v>
      </c>
      <c r="O468" t="str">
        <f>sales_data!D2882</f>
        <v>Январь</v>
      </c>
      <c r="P468" t="str">
        <f>sales_data!E2882</f>
        <v>Павел</v>
      </c>
      <c r="Q468" t="str">
        <f>sales_data!F2882</f>
        <v>Красноярск</v>
      </c>
      <c r="R468" t="str">
        <f>sales_data!G2882</f>
        <v>Сибирский</v>
      </c>
      <c r="S468" t="str">
        <f>sales_data!H2882</f>
        <v>Мониторы</v>
      </c>
      <c r="T468" t="str">
        <f>sales_data!I2882</f>
        <v>Monitor 27</v>
      </c>
      <c r="U468" t="str">
        <f>sales_data!J2882</f>
        <v>Опт</v>
      </c>
      <c r="V468">
        <f>sales_data!K2882</f>
        <v>6</v>
      </c>
      <c r="W468">
        <f>sales_data!L2882</f>
        <v>16200</v>
      </c>
      <c r="X468">
        <f>sales_data!M2882</f>
        <v>97200</v>
      </c>
      <c r="Y468" t="str">
        <f>sales_data!N2882</f>
        <v>Офлайн-точка</v>
      </c>
      <c r="Z468" t="str">
        <f>sales_data!O2882</f>
        <v>В пути</v>
      </c>
    </row>
    <row r="469" spans="12:26" x14ac:dyDescent="0.25">
      <c r="L469">
        <f>sales_data!A2888</f>
        <v>2581</v>
      </c>
      <c r="M469">
        <f>sales_data!B2888</f>
        <v>45907</v>
      </c>
      <c r="N469">
        <f>sales_data!C2888</f>
        <v>7</v>
      </c>
      <c r="O469" t="str">
        <f>sales_data!D2888</f>
        <v>Сентябрь</v>
      </c>
      <c r="P469" t="str">
        <f>sales_data!E2888</f>
        <v>Елена</v>
      </c>
      <c r="Q469" t="str">
        <f>sales_data!F2888</f>
        <v>Ростов-на-Дону</v>
      </c>
      <c r="R469" t="str">
        <f>sales_data!G2888</f>
        <v>Южный</v>
      </c>
      <c r="S469" t="str">
        <f>sales_data!H2888</f>
        <v>Мониторы</v>
      </c>
      <c r="T469" t="str">
        <f>sales_data!I2888</f>
        <v>Monitor 24</v>
      </c>
      <c r="U469" t="str">
        <f>sales_data!J2888</f>
        <v>Розница</v>
      </c>
      <c r="V469">
        <f>sales_data!K2888</f>
        <v>2</v>
      </c>
      <c r="W469">
        <f>sales_data!L2888</f>
        <v>16300</v>
      </c>
      <c r="X469">
        <f>sales_data!M2888</f>
        <v>32600</v>
      </c>
      <c r="Y469" t="str">
        <f>sales_data!N2888</f>
        <v>Офлайн-точка</v>
      </c>
      <c r="Z469" t="str">
        <f>sales_data!O2888</f>
        <v>В пути</v>
      </c>
    </row>
    <row r="470" spans="12:26" x14ac:dyDescent="0.25">
      <c r="L470">
        <f>sales_data!A2890</f>
        <v>4812</v>
      </c>
      <c r="M470">
        <f>sales_data!B2890</f>
        <v>45871</v>
      </c>
      <c r="N470">
        <f>sales_data!C2890</f>
        <v>2</v>
      </c>
      <c r="O470" t="str">
        <f>sales_data!D2890</f>
        <v>Август</v>
      </c>
      <c r="P470" t="str">
        <f>sales_data!E2890</f>
        <v>Алексей</v>
      </c>
      <c r="Q470" t="str">
        <f>sales_data!F2890</f>
        <v>Нижний Новгород</v>
      </c>
      <c r="R470" t="str">
        <f>sales_data!G2890</f>
        <v>Приволжский</v>
      </c>
      <c r="S470" t="str">
        <f>sales_data!H2890</f>
        <v>Мониторы</v>
      </c>
      <c r="T470" t="str">
        <f>sales_data!I2890</f>
        <v>Monitor 27</v>
      </c>
      <c r="U470" t="str">
        <f>sales_data!J2890</f>
        <v>Розница</v>
      </c>
      <c r="V470">
        <f>sales_data!K2890</f>
        <v>9</v>
      </c>
      <c r="W470">
        <f>sales_data!L2890</f>
        <v>16300</v>
      </c>
      <c r="X470">
        <f>sales_data!M2890</f>
        <v>146700</v>
      </c>
      <c r="Y470" t="str">
        <f>sales_data!N2890</f>
        <v>Интернет-магазин</v>
      </c>
      <c r="Z470" t="str">
        <f>sales_data!O2890</f>
        <v>В пути</v>
      </c>
    </row>
    <row r="471" spans="12:26" x14ac:dyDescent="0.25">
      <c r="L471">
        <f>sales_data!A2901</f>
        <v>4377</v>
      </c>
      <c r="M471">
        <f>sales_data!B2901</f>
        <v>45721</v>
      </c>
      <c r="N471">
        <f>sales_data!C2901</f>
        <v>5</v>
      </c>
      <c r="O471" t="str">
        <f>sales_data!D2901</f>
        <v>Март</v>
      </c>
      <c r="P471" t="str">
        <f>sales_data!E2901</f>
        <v>Елена</v>
      </c>
      <c r="Q471" t="str">
        <f>sales_data!F2901</f>
        <v>Красноярск</v>
      </c>
      <c r="R471" t="str">
        <f>sales_data!G2901</f>
        <v>Сибирский</v>
      </c>
      <c r="S471" t="str">
        <f>sales_data!H2901</f>
        <v>Мониторы</v>
      </c>
      <c r="T471" t="str">
        <f>sales_data!I2901</f>
        <v>Monitor Curved</v>
      </c>
      <c r="U471" t="str">
        <f>sales_data!J2901</f>
        <v>Опт</v>
      </c>
      <c r="V471">
        <f>sales_data!K2901</f>
        <v>21</v>
      </c>
      <c r="W471">
        <f>sales_data!L2901</f>
        <v>16500</v>
      </c>
      <c r="X471">
        <f>sales_data!M2901</f>
        <v>346500</v>
      </c>
      <c r="Y471" t="str">
        <f>sales_data!N2901</f>
        <v>Офлайн-точка</v>
      </c>
      <c r="Z471" t="str">
        <f>sales_data!O2901</f>
        <v>Отменён</v>
      </c>
    </row>
    <row r="472" spans="12:26" x14ac:dyDescent="0.25">
      <c r="L472">
        <f>sales_data!A2903</f>
        <v>4923</v>
      </c>
      <c r="M472">
        <f>sales_data!B2903</f>
        <v>45975</v>
      </c>
      <c r="N472">
        <f>sales_data!C2903</f>
        <v>14</v>
      </c>
      <c r="O472" t="str">
        <f>sales_data!D2903</f>
        <v>Ноябрь</v>
      </c>
      <c r="P472" t="str">
        <f>sales_data!E2903</f>
        <v>Анна</v>
      </c>
      <c r="Q472" t="str">
        <f>sales_data!F2903</f>
        <v>Новосибирск</v>
      </c>
      <c r="R472" t="str">
        <f>sales_data!G2903</f>
        <v>Сибирский</v>
      </c>
      <c r="S472" t="str">
        <f>sales_data!H2903</f>
        <v>Мониторы</v>
      </c>
      <c r="T472" t="str">
        <f>sales_data!I2903</f>
        <v>Monitor 24</v>
      </c>
      <c r="U472" t="str">
        <f>sales_data!J2903</f>
        <v>Розница</v>
      </c>
      <c r="V472">
        <f>sales_data!K2903</f>
        <v>9</v>
      </c>
      <c r="W472">
        <f>sales_data!L2903</f>
        <v>16500</v>
      </c>
      <c r="X472">
        <f>sales_data!M2903</f>
        <v>148500</v>
      </c>
      <c r="Y472" t="str">
        <f>sales_data!N2903</f>
        <v>Интернет-магазин</v>
      </c>
      <c r="Z472" t="str">
        <f>sales_data!O2903</f>
        <v>В пути</v>
      </c>
    </row>
    <row r="473" spans="12:26" x14ac:dyDescent="0.25">
      <c r="L473">
        <f>sales_data!A2905</f>
        <v>4248</v>
      </c>
      <c r="M473">
        <f>sales_data!B2905</f>
        <v>45912</v>
      </c>
      <c r="N473">
        <f>sales_data!C2905</f>
        <v>12</v>
      </c>
      <c r="O473" t="str">
        <f>sales_data!D2905</f>
        <v>Сентябрь</v>
      </c>
      <c r="P473" t="str">
        <f>sales_data!E2905</f>
        <v>Наталья</v>
      </c>
      <c r="Q473" t="str">
        <f>sales_data!F2905</f>
        <v>Санкт-Петербург</v>
      </c>
      <c r="R473" t="str">
        <f>sales_data!G2905</f>
        <v>Северо-Западный</v>
      </c>
      <c r="S473" t="str">
        <f>sales_data!H2905</f>
        <v>Принтеры</v>
      </c>
      <c r="T473" t="str">
        <f>sales_data!I2905</f>
        <v>Printer MFP</v>
      </c>
      <c r="U473" t="str">
        <f>sales_data!J2905</f>
        <v>Розница</v>
      </c>
      <c r="V473">
        <f>sales_data!K2905</f>
        <v>6</v>
      </c>
      <c r="W473">
        <f>sales_data!L2905</f>
        <v>16600</v>
      </c>
      <c r="X473">
        <f>sales_data!M2905</f>
        <v>99600</v>
      </c>
      <c r="Y473" t="str">
        <f>sales_data!N2905</f>
        <v>Офлайн-точка</v>
      </c>
      <c r="Z473" t="str">
        <f>sales_data!O2905</f>
        <v>Отменён</v>
      </c>
    </row>
    <row r="474" spans="12:26" x14ac:dyDescent="0.25">
      <c r="L474">
        <f>sales_data!A2910</f>
        <v>3563</v>
      </c>
      <c r="M474">
        <f>sales_data!B2910</f>
        <v>45879</v>
      </c>
      <c r="N474">
        <f>sales_data!C2910</f>
        <v>10</v>
      </c>
      <c r="O474" t="str">
        <f>sales_data!D2910</f>
        <v>Август</v>
      </c>
      <c r="P474" t="str">
        <f>sales_data!E2910</f>
        <v>Павел</v>
      </c>
      <c r="Q474" t="str">
        <f>sales_data!F2910</f>
        <v>Воронеж</v>
      </c>
      <c r="R474" t="str">
        <f>sales_data!G2910</f>
        <v>Центральный</v>
      </c>
      <c r="S474" t="str">
        <f>sales_data!H2910</f>
        <v>Мониторы</v>
      </c>
      <c r="T474" t="str">
        <f>sales_data!I2910</f>
        <v>Monitor Curved</v>
      </c>
      <c r="U474" t="str">
        <f>sales_data!J2910</f>
        <v>Опт</v>
      </c>
      <c r="V474">
        <f>sales_data!K2910</f>
        <v>44</v>
      </c>
      <c r="W474">
        <f>sales_data!L2910</f>
        <v>16700</v>
      </c>
      <c r="X474">
        <f>sales_data!M2910</f>
        <v>734800</v>
      </c>
      <c r="Y474" t="str">
        <f>sales_data!N2910</f>
        <v>Офлайн-точка</v>
      </c>
      <c r="Z474" t="str">
        <f>sales_data!O2910</f>
        <v>Доставлен</v>
      </c>
    </row>
    <row r="475" spans="12:26" x14ac:dyDescent="0.25">
      <c r="L475">
        <f>sales_data!A2920</f>
        <v>3211</v>
      </c>
      <c r="M475">
        <f>sales_data!B2920</f>
        <v>45842</v>
      </c>
      <c r="N475">
        <f>sales_data!C2920</f>
        <v>4</v>
      </c>
      <c r="O475" t="str">
        <f>sales_data!D2920</f>
        <v>Июль</v>
      </c>
      <c r="P475" t="str">
        <f>sales_data!E2920</f>
        <v>Ольга</v>
      </c>
      <c r="Q475" t="str">
        <f>sales_data!F2920</f>
        <v>Челябинск</v>
      </c>
      <c r="R475" t="str">
        <f>sales_data!G2920</f>
        <v>Уральский</v>
      </c>
      <c r="S475" t="str">
        <f>sales_data!H2920</f>
        <v>Мониторы</v>
      </c>
      <c r="T475" t="str">
        <f>sales_data!I2920</f>
        <v>Monitor 24</v>
      </c>
      <c r="U475" t="str">
        <f>sales_data!J2920</f>
        <v>Розница</v>
      </c>
      <c r="V475">
        <f>sales_data!K2920</f>
        <v>3</v>
      </c>
      <c r="W475">
        <f>sales_data!L2920</f>
        <v>16900</v>
      </c>
      <c r="X475">
        <f>sales_data!M2920</f>
        <v>50700</v>
      </c>
      <c r="Y475" t="str">
        <f>sales_data!N2920</f>
        <v>Офлайн-точка</v>
      </c>
      <c r="Z475" t="str">
        <f>sales_data!O2920</f>
        <v>Доставлен</v>
      </c>
    </row>
    <row r="476" spans="12:26" x14ac:dyDescent="0.25">
      <c r="L476">
        <f>sales_data!A2924</f>
        <v>1521</v>
      </c>
      <c r="M476">
        <f>sales_data!B2924</f>
        <v>45853</v>
      </c>
      <c r="N476">
        <f>sales_data!C2924</f>
        <v>15</v>
      </c>
      <c r="O476" t="str">
        <f>sales_data!D2924</f>
        <v>Июль</v>
      </c>
      <c r="P476" t="str">
        <f>sales_data!E2924</f>
        <v>Павел</v>
      </c>
      <c r="Q476" t="str">
        <f>sales_data!F2924</f>
        <v>Уфа</v>
      </c>
      <c r="R476" t="str">
        <f>sales_data!G2924</f>
        <v>Приволжский</v>
      </c>
      <c r="S476" t="str">
        <f>sales_data!H2924</f>
        <v>Мониторы</v>
      </c>
      <c r="T476" t="str">
        <f>sales_data!I2924</f>
        <v>Monitor 24</v>
      </c>
      <c r="U476" t="str">
        <f>sales_data!J2924</f>
        <v>Розница</v>
      </c>
      <c r="V476">
        <f>sales_data!K2924</f>
        <v>5</v>
      </c>
      <c r="W476">
        <f>sales_data!L2924</f>
        <v>17000</v>
      </c>
      <c r="X476">
        <f>sales_data!M2924</f>
        <v>85000</v>
      </c>
      <c r="Y476" t="str">
        <f>sales_data!N2924</f>
        <v>Офлайн-точка</v>
      </c>
      <c r="Z476" t="str">
        <f>sales_data!O2924</f>
        <v>Доставлен</v>
      </c>
    </row>
    <row r="477" spans="12:26" x14ac:dyDescent="0.25">
      <c r="L477">
        <f>sales_data!A2926</f>
        <v>3091</v>
      </c>
      <c r="M477">
        <f>sales_data!B2926</f>
        <v>45813</v>
      </c>
      <c r="N477">
        <f>sales_data!C2926</f>
        <v>5</v>
      </c>
      <c r="O477" t="str">
        <f>sales_data!D2926</f>
        <v>Июнь</v>
      </c>
      <c r="P477" t="str">
        <f>sales_data!E2926</f>
        <v>Татьяна</v>
      </c>
      <c r="Q477" t="str">
        <f>sales_data!F2926</f>
        <v>Пермь</v>
      </c>
      <c r="R477" t="str">
        <f>sales_data!G2926</f>
        <v>Приволжский</v>
      </c>
      <c r="S477" t="str">
        <f>sales_data!H2926</f>
        <v>Мониторы</v>
      </c>
      <c r="T477" t="str">
        <f>sales_data!I2926</f>
        <v>Monitor Curved</v>
      </c>
      <c r="U477" t="str">
        <f>sales_data!J2926</f>
        <v>Опт</v>
      </c>
      <c r="V477">
        <f>sales_data!K2926</f>
        <v>30</v>
      </c>
      <c r="W477">
        <f>sales_data!L2926</f>
        <v>17000</v>
      </c>
      <c r="X477">
        <f>sales_data!M2926</f>
        <v>510000</v>
      </c>
      <c r="Y477" t="str">
        <f>sales_data!N2926</f>
        <v>Интернет-магазин</v>
      </c>
      <c r="Z477" t="str">
        <f>sales_data!O2926</f>
        <v>Отменён</v>
      </c>
    </row>
    <row r="478" spans="12:26" x14ac:dyDescent="0.25">
      <c r="L478">
        <f>sales_data!A2929</f>
        <v>4422</v>
      </c>
      <c r="M478">
        <f>sales_data!B2929</f>
        <v>45755</v>
      </c>
      <c r="N478">
        <f>sales_data!C2929</f>
        <v>8</v>
      </c>
      <c r="O478" t="str">
        <f>sales_data!D2929</f>
        <v>Апрель</v>
      </c>
      <c r="P478" t="str">
        <f>sales_data!E2929</f>
        <v>Дмитрий</v>
      </c>
      <c r="Q478" t="str">
        <f>sales_data!F2929</f>
        <v>Воронеж</v>
      </c>
      <c r="R478" t="str">
        <f>sales_data!G2929</f>
        <v>Центральный</v>
      </c>
      <c r="S478" t="str">
        <f>sales_data!H2929</f>
        <v>Мониторы</v>
      </c>
      <c r="T478" t="str">
        <f>sales_data!I2929</f>
        <v>Monitor 27</v>
      </c>
      <c r="U478" t="str">
        <f>sales_data!J2929</f>
        <v>Розница</v>
      </c>
      <c r="V478">
        <f>sales_data!K2929</f>
        <v>9</v>
      </c>
      <c r="W478">
        <f>sales_data!L2929</f>
        <v>17000</v>
      </c>
      <c r="X478">
        <f>sales_data!M2929</f>
        <v>153000</v>
      </c>
      <c r="Y478" t="str">
        <f>sales_data!N2929</f>
        <v>Офлайн-точка</v>
      </c>
      <c r="Z478" t="str">
        <f>sales_data!O2929</f>
        <v>В пути</v>
      </c>
    </row>
    <row r="479" spans="12:26" x14ac:dyDescent="0.25">
      <c r="L479">
        <f>sales_data!A2939</f>
        <v>1285</v>
      </c>
      <c r="M479">
        <f>sales_data!B2939</f>
        <v>45821</v>
      </c>
      <c r="N479">
        <f>sales_data!C2939</f>
        <v>13</v>
      </c>
      <c r="O479" t="str">
        <f>sales_data!D2939</f>
        <v>Июнь</v>
      </c>
      <c r="P479" t="str">
        <f>sales_data!E2939</f>
        <v>Ксения</v>
      </c>
      <c r="Q479" t="str">
        <f>sales_data!F2939</f>
        <v>Москва</v>
      </c>
      <c r="R479" t="str">
        <f>sales_data!G2939</f>
        <v>Центральный</v>
      </c>
      <c r="S479" t="str">
        <f>sales_data!H2939</f>
        <v>Мониторы</v>
      </c>
      <c r="T479" t="str">
        <f>sales_data!I2939</f>
        <v>Monitor 27</v>
      </c>
      <c r="U479" t="str">
        <f>sales_data!J2939</f>
        <v>Розница</v>
      </c>
      <c r="V479">
        <f>sales_data!K2939</f>
        <v>1</v>
      </c>
      <c r="W479">
        <f>sales_data!L2939</f>
        <v>17300</v>
      </c>
      <c r="X479">
        <f>sales_data!M2939</f>
        <v>17300</v>
      </c>
      <c r="Y479" t="str">
        <f>sales_data!N2939</f>
        <v>Офлайн-точка</v>
      </c>
      <c r="Z479" t="str">
        <f>sales_data!O2939</f>
        <v>Доставлен</v>
      </c>
    </row>
    <row r="480" spans="12:26" x14ac:dyDescent="0.25">
      <c r="L480">
        <f>sales_data!A2941</f>
        <v>1554</v>
      </c>
      <c r="M480">
        <f>sales_data!B2941</f>
        <v>45821</v>
      </c>
      <c r="N480">
        <f>sales_data!C2941</f>
        <v>13</v>
      </c>
      <c r="O480" t="str">
        <f>sales_data!D2941</f>
        <v>Июнь</v>
      </c>
      <c r="P480" t="str">
        <f>sales_data!E2941</f>
        <v>Наталья</v>
      </c>
      <c r="Q480" t="str">
        <f>sales_data!F2941</f>
        <v>Казань</v>
      </c>
      <c r="R480" t="str">
        <f>sales_data!G2941</f>
        <v>Приволжский</v>
      </c>
      <c r="S480" t="str">
        <f>sales_data!H2941</f>
        <v>Мониторы</v>
      </c>
      <c r="T480" t="str">
        <f>sales_data!I2941</f>
        <v>Monitor 27</v>
      </c>
      <c r="U480" t="str">
        <f>sales_data!J2941</f>
        <v>Розница</v>
      </c>
      <c r="V480">
        <f>sales_data!K2941</f>
        <v>7</v>
      </c>
      <c r="W480">
        <f>sales_data!L2941</f>
        <v>17300</v>
      </c>
      <c r="X480">
        <f>sales_data!M2941</f>
        <v>121100</v>
      </c>
      <c r="Y480" t="str">
        <f>sales_data!N2941</f>
        <v>Офлайн-точка</v>
      </c>
      <c r="Z480" t="str">
        <f>sales_data!O2941</f>
        <v>Отменён</v>
      </c>
    </row>
    <row r="481" spans="12:26" x14ac:dyDescent="0.25">
      <c r="L481">
        <f>sales_data!A2942</f>
        <v>1675</v>
      </c>
      <c r="M481">
        <f>sales_data!B2942</f>
        <v>45983</v>
      </c>
      <c r="N481">
        <f>sales_data!C2942</f>
        <v>22</v>
      </c>
      <c r="O481" t="str">
        <f>sales_data!D2942</f>
        <v>Ноябрь</v>
      </c>
      <c r="P481" t="str">
        <f>sales_data!E2942</f>
        <v>Игорь</v>
      </c>
      <c r="Q481" t="str">
        <f>sales_data!F2942</f>
        <v>Санкт-Петербург</v>
      </c>
      <c r="R481" t="str">
        <f>sales_data!G2942</f>
        <v>Северо-Западный</v>
      </c>
      <c r="S481" t="str">
        <f>sales_data!H2942</f>
        <v>Мониторы</v>
      </c>
      <c r="T481" t="str">
        <f>sales_data!I2942</f>
        <v>Monitor 24</v>
      </c>
      <c r="U481" t="str">
        <f>sales_data!J2942</f>
        <v>Розница</v>
      </c>
      <c r="V481">
        <f>sales_data!K2942</f>
        <v>6</v>
      </c>
      <c r="W481">
        <f>sales_data!L2942</f>
        <v>17300</v>
      </c>
      <c r="X481">
        <f>sales_data!M2942</f>
        <v>103800</v>
      </c>
      <c r="Y481" t="str">
        <f>sales_data!N2942</f>
        <v>Интернет-магазин</v>
      </c>
      <c r="Z481" t="str">
        <f>sales_data!O2942</f>
        <v>Доставлен</v>
      </c>
    </row>
    <row r="482" spans="12:26" x14ac:dyDescent="0.25">
      <c r="L482">
        <f>sales_data!A2945</f>
        <v>3392</v>
      </c>
      <c r="M482">
        <f>sales_data!B2945</f>
        <v>45993</v>
      </c>
      <c r="N482">
        <f>sales_data!C2945</f>
        <v>2</v>
      </c>
      <c r="O482" t="str">
        <f>sales_data!D2945</f>
        <v>Декабрь</v>
      </c>
      <c r="P482" t="str">
        <f>sales_data!E2945</f>
        <v>Ксения</v>
      </c>
      <c r="Q482" t="str">
        <f>sales_data!F2945</f>
        <v>Воронеж</v>
      </c>
      <c r="R482" t="str">
        <f>sales_data!G2945</f>
        <v>Центральный</v>
      </c>
      <c r="S482" t="str">
        <f>sales_data!H2945</f>
        <v>Мониторы</v>
      </c>
      <c r="T482" t="str">
        <f>sales_data!I2945</f>
        <v>Monitor 27</v>
      </c>
      <c r="U482" t="str">
        <f>sales_data!J2945</f>
        <v>Розница</v>
      </c>
      <c r="V482">
        <f>sales_data!K2945</f>
        <v>9</v>
      </c>
      <c r="W482">
        <f>sales_data!L2945</f>
        <v>17300</v>
      </c>
      <c r="X482">
        <f>sales_data!M2945</f>
        <v>155700</v>
      </c>
      <c r="Y482" t="str">
        <f>sales_data!N2945</f>
        <v>Офлайн-точка</v>
      </c>
      <c r="Z482" t="str">
        <f>sales_data!O2945</f>
        <v>В пути</v>
      </c>
    </row>
    <row r="483" spans="12:26" x14ac:dyDescent="0.25">
      <c r="L483">
        <f>sales_data!A2950</f>
        <v>4944</v>
      </c>
      <c r="M483">
        <f>sales_data!B2950</f>
        <v>45695</v>
      </c>
      <c r="N483">
        <f>sales_data!C2950</f>
        <v>7</v>
      </c>
      <c r="O483" t="str">
        <f>sales_data!D2950</f>
        <v>Февраль</v>
      </c>
      <c r="P483" t="str">
        <f>sales_data!E2950</f>
        <v>Светлана</v>
      </c>
      <c r="Q483" t="str">
        <f>sales_data!F2950</f>
        <v>Пермь</v>
      </c>
      <c r="R483" t="str">
        <f>sales_data!G2950</f>
        <v>Приволжский</v>
      </c>
      <c r="S483" t="str">
        <f>sales_data!H2950</f>
        <v>Мониторы</v>
      </c>
      <c r="T483" t="str">
        <f>sales_data!I2950</f>
        <v>Monitor 27</v>
      </c>
      <c r="U483" t="str">
        <f>sales_data!J2950</f>
        <v>Розница</v>
      </c>
      <c r="V483">
        <f>sales_data!K2950</f>
        <v>9</v>
      </c>
      <c r="W483">
        <f>sales_data!L2950</f>
        <v>17300</v>
      </c>
      <c r="X483">
        <f>sales_data!M2950</f>
        <v>155700</v>
      </c>
      <c r="Y483" t="str">
        <f>sales_data!N2950</f>
        <v>Офлайн-точка</v>
      </c>
      <c r="Z483" t="str">
        <f>sales_data!O2950</f>
        <v>В пути</v>
      </c>
    </row>
    <row r="484" spans="12:26" x14ac:dyDescent="0.25">
      <c r="L484">
        <f>sales_data!A2961</f>
        <v>1472</v>
      </c>
      <c r="M484">
        <f>sales_data!B2961</f>
        <v>45973</v>
      </c>
      <c r="N484">
        <f>sales_data!C2961</f>
        <v>12</v>
      </c>
      <c r="O484" t="str">
        <f>sales_data!D2961</f>
        <v>Ноябрь</v>
      </c>
      <c r="P484" t="str">
        <f>sales_data!E2961</f>
        <v>Борис</v>
      </c>
      <c r="Q484" t="str">
        <f>sales_data!F2961</f>
        <v>Нижний Новгород</v>
      </c>
      <c r="R484" t="str">
        <f>sales_data!G2961</f>
        <v>Приволжский</v>
      </c>
      <c r="S484" t="str">
        <f>sales_data!H2961</f>
        <v>Мониторы</v>
      </c>
      <c r="T484" t="str">
        <f>sales_data!I2961</f>
        <v>Monitor 27</v>
      </c>
      <c r="U484" t="str">
        <f>sales_data!J2961</f>
        <v>Розница</v>
      </c>
      <c r="V484">
        <f>sales_data!K2961</f>
        <v>3</v>
      </c>
      <c r="W484">
        <f>sales_data!L2961</f>
        <v>17500</v>
      </c>
      <c r="X484">
        <f>sales_data!M2961</f>
        <v>52500</v>
      </c>
      <c r="Y484" t="str">
        <f>sales_data!N2961</f>
        <v>Интернет-магазин</v>
      </c>
      <c r="Z484" t="str">
        <f>sales_data!O2961</f>
        <v>Доставлен</v>
      </c>
    </row>
    <row r="485" spans="12:26" x14ac:dyDescent="0.25">
      <c r="L485">
        <f>sales_data!A2966</f>
        <v>4761</v>
      </c>
      <c r="M485">
        <f>sales_data!B2966</f>
        <v>45951</v>
      </c>
      <c r="N485">
        <f>sales_data!C2966</f>
        <v>21</v>
      </c>
      <c r="O485" t="str">
        <f>sales_data!D2966</f>
        <v>Октябрь</v>
      </c>
      <c r="P485" t="str">
        <f>sales_data!E2966</f>
        <v>Наталья</v>
      </c>
      <c r="Q485" t="str">
        <f>sales_data!F2966</f>
        <v>Екатеринбург</v>
      </c>
      <c r="R485" t="str">
        <f>sales_data!G2966</f>
        <v>Уральский</v>
      </c>
      <c r="S485" t="str">
        <f>sales_data!H2966</f>
        <v>Мониторы</v>
      </c>
      <c r="T485" t="str">
        <f>sales_data!I2966</f>
        <v>Monitor Curved</v>
      </c>
      <c r="U485" t="str">
        <f>sales_data!J2966</f>
        <v>Опт</v>
      </c>
      <c r="V485">
        <f>sales_data!K2966</f>
        <v>22</v>
      </c>
      <c r="W485">
        <f>sales_data!L2966</f>
        <v>17500</v>
      </c>
      <c r="X485">
        <f>sales_data!M2966</f>
        <v>385000</v>
      </c>
      <c r="Y485" t="str">
        <f>sales_data!N2966</f>
        <v>Интернет-магазин</v>
      </c>
      <c r="Z485" t="str">
        <f>sales_data!O2966</f>
        <v>Доставлен</v>
      </c>
    </row>
    <row r="486" spans="12:26" x14ac:dyDescent="0.25">
      <c r="L486">
        <f>sales_data!A2967</f>
        <v>4929</v>
      </c>
      <c r="M486">
        <f>sales_data!B2967</f>
        <v>45859</v>
      </c>
      <c r="N486">
        <f>sales_data!C2967</f>
        <v>21</v>
      </c>
      <c r="O486" t="str">
        <f>sales_data!D2967</f>
        <v>Июль</v>
      </c>
      <c r="P486" t="str">
        <f>sales_data!E2967</f>
        <v>Светлана</v>
      </c>
      <c r="Q486" t="str">
        <f>sales_data!F2967</f>
        <v>Челябинск</v>
      </c>
      <c r="R486" t="str">
        <f>sales_data!G2967</f>
        <v>Уральский</v>
      </c>
      <c r="S486" t="str">
        <f>sales_data!H2967</f>
        <v>Мониторы</v>
      </c>
      <c r="T486" t="str">
        <f>sales_data!I2967</f>
        <v>Monitor Curved</v>
      </c>
      <c r="U486" t="str">
        <f>sales_data!J2967</f>
        <v>Опт</v>
      </c>
      <c r="V486">
        <f>sales_data!K2967</f>
        <v>26</v>
      </c>
      <c r="W486">
        <f>sales_data!L2967</f>
        <v>17500</v>
      </c>
      <c r="X486">
        <f>sales_data!M2967</f>
        <v>455000</v>
      </c>
      <c r="Y486" t="str">
        <f>sales_data!N2967</f>
        <v>Интернет-магазин</v>
      </c>
      <c r="Z486" t="str">
        <f>sales_data!O2967</f>
        <v>Отменён</v>
      </c>
    </row>
    <row r="487" spans="12:26" x14ac:dyDescent="0.25">
      <c r="L487">
        <f>sales_data!A2968</f>
        <v>269</v>
      </c>
      <c r="M487">
        <f>sales_data!B2968</f>
        <v>45929</v>
      </c>
      <c r="N487">
        <f>sales_data!C2968</f>
        <v>29</v>
      </c>
      <c r="O487" t="str">
        <f>sales_data!D2968</f>
        <v>Сентябрь</v>
      </c>
      <c r="P487" t="str">
        <f>sales_data!E2968</f>
        <v>Дмитрий</v>
      </c>
      <c r="Q487" t="str">
        <f>sales_data!F2968</f>
        <v>Ростов-на-Дону</v>
      </c>
      <c r="R487" t="str">
        <f>sales_data!G2968</f>
        <v>Южный</v>
      </c>
      <c r="S487" t="str">
        <f>sales_data!H2968</f>
        <v>Мониторы</v>
      </c>
      <c r="T487" t="str">
        <f>sales_data!I2968</f>
        <v>Monitor 27</v>
      </c>
      <c r="U487" t="str">
        <f>sales_data!J2968</f>
        <v>Розница</v>
      </c>
      <c r="V487">
        <f>sales_data!K2968</f>
        <v>7</v>
      </c>
      <c r="W487">
        <f>sales_data!L2968</f>
        <v>17600</v>
      </c>
      <c r="X487">
        <f>sales_data!M2968</f>
        <v>123200</v>
      </c>
      <c r="Y487" t="str">
        <f>sales_data!N2968</f>
        <v>Офлайн-точка</v>
      </c>
      <c r="Z487" t="str">
        <f>sales_data!O2968</f>
        <v>Отменён</v>
      </c>
    </row>
    <row r="488" spans="12:26" x14ac:dyDescent="0.25">
      <c r="L488">
        <f>sales_data!A2974</f>
        <v>479</v>
      </c>
      <c r="M488">
        <f>sales_data!B2974</f>
        <v>45734</v>
      </c>
      <c r="N488">
        <f>sales_data!C2974</f>
        <v>18</v>
      </c>
      <c r="O488" t="str">
        <f>sales_data!D2974</f>
        <v>Март</v>
      </c>
      <c r="P488" t="str">
        <f>sales_data!E2974</f>
        <v>Мария</v>
      </c>
      <c r="Q488" t="str">
        <f>sales_data!F2974</f>
        <v>Красноярск</v>
      </c>
      <c r="R488" t="str">
        <f>sales_data!G2974</f>
        <v>Сибирский</v>
      </c>
      <c r="S488" t="str">
        <f>sales_data!H2974</f>
        <v>Мониторы</v>
      </c>
      <c r="T488" t="str">
        <f>sales_data!I2974</f>
        <v>Monitor 27</v>
      </c>
      <c r="U488" t="str">
        <f>sales_data!J2974</f>
        <v>Опт</v>
      </c>
      <c r="V488">
        <f>sales_data!K2974</f>
        <v>47</v>
      </c>
      <c r="W488">
        <f>sales_data!L2974</f>
        <v>17700</v>
      </c>
      <c r="X488">
        <f>sales_data!M2974</f>
        <v>831900</v>
      </c>
      <c r="Y488" t="str">
        <f>sales_data!N2974</f>
        <v>Офлайн-точка</v>
      </c>
      <c r="Z488" t="str">
        <f>sales_data!O2974</f>
        <v>Отменён</v>
      </c>
    </row>
    <row r="489" spans="12:26" x14ac:dyDescent="0.25">
      <c r="L489">
        <f>sales_data!A2977</f>
        <v>2645</v>
      </c>
      <c r="M489">
        <f>sales_data!B2977</f>
        <v>45906</v>
      </c>
      <c r="N489">
        <f>sales_data!C2977</f>
        <v>6</v>
      </c>
      <c r="O489" t="str">
        <f>sales_data!D2977</f>
        <v>Сентябрь</v>
      </c>
      <c r="P489" t="str">
        <f>sales_data!E2977</f>
        <v>Татьяна</v>
      </c>
      <c r="Q489" t="str">
        <f>sales_data!F2977</f>
        <v>Краснодар</v>
      </c>
      <c r="R489" t="str">
        <f>sales_data!G2977</f>
        <v>Южный</v>
      </c>
      <c r="S489" t="str">
        <f>sales_data!H2977</f>
        <v>Мониторы</v>
      </c>
      <c r="T489" t="str">
        <f>sales_data!I2977</f>
        <v>Monitor Curved</v>
      </c>
      <c r="U489" t="str">
        <f>sales_data!J2977</f>
        <v>Опт</v>
      </c>
      <c r="V489">
        <f>sales_data!K2977</f>
        <v>12</v>
      </c>
      <c r="W489">
        <f>sales_data!L2977</f>
        <v>17700</v>
      </c>
      <c r="X489">
        <f>sales_data!M2977</f>
        <v>212400</v>
      </c>
      <c r="Y489" t="str">
        <f>sales_data!N2977</f>
        <v>Офлайн-точка</v>
      </c>
      <c r="Z489" t="str">
        <f>sales_data!O2977</f>
        <v>Доставлен</v>
      </c>
    </row>
    <row r="490" spans="12:26" x14ac:dyDescent="0.25">
      <c r="L490">
        <f>sales_data!A2992</f>
        <v>3099</v>
      </c>
      <c r="M490">
        <f>sales_data!B2992</f>
        <v>45865</v>
      </c>
      <c r="N490">
        <f>sales_data!C2992</f>
        <v>27</v>
      </c>
      <c r="O490" t="str">
        <f>sales_data!D2992</f>
        <v>Июль</v>
      </c>
      <c r="P490" t="str">
        <f>sales_data!E2992</f>
        <v>Сергей</v>
      </c>
      <c r="Q490" t="str">
        <f>sales_data!F2992</f>
        <v>Екатеринбург</v>
      </c>
      <c r="R490" t="str">
        <f>sales_data!G2992</f>
        <v>Уральский</v>
      </c>
      <c r="S490" t="str">
        <f>sales_data!H2992</f>
        <v>Мониторы</v>
      </c>
      <c r="T490" t="str">
        <f>sales_data!I2992</f>
        <v>Monitor 27</v>
      </c>
      <c r="U490" t="str">
        <f>sales_data!J2992</f>
        <v>Розница</v>
      </c>
      <c r="V490">
        <f>sales_data!K2992</f>
        <v>10</v>
      </c>
      <c r="W490">
        <f>sales_data!L2992</f>
        <v>17900</v>
      </c>
      <c r="X490">
        <f>sales_data!M2992</f>
        <v>179000</v>
      </c>
      <c r="Y490" t="str">
        <f>sales_data!N2992</f>
        <v>Интернет-магазин</v>
      </c>
      <c r="Z490" t="str">
        <f>sales_data!O2992</f>
        <v>Доставлен</v>
      </c>
    </row>
    <row r="491" spans="12:26" x14ac:dyDescent="0.25">
      <c r="L491">
        <f>sales_data!A3001</f>
        <v>53</v>
      </c>
      <c r="M491">
        <f>sales_data!B3001</f>
        <v>45717</v>
      </c>
      <c r="N491">
        <f>sales_data!C3001</f>
        <v>1</v>
      </c>
      <c r="O491" t="str">
        <f>sales_data!D3001</f>
        <v>Март</v>
      </c>
      <c r="P491" t="str">
        <f>sales_data!E3001</f>
        <v>Ксения</v>
      </c>
      <c r="Q491" t="str">
        <f>sales_data!F3001</f>
        <v>Екатеринбург</v>
      </c>
      <c r="R491" t="str">
        <f>sales_data!G3001</f>
        <v>Уральский</v>
      </c>
      <c r="S491" t="str">
        <f>sales_data!H3001</f>
        <v>Мониторы</v>
      </c>
      <c r="T491" t="str">
        <f>sales_data!I3001</f>
        <v>Monitor Curved</v>
      </c>
      <c r="U491" t="str">
        <f>sales_data!J3001</f>
        <v>Опт</v>
      </c>
      <c r="V491">
        <f>sales_data!K3001</f>
        <v>7</v>
      </c>
      <c r="W491">
        <f>sales_data!L3001</f>
        <v>18100</v>
      </c>
      <c r="X491">
        <f>sales_data!M3001</f>
        <v>126700</v>
      </c>
      <c r="Y491" t="str">
        <f>sales_data!N3001</f>
        <v>Интернет-магазин</v>
      </c>
      <c r="Z491" t="str">
        <f>sales_data!O3001</f>
        <v>Отменён</v>
      </c>
    </row>
    <row r="492" spans="12:26" x14ac:dyDescent="0.25">
      <c r="L492">
        <f>sales_data!A3006</f>
        <v>219</v>
      </c>
      <c r="M492">
        <f>sales_data!B3006</f>
        <v>45878</v>
      </c>
      <c r="N492">
        <f>sales_data!C3006</f>
        <v>9</v>
      </c>
      <c r="O492" t="str">
        <f>sales_data!D3006</f>
        <v>Август</v>
      </c>
      <c r="P492" t="str">
        <f>sales_data!E3006</f>
        <v>Сергей</v>
      </c>
      <c r="Q492" t="str">
        <f>sales_data!F3006</f>
        <v>Пермь</v>
      </c>
      <c r="R492" t="str">
        <f>sales_data!G3006</f>
        <v>Приволжский</v>
      </c>
      <c r="S492" t="str">
        <f>sales_data!H3006</f>
        <v>Мониторы</v>
      </c>
      <c r="T492" t="str">
        <f>sales_data!I3006</f>
        <v>Monitor Curved</v>
      </c>
      <c r="U492" t="str">
        <f>sales_data!J3006</f>
        <v>Опт</v>
      </c>
      <c r="V492">
        <f>sales_data!K3006</f>
        <v>25</v>
      </c>
      <c r="W492">
        <f>sales_data!L3006</f>
        <v>18200</v>
      </c>
      <c r="X492">
        <f>sales_data!M3006</f>
        <v>455000</v>
      </c>
      <c r="Y492" t="str">
        <f>sales_data!N3006</f>
        <v>Интернет-магазин</v>
      </c>
      <c r="Z492" t="str">
        <f>sales_data!O3006</f>
        <v>Доставлен</v>
      </c>
    </row>
    <row r="493" spans="12:26" x14ac:dyDescent="0.25">
      <c r="L493">
        <f>sales_data!A3014</f>
        <v>4189</v>
      </c>
      <c r="M493">
        <f>sales_data!B3014</f>
        <v>45958</v>
      </c>
      <c r="N493">
        <f>sales_data!C3014</f>
        <v>28</v>
      </c>
      <c r="O493" t="str">
        <f>sales_data!D3014</f>
        <v>Октябрь</v>
      </c>
      <c r="P493" t="str">
        <f>sales_data!E3014</f>
        <v>Сергей</v>
      </c>
      <c r="Q493" t="str">
        <f>sales_data!F3014</f>
        <v>Краснодар</v>
      </c>
      <c r="R493" t="str">
        <f>sales_data!G3014</f>
        <v>Южный</v>
      </c>
      <c r="S493" t="str">
        <f>sales_data!H3014</f>
        <v>Мониторы</v>
      </c>
      <c r="T493" t="str">
        <f>sales_data!I3014</f>
        <v>Monitor Curved</v>
      </c>
      <c r="U493" t="str">
        <f>sales_data!J3014</f>
        <v>Опт</v>
      </c>
      <c r="V493">
        <f>sales_data!K3014</f>
        <v>48</v>
      </c>
      <c r="W493">
        <f>sales_data!L3014</f>
        <v>18300</v>
      </c>
      <c r="X493">
        <f>sales_data!M3014</f>
        <v>878400</v>
      </c>
      <c r="Y493" t="str">
        <f>sales_data!N3014</f>
        <v>Интернет-магазин</v>
      </c>
      <c r="Z493" t="str">
        <f>sales_data!O3014</f>
        <v>Отменён</v>
      </c>
    </row>
    <row r="494" spans="12:26" x14ac:dyDescent="0.25">
      <c r="L494">
        <f>sales_data!A3022</f>
        <v>4491</v>
      </c>
      <c r="M494">
        <f>sales_data!B3022</f>
        <v>45741</v>
      </c>
      <c r="N494">
        <f>sales_data!C3022</f>
        <v>25</v>
      </c>
      <c r="O494" t="str">
        <f>sales_data!D3022</f>
        <v>Март</v>
      </c>
      <c r="P494" t="str">
        <f>sales_data!E3022</f>
        <v>Борис</v>
      </c>
      <c r="Q494" t="str">
        <f>sales_data!F3022</f>
        <v>Санкт-Петербург</v>
      </c>
      <c r="R494" t="str">
        <f>sales_data!G3022</f>
        <v>Северо-Западный</v>
      </c>
      <c r="S494" t="str">
        <f>sales_data!H3022</f>
        <v>Мониторы</v>
      </c>
      <c r="T494" t="str">
        <f>sales_data!I3022</f>
        <v>Monitor 27</v>
      </c>
      <c r="U494" t="str">
        <f>sales_data!J3022</f>
        <v>Розница</v>
      </c>
      <c r="V494">
        <f>sales_data!K3022</f>
        <v>7</v>
      </c>
      <c r="W494">
        <f>sales_data!L3022</f>
        <v>18400</v>
      </c>
      <c r="X494">
        <f>sales_data!M3022</f>
        <v>128800</v>
      </c>
      <c r="Y494" t="str">
        <f>sales_data!N3022</f>
        <v>Интернет-магазин</v>
      </c>
      <c r="Z494" t="str">
        <f>sales_data!O3022</f>
        <v>Отменён</v>
      </c>
    </row>
    <row r="495" spans="12:26" x14ac:dyDescent="0.25">
      <c r="L495">
        <f>sales_data!A3030</f>
        <v>181</v>
      </c>
      <c r="M495">
        <f>sales_data!B3030</f>
        <v>45759</v>
      </c>
      <c r="N495">
        <f>sales_data!C3030</f>
        <v>12</v>
      </c>
      <c r="O495" t="str">
        <f>sales_data!D3030</f>
        <v>Апрель</v>
      </c>
      <c r="P495" t="str">
        <f>sales_data!E3030</f>
        <v>Светлана</v>
      </c>
      <c r="Q495" t="str">
        <f>sales_data!F3030</f>
        <v>Омск</v>
      </c>
      <c r="R495" t="str">
        <f>sales_data!G3030</f>
        <v>Сибирский</v>
      </c>
      <c r="S495" t="str">
        <f>sales_data!H3030</f>
        <v>Мониторы</v>
      </c>
      <c r="T495" t="str">
        <f>sales_data!I3030</f>
        <v>Monitor 27</v>
      </c>
      <c r="U495" t="str">
        <f>sales_data!J3030</f>
        <v>Розница</v>
      </c>
      <c r="V495">
        <f>sales_data!K3030</f>
        <v>8</v>
      </c>
      <c r="W495">
        <f>sales_data!L3030</f>
        <v>18600</v>
      </c>
      <c r="X495">
        <f>sales_data!M3030</f>
        <v>148800</v>
      </c>
      <c r="Y495" t="str">
        <f>sales_data!N3030</f>
        <v>Офлайн-точка</v>
      </c>
      <c r="Z495" t="str">
        <f>sales_data!O3030</f>
        <v>Отменён</v>
      </c>
    </row>
    <row r="496" spans="12:26" x14ac:dyDescent="0.25">
      <c r="L496">
        <f>sales_data!A3037</f>
        <v>536</v>
      </c>
      <c r="M496">
        <f>sales_data!B3037</f>
        <v>46003</v>
      </c>
      <c r="N496">
        <f>sales_data!C3037</f>
        <v>12</v>
      </c>
      <c r="O496" t="str">
        <f>sales_data!D3037</f>
        <v>Декабрь</v>
      </c>
      <c r="P496" t="str">
        <f>sales_data!E3037</f>
        <v>Алексей</v>
      </c>
      <c r="Q496" t="str">
        <f>sales_data!F3037</f>
        <v>Самара</v>
      </c>
      <c r="R496" t="str">
        <f>sales_data!G3037</f>
        <v>Приволжский</v>
      </c>
      <c r="S496" t="str">
        <f>sales_data!H3037</f>
        <v>Мониторы</v>
      </c>
      <c r="T496" t="str">
        <f>sales_data!I3037</f>
        <v>Monitor Curved</v>
      </c>
      <c r="U496" t="str">
        <f>sales_data!J3037</f>
        <v>Опт</v>
      </c>
      <c r="V496">
        <f>sales_data!K3037</f>
        <v>20</v>
      </c>
      <c r="W496">
        <f>sales_data!L3037</f>
        <v>18700</v>
      </c>
      <c r="X496">
        <f>sales_data!M3037</f>
        <v>374000</v>
      </c>
      <c r="Y496" t="str">
        <f>sales_data!N3037</f>
        <v>Офлайн-точка</v>
      </c>
      <c r="Z496" t="str">
        <f>sales_data!O3037</f>
        <v>Отменён</v>
      </c>
    </row>
    <row r="497" spans="12:26" x14ac:dyDescent="0.25">
      <c r="L497">
        <f>sales_data!A3052</f>
        <v>2659</v>
      </c>
      <c r="M497">
        <f>sales_data!B3052</f>
        <v>45779</v>
      </c>
      <c r="N497">
        <f>sales_data!C3052</f>
        <v>2</v>
      </c>
      <c r="O497" t="str">
        <f>sales_data!D3052</f>
        <v>Май</v>
      </c>
      <c r="P497" t="str">
        <f>sales_data!E3052</f>
        <v>Владимир</v>
      </c>
      <c r="Q497" t="str">
        <f>sales_data!F3052</f>
        <v>Ростов-на-Дону</v>
      </c>
      <c r="R497" t="str">
        <f>sales_data!G3052</f>
        <v>Южный</v>
      </c>
      <c r="S497" t="str">
        <f>sales_data!H3052</f>
        <v>Мониторы</v>
      </c>
      <c r="T497" t="str">
        <f>sales_data!I3052</f>
        <v>Monitor Curved</v>
      </c>
      <c r="U497" t="str">
        <f>sales_data!J3052</f>
        <v>Опт</v>
      </c>
      <c r="V497">
        <f>sales_data!K3052</f>
        <v>17</v>
      </c>
      <c r="W497">
        <f>sales_data!L3052</f>
        <v>18900</v>
      </c>
      <c r="X497">
        <f>sales_data!M3052</f>
        <v>321300</v>
      </c>
      <c r="Y497" t="str">
        <f>sales_data!N3052</f>
        <v>Интернет-магазин</v>
      </c>
      <c r="Z497" t="str">
        <f>sales_data!O3052</f>
        <v>Отменён</v>
      </c>
    </row>
    <row r="498" spans="12:26" x14ac:dyDescent="0.25">
      <c r="L498">
        <f>sales_data!A3056</f>
        <v>152</v>
      </c>
      <c r="M498">
        <f>sales_data!B3056</f>
        <v>45841</v>
      </c>
      <c r="N498">
        <f>sales_data!C3056</f>
        <v>3</v>
      </c>
      <c r="O498" t="str">
        <f>sales_data!D3056</f>
        <v>Июль</v>
      </c>
      <c r="P498" t="str">
        <f>sales_data!E3056</f>
        <v>Наталья</v>
      </c>
      <c r="Q498" t="str">
        <f>sales_data!F3056</f>
        <v>Красноярск</v>
      </c>
      <c r="R498" t="str">
        <f>sales_data!G3056</f>
        <v>Сибирский</v>
      </c>
      <c r="S498" t="str">
        <f>sales_data!H3056</f>
        <v>Мониторы</v>
      </c>
      <c r="T498" t="str">
        <f>sales_data!I3056</f>
        <v>Monitor Curved</v>
      </c>
      <c r="U498" t="str">
        <f>sales_data!J3056</f>
        <v>Опт</v>
      </c>
      <c r="V498">
        <f>sales_data!K3056</f>
        <v>6</v>
      </c>
      <c r="W498">
        <f>sales_data!L3056</f>
        <v>19000</v>
      </c>
      <c r="X498">
        <f>sales_data!M3056</f>
        <v>114000</v>
      </c>
      <c r="Y498" t="str">
        <f>sales_data!N3056</f>
        <v>Интернет-магазин</v>
      </c>
      <c r="Z498" t="str">
        <f>sales_data!O3056</f>
        <v>В пути</v>
      </c>
    </row>
    <row r="499" spans="12:26" x14ac:dyDescent="0.25">
      <c r="L499">
        <f>sales_data!A3058</f>
        <v>672</v>
      </c>
      <c r="M499">
        <f>sales_data!B3058</f>
        <v>45689</v>
      </c>
      <c r="N499">
        <f>sales_data!C3058</f>
        <v>1</v>
      </c>
      <c r="O499" t="str">
        <f>sales_data!D3058</f>
        <v>Февраль</v>
      </c>
      <c r="P499" t="str">
        <f>sales_data!E3058</f>
        <v>Игорь</v>
      </c>
      <c r="Q499" t="str">
        <f>sales_data!F3058</f>
        <v>Самара</v>
      </c>
      <c r="R499" t="str">
        <f>sales_data!G3058</f>
        <v>Приволжский</v>
      </c>
      <c r="S499" t="str">
        <f>sales_data!H3058</f>
        <v>Серверы</v>
      </c>
      <c r="T499" t="str">
        <f>sales_data!I3058</f>
        <v>Network Switch</v>
      </c>
      <c r="U499" t="str">
        <f>sales_data!J3058</f>
        <v>Опт</v>
      </c>
      <c r="V499">
        <f>sales_data!K3058</f>
        <v>50</v>
      </c>
      <c r="W499">
        <f>sales_data!L3058</f>
        <v>19000</v>
      </c>
      <c r="X499">
        <f>sales_data!M3058</f>
        <v>950000</v>
      </c>
      <c r="Y499" t="str">
        <f>sales_data!N3058</f>
        <v>Интернет-магазин</v>
      </c>
      <c r="Z499" t="str">
        <f>sales_data!O3058</f>
        <v>Отменён</v>
      </c>
    </row>
    <row r="500" spans="12:26" x14ac:dyDescent="0.25">
      <c r="L500">
        <f>sales_data!A3060</f>
        <v>3024</v>
      </c>
      <c r="M500">
        <f>sales_data!B3060</f>
        <v>45741</v>
      </c>
      <c r="N500">
        <f>sales_data!C3060</f>
        <v>25</v>
      </c>
      <c r="O500" t="str">
        <f>sales_data!D3060</f>
        <v>Март</v>
      </c>
      <c r="P500" t="str">
        <f>sales_data!E3060</f>
        <v>Сергей</v>
      </c>
      <c r="Q500" t="str">
        <f>sales_data!F3060</f>
        <v>Нижний Новгород</v>
      </c>
      <c r="R500" t="str">
        <f>sales_data!G3060</f>
        <v>Приволжский</v>
      </c>
      <c r="S500" t="str">
        <f>sales_data!H3060</f>
        <v>Мониторы</v>
      </c>
      <c r="T500" t="str">
        <f>sales_data!I3060</f>
        <v>Monitor 27</v>
      </c>
      <c r="U500" t="str">
        <f>sales_data!J3060</f>
        <v>Розница</v>
      </c>
      <c r="V500">
        <f>sales_data!K3060</f>
        <v>6</v>
      </c>
      <c r="W500">
        <f>sales_data!L3060</f>
        <v>19000</v>
      </c>
      <c r="X500">
        <f>sales_data!M3060</f>
        <v>114000</v>
      </c>
      <c r="Y500" t="str">
        <f>sales_data!N3060</f>
        <v>Интернет-магазин</v>
      </c>
      <c r="Z500" t="str">
        <f>sales_data!O3060</f>
        <v>Доставлен</v>
      </c>
    </row>
    <row r="501" spans="12:26" x14ac:dyDescent="0.25">
      <c r="L501">
        <f>sales_data!A3069</f>
        <v>1420</v>
      </c>
      <c r="M501">
        <f>sales_data!B3069</f>
        <v>46015</v>
      </c>
      <c r="N501">
        <f>sales_data!C3069</f>
        <v>24</v>
      </c>
      <c r="O501" t="str">
        <f>sales_data!D3069</f>
        <v>Декабрь</v>
      </c>
      <c r="P501" t="str">
        <f>sales_data!E3069</f>
        <v>Светлана</v>
      </c>
      <c r="Q501" t="str">
        <f>sales_data!F3069</f>
        <v>Воронеж</v>
      </c>
      <c r="R501" t="str">
        <f>sales_data!G3069</f>
        <v>Центральный</v>
      </c>
      <c r="S501" t="str">
        <f>sales_data!H3069</f>
        <v>Мониторы</v>
      </c>
      <c r="T501" t="str">
        <f>sales_data!I3069</f>
        <v>Monitor Curved</v>
      </c>
      <c r="U501" t="str">
        <f>sales_data!J3069</f>
        <v>Опт</v>
      </c>
      <c r="V501">
        <f>sales_data!K3069</f>
        <v>12</v>
      </c>
      <c r="W501">
        <f>sales_data!L3069</f>
        <v>19200</v>
      </c>
      <c r="X501">
        <f>sales_data!M3069</f>
        <v>230400</v>
      </c>
      <c r="Y501" t="str">
        <f>sales_data!N3069</f>
        <v>Интернет-магазин</v>
      </c>
      <c r="Z501" t="str">
        <f>sales_data!O3069</f>
        <v>В пути</v>
      </c>
    </row>
    <row r="502" spans="12:26" x14ac:dyDescent="0.25">
      <c r="L502">
        <f>sales_data!A3080</f>
        <v>1155</v>
      </c>
      <c r="M502">
        <f>sales_data!B3080</f>
        <v>45931</v>
      </c>
      <c r="N502">
        <f>sales_data!C3080</f>
        <v>1</v>
      </c>
      <c r="O502" t="str">
        <f>sales_data!D3080</f>
        <v>Октябрь</v>
      </c>
      <c r="P502" t="str">
        <f>sales_data!E3080</f>
        <v>Алексей</v>
      </c>
      <c r="Q502" t="str">
        <f>sales_data!F3080</f>
        <v>Нижний Новгород</v>
      </c>
      <c r="R502" t="str">
        <f>sales_data!G3080</f>
        <v>Приволжский</v>
      </c>
      <c r="S502" t="str">
        <f>sales_data!H3080</f>
        <v>Мониторы</v>
      </c>
      <c r="T502" t="str">
        <f>sales_data!I3080</f>
        <v>Monitor 27</v>
      </c>
      <c r="U502" t="str">
        <f>sales_data!J3080</f>
        <v>Розница</v>
      </c>
      <c r="V502">
        <f>sales_data!K3080</f>
        <v>5</v>
      </c>
      <c r="W502">
        <f>sales_data!L3080</f>
        <v>19500</v>
      </c>
      <c r="X502">
        <f>sales_data!M3080</f>
        <v>97500</v>
      </c>
      <c r="Y502" t="str">
        <f>sales_data!N3080</f>
        <v>Интернет-магазин</v>
      </c>
      <c r="Z502" t="str">
        <f>sales_data!O3080</f>
        <v>В пути</v>
      </c>
    </row>
    <row r="503" spans="12:26" x14ac:dyDescent="0.25">
      <c r="L503">
        <f>sales_data!A3083</f>
        <v>2058</v>
      </c>
      <c r="M503">
        <f>sales_data!B3083</f>
        <v>45926</v>
      </c>
      <c r="N503">
        <f>sales_data!C3083</f>
        <v>26</v>
      </c>
      <c r="O503" t="str">
        <f>sales_data!D3083</f>
        <v>Сентябрь</v>
      </c>
      <c r="P503" t="str">
        <f>sales_data!E3083</f>
        <v>Ксения</v>
      </c>
      <c r="Q503" t="str">
        <f>sales_data!F3083</f>
        <v>Нижний Новгород</v>
      </c>
      <c r="R503" t="str">
        <f>sales_data!G3083</f>
        <v>Приволжский</v>
      </c>
      <c r="S503" t="str">
        <f>sales_data!H3083</f>
        <v>Мониторы</v>
      </c>
      <c r="T503" t="str">
        <f>sales_data!I3083</f>
        <v>Monitor Curved</v>
      </c>
      <c r="U503" t="str">
        <f>sales_data!J3083</f>
        <v>Опт</v>
      </c>
      <c r="V503">
        <f>sales_data!K3083</f>
        <v>13</v>
      </c>
      <c r="W503">
        <f>sales_data!L3083</f>
        <v>19500</v>
      </c>
      <c r="X503">
        <f>sales_data!M3083</f>
        <v>253500</v>
      </c>
      <c r="Y503" t="str">
        <f>sales_data!N3083</f>
        <v>Интернет-магазин</v>
      </c>
      <c r="Z503" t="str">
        <f>sales_data!O3083</f>
        <v>Доставлен</v>
      </c>
    </row>
    <row r="504" spans="12:26" x14ac:dyDescent="0.25">
      <c r="L504">
        <f>sales_data!A3092</f>
        <v>4114</v>
      </c>
      <c r="M504">
        <f>sales_data!B3092</f>
        <v>45931</v>
      </c>
      <c r="N504">
        <f>sales_data!C3092</f>
        <v>1</v>
      </c>
      <c r="O504" t="str">
        <f>sales_data!D3092</f>
        <v>Октябрь</v>
      </c>
      <c r="P504" t="str">
        <f>sales_data!E3092</f>
        <v>Светлана</v>
      </c>
      <c r="Q504" t="str">
        <f>sales_data!F3092</f>
        <v>Воронеж</v>
      </c>
      <c r="R504" t="str">
        <f>sales_data!G3092</f>
        <v>Центральный</v>
      </c>
      <c r="S504" t="str">
        <f>sales_data!H3092</f>
        <v>Серверы</v>
      </c>
      <c r="T504" t="str">
        <f>sales_data!I3092</f>
        <v>Network Switch</v>
      </c>
      <c r="U504" t="str">
        <f>sales_data!J3092</f>
        <v>Опт</v>
      </c>
      <c r="V504">
        <f>sales_data!K3092</f>
        <v>11</v>
      </c>
      <c r="W504">
        <f>sales_data!L3092</f>
        <v>19600</v>
      </c>
      <c r="X504">
        <f>sales_data!M3092</f>
        <v>215600</v>
      </c>
      <c r="Y504" t="str">
        <f>sales_data!N3092</f>
        <v>Интернет-магазин</v>
      </c>
      <c r="Z504" t="str">
        <f>sales_data!O3092</f>
        <v>В пути</v>
      </c>
    </row>
    <row r="505" spans="12:26" x14ac:dyDescent="0.25">
      <c r="L505">
        <f>sales_data!A3095</f>
        <v>486</v>
      </c>
      <c r="M505">
        <f>sales_data!B3095</f>
        <v>45757</v>
      </c>
      <c r="N505">
        <f>sales_data!C3095</f>
        <v>10</v>
      </c>
      <c r="O505" t="str">
        <f>sales_data!D3095</f>
        <v>Апрель</v>
      </c>
      <c r="P505" t="str">
        <f>sales_data!E3095</f>
        <v>Мария</v>
      </c>
      <c r="Q505" t="str">
        <f>sales_data!F3095</f>
        <v>Санкт-Петербург</v>
      </c>
      <c r="R505" t="str">
        <f>sales_data!G3095</f>
        <v>Северо-Западный</v>
      </c>
      <c r="S505" t="str">
        <f>sales_data!H3095</f>
        <v>Серверы</v>
      </c>
      <c r="T505" t="str">
        <f>sales_data!I3095</f>
        <v>Network Switch</v>
      </c>
      <c r="U505" t="str">
        <f>sales_data!J3095</f>
        <v>Опт</v>
      </c>
      <c r="V505">
        <f>sales_data!K3095</f>
        <v>31</v>
      </c>
      <c r="W505">
        <f>sales_data!L3095</f>
        <v>19700</v>
      </c>
      <c r="X505">
        <f>sales_data!M3095</f>
        <v>610700</v>
      </c>
      <c r="Y505" t="str">
        <f>sales_data!N3095</f>
        <v>Интернет-магазин</v>
      </c>
      <c r="Z505" t="str">
        <f>sales_data!O3095</f>
        <v>Доставлен</v>
      </c>
    </row>
    <row r="506" spans="12:26" x14ac:dyDescent="0.25">
      <c r="L506">
        <f>sales_data!A3100</f>
        <v>1192</v>
      </c>
      <c r="M506">
        <f>sales_data!B3100</f>
        <v>45795</v>
      </c>
      <c r="N506">
        <f>sales_data!C3100</f>
        <v>18</v>
      </c>
      <c r="O506" t="str">
        <f>sales_data!D3100</f>
        <v>Май</v>
      </c>
      <c r="P506" t="str">
        <f>sales_data!E3100</f>
        <v>Алексей</v>
      </c>
      <c r="Q506" t="str">
        <f>sales_data!F3100</f>
        <v>Новосибирск</v>
      </c>
      <c r="R506" t="str">
        <f>sales_data!G3100</f>
        <v>Сибирский</v>
      </c>
      <c r="S506" t="str">
        <f>sales_data!H3100</f>
        <v>Серверы</v>
      </c>
      <c r="T506" t="str">
        <f>sales_data!I3100</f>
        <v>Network Switch</v>
      </c>
      <c r="U506" t="str">
        <f>sales_data!J3100</f>
        <v>Опт</v>
      </c>
      <c r="V506">
        <f>sales_data!K3100</f>
        <v>5</v>
      </c>
      <c r="W506">
        <f>sales_data!L3100</f>
        <v>19800</v>
      </c>
      <c r="X506">
        <f>sales_data!M3100</f>
        <v>99000</v>
      </c>
      <c r="Y506" t="str">
        <f>sales_data!N3100</f>
        <v>Интернет-магазин</v>
      </c>
      <c r="Z506" t="str">
        <f>sales_data!O3100</f>
        <v>В пути</v>
      </c>
    </row>
    <row r="507" spans="12:26" x14ac:dyDescent="0.25">
      <c r="L507">
        <f>sales_data!A3107</f>
        <v>1411</v>
      </c>
      <c r="M507">
        <f>sales_data!B3107</f>
        <v>45719</v>
      </c>
      <c r="N507">
        <f>sales_data!C3107</f>
        <v>3</v>
      </c>
      <c r="O507" t="str">
        <f>sales_data!D3107</f>
        <v>Март</v>
      </c>
      <c r="P507" t="str">
        <f>sales_data!E3107</f>
        <v>Борис</v>
      </c>
      <c r="Q507" t="str">
        <f>sales_data!F3107</f>
        <v>Челябинск</v>
      </c>
      <c r="R507" t="str">
        <f>sales_data!G3107</f>
        <v>Уральский</v>
      </c>
      <c r="S507" t="str">
        <f>sales_data!H3107</f>
        <v>Мониторы</v>
      </c>
      <c r="T507" t="str">
        <f>sales_data!I3107</f>
        <v>Monitor Curved</v>
      </c>
      <c r="U507" t="str">
        <f>sales_data!J3107</f>
        <v>Опт</v>
      </c>
      <c r="V507">
        <f>sales_data!K3107</f>
        <v>42</v>
      </c>
      <c r="W507">
        <f>sales_data!L3107</f>
        <v>19900</v>
      </c>
      <c r="X507">
        <f>sales_data!M3107</f>
        <v>835800</v>
      </c>
      <c r="Y507" t="str">
        <f>sales_data!N3107</f>
        <v>Офлайн-точка</v>
      </c>
      <c r="Z507" t="str">
        <f>sales_data!O3107</f>
        <v>Доставлен</v>
      </c>
    </row>
    <row r="508" spans="12:26" x14ac:dyDescent="0.25">
      <c r="L508">
        <f>sales_data!A3110</f>
        <v>4085</v>
      </c>
      <c r="M508">
        <f>sales_data!B3110</f>
        <v>45801</v>
      </c>
      <c r="N508">
        <f>sales_data!C3110</f>
        <v>24</v>
      </c>
      <c r="O508" t="str">
        <f>sales_data!D3110</f>
        <v>Май</v>
      </c>
      <c r="P508" t="str">
        <f>sales_data!E3110</f>
        <v>Дмитрий</v>
      </c>
      <c r="Q508" t="str">
        <f>sales_data!F3110</f>
        <v>Новосибирск</v>
      </c>
      <c r="R508" t="str">
        <f>sales_data!G3110</f>
        <v>Сибирский</v>
      </c>
      <c r="S508" t="str">
        <f>sales_data!H3110</f>
        <v>Мониторы</v>
      </c>
      <c r="T508" t="str">
        <f>sales_data!I3110</f>
        <v>Monitor Curved</v>
      </c>
      <c r="U508" t="str">
        <f>sales_data!J3110</f>
        <v>Опт</v>
      </c>
      <c r="V508">
        <f>sales_data!K3110</f>
        <v>47</v>
      </c>
      <c r="W508">
        <f>sales_data!L3110</f>
        <v>19900</v>
      </c>
      <c r="X508">
        <f>sales_data!M3110</f>
        <v>935300</v>
      </c>
      <c r="Y508" t="str">
        <f>sales_data!N3110</f>
        <v>Офлайн-точка</v>
      </c>
      <c r="Z508" t="str">
        <f>sales_data!O3110</f>
        <v>Отменён</v>
      </c>
    </row>
    <row r="509" spans="12:26" x14ac:dyDescent="0.25">
      <c r="L509">
        <f>sales_data!A3112</f>
        <v>362</v>
      </c>
      <c r="M509">
        <f>sales_data!B3112</f>
        <v>45807</v>
      </c>
      <c r="N509">
        <f>sales_data!C3112</f>
        <v>30</v>
      </c>
      <c r="O509" t="str">
        <f>sales_data!D3112</f>
        <v>Май</v>
      </c>
      <c r="P509" t="str">
        <f>sales_data!E3112</f>
        <v>Анна</v>
      </c>
      <c r="Q509" t="str">
        <f>sales_data!F3112</f>
        <v>Екатеринбург</v>
      </c>
      <c r="R509" t="str">
        <f>sales_data!G3112</f>
        <v>Уральский</v>
      </c>
      <c r="S509" t="str">
        <f>sales_data!H3112</f>
        <v>Мониторы</v>
      </c>
      <c r="T509" t="str">
        <f>sales_data!I3112</f>
        <v>Monitor Curved</v>
      </c>
      <c r="U509" t="str">
        <f>sales_data!J3112</f>
        <v>Опт</v>
      </c>
      <c r="V509">
        <f>sales_data!K3112</f>
        <v>15</v>
      </c>
      <c r="W509">
        <f>sales_data!L3112</f>
        <v>20100</v>
      </c>
      <c r="X509">
        <f>sales_data!M3112</f>
        <v>301500</v>
      </c>
      <c r="Y509" t="str">
        <f>sales_data!N3112</f>
        <v>Офлайн-точка</v>
      </c>
      <c r="Z509" t="str">
        <f>sales_data!O3112</f>
        <v>Отменён</v>
      </c>
    </row>
    <row r="510" spans="12:26" x14ac:dyDescent="0.25">
      <c r="L510">
        <f>sales_data!A3117</f>
        <v>3348</v>
      </c>
      <c r="M510">
        <f>sales_data!B3117</f>
        <v>45752</v>
      </c>
      <c r="N510">
        <f>sales_data!C3117</f>
        <v>5</v>
      </c>
      <c r="O510" t="str">
        <f>sales_data!D3117</f>
        <v>Апрель</v>
      </c>
      <c r="P510" t="str">
        <f>sales_data!E3117</f>
        <v>Дмитрий</v>
      </c>
      <c r="Q510" t="str">
        <f>sales_data!F3117</f>
        <v>Москва</v>
      </c>
      <c r="R510" t="str">
        <f>sales_data!G3117</f>
        <v>Центральный</v>
      </c>
      <c r="S510" t="str">
        <f>sales_data!H3117</f>
        <v>Мониторы</v>
      </c>
      <c r="T510" t="str">
        <f>sales_data!I3117</f>
        <v>Monitor Curved</v>
      </c>
      <c r="U510" t="str">
        <f>sales_data!J3117</f>
        <v>Опт</v>
      </c>
      <c r="V510">
        <f>sales_data!K3117</f>
        <v>26</v>
      </c>
      <c r="W510">
        <f>sales_data!L3117</f>
        <v>20200</v>
      </c>
      <c r="X510">
        <f>sales_data!M3117</f>
        <v>525200</v>
      </c>
      <c r="Y510" t="str">
        <f>sales_data!N3117</f>
        <v>Офлайн-точка</v>
      </c>
      <c r="Z510" t="str">
        <f>sales_data!O3117</f>
        <v>Отменён</v>
      </c>
    </row>
    <row r="511" spans="12:26" x14ac:dyDescent="0.25">
      <c r="L511">
        <f>sales_data!A3133</f>
        <v>4965</v>
      </c>
      <c r="M511">
        <f>sales_data!B3133</f>
        <v>45816</v>
      </c>
      <c r="N511">
        <f>sales_data!C3133</f>
        <v>8</v>
      </c>
      <c r="O511" t="str">
        <f>sales_data!D3133</f>
        <v>Июнь</v>
      </c>
      <c r="P511" t="str">
        <f>sales_data!E3133</f>
        <v>Игорь</v>
      </c>
      <c r="Q511" t="str">
        <f>sales_data!F3133</f>
        <v>Челябинск</v>
      </c>
      <c r="R511" t="str">
        <f>sales_data!G3133</f>
        <v>Уральский</v>
      </c>
      <c r="S511" t="str">
        <f>sales_data!H3133</f>
        <v>Серверы</v>
      </c>
      <c r="T511" t="str">
        <f>sales_data!I3133</f>
        <v>Network Switch</v>
      </c>
      <c r="U511" t="str">
        <f>sales_data!J3133</f>
        <v>Опт</v>
      </c>
      <c r="V511">
        <f>sales_data!K3133</f>
        <v>47</v>
      </c>
      <c r="W511">
        <f>sales_data!L3133</f>
        <v>20600</v>
      </c>
      <c r="X511">
        <f>sales_data!M3133</f>
        <v>968200</v>
      </c>
      <c r="Y511" t="str">
        <f>sales_data!N3133</f>
        <v>Офлайн-точка</v>
      </c>
      <c r="Z511" t="str">
        <f>sales_data!O3133</f>
        <v>В пути</v>
      </c>
    </row>
    <row r="512" spans="12:26" x14ac:dyDescent="0.25">
      <c r="L512">
        <f>sales_data!A3139</f>
        <v>4926</v>
      </c>
      <c r="M512">
        <f>sales_data!B3139</f>
        <v>45990</v>
      </c>
      <c r="N512">
        <f>sales_data!C3139</f>
        <v>29</v>
      </c>
      <c r="O512" t="str">
        <f>sales_data!D3139</f>
        <v>Ноябрь</v>
      </c>
      <c r="P512" t="str">
        <f>sales_data!E3139</f>
        <v>Игорь</v>
      </c>
      <c r="Q512" t="str">
        <f>sales_data!F3139</f>
        <v>Самара</v>
      </c>
      <c r="R512" t="str">
        <f>sales_data!G3139</f>
        <v>Приволжский</v>
      </c>
      <c r="S512" t="str">
        <f>sales_data!H3139</f>
        <v>Серверы</v>
      </c>
      <c r="T512" t="str">
        <f>sales_data!I3139</f>
        <v>Network Switch</v>
      </c>
      <c r="U512" t="str">
        <f>sales_data!J3139</f>
        <v>Опт</v>
      </c>
      <c r="V512">
        <f>sales_data!K3139</f>
        <v>26</v>
      </c>
      <c r="W512">
        <f>sales_data!L3139</f>
        <v>20700</v>
      </c>
      <c r="X512">
        <f>sales_data!M3139</f>
        <v>538200</v>
      </c>
      <c r="Y512" t="str">
        <f>sales_data!N3139</f>
        <v>Офлайн-точка</v>
      </c>
      <c r="Z512" t="str">
        <f>sales_data!O3139</f>
        <v>Доставлен</v>
      </c>
    </row>
    <row r="513" spans="12:26" x14ac:dyDescent="0.25">
      <c r="L513">
        <f>sales_data!A3145</f>
        <v>937</v>
      </c>
      <c r="M513">
        <f>sales_data!B3145</f>
        <v>45810</v>
      </c>
      <c r="N513">
        <f>sales_data!C3145</f>
        <v>2</v>
      </c>
      <c r="O513" t="str">
        <f>sales_data!D3145</f>
        <v>Июнь</v>
      </c>
      <c r="P513" t="str">
        <f>sales_data!E3145</f>
        <v>Сергей</v>
      </c>
      <c r="Q513" t="str">
        <f>sales_data!F3145</f>
        <v>Нижний Новгород</v>
      </c>
      <c r="R513" t="str">
        <f>sales_data!G3145</f>
        <v>Приволжский</v>
      </c>
      <c r="S513" t="str">
        <f>sales_data!H3145</f>
        <v>Мониторы</v>
      </c>
      <c r="T513" t="str">
        <f>sales_data!I3145</f>
        <v>Monitor Curved</v>
      </c>
      <c r="U513" t="str">
        <f>sales_data!J3145</f>
        <v>Розница</v>
      </c>
      <c r="V513">
        <f>sales_data!K3145</f>
        <v>10</v>
      </c>
      <c r="W513">
        <f>sales_data!L3145</f>
        <v>20900</v>
      </c>
      <c r="X513">
        <f>sales_data!M3145</f>
        <v>209000</v>
      </c>
      <c r="Y513" t="str">
        <f>sales_data!N3145</f>
        <v>Интернет-магазин</v>
      </c>
      <c r="Z513" t="str">
        <f>sales_data!O3145</f>
        <v>Отменён</v>
      </c>
    </row>
    <row r="514" spans="12:26" x14ac:dyDescent="0.25">
      <c r="L514">
        <f>sales_data!A3155</f>
        <v>3949</v>
      </c>
      <c r="M514">
        <f>sales_data!B3155</f>
        <v>45875</v>
      </c>
      <c r="N514">
        <f>sales_data!C3155</f>
        <v>6</v>
      </c>
      <c r="O514" t="str">
        <f>sales_data!D3155</f>
        <v>Август</v>
      </c>
      <c r="P514" t="str">
        <f>sales_data!E3155</f>
        <v>Мария</v>
      </c>
      <c r="Q514" t="str">
        <f>sales_data!F3155</f>
        <v>Самара</v>
      </c>
      <c r="R514" t="str">
        <f>sales_data!G3155</f>
        <v>Приволжский</v>
      </c>
      <c r="S514" t="str">
        <f>sales_data!H3155</f>
        <v>Серверы</v>
      </c>
      <c r="T514" t="str">
        <f>sales_data!I3155</f>
        <v>Network Switch</v>
      </c>
      <c r="U514" t="str">
        <f>sales_data!J3155</f>
        <v>Опт</v>
      </c>
      <c r="V514">
        <f>sales_data!K3155</f>
        <v>6</v>
      </c>
      <c r="W514">
        <f>sales_data!L3155</f>
        <v>21000</v>
      </c>
      <c r="X514">
        <f>sales_data!M3155</f>
        <v>126000</v>
      </c>
      <c r="Y514" t="str">
        <f>sales_data!N3155</f>
        <v>Интернет-магазин</v>
      </c>
      <c r="Z514" t="str">
        <f>sales_data!O3155</f>
        <v>Доставлен</v>
      </c>
    </row>
    <row r="515" spans="12:26" x14ac:dyDescent="0.25">
      <c r="L515">
        <f>sales_data!A3162</f>
        <v>1662</v>
      </c>
      <c r="M515">
        <f>sales_data!B3162</f>
        <v>45921</v>
      </c>
      <c r="N515">
        <f>sales_data!C3162</f>
        <v>21</v>
      </c>
      <c r="O515" t="str">
        <f>sales_data!D3162</f>
        <v>Сентябрь</v>
      </c>
      <c r="P515" t="str">
        <f>sales_data!E3162</f>
        <v>Владимир</v>
      </c>
      <c r="Q515" t="str">
        <f>sales_data!F3162</f>
        <v>Омск</v>
      </c>
      <c r="R515" t="str">
        <f>sales_data!G3162</f>
        <v>Сибирский</v>
      </c>
      <c r="S515" t="str">
        <f>sales_data!H3162</f>
        <v>Серверы</v>
      </c>
      <c r="T515" t="str">
        <f>sales_data!I3162</f>
        <v>Network Switch</v>
      </c>
      <c r="U515" t="str">
        <f>sales_data!J3162</f>
        <v>Опт</v>
      </c>
      <c r="V515">
        <f>sales_data!K3162</f>
        <v>8</v>
      </c>
      <c r="W515">
        <f>sales_data!L3162</f>
        <v>21100</v>
      </c>
      <c r="X515">
        <f>sales_data!M3162</f>
        <v>168800</v>
      </c>
      <c r="Y515" t="str">
        <f>sales_data!N3162</f>
        <v>Офлайн-точка</v>
      </c>
      <c r="Z515" t="str">
        <f>sales_data!O3162</f>
        <v>В пути</v>
      </c>
    </row>
    <row r="516" spans="12:26" x14ac:dyDescent="0.25">
      <c r="L516">
        <f>sales_data!A3166</f>
        <v>46</v>
      </c>
      <c r="M516">
        <f>sales_data!B3166</f>
        <v>45696</v>
      </c>
      <c r="N516">
        <f>sales_data!C3166</f>
        <v>8</v>
      </c>
      <c r="O516" t="str">
        <f>sales_data!D3166</f>
        <v>Февраль</v>
      </c>
      <c r="P516" t="str">
        <f>sales_data!E3166</f>
        <v>Ксения</v>
      </c>
      <c r="Q516" t="str">
        <f>sales_data!F3166</f>
        <v>Уфа</v>
      </c>
      <c r="R516" t="str">
        <f>sales_data!G3166</f>
        <v>Приволжский</v>
      </c>
      <c r="S516" t="str">
        <f>sales_data!H3166</f>
        <v>Мониторы</v>
      </c>
      <c r="T516" t="str">
        <f>sales_data!I3166</f>
        <v>Monitor Curved</v>
      </c>
      <c r="U516" t="str">
        <f>sales_data!J3166</f>
        <v>Розница</v>
      </c>
      <c r="V516">
        <f>sales_data!K3166</f>
        <v>6</v>
      </c>
      <c r="W516">
        <f>sales_data!L3166</f>
        <v>21200</v>
      </c>
      <c r="X516">
        <f>sales_data!M3166</f>
        <v>127200</v>
      </c>
      <c r="Y516" t="str">
        <f>sales_data!N3166</f>
        <v>Интернет-магазин</v>
      </c>
      <c r="Z516" t="str">
        <f>sales_data!O3166</f>
        <v>В пути</v>
      </c>
    </row>
    <row r="517" spans="12:26" x14ac:dyDescent="0.25">
      <c r="L517">
        <f>sales_data!A3178</f>
        <v>918</v>
      </c>
      <c r="M517">
        <f>sales_data!B3178</f>
        <v>45955</v>
      </c>
      <c r="N517">
        <f>sales_data!C3178</f>
        <v>25</v>
      </c>
      <c r="O517" t="str">
        <f>sales_data!D3178</f>
        <v>Октябрь</v>
      </c>
      <c r="P517" t="str">
        <f>sales_data!E3178</f>
        <v>Сергей</v>
      </c>
      <c r="Q517" t="str">
        <f>sales_data!F3178</f>
        <v>Екатеринбург</v>
      </c>
      <c r="R517" t="str">
        <f>sales_data!G3178</f>
        <v>Уральский</v>
      </c>
      <c r="S517" t="str">
        <f>sales_data!H3178</f>
        <v>Серверы</v>
      </c>
      <c r="T517" t="str">
        <f>sales_data!I3178</f>
        <v>Network Switch</v>
      </c>
      <c r="U517" t="str">
        <f>sales_data!J3178</f>
        <v>Опт</v>
      </c>
      <c r="V517">
        <f>sales_data!K3178</f>
        <v>35</v>
      </c>
      <c r="W517">
        <f>sales_data!L3178</f>
        <v>21400</v>
      </c>
      <c r="X517">
        <f>sales_data!M3178</f>
        <v>749000</v>
      </c>
      <c r="Y517" t="str">
        <f>sales_data!N3178</f>
        <v>Офлайн-точка</v>
      </c>
      <c r="Z517" t="str">
        <f>sales_data!O3178</f>
        <v>В пути</v>
      </c>
    </row>
    <row r="518" spans="12:26" x14ac:dyDescent="0.25">
      <c r="L518">
        <f>sales_data!A3182</f>
        <v>812</v>
      </c>
      <c r="M518">
        <f>sales_data!B3182</f>
        <v>45934</v>
      </c>
      <c r="N518">
        <f>sales_data!C3182</f>
        <v>4</v>
      </c>
      <c r="O518" t="str">
        <f>sales_data!D3182</f>
        <v>Октябрь</v>
      </c>
      <c r="P518" t="str">
        <f>sales_data!E3182</f>
        <v>Наталья</v>
      </c>
      <c r="Q518" t="str">
        <f>sales_data!F3182</f>
        <v>Нижний Новгород</v>
      </c>
      <c r="R518" t="str">
        <f>sales_data!G3182</f>
        <v>Приволжский</v>
      </c>
      <c r="S518" t="str">
        <f>sales_data!H3182</f>
        <v>Мониторы</v>
      </c>
      <c r="T518" t="str">
        <f>sales_data!I3182</f>
        <v>Monitor Curved</v>
      </c>
      <c r="U518" t="str">
        <f>sales_data!J3182</f>
        <v>Розница</v>
      </c>
      <c r="V518">
        <f>sales_data!K3182</f>
        <v>8</v>
      </c>
      <c r="W518">
        <f>sales_data!L3182</f>
        <v>21500</v>
      </c>
      <c r="X518">
        <f>sales_data!M3182</f>
        <v>172000</v>
      </c>
      <c r="Y518" t="str">
        <f>sales_data!N3182</f>
        <v>Офлайн-точка</v>
      </c>
      <c r="Z518" t="str">
        <f>sales_data!O3182</f>
        <v>Доставлен</v>
      </c>
    </row>
    <row r="519" spans="12:26" x14ac:dyDescent="0.25">
      <c r="L519">
        <f>sales_data!A3186</f>
        <v>28</v>
      </c>
      <c r="M519">
        <f>sales_data!B3186</f>
        <v>45755</v>
      </c>
      <c r="N519">
        <f>sales_data!C3186</f>
        <v>8</v>
      </c>
      <c r="O519" t="str">
        <f>sales_data!D3186</f>
        <v>Апрель</v>
      </c>
      <c r="P519" t="str">
        <f>sales_data!E3186</f>
        <v>Борис</v>
      </c>
      <c r="Q519" t="str">
        <f>sales_data!F3186</f>
        <v>Санкт-Петербург</v>
      </c>
      <c r="R519" t="str">
        <f>sales_data!G3186</f>
        <v>Северо-Западный</v>
      </c>
      <c r="S519" t="str">
        <f>sales_data!H3186</f>
        <v>Серверы</v>
      </c>
      <c r="T519" t="str">
        <f>sales_data!I3186</f>
        <v>Network Switch</v>
      </c>
      <c r="U519" t="str">
        <f>sales_data!J3186</f>
        <v>Опт</v>
      </c>
      <c r="V519">
        <f>sales_data!K3186</f>
        <v>32</v>
      </c>
      <c r="W519">
        <f>sales_data!L3186</f>
        <v>21600</v>
      </c>
      <c r="X519">
        <f>sales_data!M3186</f>
        <v>691200</v>
      </c>
      <c r="Y519" t="str">
        <f>sales_data!N3186</f>
        <v>Офлайн-точка</v>
      </c>
      <c r="Z519" t="str">
        <f>sales_data!O3186</f>
        <v>В пути</v>
      </c>
    </row>
    <row r="520" spans="12:26" x14ac:dyDescent="0.25">
      <c r="L520">
        <f>sales_data!A3187</f>
        <v>3198</v>
      </c>
      <c r="M520">
        <f>sales_data!B3187</f>
        <v>45710</v>
      </c>
      <c r="N520">
        <f>sales_data!C3187</f>
        <v>22</v>
      </c>
      <c r="O520" t="str">
        <f>sales_data!D3187</f>
        <v>Февраль</v>
      </c>
      <c r="P520" t="str">
        <f>sales_data!E3187</f>
        <v>Наталья</v>
      </c>
      <c r="Q520" t="str">
        <f>sales_data!F3187</f>
        <v>Нижний Новгород</v>
      </c>
      <c r="R520" t="str">
        <f>sales_data!G3187</f>
        <v>Приволжский</v>
      </c>
      <c r="S520" t="str">
        <f>sales_data!H3187</f>
        <v>Мониторы</v>
      </c>
      <c r="T520" t="str">
        <f>sales_data!I3187</f>
        <v>Monitor 32</v>
      </c>
      <c r="U520" t="str">
        <f>sales_data!J3187</f>
        <v>Опт</v>
      </c>
      <c r="V520">
        <f>sales_data!K3187</f>
        <v>6</v>
      </c>
      <c r="W520">
        <f>sales_data!L3187</f>
        <v>21600</v>
      </c>
      <c r="X520">
        <f>sales_data!M3187</f>
        <v>129600</v>
      </c>
      <c r="Y520" t="str">
        <f>sales_data!N3187</f>
        <v>Офлайн-точка</v>
      </c>
      <c r="Z520" t="str">
        <f>sales_data!O3187</f>
        <v>Доставлен</v>
      </c>
    </row>
    <row r="521" spans="12:26" x14ac:dyDescent="0.25">
      <c r="L521">
        <f>sales_data!A3188</f>
        <v>3352</v>
      </c>
      <c r="M521">
        <f>sales_data!B3188</f>
        <v>45875</v>
      </c>
      <c r="N521">
        <f>sales_data!C3188</f>
        <v>6</v>
      </c>
      <c r="O521" t="str">
        <f>sales_data!D3188</f>
        <v>Август</v>
      </c>
      <c r="P521" t="str">
        <f>sales_data!E3188</f>
        <v>Ксения</v>
      </c>
      <c r="Q521" t="str">
        <f>sales_data!F3188</f>
        <v>Новосибирск</v>
      </c>
      <c r="R521" t="str">
        <f>sales_data!G3188</f>
        <v>Сибирский</v>
      </c>
      <c r="S521" t="str">
        <f>sales_data!H3188</f>
        <v>Мониторы</v>
      </c>
      <c r="T521" t="str">
        <f>sales_data!I3188</f>
        <v>Monitor Curved</v>
      </c>
      <c r="U521" t="str">
        <f>sales_data!J3188</f>
        <v>Розница</v>
      </c>
      <c r="V521">
        <f>sales_data!K3188</f>
        <v>3</v>
      </c>
      <c r="W521">
        <f>sales_data!L3188</f>
        <v>21600</v>
      </c>
      <c r="X521">
        <f>sales_data!M3188</f>
        <v>64800</v>
      </c>
      <c r="Y521" t="str">
        <f>sales_data!N3188</f>
        <v>Интернет-магазин</v>
      </c>
      <c r="Z521" t="str">
        <f>sales_data!O3188</f>
        <v>Доставлен</v>
      </c>
    </row>
    <row r="522" spans="12:26" x14ac:dyDescent="0.25">
      <c r="L522">
        <f>sales_data!A3189</f>
        <v>3546</v>
      </c>
      <c r="M522">
        <f>sales_data!B3189</f>
        <v>45916</v>
      </c>
      <c r="N522">
        <f>sales_data!C3189</f>
        <v>16</v>
      </c>
      <c r="O522" t="str">
        <f>sales_data!D3189</f>
        <v>Сентябрь</v>
      </c>
      <c r="P522" t="str">
        <f>sales_data!E3189</f>
        <v>Ксения</v>
      </c>
      <c r="Q522" t="str">
        <f>sales_data!F3189</f>
        <v>Нижний Новгород</v>
      </c>
      <c r="R522" t="str">
        <f>sales_data!G3189</f>
        <v>Приволжский</v>
      </c>
      <c r="S522" t="str">
        <f>sales_data!H3189</f>
        <v>Серверы</v>
      </c>
      <c r="T522" t="str">
        <f>sales_data!I3189</f>
        <v>Network Switch</v>
      </c>
      <c r="U522" t="str">
        <f>sales_data!J3189</f>
        <v>Опт</v>
      </c>
      <c r="V522">
        <f>sales_data!K3189</f>
        <v>48</v>
      </c>
      <c r="W522">
        <f>sales_data!L3189</f>
        <v>21600</v>
      </c>
      <c r="X522">
        <f>sales_data!M3189</f>
        <v>1036800</v>
      </c>
      <c r="Y522" t="str">
        <f>sales_data!N3189</f>
        <v>Интернет-магазин</v>
      </c>
      <c r="Z522" t="str">
        <f>sales_data!O3189</f>
        <v>Доставлен</v>
      </c>
    </row>
    <row r="523" spans="12:26" x14ac:dyDescent="0.25">
      <c r="L523">
        <f>sales_data!A3196</f>
        <v>631</v>
      </c>
      <c r="M523">
        <f>sales_data!B3196</f>
        <v>45981</v>
      </c>
      <c r="N523">
        <f>sales_data!C3196</f>
        <v>20</v>
      </c>
      <c r="O523" t="str">
        <f>sales_data!D3196</f>
        <v>Ноябрь</v>
      </c>
      <c r="P523" t="str">
        <f>sales_data!E3196</f>
        <v>Светлана</v>
      </c>
      <c r="Q523" t="str">
        <f>sales_data!F3196</f>
        <v>Пермь</v>
      </c>
      <c r="R523" t="str">
        <f>sales_data!G3196</f>
        <v>Приволжский</v>
      </c>
      <c r="S523" t="str">
        <f>sales_data!H3196</f>
        <v>Мониторы</v>
      </c>
      <c r="T523" t="str">
        <f>sales_data!I3196</f>
        <v>Monitor 32</v>
      </c>
      <c r="U523" t="str">
        <f>sales_data!J3196</f>
        <v>Опт</v>
      </c>
      <c r="V523">
        <f>sales_data!K3196</f>
        <v>45</v>
      </c>
      <c r="W523">
        <f>sales_data!L3196</f>
        <v>21800</v>
      </c>
      <c r="X523">
        <f>sales_data!M3196</f>
        <v>981000</v>
      </c>
      <c r="Y523" t="str">
        <f>sales_data!N3196</f>
        <v>Офлайн-точка</v>
      </c>
      <c r="Z523" t="str">
        <f>sales_data!O3196</f>
        <v>Доставлен</v>
      </c>
    </row>
    <row r="524" spans="12:26" x14ac:dyDescent="0.25">
      <c r="L524">
        <f>sales_data!A3202</f>
        <v>4086</v>
      </c>
      <c r="M524">
        <f>sales_data!B3202</f>
        <v>45833</v>
      </c>
      <c r="N524">
        <f>sales_data!C3202</f>
        <v>25</v>
      </c>
      <c r="O524" t="str">
        <f>sales_data!D3202</f>
        <v>Июнь</v>
      </c>
      <c r="P524" t="str">
        <f>sales_data!E3202</f>
        <v>Игорь</v>
      </c>
      <c r="Q524" t="str">
        <f>sales_data!F3202</f>
        <v>Казань</v>
      </c>
      <c r="R524" t="str">
        <f>sales_data!G3202</f>
        <v>Приволжский</v>
      </c>
      <c r="S524" t="str">
        <f>sales_data!H3202</f>
        <v>Мониторы</v>
      </c>
      <c r="T524" t="str">
        <f>sales_data!I3202</f>
        <v>Monitor Curved</v>
      </c>
      <c r="U524" t="str">
        <f>sales_data!J3202</f>
        <v>Розница</v>
      </c>
      <c r="V524">
        <f>sales_data!K3202</f>
        <v>8</v>
      </c>
      <c r="W524">
        <f>sales_data!L3202</f>
        <v>21800</v>
      </c>
      <c r="X524">
        <f>sales_data!M3202</f>
        <v>174400</v>
      </c>
      <c r="Y524" t="str">
        <f>sales_data!N3202</f>
        <v>Интернет-магазин</v>
      </c>
      <c r="Z524" t="str">
        <f>sales_data!O3202</f>
        <v>Доставлен</v>
      </c>
    </row>
    <row r="525" spans="12:26" x14ac:dyDescent="0.25">
      <c r="L525">
        <f>sales_data!A3203</f>
        <v>4226</v>
      </c>
      <c r="M525">
        <f>sales_data!B3203</f>
        <v>46009</v>
      </c>
      <c r="N525">
        <f>sales_data!C3203</f>
        <v>18</v>
      </c>
      <c r="O525" t="str">
        <f>sales_data!D3203</f>
        <v>Декабрь</v>
      </c>
      <c r="P525" t="str">
        <f>sales_data!E3203</f>
        <v>Алексей</v>
      </c>
      <c r="Q525" t="str">
        <f>sales_data!F3203</f>
        <v>Санкт-Петербург</v>
      </c>
      <c r="R525" t="str">
        <f>sales_data!G3203</f>
        <v>Северо-Западный</v>
      </c>
      <c r="S525" t="str">
        <f>sales_data!H3203</f>
        <v>Серверы</v>
      </c>
      <c r="T525" t="str">
        <f>sales_data!I3203</f>
        <v>Network Switch</v>
      </c>
      <c r="U525" t="str">
        <f>sales_data!J3203</f>
        <v>Опт</v>
      </c>
      <c r="V525">
        <f>sales_data!K3203</f>
        <v>12</v>
      </c>
      <c r="W525">
        <f>sales_data!L3203</f>
        <v>21800</v>
      </c>
      <c r="X525">
        <f>sales_data!M3203</f>
        <v>261600</v>
      </c>
      <c r="Y525" t="str">
        <f>sales_data!N3203</f>
        <v>Офлайн-точка</v>
      </c>
      <c r="Z525" t="str">
        <f>sales_data!O3203</f>
        <v>Доставлен</v>
      </c>
    </row>
    <row r="526" spans="12:26" x14ac:dyDescent="0.25">
      <c r="L526">
        <f>sales_data!A3204</f>
        <v>1034</v>
      </c>
      <c r="M526">
        <f>sales_data!B3204</f>
        <v>45977</v>
      </c>
      <c r="N526">
        <f>sales_data!C3204</f>
        <v>16</v>
      </c>
      <c r="O526" t="str">
        <f>sales_data!D3204</f>
        <v>Ноябрь</v>
      </c>
      <c r="P526" t="str">
        <f>sales_data!E3204</f>
        <v>Наталья</v>
      </c>
      <c r="Q526" t="str">
        <f>sales_data!F3204</f>
        <v>Омск</v>
      </c>
      <c r="R526" t="str">
        <f>sales_data!G3204</f>
        <v>Сибирский</v>
      </c>
      <c r="S526" t="str">
        <f>sales_data!H3204</f>
        <v>Серверы</v>
      </c>
      <c r="T526" t="str">
        <f>sales_data!I3204</f>
        <v>Network Switch</v>
      </c>
      <c r="U526" t="str">
        <f>sales_data!J3204</f>
        <v>Опт</v>
      </c>
      <c r="V526">
        <f>sales_data!K3204</f>
        <v>46</v>
      </c>
      <c r="W526">
        <f>sales_data!L3204</f>
        <v>21900</v>
      </c>
      <c r="X526">
        <f>sales_data!M3204</f>
        <v>1007400</v>
      </c>
      <c r="Y526" t="str">
        <f>sales_data!N3204</f>
        <v>Офлайн-точка</v>
      </c>
      <c r="Z526" t="str">
        <f>sales_data!O3204</f>
        <v>Доставлен</v>
      </c>
    </row>
    <row r="527" spans="12:26" x14ac:dyDescent="0.25">
      <c r="L527">
        <f>sales_data!A3206</f>
        <v>1651</v>
      </c>
      <c r="M527">
        <f>sales_data!B3206</f>
        <v>45825</v>
      </c>
      <c r="N527">
        <f>sales_data!C3206</f>
        <v>17</v>
      </c>
      <c r="O527" t="str">
        <f>sales_data!D3206</f>
        <v>Июнь</v>
      </c>
      <c r="P527" t="str">
        <f>sales_data!E3206</f>
        <v>Ксения</v>
      </c>
      <c r="Q527" t="str">
        <f>sales_data!F3206</f>
        <v>Екатеринбург</v>
      </c>
      <c r="R527" t="str">
        <f>sales_data!G3206</f>
        <v>Уральский</v>
      </c>
      <c r="S527" t="str">
        <f>sales_data!H3206</f>
        <v>Серверы</v>
      </c>
      <c r="T527" t="str">
        <f>sales_data!I3206</f>
        <v>Network Switch</v>
      </c>
      <c r="U527" t="str">
        <f>sales_data!J3206</f>
        <v>Опт</v>
      </c>
      <c r="V527">
        <f>sales_data!K3206</f>
        <v>39</v>
      </c>
      <c r="W527">
        <f>sales_data!L3206</f>
        <v>21900</v>
      </c>
      <c r="X527">
        <f>sales_data!M3206</f>
        <v>854100</v>
      </c>
      <c r="Y527" t="str">
        <f>sales_data!N3206</f>
        <v>Интернет-магазин</v>
      </c>
      <c r="Z527" t="str">
        <f>sales_data!O3206</f>
        <v>В пути</v>
      </c>
    </row>
    <row r="528" spans="12:26" x14ac:dyDescent="0.25">
      <c r="L528">
        <f>sales_data!A3208</f>
        <v>4806</v>
      </c>
      <c r="M528">
        <f>sales_data!B3208</f>
        <v>45750</v>
      </c>
      <c r="N528">
        <f>sales_data!C3208</f>
        <v>3</v>
      </c>
      <c r="O528" t="str">
        <f>sales_data!D3208</f>
        <v>Апрель</v>
      </c>
      <c r="P528" t="str">
        <f>sales_data!E3208</f>
        <v>Татьяна</v>
      </c>
      <c r="Q528" t="str">
        <f>sales_data!F3208</f>
        <v>Воронеж</v>
      </c>
      <c r="R528" t="str">
        <f>sales_data!G3208</f>
        <v>Центральный</v>
      </c>
      <c r="S528" t="str">
        <f>sales_data!H3208</f>
        <v>Мониторы</v>
      </c>
      <c r="T528" t="str">
        <f>sales_data!I3208</f>
        <v>Monitor 32</v>
      </c>
      <c r="U528" t="str">
        <f>sales_data!J3208</f>
        <v>Опт</v>
      </c>
      <c r="V528">
        <f>sales_data!K3208</f>
        <v>46</v>
      </c>
      <c r="W528">
        <f>sales_data!L3208</f>
        <v>21900</v>
      </c>
      <c r="X528">
        <f>sales_data!M3208</f>
        <v>1007400</v>
      </c>
      <c r="Y528" t="str">
        <f>sales_data!N3208</f>
        <v>Интернет-магазин</v>
      </c>
      <c r="Z528" t="str">
        <f>sales_data!O3208</f>
        <v>Доставлен</v>
      </c>
    </row>
    <row r="529" spans="12:26" x14ac:dyDescent="0.25">
      <c r="L529">
        <f>sales_data!A3212</f>
        <v>473</v>
      </c>
      <c r="M529">
        <f>sales_data!B3212</f>
        <v>45989</v>
      </c>
      <c r="N529">
        <f>sales_data!C3212</f>
        <v>28</v>
      </c>
      <c r="O529" t="str">
        <f>sales_data!D3212</f>
        <v>Ноябрь</v>
      </c>
      <c r="P529" t="str">
        <f>sales_data!E3212</f>
        <v>Дмитрий</v>
      </c>
      <c r="Q529" t="str">
        <f>sales_data!F3212</f>
        <v>Ростов-на-Дону</v>
      </c>
      <c r="R529" t="str">
        <f>sales_data!G3212</f>
        <v>Южный</v>
      </c>
      <c r="S529" t="str">
        <f>sales_data!H3212</f>
        <v>Мониторы</v>
      </c>
      <c r="T529" t="str">
        <f>sales_data!I3212</f>
        <v>Monitor 32</v>
      </c>
      <c r="U529" t="str">
        <f>sales_data!J3212</f>
        <v>Опт</v>
      </c>
      <c r="V529">
        <f>sales_data!K3212</f>
        <v>37</v>
      </c>
      <c r="W529">
        <f>sales_data!L3212</f>
        <v>22000</v>
      </c>
      <c r="X529">
        <f>sales_data!M3212</f>
        <v>814000</v>
      </c>
      <c r="Y529" t="str">
        <f>sales_data!N3212</f>
        <v>Интернет-магазин</v>
      </c>
      <c r="Z529" t="str">
        <f>sales_data!O3212</f>
        <v>Отменён</v>
      </c>
    </row>
    <row r="530" spans="12:26" x14ac:dyDescent="0.25">
      <c r="L530">
        <f>sales_data!A3223</f>
        <v>1810</v>
      </c>
      <c r="M530">
        <f>sales_data!B3223</f>
        <v>45761</v>
      </c>
      <c r="N530">
        <f>sales_data!C3223</f>
        <v>14</v>
      </c>
      <c r="O530" t="str">
        <f>sales_data!D3223</f>
        <v>Апрель</v>
      </c>
      <c r="P530" t="str">
        <f>sales_data!E3223</f>
        <v>Елена</v>
      </c>
      <c r="Q530" t="str">
        <f>sales_data!F3223</f>
        <v>Пермь</v>
      </c>
      <c r="R530" t="str">
        <f>sales_data!G3223</f>
        <v>Приволжский</v>
      </c>
      <c r="S530" t="str">
        <f>sales_data!H3223</f>
        <v>Серверы</v>
      </c>
      <c r="T530" t="str">
        <f>sales_data!I3223</f>
        <v>Network Switch</v>
      </c>
      <c r="U530" t="str">
        <f>sales_data!J3223</f>
        <v>Опт</v>
      </c>
      <c r="V530">
        <f>sales_data!K3223</f>
        <v>26</v>
      </c>
      <c r="W530">
        <f>sales_data!L3223</f>
        <v>22200</v>
      </c>
      <c r="X530">
        <f>sales_data!M3223</f>
        <v>577200</v>
      </c>
      <c r="Y530" t="str">
        <f>sales_data!N3223</f>
        <v>Офлайн-точка</v>
      </c>
      <c r="Z530" t="str">
        <f>sales_data!O3223</f>
        <v>В пути</v>
      </c>
    </row>
    <row r="531" spans="12:26" x14ac:dyDescent="0.25">
      <c r="L531">
        <f>sales_data!A3225</f>
        <v>194</v>
      </c>
      <c r="M531">
        <f>sales_data!B3225</f>
        <v>45843</v>
      </c>
      <c r="N531">
        <f>sales_data!C3225</f>
        <v>5</v>
      </c>
      <c r="O531" t="str">
        <f>sales_data!D3225</f>
        <v>Июль</v>
      </c>
      <c r="P531" t="str">
        <f>sales_data!E3225</f>
        <v>Елена</v>
      </c>
      <c r="Q531" t="str">
        <f>sales_data!F3225</f>
        <v>Казань</v>
      </c>
      <c r="R531" t="str">
        <f>sales_data!G3225</f>
        <v>Приволжский</v>
      </c>
      <c r="S531" t="str">
        <f>sales_data!H3225</f>
        <v>Мониторы</v>
      </c>
      <c r="T531" t="str">
        <f>sales_data!I3225</f>
        <v>Monitor 32</v>
      </c>
      <c r="U531" t="str">
        <f>sales_data!J3225</f>
        <v>Опт</v>
      </c>
      <c r="V531">
        <f>sales_data!K3225</f>
        <v>17</v>
      </c>
      <c r="W531">
        <f>sales_data!L3225</f>
        <v>22300</v>
      </c>
      <c r="X531">
        <f>sales_data!M3225</f>
        <v>379100</v>
      </c>
      <c r="Y531" t="str">
        <f>sales_data!N3225</f>
        <v>Интернет-магазин</v>
      </c>
      <c r="Z531" t="str">
        <f>sales_data!O3225</f>
        <v>Доставлен</v>
      </c>
    </row>
    <row r="532" spans="12:26" x14ac:dyDescent="0.25">
      <c r="L532">
        <f>sales_data!A3227</f>
        <v>815</v>
      </c>
      <c r="M532">
        <f>sales_data!B3227</f>
        <v>45952</v>
      </c>
      <c r="N532">
        <f>sales_data!C3227</f>
        <v>22</v>
      </c>
      <c r="O532" t="str">
        <f>sales_data!D3227</f>
        <v>Октябрь</v>
      </c>
      <c r="P532" t="str">
        <f>sales_data!E3227</f>
        <v>Анна</v>
      </c>
      <c r="Q532" t="str">
        <f>sales_data!F3227</f>
        <v>Самара</v>
      </c>
      <c r="R532" t="str">
        <f>sales_data!G3227</f>
        <v>Приволжский</v>
      </c>
      <c r="S532" t="str">
        <f>sales_data!H3227</f>
        <v>Серверы</v>
      </c>
      <c r="T532" t="str">
        <f>sales_data!I3227</f>
        <v>Network Switch</v>
      </c>
      <c r="U532" t="str">
        <f>sales_data!J3227</f>
        <v>Опт</v>
      </c>
      <c r="V532">
        <f>sales_data!K3227</f>
        <v>32</v>
      </c>
      <c r="W532">
        <f>sales_data!L3227</f>
        <v>22300</v>
      </c>
      <c r="X532">
        <f>sales_data!M3227</f>
        <v>713600</v>
      </c>
      <c r="Y532" t="str">
        <f>sales_data!N3227</f>
        <v>Офлайн-точка</v>
      </c>
      <c r="Z532" t="str">
        <f>sales_data!O3227</f>
        <v>Отменён</v>
      </c>
    </row>
    <row r="533" spans="12:26" x14ac:dyDescent="0.25">
      <c r="L533">
        <f>sales_data!A3231</f>
        <v>480</v>
      </c>
      <c r="M533">
        <f>sales_data!B3231</f>
        <v>45729</v>
      </c>
      <c r="N533">
        <f>sales_data!C3231</f>
        <v>13</v>
      </c>
      <c r="O533" t="str">
        <f>sales_data!D3231</f>
        <v>Март</v>
      </c>
      <c r="P533" t="str">
        <f>sales_data!E3231</f>
        <v>Алексей</v>
      </c>
      <c r="Q533" t="str">
        <f>sales_data!F3231</f>
        <v>Москва</v>
      </c>
      <c r="R533" t="str">
        <f>sales_data!G3231</f>
        <v>Центральный</v>
      </c>
      <c r="S533" t="str">
        <f>sales_data!H3231</f>
        <v>Серверы</v>
      </c>
      <c r="T533" t="str">
        <f>sales_data!I3231</f>
        <v>Network Switch</v>
      </c>
      <c r="U533" t="str">
        <f>sales_data!J3231</f>
        <v>Опт</v>
      </c>
      <c r="V533">
        <f>sales_data!K3231</f>
        <v>21</v>
      </c>
      <c r="W533">
        <f>sales_data!L3231</f>
        <v>22400</v>
      </c>
      <c r="X533">
        <f>sales_data!M3231</f>
        <v>470400</v>
      </c>
      <c r="Y533" t="str">
        <f>sales_data!N3231</f>
        <v>Офлайн-точка</v>
      </c>
      <c r="Z533" t="str">
        <f>sales_data!O3231</f>
        <v>В пути</v>
      </c>
    </row>
    <row r="534" spans="12:26" x14ac:dyDescent="0.25">
      <c r="L534">
        <f>sales_data!A3244</f>
        <v>4599</v>
      </c>
      <c r="M534">
        <f>sales_data!B3244</f>
        <v>45947</v>
      </c>
      <c r="N534">
        <f>sales_data!C3244</f>
        <v>17</v>
      </c>
      <c r="O534" t="str">
        <f>sales_data!D3244</f>
        <v>Октябрь</v>
      </c>
      <c r="P534" t="str">
        <f>sales_data!E3244</f>
        <v>Татьяна</v>
      </c>
      <c r="Q534" t="str">
        <f>sales_data!F3244</f>
        <v>Челябинск</v>
      </c>
      <c r="R534" t="str">
        <f>sales_data!G3244</f>
        <v>Уральский</v>
      </c>
      <c r="S534" t="str">
        <f>sales_data!H3244</f>
        <v>Мониторы</v>
      </c>
      <c r="T534" t="str">
        <f>sales_data!I3244</f>
        <v>Monitor Curved</v>
      </c>
      <c r="U534" t="str">
        <f>sales_data!J3244</f>
        <v>Розница</v>
      </c>
      <c r="V534">
        <f>sales_data!K3244</f>
        <v>4</v>
      </c>
      <c r="W534">
        <f>sales_data!L3244</f>
        <v>22500</v>
      </c>
      <c r="X534">
        <f>sales_data!M3244</f>
        <v>90000</v>
      </c>
      <c r="Y534" t="str">
        <f>sales_data!N3244</f>
        <v>Интернет-магазин</v>
      </c>
      <c r="Z534" t="str">
        <f>sales_data!O3244</f>
        <v>В пути</v>
      </c>
    </row>
    <row r="535" spans="12:26" x14ac:dyDescent="0.25">
      <c r="L535">
        <f>sales_data!A3254</f>
        <v>1725</v>
      </c>
      <c r="M535">
        <f>sales_data!B3254</f>
        <v>45713</v>
      </c>
      <c r="N535">
        <f>sales_data!C3254</f>
        <v>25</v>
      </c>
      <c r="O535" t="str">
        <f>sales_data!D3254</f>
        <v>Февраль</v>
      </c>
      <c r="P535" t="str">
        <f>sales_data!E3254</f>
        <v>Наталья</v>
      </c>
      <c r="Q535" t="str">
        <f>sales_data!F3254</f>
        <v>Новосибирск</v>
      </c>
      <c r="R535" t="str">
        <f>sales_data!G3254</f>
        <v>Сибирский</v>
      </c>
      <c r="S535" t="str">
        <f>sales_data!H3254</f>
        <v>Мониторы</v>
      </c>
      <c r="T535" t="str">
        <f>sales_data!I3254</f>
        <v>Monitor 32</v>
      </c>
      <c r="U535" t="str">
        <f>sales_data!J3254</f>
        <v>Опт</v>
      </c>
      <c r="V535">
        <f>sales_data!K3254</f>
        <v>25</v>
      </c>
      <c r="W535">
        <f>sales_data!L3254</f>
        <v>22700</v>
      </c>
      <c r="X535">
        <f>sales_data!M3254</f>
        <v>567500</v>
      </c>
      <c r="Y535" t="str">
        <f>sales_data!N3254</f>
        <v>Офлайн-точка</v>
      </c>
      <c r="Z535" t="str">
        <f>sales_data!O3254</f>
        <v>Доставлен</v>
      </c>
    </row>
    <row r="536" spans="12:26" x14ac:dyDescent="0.25">
      <c r="L536">
        <f>sales_data!A3258</f>
        <v>1532</v>
      </c>
      <c r="M536">
        <f>sales_data!B3258</f>
        <v>45950</v>
      </c>
      <c r="N536">
        <f>sales_data!C3258</f>
        <v>20</v>
      </c>
      <c r="O536" t="str">
        <f>sales_data!D3258</f>
        <v>Октябрь</v>
      </c>
      <c r="P536" t="str">
        <f>sales_data!E3258</f>
        <v>Игорь</v>
      </c>
      <c r="Q536" t="str">
        <f>sales_data!F3258</f>
        <v>Пермь</v>
      </c>
      <c r="R536" t="str">
        <f>sales_data!G3258</f>
        <v>Приволжский</v>
      </c>
      <c r="S536" t="str">
        <f>sales_data!H3258</f>
        <v>Серверы</v>
      </c>
      <c r="T536" t="str">
        <f>sales_data!I3258</f>
        <v>Network Switch</v>
      </c>
      <c r="U536" t="str">
        <f>sales_data!J3258</f>
        <v>Розница</v>
      </c>
      <c r="V536">
        <f>sales_data!K3258</f>
        <v>7</v>
      </c>
      <c r="W536">
        <f>sales_data!L3258</f>
        <v>22800</v>
      </c>
      <c r="X536">
        <f>sales_data!M3258</f>
        <v>159600</v>
      </c>
      <c r="Y536" t="str">
        <f>sales_data!N3258</f>
        <v>Офлайн-точка</v>
      </c>
      <c r="Z536" t="str">
        <f>sales_data!O3258</f>
        <v>Доставлен</v>
      </c>
    </row>
    <row r="537" spans="12:26" x14ac:dyDescent="0.25">
      <c r="L537">
        <f>sales_data!A3259</f>
        <v>2115</v>
      </c>
      <c r="M537">
        <f>sales_data!B3259</f>
        <v>45945</v>
      </c>
      <c r="N537">
        <f>sales_data!C3259</f>
        <v>15</v>
      </c>
      <c r="O537" t="str">
        <f>sales_data!D3259</f>
        <v>Октябрь</v>
      </c>
      <c r="P537" t="str">
        <f>sales_data!E3259</f>
        <v>Алексей</v>
      </c>
      <c r="Q537" t="str">
        <f>sales_data!F3259</f>
        <v>Краснодар</v>
      </c>
      <c r="R537" t="str">
        <f>sales_data!G3259</f>
        <v>Южный</v>
      </c>
      <c r="S537" t="str">
        <f>sales_data!H3259</f>
        <v>Мониторы</v>
      </c>
      <c r="T537" t="str">
        <f>sales_data!I3259</f>
        <v>Monitor Curved</v>
      </c>
      <c r="U537" t="str">
        <f>sales_data!J3259</f>
        <v>Розница</v>
      </c>
      <c r="V537">
        <f>sales_data!K3259</f>
        <v>1</v>
      </c>
      <c r="W537">
        <f>sales_data!L3259</f>
        <v>22800</v>
      </c>
      <c r="X537">
        <f>sales_data!M3259</f>
        <v>22800</v>
      </c>
      <c r="Y537" t="str">
        <f>sales_data!N3259</f>
        <v>Офлайн-точка</v>
      </c>
      <c r="Z537" t="str">
        <f>sales_data!O3259</f>
        <v>Доставлен</v>
      </c>
    </row>
    <row r="538" spans="12:26" x14ac:dyDescent="0.25">
      <c r="L538">
        <f>sales_data!A3264</f>
        <v>3517</v>
      </c>
      <c r="M538">
        <f>sales_data!B3264</f>
        <v>45932</v>
      </c>
      <c r="N538">
        <f>sales_data!C3264</f>
        <v>2</v>
      </c>
      <c r="O538" t="str">
        <f>sales_data!D3264</f>
        <v>Октябрь</v>
      </c>
      <c r="P538" t="str">
        <f>sales_data!E3264</f>
        <v>Дмитрий</v>
      </c>
      <c r="Q538" t="str">
        <f>sales_data!F3264</f>
        <v>Краснодар</v>
      </c>
      <c r="R538" t="str">
        <f>sales_data!G3264</f>
        <v>Южный</v>
      </c>
      <c r="S538" t="str">
        <f>sales_data!H3264</f>
        <v>Мониторы</v>
      </c>
      <c r="T538" t="str">
        <f>sales_data!I3264</f>
        <v>Monitor 32</v>
      </c>
      <c r="U538" t="str">
        <f>sales_data!J3264</f>
        <v>Опт</v>
      </c>
      <c r="V538">
        <f>sales_data!K3264</f>
        <v>46</v>
      </c>
      <c r="W538">
        <f>sales_data!L3264</f>
        <v>22900</v>
      </c>
      <c r="X538">
        <f>sales_data!M3264</f>
        <v>1053400</v>
      </c>
      <c r="Y538" t="str">
        <f>sales_data!N3264</f>
        <v>Интернет-магазин</v>
      </c>
      <c r="Z538" t="str">
        <f>sales_data!O3264</f>
        <v>Отменён</v>
      </c>
    </row>
    <row r="539" spans="12:26" x14ac:dyDescent="0.25">
      <c r="L539">
        <f>sales_data!A3265</f>
        <v>4933</v>
      </c>
      <c r="M539">
        <f>sales_data!B3265</f>
        <v>45804</v>
      </c>
      <c r="N539">
        <f>sales_data!C3265</f>
        <v>27</v>
      </c>
      <c r="O539" t="str">
        <f>sales_data!D3265</f>
        <v>Май</v>
      </c>
      <c r="P539" t="str">
        <f>sales_data!E3265</f>
        <v>Борис</v>
      </c>
      <c r="Q539" t="str">
        <f>sales_data!F3265</f>
        <v>Нижний Новгород</v>
      </c>
      <c r="R539" t="str">
        <f>sales_data!G3265</f>
        <v>Приволжский</v>
      </c>
      <c r="S539" t="str">
        <f>sales_data!H3265</f>
        <v>Серверы</v>
      </c>
      <c r="T539" t="str">
        <f>sales_data!I3265</f>
        <v>Network Switch</v>
      </c>
      <c r="U539" t="str">
        <f>sales_data!J3265</f>
        <v>Опт</v>
      </c>
      <c r="V539">
        <f>sales_data!K3265</f>
        <v>21</v>
      </c>
      <c r="W539">
        <f>sales_data!L3265</f>
        <v>22900</v>
      </c>
      <c r="X539">
        <f>sales_data!M3265</f>
        <v>480900</v>
      </c>
      <c r="Y539" t="str">
        <f>sales_data!N3265</f>
        <v>Интернет-магазин</v>
      </c>
      <c r="Z539" t="str">
        <f>sales_data!O3265</f>
        <v>В пути</v>
      </c>
    </row>
    <row r="540" spans="12:26" x14ac:dyDescent="0.25">
      <c r="L540">
        <f>sales_data!A3273</f>
        <v>1535</v>
      </c>
      <c r="M540">
        <f>sales_data!B3273</f>
        <v>45671</v>
      </c>
      <c r="N540">
        <f>sales_data!C3273</f>
        <v>14</v>
      </c>
      <c r="O540" t="str">
        <f>sales_data!D3273</f>
        <v>Январь</v>
      </c>
      <c r="P540" t="str">
        <f>sales_data!E3273</f>
        <v>Борис</v>
      </c>
      <c r="Q540" t="str">
        <f>sales_data!F3273</f>
        <v>Омск</v>
      </c>
      <c r="R540" t="str">
        <f>sales_data!G3273</f>
        <v>Сибирский</v>
      </c>
      <c r="S540" t="str">
        <f>sales_data!H3273</f>
        <v>Мониторы</v>
      </c>
      <c r="T540" t="str">
        <f>sales_data!I3273</f>
        <v>Monitor 32</v>
      </c>
      <c r="U540" t="str">
        <f>sales_data!J3273</f>
        <v>Опт</v>
      </c>
      <c r="V540">
        <f>sales_data!K3273</f>
        <v>18</v>
      </c>
      <c r="W540">
        <f>sales_data!L3273</f>
        <v>23200</v>
      </c>
      <c r="X540">
        <f>sales_data!M3273</f>
        <v>417600</v>
      </c>
      <c r="Y540" t="str">
        <f>sales_data!N3273</f>
        <v>Офлайн-точка</v>
      </c>
      <c r="Z540" t="str">
        <f>sales_data!O3273</f>
        <v>Отменён</v>
      </c>
    </row>
    <row r="541" spans="12:26" x14ac:dyDescent="0.25">
      <c r="L541">
        <f>sales_data!A3289</f>
        <v>692</v>
      </c>
      <c r="M541">
        <f>sales_data!B3289</f>
        <v>45860</v>
      </c>
      <c r="N541">
        <f>sales_data!C3289</f>
        <v>22</v>
      </c>
      <c r="O541" t="str">
        <f>sales_data!D3289</f>
        <v>Июль</v>
      </c>
      <c r="P541" t="str">
        <f>sales_data!E3289</f>
        <v>Татьяна</v>
      </c>
      <c r="Q541" t="str">
        <f>sales_data!F3289</f>
        <v>Омск</v>
      </c>
      <c r="R541" t="str">
        <f>sales_data!G3289</f>
        <v>Сибирский</v>
      </c>
      <c r="S541" t="str">
        <f>sales_data!H3289</f>
        <v>Мониторы</v>
      </c>
      <c r="T541" t="str">
        <f>sales_data!I3289</f>
        <v>Monitor Curved</v>
      </c>
      <c r="U541" t="str">
        <f>sales_data!J3289</f>
        <v>Розница</v>
      </c>
      <c r="V541">
        <f>sales_data!K3289</f>
        <v>4</v>
      </c>
      <c r="W541">
        <f>sales_data!L3289</f>
        <v>23300</v>
      </c>
      <c r="X541">
        <f>sales_data!M3289</f>
        <v>93200</v>
      </c>
      <c r="Y541" t="str">
        <f>sales_data!N3289</f>
        <v>Интернет-магазин</v>
      </c>
      <c r="Z541" t="str">
        <f>sales_data!O3289</f>
        <v>В пути</v>
      </c>
    </row>
    <row r="542" spans="12:26" x14ac:dyDescent="0.25">
      <c r="L542">
        <f>sales_data!A3290</f>
        <v>1042</v>
      </c>
      <c r="M542">
        <f>sales_data!B3290</f>
        <v>45825</v>
      </c>
      <c r="N542">
        <f>sales_data!C3290</f>
        <v>17</v>
      </c>
      <c r="O542" t="str">
        <f>sales_data!D3290</f>
        <v>Июнь</v>
      </c>
      <c r="P542" t="str">
        <f>sales_data!E3290</f>
        <v>Мария</v>
      </c>
      <c r="Q542" t="str">
        <f>sales_data!F3290</f>
        <v>Омск</v>
      </c>
      <c r="R542" t="str">
        <f>sales_data!G3290</f>
        <v>Сибирский</v>
      </c>
      <c r="S542" t="str">
        <f>sales_data!H3290</f>
        <v>Мониторы</v>
      </c>
      <c r="T542" t="str">
        <f>sales_data!I3290</f>
        <v>Monitor 32</v>
      </c>
      <c r="U542" t="str">
        <f>sales_data!J3290</f>
        <v>Опт</v>
      </c>
      <c r="V542">
        <f>sales_data!K3290</f>
        <v>11</v>
      </c>
      <c r="W542">
        <f>sales_data!L3290</f>
        <v>23300</v>
      </c>
      <c r="X542">
        <f>sales_data!M3290</f>
        <v>256300</v>
      </c>
      <c r="Y542" t="str">
        <f>sales_data!N3290</f>
        <v>Интернет-магазин</v>
      </c>
      <c r="Z542" t="str">
        <f>sales_data!O3290</f>
        <v>Отменён</v>
      </c>
    </row>
    <row r="543" spans="12:26" x14ac:dyDescent="0.25">
      <c r="L543">
        <f>sales_data!A3293</f>
        <v>1654</v>
      </c>
      <c r="M543">
        <f>sales_data!B3293</f>
        <v>45913</v>
      </c>
      <c r="N543">
        <f>sales_data!C3293</f>
        <v>13</v>
      </c>
      <c r="O543" t="str">
        <f>sales_data!D3293</f>
        <v>Сентябрь</v>
      </c>
      <c r="P543" t="str">
        <f>sales_data!E3293</f>
        <v>Дмитрий</v>
      </c>
      <c r="Q543" t="str">
        <f>sales_data!F3293</f>
        <v>Москва</v>
      </c>
      <c r="R543" t="str">
        <f>sales_data!G3293</f>
        <v>Центральный</v>
      </c>
      <c r="S543" t="str">
        <f>sales_data!H3293</f>
        <v>Мониторы</v>
      </c>
      <c r="T543" t="str">
        <f>sales_data!I3293</f>
        <v>Monitor 32</v>
      </c>
      <c r="U543" t="str">
        <f>sales_data!J3293</f>
        <v>Опт</v>
      </c>
      <c r="V543">
        <f>sales_data!K3293</f>
        <v>10</v>
      </c>
      <c r="W543">
        <f>sales_data!L3293</f>
        <v>23400</v>
      </c>
      <c r="X543">
        <f>sales_data!M3293</f>
        <v>234000</v>
      </c>
      <c r="Y543" t="str">
        <f>sales_data!N3293</f>
        <v>Офлайн-точка</v>
      </c>
      <c r="Z543" t="str">
        <f>sales_data!O3293</f>
        <v>В пути</v>
      </c>
    </row>
    <row r="544" spans="12:26" x14ac:dyDescent="0.25">
      <c r="L544">
        <f>sales_data!A3296</f>
        <v>3335</v>
      </c>
      <c r="M544">
        <f>sales_data!B3296</f>
        <v>45862</v>
      </c>
      <c r="N544">
        <f>sales_data!C3296</f>
        <v>24</v>
      </c>
      <c r="O544" t="str">
        <f>sales_data!D3296</f>
        <v>Июль</v>
      </c>
      <c r="P544" t="str">
        <f>sales_data!E3296</f>
        <v>Павел</v>
      </c>
      <c r="Q544" t="str">
        <f>sales_data!F3296</f>
        <v>Казань</v>
      </c>
      <c r="R544" t="str">
        <f>sales_data!G3296</f>
        <v>Приволжский</v>
      </c>
      <c r="S544" t="str">
        <f>sales_data!H3296</f>
        <v>Мониторы</v>
      </c>
      <c r="T544" t="str">
        <f>sales_data!I3296</f>
        <v>Monitor Curved</v>
      </c>
      <c r="U544" t="str">
        <f>sales_data!J3296</f>
        <v>Розница</v>
      </c>
      <c r="V544">
        <f>sales_data!K3296</f>
        <v>10</v>
      </c>
      <c r="W544">
        <f>sales_data!L3296</f>
        <v>23500</v>
      </c>
      <c r="X544">
        <f>sales_data!M3296</f>
        <v>235000</v>
      </c>
      <c r="Y544" t="str">
        <f>sales_data!N3296</f>
        <v>Интернет-магазин</v>
      </c>
      <c r="Z544" t="str">
        <f>sales_data!O3296</f>
        <v>В пути</v>
      </c>
    </row>
    <row r="545" spans="12:26" x14ac:dyDescent="0.25">
      <c r="L545">
        <f>sales_data!A3302</f>
        <v>3549</v>
      </c>
      <c r="M545">
        <f>sales_data!B3302</f>
        <v>45961</v>
      </c>
      <c r="N545">
        <f>sales_data!C3302</f>
        <v>31</v>
      </c>
      <c r="O545" t="str">
        <f>sales_data!D3302</f>
        <v>Октябрь</v>
      </c>
      <c r="P545" t="str">
        <f>sales_data!E3302</f>
        <v>Ксения</v>
      </c>
      <c r="Q545" t="str">
        <f>sales_data!F3302</f>
        <v>Казань</v>
      </c>
      <c r="R545" t="str">
        <f>sales_data!G3302</f>
        <v>Приволжский</v>
      </c>
      <c r="S545" t="str">
        <f>sales_data!H3302</f>
        <v>Серверы</v>
      </c>
      <c r="T545" t="str">
        <f>sales_data!I3302</f>
        <v>Network Switch</v>
      </c>
      <c r="U545" t="str">
        <f>sales_data!J3302</f>
        <v>Розница</v>
      </c>
      <c r="V545">
        <f>sales_data!K3302</f>
        <v>5</v>
      </c>
      <c r="W545">
        <f>sales_data!L3302</f>
        <v>23600</v>
      </c>
      <c r="X545">
        <f>sales_data!M3302</f>
        <v>118000</v>
      </c>
      <c r="Y545" t="str">
        <f>sales_data!N3302</f>
        <v>Интернет-магазин</v>
      </c>
      <c r="Z545" t="str">
        <f>sales_data!O3302</f>
        <v>Доставлен</v>
      </c>
    </row>
    <row r="546" spans="12:26" x14ac:dyDescent="0.25">
      <c r="L546">
        <f>sales_data!A3303</f>
        <v>3888</v>
      </c>
      <c r="M546">
        <f>sales_data!B3303</f>
        <v>45848</v>
      </c>
      <c r="N546">
        <f>sales_data!C3303</f>
        <v>10</v>
      </c>
      <c r="O546" t="str">
        <f>sales_data!D3303</f>
        <v>Июль</v>
      </c>
      <c r="P546" t="str">
        <f>sales_data!E3303</f>
        <v>Алексей</v>
      </c>
      <c r="Q546" t="str">
        <f>sales_data!F3303</f>
        <v>Новосибирск</v>
      </c>
      <c r="R546" t="str">
        <f>sales_data!G3303</f>
        <v>Сибирский</v>
      </c>
      <c r="S546" t="str">
        <f>sales_data!H3303</f>
        <v>Мониторы</v>
      </c>
      <c r="T546" t="str">
        <f>sales_data!I3303</f>
        <v>Monitor 32</v>
      </c>
      <c r="U546" t="str">
        <f>sales_data!J3303</f>
        <v>Опт</v>
      </c>
      <c r="V546">
        <f>sales_data!K3303</f>
        <v>22</v>
      </c>
      <c r="W546">
        <f>sales_data!L3303</f>
        <v>23600</v>
      </c>
      <c r="X546">
        <f>sales_data!M3303</f>
        <v>519200</v>
      </c>
      <c r="Y546" t="str">
        <f>sales_data!N3303</f>
        <v>Офлайн-точка</v>
      </c>
      <c r="Z546" t="str">
        <f>sales_data!O3303</f>
        <v>Доставлен</v>
      </c>
    </row>
    <row r="547" spans="12:26" x14ac:dyDescent="0.25">
      <c r="L547">
        <f>sales_data!A3304</f>
        <v>4780</v>
      </c>
      <c r="M547">
        <f>sales_data!B3304</f>
        <v>45688</v>
      </c>
      <c r="N547">
        <f>sales_data!C3304</f>
        <v>31</v>
      </c>
      <c r="O547" t="str">
        <f>sales_data!D3304</f>
        <v>Январь</v>
      </c>
      <c r="P547" t="str">
        <f>sales_data!E3304</f>
        <v>Алексей</v>
      </c>
      <c r="Q547" t="str">
        <f>sales_data!F3304</f>
        <v>Краснодар</v>
      </c>
      <c r="R547" t="str">
        <f>sales_data!G3304</f>
        <v>Южный</v>
      </c>
      <c r="S547" t="str">
        <f>sales_data!H3304</f>
        <v>Мониторы</v>
      </c>
      <c r="T547" t="str">
        <f>sales_data!I3304</f>
        <v>Monitor 32</v>
      </c>
      <c r="U547" t="str">
        <f>sales_data!J3304</f>
        <v>Розница</v>
      </c>
      <c r="V547">
        <f>sales_data!K3304</f>
        <v>3</v>
      </c>
      <c r="W547">
        <f>sales_data!L3304</f>
        <v>23600</v>
      </c>
      <c r="X547">
        <f>sales_data!M3304</f>
        <v>70800</v>
      </c>
      <c r="Y547" t="str">
        <f>sales_data!N3304</f>
        <v>Интернет-магазин</v>
      </c>
      <c r="Z547" t="str">
        <f>sales_data!O3304</f>
        <v>Отменён</v>
      </c>
    </row>
    <row r="548" spans="12:26" x14ac:dyDescent="0.25">
      <c r="L548">
        <f>sales_data!A3309</f>
        <v>969</v>
      </c>
      <c r="M548">
        <f>sales_data!B3309</f>
        <v>45772</v>
      </c>
      <c r="N548">
        <f>sales_data!C3309</f>
        <v>25</v>
      </c>
      <c r="O548" t="str">
        <f>sales_data!D3309</f>
        <v>Апрель</v>
      </c>
      <c r="P548" t="str">
        <f>sales_data!E3309</f>
        <v>Алексей</v>
      </c>
      <c r="Q548" t="str">
        <f>sales_data!F3309</f>
        <v>Новосибирск</v>
      </c>
      <c r="R548" t="str">
        <f>sales_data!G3309</f>
        <v>Сибирский</v>
      </c>
      <c r="S548" t="str">
        <f>sales_data!H3309</f>
        <v>Мониторы</v>
      </c>
      <c r="T548" t="str">
        <f>sales_data!I3309</f>
        <v>Monitor 32</v>
      </c>
      <c r="U548" t="str">
        <f>sales_data!J3309</f>
        <v>Опт</v>
      </c>
      <c r="V548">
        <f>sales_data!K3309</f>
        <v>36</v>
      </c>
      <c r="W548">
        <f>sales_data!L3309</f>
        <v>23800</v>
      </c>
      <c r="X548">
        <f>sales_data!M3309</f>
        <v>856800</v>
      </c>
      <c r="Y548" t="str">
        <f>sales_data!N3309</f>
        <v>Офлайн-точка</v>
      </c>
      <c r="Z548" t="str">
        <f>sales_data!O3309</f>
        <v>Доставлен</v>
      </c>
    </row>
    <row r="549" spans="12:26" x14ac:dyDescent="0.25">
      <c r="L549">
        <f>sales_data!A3346</f>
        <v>4728</v>
      </c>
      <c r="M549">
        <f>sales_data!B3346</f>
        <v>45671</v>
      </c>
      <c r="N549">
        <f>sales_data!C3346</f>
        <v>14</v>
      </c>
      <c r="O549" t="str">
        <f>sales_data!D3346</f>
        <v>Январь</v>
      </c>
      <c r="P549" t="str">
        <f>sales_data!E3346</f>
        <v>Наталья</v>
      </c>
      <c r="Q549" t="str">
        <f>sales_data!F3346</f>
        <v>Казань</v>
      </c>
      <c r="R549" t="str">
        <f>sales_data!G3346</f>
        <v>Приволжский</v>
      </c>
      <c r="S549" t="str">
        <f>sales_data!H3346</f>
        <v>Серверы</v>
      </c>
      <c r="T549" t="str">
        <f>sales_data!I3346</f>
        <v>Network Switch</v>
      </c>
      <c r="U549" t="str">
        <f>sales_data!J3346</f>
        <v>Розница</v>
      </c>
      <c r="V549">
        <f>sales_data!K3346</f>
        <v>2</v>
      </c>
      <c r="W549">
        <f>sales_data!L3346</f>
        <v>24400</v>
      </c>
      <c r="X549">
        <f>sales_data!M3346</f>
        <v>48800</v>
      </c>
      <c r="Y549" t="str">
        <f>sales_data!N3346</f>
        <v>Офлайн-точка</v>
      </c>
      <c r="Z549" t="str">
        <f>sales_data!O3346</f>
        <v>Отменён</v>
      </c>
    </row>
    <row r="550" spans="12:26" x14ac:dyDescent="0.25">
      <c r="L550">
        <f>sales_data!A3371</f>
        <v>254</v>
      </c>
      <c r="M550">
        <f>sales_data!B3371</f>
        <v>45678</v>
      </c>
      <c r="N550">
        <f>sales_data!C3371</f>
        <v>21</v>
      </c>
      <c r="O550" t="str">
        <f>sales_data!D3371</f>
        <v>Январь</v>
      </c>
      <c r="P550" t="str">
        <f>sales_data!E3371</f>
        <v>Анна</v>
      </c>
      <c r="Q550" t="str">
        <f>sales_data!F3371</f>
        <v>Москва</v>
      </c>
      <c r="R550" t="str">
        <f>sales_data!G3371</f>
        <v>Центральный</v>
      </c>
      <c r="S550" t="str">
        <f>sales_data!H3371</f>
        <v>Мониторы</v>
      </c>
      <c r="T550" t="str">
        <f>sales_data!I3371</f>
        <v>Monitor 32</v>
      </c>
      <c r="U550" t="str">
        <f>sales_data!J3371</f>
        <v>Опт</v>
      </c>
      <c r="V550">
        <f>sales_data!K3371</f>
        <v>38</v>
      </c>
      <c r="W550">
        <f>sales_data!L3371</f>
        <v>25000</v>
      </c>
      <c r="X550">
        <f>sales_data!M3371</f>
        <v>950000</v>
      </c>
      <c r="Y550" t="str">
        <f>sales_data!N3371</f>
        <v>Офлайн-точка</v>
      </c>
      <c r="Z550" t="str">
        <f>sales_data!O3371</f>
        <v>Доставлен</v>
      </c>
    </row>
    <row r="551" spans="12:26" x14ac:dyDescent="0.25">
      <c r="L551">
        <f>sales_data!A3376</f>
        <v>893</v>
      </c>
      <c r="M551">
        <f>sales_data!B3376</f>
        <v>45741</v>
      </c>
      <c r="N551">
        <f>sales_data!C3376</f>
        <v>25</v>
      </c>
      <c r="O551" t="str">
        <f>sales_data!D3376</f>
        <v>Март</v>
      </c>
      <c r="P551" t="str">
        <f>sales_data!E3376</f>
        <v>Сергей</v>
      </c>
      <c r="Q551" t="str">
        <f>sales_data!F3376</f>
        <v>Москва</v>
      </c>
      <c r="R551" t="str">
        <f>sales_data!G3376</f>
        <v>Центральный</v>
      </c>
      <c r="S551" t="str">
        <f>sales_data!H3376</f>
        <v>Мониторы</v>
      </c>
      <c r="T551" t="str">
        <f>sales_data!I3376</f>
        <v>Monitor 32</v>
      </c>
      <c r="U551" t="str">
        <f>sales_data!J3376</f>
        <v>Опт</v>
      </c>
      <c r="V551">
        <f>sales_data!K3376</f>
        <v>49</v>
      </c>
      <c r="W551">
        <f>sales_data!L3376</f>
        <v>25100</v>
      </c>
      <c r="X551">
        <f>sales_data!M3376</f>
        <v>1229900</v>
      </c>
      <c r="Y551" t="str">
        <f>sales_data!N3376</f>
        <v>Интернет-магазин</v>
      </c>
      <c r="Z551" t="str">
        <f>sales_data!O3376</f>
        <v>В пути</v>
      </c>
    </row>
    <row r="552" spans="12:26" x14ac:dyDescent="0.25">
      <c r="L552">
        <f>sales_data!A3380</f>
        <v>3441</v>
      </c>
      <c r="M552">
        <f>sales_data!B3380</f>
        <v>45801</v>
      </c>
      <c r="N552">
        <f>sales_data!C3380</f>
        <v>24</v>
      </c>
      <c r="O552" t="str">
        <f>sales_data!D3380</f>
        <v>Май</v>
      </c>
      <c r="P552" t="str">
        <f>sales_data!E3380</f>
        <v>Дмитрий</v>
      </c>
      <c r="Q552" t="str">
        <f>sales_data!F3380</f>
        <v>Челябинск</v>
      </c>
      <c r="R552" t="str">
        <f>sales_data!G3380</f>
        <v>Уральский</v>
      </c>
      <c r="S552" t="str">
        <f>sales_data!H3380</f>
        <v>Серверы</v>
      </c>
      <c r="T552" t="str">
        <f>sales_data!I3380</f>
        <v>Network Switch</v>
      </c>
      <c r="U552" t="str">
        <f>sales_data!J3380</f>
        <v>Розница</v>
      </c>
      <c r="V552">
        <f>sales_data!K3380</f>
        <v>10</v>
      </c>
      <c r="W552">
        <f>sales_data!L3380</f>
        <v>25200</v>
      </c>
      <c r="X552">
        <f>sales_data!M3380</f>
        <v>252000</v>
      </c>
      <c r="Y552" t="str">
        <f>sales_data!N3380</f>
        <v>Офлайн-точка</v>
      </c>
      <c r="Z552" t="str">
        <f>sales_data!O3380</f>
        <v>В пути</v>
      </c>
    </row>
    <row r="553" spans="12:26" x14ac:dyDescent="0.25">
      <c r="L553">
        <f>sales_data!A3387</f>
        <v>2631</v>
      </c>
      <c r="M553">
        <f>sales_data!B3387</f>
        <v>45733</v>
      </c>
      <c r="N553">
        <f>sales_data!C3387</f>
        <v>17</v>
      </c>
      <c r="O553" t="str">
        <f>sales_data!D3387</f>
        <v>Март</v>
      </c>
      <c r="P553" t="str">
        <f>sales_data!E3387</f>
        <v>Светлана</v>
      </c>
      <c r="Q553" t="str">
        <f>sales_data!F3387</f>
        <v>Казань</v>
      </c>
      <c r="R553" t="str">
        <f>sales_data!G3387</f>
        <v>Приволжский</v>
      </c>
      <c r="S553" t="str">
        <f>sales_data!H3387</f>
        <v>Серверы</v>
      </c>
      <c r="T553" t="str">
        <f>sales_data!I3387</f>
        <v>Network Switch</v>
      </c>
      <c r="U553" t="str">
        <f>sales_data!J3387</f>
        <v>Розница</v>
      </c>
      <c r="V553">
        <f>sales_data!K3387</f>
        <v>10</v>
      </c>
      <c r="W553">
        <f>sales_data!L3387</f>
        <v>25400</v>
      </c>
      <c r="X553">
        <f>sales_data!M3387</f>
        <v>254000</v>
      </c>
      <c r="Y553" t="str">
        <f>sales_data!N3387</f>
        <v>Интернет-магазин</v>
      </c>
      <c r="Z553" t="str">
        <f>sales_data!O3387</f>
        <v>Отменён</v>
      </c>
    </row>
    <row r="554" spans="12:26" x14ac:dyDescent="0.25">
      <c r="L554">
        <f>sales_data!A3392</f>
        <v>791</v>
      </c>
      <c r="M554">
        <f>sales_data!B3392</f>
        <v>45946</v>
      </c>
      <c r="N554">
        <f>sales_data!C3392</f>
        <v>16</v>
      </c>
      <c r="O554" t="str">
        <f>sales_data!D3392</f>
        <v>Октябрь</v>
      </c>
      <c r="P554" t="str">
        <f>sales_data!E3392</f>
        <v>Елена</v>
      </c>
      <c r="Q554" t="str">
        <f>sales_data!F3392</f>
        <v>Москва</v>
      </c>
      <c r="R554" t="str">
        <f>sales_data!G3392</f>
        <v>Центральный</v>
      </c>
      <c r="S554" t="str">
        <f>sales_data!H3392</f>
        <v>Серверы</v>
      </c>
      <c r="T554" t="str">
        <f>sales_data!I3392</f>
        <v>Network Switch</v>
      </c>
      <c r="U554" t="str">
        <f>sales_data!J3392</f>
        <v>Розница</v>
      </c>
      <c r="V554">
        <f>sales_data!K3392</f>
        <v>10</v>
      </c>
      <c r="W554">
        <f>sales_data!L3392</f>
        <v>25500</v>
      </c>
      <c r="X554">
        <f>sales_data!M3392</f>
        <v>255000</v>
      </c>
      <c r="Y554" t="str">
        <f>sales_data!N3392</f>
        <v>Интернет-магазин</v>
      </c>
      <c r="Z554" t="str">
        <f>sales_data!O3392</f>
        <v>Отменён</v>
      </c>
    </row>
    <row r="555" spans="12:26" x14ac:dyDescent="0.25">
      <c r="L555">
        <f>sales_data!A3400</f>
        <v>2619</v>
      </c>
      <c r="M555">
        <f>sales_data!B3400</f>
        <v>45794</v>
      </c>
      <c r="N555">
        <f>sales_data!C3400</f>
        <v>17</v>
      </c>
      <c r="O555" t="str">
        <f>sales_data!D3400</f>
        <v>Май</v>
      </c>
      <c r="P555" t="str">
        <f>sales_data!E3400</f>
        <v>Владимир</v>
      </c>
      <c r="Q555" t="str">
        <f>sales_data!F3400</f>
        <v>Ростов-на-Дону</v>
      </c>
      <c r="R555" t="str">
        <f>sales_data!G3400</f>
        <v>Южный</v>
      </c>
      <c r="S555" t="str">
        <f>sales_data!H3400</f>
        <v>Серверы</v>
      </c>
      <c r="T555" t="str">
        <f>sales_data!I3400</f>
        <v>Network Switch</v>
      </c>
      <c r="U555" t="str">
        <f>sales_data!J3400</f>
        <v>Розница</v>
      </c>
      <c r="V555">
        <f>sales_data!K3400</f>
        <v>2</v>
      </c>
      <c r="W555">
        <f>sales_data!L3400</f>
        <v>25600</v>
      </c>
      <c r="X555">
        <f>sales_data!M3400</f>
        <v>51200</v>
      </c>
      <c r="Y555" t="str">
        <f>sales_data!N3400</f>
        <v>Офлайн-точка</v>
      </c>
      <c r="Z555" t="str">
        <f>sales_data!O3400</f>
        <v>Доставлен</v>
      </c>
    </row>
    <row r="556" spans="12:26" x14ac:dyDescent="0.25">
      <c r="L556">
        <f>sales_data!A3401</f>
        <v>2872</v>
      </c>
      <c r="M556">
        <f>sales_data!B3401</f>
        <v>45927</v>
      </c>
      <c r="N556">
        <f>sales_data!C3401</f>
        <v>27</v>
      </c>
      <c r="O556" t="str">
        <f>sales_data!D3401</f>
        <v>Сентябрь</v>
      </c>
      <c r="P556" t="str">
        <f>sales_data!E3401</f>
        <v>Ольга</v>
      </c>
      <c r="Q556" t="str">
        <f>sales_data!F3401</f>
        <v>Санкт-Петербург</v>
      </c>
      <c r="R556" t="str">
        <f>sales_data!G3401</f>
        <v>Северо-Западный</v>
      </c>
      <c r="S556" t="str">
        <f>sales_data!H3401</f>
        <v>Серверы</v>
      </c>
      <c r="T556" t="str">
        <f>sales_data!I3401</f>
        <v>Network Switch</v>
      </c>
      <c r="U556" t="str">
        <f>sales_data!J3401</f>
        <v>Розница</v>
      </c>
      <c r="V556">
        <f>sales_data!K3401</f>
        <v>1</v>
      </c>
      <c r="W556">
        <f>sales_data!L3401</f>
        <v>25600</v>
      </c>
      <c r="X556">
        <f>sales_data!M3401</f>
        <v>25600</v>
      </c>
      <c r="Y556" t="str">
        <f>sales_data!N3401</f>
        <v>Офлайн-точка</v>
      </c>
      <c r="Z556" t="str">
        <f>sales_data!O3401</f>
        <v>Доставлен</v>
      </c>
    </row>
    <row r="557" spans="12:26" x14ac:dyDescent="0.25">
      <c r="L557">
        <f>sales_data!A3406</f>
        <v>3524</v>
      </c>
      <c r="M557">
        <f>sales_data!B3406</f>
        <v>45944</v>
      </c>
      <c r="N557">
        <f>sales_data!C3406</f>
        <v>14</v>
      </c>
      <c r="O557" t="str">
        <f>sales_data!D3406</f>
        <v>Октябрь</v>
      </c>
      <c r="P557" t="str">
        <f>sales_data!E3406</f>
        <v>Наталья</v>
      </c>
      <c r="Q557" t="str">
        <f>sales_data!F3406</f>
        <v>Ростов-на-Дону</v>
      </c>
      <c r="R557" t="str">
        <f>sales_data!G3406</f>
        <v>Южный</v>
      </c>
      <c r="S557" t="str">
        <f>sales_data!H3406</f>
        <v>Мониторы</v>
      </c>
      <c r="T557" t="str">
        <f>sales_data!I3406</f>
        <v>Monitor 32</v>
      </c>
      <c r="U557" t="str">
        <f>sales_data!J3406</f>
        <v>Опт</v>
      </c>
      <c r="V557">
        <f>sales_data!K3406</f>
        <v>9</v>
      </c>
      <c r="W557">
        <f>sales_data!L3406</f>
        <v>25700</v>
      </c>
      <c r="X557">
        <f>sales_data!M3406</f>
        <v>231300</v>
      </c>
      <c r="Y557" t="str">
        <f>sales_data!N3406</f>
        <v>Офлайн-точка</v>
      </c>
      <c r="Z557" t="str">
        <f>sales_data!O3406</f>
        <v>Отменён</v>
      </c>
    </row>
    <row r="558" spans="12:26" x14ac:dyDescent="0.25">
      <c r="L558">
        <f>sales_data!A3412</f>
        <v>973</v>
      </c>
      <c r="M558">
        <f>sales_data!B3412</f>
        <v>45726</v>
      </c>
      <c r="N558">
        <f>sales_data!C3412</f>
        <v>10</v>
      </c>
      <c r="O558" t="str">
        <f>sales_data!D3412</f>
        <v>Март</v>
      </c>
      <c r="P558" t="str">
        <f>sales_data!E3412</f>
        <v>Владимир</v>
      </c>
      <c r="Q558" t="str">
        <f>sales_data!F3412</f>
        <v>Краснодар</v>
      </c>
      <c r="R558" t="str">
        <f>sales_data!G3412</f>
        <v>Южный</v>
      </c>
      <c r="S558" t="str">
        <f>sales_data!H3412</f>
        <v>Серверы</v>
      </c>
      <c r="T558" t="str">
        <f>sales_data!I3412</f>
        <v>Network Switch</v>
      </c>
      <c r="U558" t="str">
        <f>sales_data!J3412</f>
        <v>Розница</v>
      </c>
      <c r="V558">
        <f>sales_data!K3412</f>
        <v>7</v>
      </c>
      <c r="W558">
        <f>sales_data!L3412</f>
        <v>26100</v>
      </c>
      <c r="X558">
        <f>sales_data!M3412</f>
        <v>182700</v>
      </c>
      <c r="Y558" t="str">
        <f>sales_data!N3412</f>
        <v>Офлайн-точка</v>
      </c>
      <c r="Z558" t="str">
        <f>sales_data!O3412</f>
        <v>Отменён</v>
      </c>
    </row>
    <row r="559" spans="12:26" x14ac:dyDescent="0.25">
      <c r="L559">
        <f>sales_data!A3418</f>
        <v>3820</v>
      </c>
      <c r="M559">
        <f>sales_data!B3418</f>
        <v>45996</v>
      </c>
      <c r="N559">
        <f>sales_data!C3418</f>
        <v>5</v>
      </c>
      <c r="O559" t="str">
        <f>sales_data!D3418</f>
        <v>Декабрь</v>
      </c>
      <c r="P559" t="str">
        <f>sales_data!E3418</f>
        <v>Светлана</v>
      </c>
      <c r="Q559" t="str">
        <f>sales_data!F3418</f>
        <v>Омск</v>
      </c>
      <c r="R559" t="str">
        <f>sales_data!G3418</f>
        <v>Сибирский</v>
      </c>
      <c r="S559" t="str">
        <f>sales_data!H3418</f>
        <v>Мониторы</v>
      </c>
      <c r="T559" t="str">
        <f>sales_data!I3418</f>
        <v>Monitor 32</v>
      </c>
      <c r="U559" t="str">
        <f>sales_data!J3418</f>
        <v>Розница</v>
      </c>
      <c r="V559">
        <f>sales_data!K3418</f>
        <v>3</v>
      </c>
      <c r="W559">
        <f>sales_data!L3418</f>
        <v>26300</v>
      </c>
      <c r="X559">
        <f>sales_data!M3418</f>
        <v>78900</v>
      </c>
      <c r="Y559" t="str">
        <f>sales_data!N3418</f>
        <v>Интернет-магазин</v>
      </c>
      <c r="Z559" t="str">
        <f>sales_data!O3418</f>
        <v>Отменён</v>
      </c>
    </row>
    <row r="560" spans="12:26" x14ac:dyDescent="0.25">
      <c r="L560">
        <f>sales_data!A3425</f>
        <v>795</v>
      </c>
      <c r="M560">
        <f>sales_data!B3425</f>
        <v>45886</v>
      </c>
      <c r="N560">
        <f>sales_data!C3425</f>
        <v>17</v>
      </c>
      <c r="O560" t="str">
        <f>sales_data!D3425</f>
        <v>Август</v>
      </c>
      <c r="P560" t="str">
        <f>sales_data!E3425</f>
        <v>Игорь</v>
      </c>
      <c r="Q560" t="str">
        <f>sales_data!F3425</f>
        <v>Красноярск</v>
      </c>
      <c r="R560" t="str">
        <f>sales_data!G3425</f>
        <v>Сибирский</v>
      </c>
      <c r="S560" t="str">
        <f>sales_data!H3425</f>
        <v>Мониторы</v>
      </c>
      <c r="T560" t="str">
        <f>sales_data!I3425</f>
        <v>Monitor 32</v>
      </c>
      <c r="U560" t="str">
        <f>sales_data!J3425</f>
        <v>Розница</v>
      </c>
      <c r="V560">
        <f>sales_data!K3425</f>
        <v>8</v>
      </c>
      <c r="W560">
        <f>sales_data!L3425</f>
        <v>26500</v>
      </c>
      <c r="X560">
        <f>sales_data!M3425</f>
        <v>212000</v>
      </c>
      <c r="Y560" t="str">
        <f>sales_data!N3425</f>
        <v>Интернет-магазин</v>
      </c>
      <c r="Z560" t="str">
        <f>sales_data!O3425</f>
        <v>Отменён</v>
      </c>
    </row>
    <row r="561" spans="12:26" x14ac:dyDescent="0.25">
      <c r="L561">
        <f>sales_data!A3428</f>
        <v>1547</v>
      </c>
      <c r="M561">
        <f>sales_data!B3428</f>
        <v>45863</v>
      </c>
      <c r="N561">
        <f>sales_data!C3428</f>
        <v>25</v>
      </c>
      <c r="O561" t="str">
        <f>sales_data!D3428</f>
        <v>Июль</v>
      </c>
      <c r="P561" t="str">
        <f>sales_data!E3428</f>
        <v>Алексей</v>
      </c>
      <c r="Q561" t="str">
        <f>sales_data!F3428</f>
        <v>Самара</v>
      </c>
      <c r="R561" t="str">
        <f>sales_data!G3428</f>
        <v>Приволжский</v>
      </c>
      <c r="S561" t="str">
        <f>sales_data!H3428</f>
        <v>Мониторы</v>
      </c>
      <c r="T561" t="str">
        <f>sales_data!I3428</f>
        <v>Monitor 32</v>
      </c>
      <c r="U561" t="str">
        <f>sales_data!J3428</f>
        <v>Розница</v>
      </c>
      <c r="V561">
        <f>sales_data!K3428</f>
        <v>6</v>
      </c>
      <c r="W561">
        <f>sales_data!L3428</f>
        <v>26600</v>
      </c>
      <c r="X561">
        <f>sales_data!M3428</f>
        <v>159600</v>
      </c>
      <c r="Y561" t="str">
        <f>sales_data!N3428</f>
        <v>Офлайн-точка</v>
      </c>
      <c r="Z561" t="str">
        <f>sales_data!O3428</f>
        <v>Отменён</v>
      </c>
    </row>
    <row r="562" spans="12:26" x14ac:dyDescent="0.25">
      <c r="L562">
        <f>sales_data!A3435</f>
        <v>2247</v>
      </c>
      <c r="M562">
        <f>sales_data!B3435</f>
        <v>45752</v>
      </c>
      <c r="N562">
        <f>sales_data!C3435</f>
        <v>5</v>
      </c>
      <c r="O562" t="str">
        <f>sales_data!D3435</f>
        <v>Апрель</v>
      </c>
      <c r="P562" t="str">
        <f>sales_data!E3435</f>
        <v>Владимир</v>
      </c>
      <c r="Q562" t="str">
        <f>sales_data!F3435</f>
        <v>Красноярск</v>
      </c>
      <c r="R562" t="str">
        <f>sales_data!G3435</f>
        <v>Сибирский</v>
      </c>
      <c r="S562" t="str">
        <f>sales_data!H3435</f>
        <v>Мониторы</v>
      </c>
      <c r="T562" t="str">
        <f>sales_data!I3435</f>
        <v>Monitor 32</v>
      </c>
      <c r="U562" t="str">
        <f>sales_data!J3435</f>
        <v>Розница</v>
      </c>
      <c r="V562">
        <f>sales_data!K3435</f>
        <v>7</v>
      </c>
      <c r="W562">
        <f>sales_data!L3435</f>
        <v>26700</v>
      </c>
      <c r="X562">
        <f>sales_data!M3435</f>
        <v>186900</v>
      </c>
      <c r="Y562" t="str">
        <f>sales_data!N3435</f>
        <v>Офлайн-точка</v>
      </c>
      <c r="Z562" t="str">
        <f>sales_data!O3435</f>
        <v>Отменён</v>
      </c>
    </row>
    <row r="563" spans="12:26" x14ac:dyDescent="0.25">
      <c r="L563">
        <f>sales_data!A3439</f>
        <v>1150</v>
      </c>
      <c r="M563">
        <f>sales_data!B3439</f>
        <v>45824</v>
      </c>
      <c r="N563">
        <f>sales_data!C3439</f>
        <v>16</v>
      </c>
      <c r="O563" t="str">
        <f>sales_data!D3439</f>
        <v>Июнь</v>
      </c>
      <c r="P563" t="str">
        <f>sales_data!E3439</f>
        <v>Ольга</v>
      </c>
      <c r="Q563" t="str">
        <f>sales_data!F3439</f>
        <v>Челябинск</v>
      </c>
      <c r="R563" t="str">
        <f>sales_data!G3439</f>
        <v>Уральский</v>
      </c>
      <c r="S563" t="str">
        <f>sales_data!H3439</f>
        <v>Мониторы</v>
      </c>
      <c r="T563" t="str">
        <f>sales_data!I3439</f>
        <v>Monitor 32</v>
      </c>
      <c r="U563" t="str">
        <f>sales_data!J3439</f>
        <v>Розница</v>
      </c>
      <c r="V563">
        <f>sales_data!K3439</f>
        <v>9</v>
      </c>
      <c r="W563">
        <f>sales_data!L3439</f>
        <v>26800</v>
      </c>
      <c r="X563">
        <f>sales_data!M3439</f>
        <v>241200</v>
      </c>
      <c r="Y563" t="str">
        <f>sales_data!N3439</f>
        <v>Интернет-магазин</v>
      </c>
      <c r="Z563" t="str">
        <f>sales_data!O3439</f>
        <v>В пути</v>
      </c>
    </row>
    <row r="564" spans="12:26" x14ac:dyDescent="0.25">
      <c r="L564">
        <f>sales_data!A3442</f>
        <v>1517</v>
      </c>
      <c r="M564">
        <f>sales_data!B3442</f>
        <v>45763</v>
      </c>
      <c r="N564">
        <f>sales_data!C3442</f>
        <v>16</v>
      </c>
      <c r="O564" t="str">
        <f>sales_data!D3442</f>
        <v>Апрель</v>
      </c>
      <c r="P564" t="str">
        <f>sales_data!E3442</f>
        <v>Ольга</v>
      </c>
      <c r="Q564" t="str">
        <f>sales_data!F3442</f>
        <v>Казань</v>
      </c>
      <c r="R564" t="str">
        <f>sales_data!G3442</f>
        <v>Приволжский</v>
      </c>
      <c r="S564" t="str">
        <f>sales_data!H3442</f>
        <v>Серверы</v>
      </c>
      <c r="T564" t="str">
        <f>sales_data!I3442</f>
        <v>Network Switch</v>
      </c>
      <c r="U564" t="str">
        <f>sales_data!J3442</f>
        <v>Розница</v>
      </c>
      <c r="V564">
        <f>sales_data!K3442</f>
        <v>5</v>
      </c>
      <c r="W564">
        <f>sales_data!L3442</f>
        <v>26900</v>
      </c>
      <c r="X564">
        <f>sales_data!M3442</f>
        <v>134500</v>
      </c>
      <c r="Y564" t="str">
        <f>sales_data!N3442</f>
        <v>Интернет-магазин</v>
      </c>
      <c r="Z564" t="str">
        <f>sales_data!O3442</f>
        <v>Отменён</v>
      </c>
    </row>
    <row r="565" spans="12:26" x14ac:dyDescent="0.25">
      <c r="L565">
        <f>sales_data!A3449</f>
        <v>2199</v>
      </c>
      <c r="M565">
        <f>sales_data!B3449</f>
        <v>45720</v>
      </c>
      <c r="N565">
        <f>sales_data!C3449</f>
        <v>4</v>
      </c>
      <c r="O565" t="str">
        <f>sales_data!D3449</f>
        <v>Март</v>
      </c>
      <c r="P565" t="str">
        <f>sales_data!E3449</f>
        <v>Дмитрий</v>
      </c>
      <c r="Q565" t="str">
        <f>sales_data!F3449</f>
        <v>Нижний Новгород</v>
      </c>
      <c r="R565" t="str">
        <f>sales_data!G3449</f>
        <v>Приволжский</v>
      </c>
      <c r="S565" t="str">
        <f>sales_data!H3449</f>
        <v>Мониторы</v>
      </c>
      <c r="T565" t="str">
        <f>sales_data!I3449</f>
        <v>Monitor 32</v>
      </c>
      <c r="U565" t="str">
        <f>sales_data!J3449</f>
        <v>Розница</v>
      </c>
      <c r="V565">
        <f>sales_data!K3449</f>
        <v>6</v>
      </c>
      <c r="W565">
        <f>sales_data!L3449</f>
        <v>27100</v>
      </c>
      <c r="X565">
        <f>sales_data!M3449</f>
        <v>162600</v>
      </c>
      <c r="Y565" t="str">
        <f>sales_data!N3449</f>
        <v>Офлайн-точка</v>
      </c>
      <c r="Z565" t="str">
        <f>sales_data!O3449</f>
        <v>Отменён</v>
      </c>
    </row>
    <row r="566" spans="12:26" x14ac:dyDescent="0.25">
      <c r="L566">
        <f>sales_data!A3457</f>
        <v>560</v>
      </c>
      <c r="M566">
        <f>sales_data!B3457</f>
        <v>45938</v>
      </c>
      <c r="N566">
        <f>sales_data!C3457</f>
        <v>8</v>
      </c>
      <c r="O566" t="str">
        <f>sales_data!D3457</f>
        <v>Октябрь</v>
      </c>
      <c r="P566" t="str">
        <f>sales_data!E3457</f>
        <v>Борис</v>
      </c>
      <c r="Q566" t="str">
        <f>sales_data!F3457</f>
        <v>Екатеринбург</v>
      </c>
      <c r="R566" t="str">
        <f>sales_data!G3457</f>
        <v>Уральский</v>
      </c>
      <c r="S566" t="str">
        <f>sales_data!H3457</f>
        <v>Мониторы</v>
      </c>
      <c r="T566" t="str">
        <f>sales_data!I3457</f>
        <v>Monitor 32</v>
      </c>
      <c r="U566" t="str">
        <f>sales_data!J3457</f>
        <v>Розница</v>
      </c>
      <c r="V566">
        <f>sales_data!K3457</f>
        <v>7</v>
      </c>
      <c r="W566">
        <f>sales_data!L3457</f>
        <v>27400</v>
      </c>
      <c r="X566">
        <f>sales_data!M3457</f>
        <v>191800</v>
      </c>
      <c r="Y566" t="str">
        <f>sales_data!N3457</f>
        <v>Интернет-магазин</v>
      </c>
      <c r="Z566" t="str">
        <f>sales_data!O3457</f>
        <v>Доставлен</v>
      </c>
    </row>
    <row r="567" spans="12:26" x14ac:dyDescent="0.25">
      <c r="L567">
        <f>sales_data!A3459</f>
        <v>1336</v>
      </c>
      <c r="M567">
        <f>sales_data!B3459</f>
        <v>45774</v>
      </c>
      <c r="N567">
        <f>sales_data!C3459</f>
        <v>27</v>
      </c>
      <c r="O567" t="str">
        <f>sales_data!D3459</f>
        <v>Апрель</v>
      </c>
      <c r="P567" t="str">
        <f>sales_data!E3459</f>
        <v>Ольга</v>
      </c>
      <c r="Q567" t="str">
        <f>sales_data!F3459</f>
        <v>Воронеж</v>
      </c>
      <c r="R567" t="str">
        <f>sales_data!G3459</f>
        <v>Центральный</v>
      </c>
      <c r="S567" t="str">
        <f>sales_data!H3459</f>
        <v>Мониторы</v>
      </c>
      <c r="T567" t="str">
        <f>sales_data!I3459</f>
        <v>Monitor 32</v>
      </c>
      <c r="U567" t="str">
        <f>sales_data!J3459</f>
        <v>Розница</v>
      </c>
      <c r="V567">
        <f>sales_data!K3459</f>
        <v>9</v>
      </c>
      <c r="W567">
        <f>sales_data!L3459</f>
        <v>27500</v>
      </c>
      <c r="X567">
        <f>sales_data!M3459</f>
        <v>247500</v>
      </c>
      <c r="Y567" t="str">
        <f>sales_data!N3459</f>
        <v>Офлайн-точка</v>
      </c>
      <c r="Z567" t="str">
        <f>sales_data!O3459</f>
        <v>Доставлен</v>
      </c>
    </row>
    <row r="568" spans="12:26" x14ac:dyDescent="0.25">
      <c r="L568">
        <f>sales_data!A3470</f>
        <v>4894</v>
      </c>
      <c r="M568">
        <f>sales_data!B3470</f>
        <v>45946</v>
      </c>
      <c r="N568">
        <f>sales_data!C3470</f>
        <v>16</v>
      </c>
      <c r="O568" t="str">
        <f>sales_data!D3470</f>
        <v>Октябрь</v>
      </c>
      <c r="P568" t="str">
        <f>sales_data!E3470</f>
        <v>Светлана</v>
      </c>
      <c r="Q568" t="str">
        <f>sales_data!F3470</f>
        <v>Нижний Новгород</v>
      </c>
      <c r="R568" t="str">
        <f>sales_data!G3470</f>
        <v>Приволжский</v>
      </c>
      <c r="S568" t="str">
        <f>sales_data!H3470</f>
        <v>Мониторы</v>
      </c>
      <c r="T568" t="str">
        <f>sales_data!I3470</f>
        <v>Monitor 32</v>
      </c>
      <c r="U568" t="str">
        <f>sales_data!J3470</f>
        <v>Розница</v>
      </c>
      <c r="V568">
        <f>sales_data!K3470</f>
        <v>8</v>
      </c>
      <c r="W568">
        <f>sales_data!L3470</f>
        <v>27800</v>
      </c>
      <c r="X568">
        <f>sales_data!M3470</f>
        <v>222400</v>
      </c>
      <c r="Y568" t="str">
        <f>sales_data!N3470</f>
        <v>Офлайн-точка</v>
      </c>
      <c r="Z568" t="str">
        <f>sales_data!O3470</f>
        <v>Доставлен</v>
      </c>
    </row>
    <row r="569" spans="12:26" x14ac:dyDescent="0.25">
      <c r="L569">
        <f>sales_data!A3477</f>
        <v>3443</v>
      </c>
      <c r="M569">
        <f>sales_data!B3477</f>
        <v>45752</v>
      </c>
      <c r="N569">
        <f>sales_data!C3477</f>
        <v>5</v>
      </c>
      <c r="O569" t="str">
        <f>sales_data!D3477</f>
        <v>Апрель</v>
      </c>
      <c r="P569" t="str">
        <f>sales_data!E3477</f>
        <v>Дмитрий</v>
      </c>
      <c r="Q569" t="str">
        <f>sales_data!F3477</f>
        <v>Уфа</v>
      </c>
      <c r="R569" t="str">
        <f>sales_data!G3477</f>
        <v>Приволжский</v>
      </c>
      <c r="S569" t="str">
        <f>sales_data!H3477</f>
        <v>Мониторы</v>
      </c>
      <c r="T569" t="str">
        <f>sales_data!I3477</f>
        <v>Monitor 32</v>
      </c>
      <c r="U569" t="str">
        <f>sales_data!J3477</f>
        <v>Розница</v>
      </c>
      <c r="V569">
        <f>sales_data!K3477</f>
        <v>4</v>
      </c>
      <c r="W569">
        <f>sales_data!L3477</f>
        <v>28200</v>
      </c>
      <c r="X569">
        <f>sales_data!M3477</f>
        <v>112800</v>
      </c>
      <c r="Y569" t="str">
        <f>sales_data!N3477</f>
        <v>Офлайн-точка</v>
      </c>
      <c r="Z569" t="str">
        <f>sales_data!O3477</f>
        <v>Отменён</v>
      </c>
    </row>
    <row r="570" spans="12:26" x14ac:dyDescent="0.25">
      <c r="L570">
        <f>sales_data!A3487</f>
        <v>4186</v>
      </c>
      <c r="M570">
        <f>sales_data!B3487</f>
        <v>46009</v>
      </c>
      <c r="N570">
        <f>sales_data!C3487</f>
        <v>18</v>
      </c>
      <c r="O570" t="str">
        <f>sales_data!D3487</f>
        <v>Декабрь</v>
      </c>
      <c r="P570" t="str">
        <f>sales_data!E3487</f>
        <v>Татьяна</v>
      </c>
      <c r="Q570" t="str">
        <f>sales_data!F3487</f>
        <v>Пермь</v>
      </c>
      <c r="R570" t="str">
        <f>sales_data!G3487</f>
        <v>Приволжский</v>
      </c>
      <c r="S570" t="str">
        <f>sales_data!H3487</f>
        <v>Мониторы</v>
      </c>
      <c r="T570" t="str">
        <f>sales_data!I3487</f>
        <v>Monitor 32</v>
      </c>
      <c r="U570" t="str">
        <f>sales_data!J3487</f>
        <v>Розница</v>
      </c>
      <c r="V570">
        <f>sales_data!K3487</f>
        <v>1</v>
      </c>
      <c r="W570">
        <f>sales_data!L3487</f>
        <v>28500</v>
      </c>
      <c r="X570">
        <f>sales_data!M3487</f>
        <v>28500</v>
      </c>
      <c r="Y570" t="str">
        <f>sales_data!N3487</f>
        <v>Офлайн-точка</v>
      </c>
      <c r="Z570" t="str">
        <f>sales_data!O3487</f>
        <v>Отменён</v>
      </c>
    </row>
    <row r="571" spans="12:26" x14ac:dyDescent="0.25">
      <c r="L571">
        <f>sales_data!A3495</f>
        <v>2704</v>
      </c>
      <c r="M571">
        <f>sales_data!B3495</f>
        <v>45745</v>
      </c>
      <c r="N571">
        <f>sales_data!C3495</f>
        <v>29</v>
      </c>
      <c r="O571" t="str">
        <f>sales_data!D3495</f>
        <v>Март</v>
      </c>
      <c r="P571" t="str">
        <f>sales_data!E3495</f>
        <v>Дмитрий</v>
      </c>
      <c r="Q571" t="str">
        <f>sales_data!F3495</f>
        <v>Москва</v>
      </c>
      <c r="R571" t="str">
        <f>sales_data!G3495</f>
        <v>Центральный</v>
      </c>
      <c r="S571" t="str">
        <f>sales_data!H3495</f>
        <v>Мониторы</v>
      </c>
      <c r="T571" t="str">
        <f>sales_data!I3495</f>
        <v>Monitor 32</v>
      </c>
      <c r="U571" t="str">
        <f>sales_data!J3495</f>
        <v>Розница</v>
      </c>
      <c r="V571">
        <f>sales_data!K3495</f>
        <v>1</v>
      </c>
      <c r="W571">
        <f>sales_data!L3495</f>
        <v>29400</v>
      </c>
      <c r="X571">
        <f>sales_data!M3495</f>
        <v>29400</v>
      </c>
      <c r="Y571" t="str">
        <f>sales_data!N3495</f>
        <v>Интернет-магазин</v>
      </c>
      <c r="Z571" t="str">
        <f>sales_data!O3495</f>
        <v>Отменён</v>
      </c>
    </row>
    <row r="572" spans="12:26" x14ac:dyDescent="0.25">
      <c r="L572">
        <f>sales_data!A3505</f>
        <v>3722</v>
      </c>
      <c r="M572">
        <f>sales_data!B3505</f>
        <v>45874</v>
      </c>
      <c r="N572">
        <f>sales_data!C3505</f>
        <v>5</v>
      </c>
      <c r="O572" t="str">
        <f>sales_data!D3505</f>
        <v>Август</v>
      </c>
      <c r="P572" t="str">
        <f>sales_data!E3505</f>
        <v>Елена</v>
      </c>
      <c r="Q572" t="str">
        <f>sales_data!F3505</f>
        <v>Краснодар</v>
      </c>
      <c r="R572" t="str">
        <f>sales_data!G3505</f>
        <v>Южный</v>
      </c>
      <c r="S572" t="str">
        <f>sales_data!H3505</f>
        <v>Мониторы</v>
      </c>
      <c r="T572" t="str">
        <f>sales_data!I3505</f>
        <v>Monitor 32</v>
      </c>
      <c r="U572" t="str">
        <f>sales_data!J3505</f>
        <v>Розница</v>
      </c>
      <c r="V572">
        <f>sales_data!K3505</f>
        <v>8</v>
      </c>
      <c r="W572">
        <f>sales_data!L3505</f>
        <v>30400</v>
      </c>
      <c r="X572">
        <f>sales_data!M3505</f>
        <v>243200</v>
      </c>
      <c r="Y572" t="str">
        <f>sales_data!N3505</f>
        <v>Офлайн-точка</v>
      </c>
      <c r="Z572" t="str">
        <f>sales_data!O3505</f>
        <v>В пути</v>
      </c>
    </row>
    <row r="573" spans="12:26" x14ac:dyDescent="0.25">
      <c r="L573">
        <f>sales_data!A3506</f>
        <v>3581</v>
      </c>
      <c r="M573">
        <f>sales_data!B3506</f>
        <v>45721</v>
      </c>
      <c r="N573">
        <f>sales_data!C3506</f>
        <v>5</v>
      </c>
      <c r="O573" t="str">
        <f>sales_data!D3506</f>
        <v>Март</v>
      </c>
      <c r="P573" t="str">
        <f>sales_data!E3506</f>
        <v>Борис</v>
      </c>
      <c r="Q573" t="str">
        <f>sales_data!F3506</f>
        <v>Уфа</v>
      </c>
      <c r="R573" t="str">
        <f>sales_data!G3506</f>
        <v>Приволжский</v>
      </c>
      <c r="S573" t="str">
        <f>sales_data!H3506</f>
        <v>Мониторы</v>
      </c>
      <c r="T573" t="str">
        <f>sales_data!I3506</f>
        <v>Monitor 32</v>
      </c>
      <c r="U573" t="str">
        <f>sales_data!J3506</f>
        <v>Розница</v>
      </c>
      <c r="V573">
        <f>sales_data!K3506</f>
        <v>2</v>
      </c>
      <c r="W573">
        <f>sales_data!L3506</f>
        <v>31000</v>
      </c>
      <c r="X573">
        <f>sales_data!M3506</f>
        <v>62000</v>
      </c>
      <c r="Y573" t="str">
        <f>sales_data!N3506</f>
        <v>Офлайн-точка</v>
      </c>
      <c r="Z573" t="str">
        <f>sales_data!O3506</f>
        <v>Отменён</v>
      </c>
    </row>
    <row r="574" spans="12:26" x14ac:dyDescent="0.25">
      <c r="L574">
        <f>sales_data!A3509</f>
        <v>14</v>
      </c>
      <c r="M574">
        <f>sales_data!B3509</f>
        <v>45945</v>
      </c>
      <c r="N574">
        <f>sales_data!C3509</f>
        <v>15</v>
      </c>
      <c r="O574" t="str">
        <f>sales_data!D3509</f>
        <v>Октябрь</v>
      </c>
      <c r="P574" t="str">
        <f>sales_data!E3509</f>
        <v>Мария</v>
      </c>
      <c r="Q574" t="str">
        <f>sales_data!F3509</f>
        <v>Екатеринбург</v>
      </c>
      <c r="R574" t="str">
        <f>sales_data!G3509</f>
        <v>Уральский</v>
      </c>
      <c r="S574" t="str">
        <f>sales_data!H3509</f>
        <v>Серверы</v>
      </c>
      <c r="T574" t="str">
        <f>sales_data!I3509</f>
        <v>Firewall</v>
      </c>
      <c r="U574" t="str">
        <f>sales_data!J3509</f>
        <v>Опт</v>
      </c>
      <c r="V574">
        <f>sales_data!K3509</f>
        <v>42</v>
      </c>
      <c r="W574">
        <f>sales_data!L3509</f>
        <v>34600</v>
      </c>
      <c r="X574">
        <f>sales_data!M3509</f>
        <v>1453200</v>
      </c>
      <c r="Y574" t="str">
        <f>sales_data!N3509</f>
        <v>Офлайн-точка</v>
      </c>
      <c r="Z574" t="str">
        <f>sales_data!O3509</f>
        <v>В пути</v>
      </c>
    </row>
    <row r="575" spans="12:26" x14ac:dyDescent="0.25">
      <c r="L575">
        <f>sales_data!A3511</f>
        <v>2831</v>
      </c>
      <c r="M575">
        <f>sales_data!B3511</f>
        <v>45885</v>
      </c>
      <c r="N575">
        <f>sales_data!C3511</f>
        <v>16</v>
      </c>
      <c r="O575" t="str">
        <f>sales_data!D3511</f>
        <v>Август</v>
      </c>
      <c r="P575" t="str">
        <f>sales_data!E3511</f>
        <v>Павел</v>
      </c>
      <c r="Q575" t="str">
        <f>sales_data!F3511</f>
        <v>Омск</v>
      </c>
      <c r="R575" t="str">
        <f>sales_data!G3511</f>
        <v>Сибирский</v>
      </c>
      <c r="S575" t="str">
        <f>sales_data!H3511</f>
        <v>Ноутбуки</v>
      </c>
      <c r="T575" t="str">
        <f>sales_data!I3511</f>
        <v>Notebook Lite</v>
      </c>
      <c r="U575" t="str">
        <f>sales_data!J3511</f>
        <v>Опт</v>
      </c>
      <c r="V575">
        <f>sales_data!K3511</f>
        <v>14</v>
      </c>
      <c r="W575">
        <f>sales_data!L3511</f>
        <v>35000</v>
      </c>
      <c r="X575">
        <f>sales_data!M3511</f>
        <v>490000</v>
      </c>
      <c r="Y575" t="str">
        <f>sales_data!N3511</f>
        <v>Офлайн-точка</v>
      </c>
      <c r="Z575" t="str">
        <f>sales_data!O3511</f>
        <v>В пути</v>
      </c>
    </row>
    <row r="576" spans="12:26" x14ac:dyDescent="0.25">
      <c r="L576">
        <f>sales_data!A3512</f>
        <v>1032</v>
      </c>
      <c r="M576">
        <f>sales_data!B3512</f>
        <v>45863</v>
      </c>
      <c r="N576">
        <f>sales_data!C3512</f>
        <v>25</v>
      </c>
      <c r="O576" t="str">
        <f>sales_data!D3512</f>
        <v>Июль</v>
      </c>
      <c r="P576" t="str">
        <f>sales_data!E3512</f>
        <v>Ксения</v>
      </c>
      <c r="Q576" t="str">
        <f>sales_data!F3512</f>
        <v>Ростов-на-Дону</v>
      </c>
      <c r="R576" t="str">
        <f>sales_data!G3512</f>
        <v>Южный</v>
      </c>
      <c r="S576" t="str">
        <f>sales_data!H3512</f>
        <v>Серверы</v>
      </c>
      <c r="T576" t="str">
        <f>sales_data!I3512</f>
        <v>Firewall</v>
      </c>
      <c r="U576" t="str">
        <f>sales_data!J3512</f>
        <v>Опт</v>
      </c>
      <c r="V576">
        <f>sales_data!K3512</f>
        <v>25</v>
      </c>
      <c r="W576">
        <f>sales_data!L3512</f>
        <v>35100</v>
      </c>
      <c r="X576">
        <f>sales_data!M3512</f>
        <v>877500</v>
      </c>
      <c r="Y576" t="str">
        <f>sales_data!N3512</f>
        <v>Офлайн-точка</v>
      </c>
      <c r="Z576" t="str">
        <f>sales_data!O3512</f>
        <v>Доставлен</v>
      </c>
    </row>
    <row r="577" spans="12:26" x14ac:dyDescent="0.25">
      <c r="L577">
        <f>sales_data!A3514</f>
        <v>3915</v>
      </c>
      <c r="M577">
        <f>sales_data!B3514</f>
        <v>45827</v>
      </c>
      <c r="N577">
        <f>sales_data!C3514</f>
        <v>19</v>
      </c>
      <c r="O577" t="str">
        <f>sales_data!D3514</f>
        <v>Июнь</v>
      </c>
      <c r="P577" t="str">
        <f>sales_data!E3514</f>
        <v>Игорь</v>
      </c>
      <c r="Q577" t="str">
        <f>sales_data!F3514</f>
        <v>Самара</v>
      </c>
      <c r="R577" t="str">
        <f>sales_data!G3514</f>
        <v>Приволжский</v>
      </c>
      <c r="S577" t="str">
        <f>sales_data!H3514</f>
        <v>Серверы</v>
      </c>
      <c r="T577" t="str">
        <f>sales_data!I3514</f>
        <v>Firewall</v>
      </c>
      <c r="U577" t="str">
        <f>sales_data!J3514</f>
        <v>Опт</v>
      </c>
      <c r="V577">
        <f>sales_data!K3514</f>
        <v>41</v>
      </c>
      <c r="W577">
        <f>sales_data!L3514</f>
        <v>35400</v>
      </c>
      <c r="X577">
        <f>sales_data!M3514</f>
        <v>1451400</v>
      </c>
      <c r="Y577" t="str">
        <f>sales_data!N3514</f>
        <v>Интернет-магазин</v>
      </c>
      <c r="Z577" t="str">
        <f>sales_data!O3514</f>
        <v>Доставлен</v>
      </c>
    </row>
    <row r="578" spans="12:26" x14ac:dyDescent="0.25">
      <c r="L578">
        <f>sales_data!A3518</f>
        <v>640</v>
      </c>
      <c r="M578">
        <f>sales_data!B3518</f>
        <v>45963</v>
      </c>
      <c r="N578">
        <f>sales_data!C3518</f>
        <v>2</v>
      </c>
      <c r="O578" t="str">
        <f>sales_data!D3518</f>
        <v>Ноябрь</v>
      </c>
      <c r="P578" t="str">
        <f>sales_data!E3518</f>
        <v>Павел</v>
      </c>
      <c r="Q578" t="str">
        <f>sales_data!F3518</f>
        <v>Ростов-на-Дону</v>
      </c>
      <c r="R578" t="str">
        <f>sales_data!G3518</f>
        <v>Южный</v>
      </c>
      <c r="S578" t="str">
        <f>sales_data!H3518</f>
        <v>Серверы</v>
      </c>
      <c r="T578" t="str">
        <f>sales_data!I3518</f>
        <v>Firewall</v>
      </c>
      <c r="U578" t="str">
        <f>sales_data!J3518</f>
        <v>Опт</v>
      </c>
      <c r="V578">
        <f>sales_data!K3518</f>
        <v>38</v>
      </c>
      <c r="W578">
        <f>sales_data!L3518</f>
        <v>35800</v>
      </c>
      <c r="X578">
        <f>sales_data!M3518</f>
        <v>1360400</v>
      </c>
      <c r="Y578" t="str">
        <f>sales_data!N3518</f>
        <v>Офлайн-точка</v>
      </c>
      <c r="Z578" t="str">
        <f>sales_data!O3518</f>
        <v>В пути</v>
      </c>
    </row>
    <row r="579" spans="12:26" x14ac:dyDescent="0.25">
      <c r="L579">
        <f>sales_data!A3522</f>
        <v>2783</v>
      </c>
      <c r="M579">
        <f>sales_data!B3522</f>
        <v>45682</v>
      </c>
      <c r="N579">
        <f>sales_data!C3522</f>
        <v>25</v>
      </c>
      <c r="O579" t="str">
        <f>sales_data!D3522</f>
        <v>Январь</v>
      </c>
      <c r="P579" t="str">
        <f>sales_data!E3522</f>
        <v>Анна</v>
      </c>
      <c r="Q579" t="str">
        <f>sales_data!F3522</f>
        <v>Новосибирск</v>
      </c>
      <c r="R579" t="str">
        <f>sales_data!G3522</f>
        <v>Сибирский</v>
      </c>
      <c r="S579" t="str">
        <f>sales_data!H3522</f>
        <v>Ноутбуки</v>
      </c>
      <c r="T579" t="str">
        <f>sales_data!I3522</f>
        <v>Notebook Lite</v>
      </c>
      <c r="U579" t="str">
        <f>sales_data!J3522</f>
        <v>Опт</v>
      </c>
      <c r="V579">
        <f>sales_data!K3522</f>
        <v>48</v>
      </c>
      <c r="W579">
        <f>sales_data!L3522</f>
        <v>35900</v>
      </c>
      <c r="X579">
        <f>sales_data!M3522</f>
        <v>1723200</v>
      </c>
      <c r="Y579" t="str">
        <f>sales_data!N3522</f>
        <v>Офлайн-точка</v>
      </c>
      <c r="Z579" t="str">
        <f>sales_data!O3522</f>
        <v>Доставлен</v>
      </c>
    </row>
    <row r="580" spans="12:26" x14ac:dyDescent="0.25">
      <c r="L580">
        <f>sales_data!A3530</f>
        <v>2327</v>
      </c>
      <c r="M580">
        <f>sales_data!B3530</f>
        <v>45779</v>
      </c>
      <c r="N580">
        <f>sales_data!C3530</f>
        <v>2</v>
      </c>
      <c r="O580" t="str">
        <f>sales_data!D3530</f>
        <v>Май</v>
      </c>
      <c r="P580" t="str">
        <f>sales_data!E3530</f>
        <v>Светлана</v>
      </c>
      <c r="Q580" t="str">
        <f>sales_data!F3530</f>
        <v>Ростов-на-Дону</v>
      </c>
      <c r="R580" t="str">
        <f>sales_data!G3530</f>
        <v>Южный</v>
      </c>
      <c r="S580" t="str">
        <f>sales_data!H3530</f>
        <v>Ноутбуки</v>
      </c>
      <c r="T580" t="str">
        <f>sales_data!I3530</f>
        <v>Notebook Lite</v>
      </c>
      <c r="U580" t="str">
        <f>sales_data!J3530</f>
        <v>Опт</v>
      </c>
      <c r="V580">
        <f>sales_data!K3530</f>
        <v>9</v>
      </c>
      <c r="W580">
        <f>sales_data!L3530</f>
        <v>36200</v>
      </c>
      <c r="X580">
        <f>sales_data!M3530</f>
        <v>325800</v>
      </c>
      <c r="Y580" t="str">
        <f>sales_data!N3530</f>
        <v>Интернет-магазин</v>
      </c>
      <c r="Z580" t="str">
        <f>sales_data!O3530</f>
        <v>Доставлен</v>
      </c>
    </row>
    <row r="581" spans="12:26" x14ac:dyDescent="0.25">
      <c r="L581">
        <f>sales_data!A3532</f>
        <v>4733</v>
      </c>
      <c r="M581">
        <f>sales_data!B3532</f>
        <v>45683</v>
      </c>
      <c r="N581">
        <f>sales_data!C3532</f>
        <v>26</v>
      </c>
      <c r="O581" t="str">
        <f>sales_data!D3532</f>
        <v>Январь</v>
      </c>
      <c r="P581" t="str">
        <f>sales_data!E3532</f>
        <v>Борис</v>
      </c>
      <c r="Q581" t="str">
        <f>sales_data!F3532</f>
        <v>Екатеринбург</v>
      </c>
      <c r="R581" t="str">
        <f>sales_data!G3532</f>
        <v>Уральский</v>
      </c>
      <c r="S581" t="str">
        <f>sales_data!H3532</f>
        <v>Серверы</v>
      </c>
      <c r="T581" t="str">
        <f>sales_data!I3532</f>
        <v>Firewall</v>
      </c>
      <c r="U581" t="str">
        <f>sales_data!J3532</f>
        <v>Опт</v>
      </c>
      <c r="V581">
        <f>sales_data!K3532</f>
        <v>13</v>
      </c>
      <c r="W581">
        <f>sales_data!L3532</f>
        <v>36200</v>
      </c>
      <c r="X581">
        <f>sales_data!M3532</f>
        <v>470600</v>
      </c>
      <c r="Y581" t="str">
        <f>sales_data!N3532</f>
        <v>Офлайн-точка</v>
      </c>
      <c r="Z581" t="str">
        <f>sales_data!O3532</f>
        <v>Отменён</v>
      </c>
    </row>
    <row r="582" spans="12:26" x14ac:dyDescent="0.25">
      <c r="L582">
        <f>sales_data!A3540</f>
        <v>810</v>
      </c>
      <c r="M582">
        <f>sales_data!B3540</f>
        <v>45853</v>
      </c>
      <c r="N582">
        <f>sales_data!C3540</f>
        <v>15</v>
      </c>
      <c r="O582" t="str">
        <f>sales_data!D3540</f>
        <v>Июль</v>
      </c>
      <c r="P582" t="str">
        <f>sales_data!E3540</f>
        <v>Ольга</v>
      </c>
      <c r="Q582" t="str">
        <f>sales_data!F3540</f>
        <v>Краснодар</v>
      </c>
      <c r="R582" t="str">
        <f>sales_data!G3540</f>
        <v>Южный</v>
      </c>
      <c r="S582" t="str">
        <f>sales_data!H3540</f>
        <v>Ноутбуки</v>
      </c>
      <c r="T582" t="str">
        <f>sales_data!I3540</f>
        <v>Notebook Lite</v>
      </c>
      <c r="U582" t="str">
        <f>sales_data!J3540</f>
        <v>Опт</v>
      </c>
      <c r="V582">
        <f>sales_data!K3540</f>
        <v>16</v>
      </c>
      <c r="W582">
        <f>sales_data!L3540</f>
        <v>36500</v>
      </c>
      <c r="X582">
        <f>sales_data!M3540</f>
        <v>584000</v>
      </c>
      <c r="Y582" t="str">
        <f>sales_data!N3540</f>
        <v>Офлайн-точка</v>
      </c>
      <c r="Z582" t="str">
        <f>sales_data!O3540</f>
        <v>Доставлен</v>
      </c>
    </row>
    <row r="583" spans="12:26" x14ac:dyDescent="0.25">
      <c r="L583">
        <f>sales_data!A3541</f>
        <v>832</v>
      </c>
      <c r="M583">
        <f>sales_data!B3541</f>
        <v>45749</v>
      </c>
      <c r="N583">
        <f>sales_data!C3541</f>
        <v>2</v>
      </c>
      <c r="O583" t="str">
        <f>sales_data!D3541</f>
        <v>Апрель</v>
      </c>
      <c r="P583" t="str">
        <f>sales_data!E3541</f>
        <v>Ксения</v>
      </c>
      <c r="Q583" t="str">
        <f>sales_data!F3541</f>
        <v>Санкт-Петербург</v>
      </c>
      <c r="R583" t="str">
        <f>sales_data!G3541</f>
        <v>Северо-Западный</v>
      </c>
      <c r="S583" t="str">
        <f>sales_data!H3541</f>
        <v>Серверы</v>
      </c>
      <c r="T583" t="str">
        <f>sales_data!I3541</f>
        <v>Firewall</v>
      </c>
      <c r="U583" t="str">
        <f>sales_data!J3541</f>
        <v>Опт</v>
      </c>
      <c r="V583">
        <f>sales_data!K3541</f>
        <v>31</v>
      </c>
      <c r="W583">
        <f>sales_data!L3541</f>
        <v>36500</v>
      </c>
      <c r="X583">
        <f>sales_data!M3541</f>
        <v>1131500</v>
      </c>
      <c r="Y583" t="str">
        <f>sales_data!N3541</f>
        <v>Офлайн-точка</v>
      </c>
      <c r="Z583" t="str">
        <f>sales_data!O3541</f>
        <v>Отменён</v>
      </c>
    </row>
    <row r="584" spans="12:26" x14ac:dyDescent="0.25">
      <c r="L584">
        <f>sales_data!A3543</f>
        <v>2734</v>
      </c>
      <c r="M584">
        <f>sales_data!B3543</f>
        <v>45921</v>
      </c>
      <c r="N584">
        <f>sales_data!C3543</f>
        <v>21</v>
      </c>
      <c r="O584" t="str">
        <f>sales_data!D3543</f>
        <v>Сентябрь</v>
      </c>
      <c r="P584" t="str">
        <f>sales_data!E3543</f>
        <v>Анна</v>
      </c>
      <c r="Q584" t="str">
        <f>sales_data!F3543</f>
        <v>Ростов-на-Дону</v>
      </c>
      <c r="R584" t="str">
        <f>sales_data!G3543</f>
        <v>Южный</v>
      </c>
      <c r="S584" t="str">
        <f>sales_data!H3543</f>
        <v>Серверы</v>
      </c>
      <c r="T584" t="str">
        <f>sales_data!I3543</f>
        <v>Firewall</v>
      </c>
      <c r="U584" t="str">
        <f>sales_data!J3543</f>
        <v>Опт</v>
      </c>
      <c r="V584">
        <f>sales_data!K3543</f>
        <v>11</v>
      </c>
      <c r="W584">
        <f>sales_data!L3543</f>
        <v>36600</v>
      </c>
      <c r="X584">
        <f>sales_data!M3543</f>
        <v>402600</v>
      </c>
      <c r="Y584" t="str">
        <f>sales_data!N3543</f>
        <v>Интернет-магазин</v>
      </c>
      <c r="Z584" t="str">
        <f>sales_data!O3543</f>
        <v>Доставлен</v>
      </c>
    </row>
    <row r="585" spans="12:26" x14ac:dyDescent="0.25">
      <c r="L585">
        <f>sales_data!A3549</f>
        <v>2541</v>
      </c>
      <c r="M585">
        <f>sales_data!B3549</f>
        <v>45982</v>
      </c>
      <c r="N585">
        <f>sales_data!C3549</f>
        <v>21</v>
      </c>
      <c r="O585" t="str">
        <f>sales_data!D3549</f>
        <v>Ноябрь</v>
      </c>
      <c r="P585" t="str">
        <f>sales_data!E3549</f>
        <v>Анна</v>
      </c>
      <c r="Q585" t="str">
        <f>sales_data!F3549</f>
        <v>Нижний Новгород</v>
      </c>
      <c r="R585" t="str">
        <f>sales_data!G3549</f>
        <v>Приволжский</v>
      </c>
      <c r="S585" t="str">
        <f>sales_data!H3549</f>
        <v>Серверы</v>
      </c>
      <c r="T585" t="str">
        <f>sales_data!I3549</f>
        <v>Firewall</v>
      </c>
      <c r="U585" t="str">
        <f>sales_data!J3549</f>
        <v>Опт</v>
      </c>
      <c r="V585">
        <f>sales_data!K3549</f>
        <v>19</v>
      </c>
      <c r="W585">
        <f>sales_data!L3549</f>
        <v>36900</v>
      </c>
      <c r="X585">
        <f>sales_data!M3549</f>
        <v>701100</v>
      </c>
      <c r="Y585" t="str">
        <f>sales_data!N3549</f>
        <v>Офлайн-точка</v>
      </c>
      <c r="Z585" t="str">
        <f>sales_data!O3549</f>
        <v>В пути</v>
      </c>
    </row>
    <row r="586" spans="12:26" x14ac:dyDescent="0.25">
      <c r="L586">
        <f>sales_data!A3566</f>
        <v>4927</v>
      </c>
      <c r="M586">
        <f>sales_data!B3566</f>
        <v>45958</v>
      </c>
      <c r="N586">
        <f>sales_data!C3566</f>
        <v>28</v>
      </c>
      <c r="O586" t="str">
        <f>sales_data!D3566</f>
        <v>Октябрь</v>
      </c>
      <c r="P586" t="str">
        <f>sales_data!E3566</f>
        <v>Игорь</v>
      </c>
      <c r="Q586" t="str">
        <f>sales_data!F3566</f>
        <v>Омск</v>
      </c>
      <c r="R586" t="str">
        <f>sales_data!G3566</f>
        <v>Сибирский</v>
      </c>
      <c r="S586" t="str">
        <f>sales_data!H3566</f>
        <v>Ноутбуки</v>
      </c>
      <c r="T586" t="str">
        <f>sales_data!I3566</f>
        <v>Notebook Lite</v>
      </c>
      <c r="U586" t="str">
        <f>sales_data!J3566</f>
        <v>Опт</v>
      </c>
      <c r="V586">
        <f>sales_data!K3566</f>
        <v>7</v>
      </c>
      <c r="W586">
        <f>sales_data!L3566</f>
        <v>37400</v>
      </c>
      <c r="X586">
        <f>sales_data!M3566</f>
        <v>261800</v>
      </c>
      <c r="Y586" t="str">
        <f>sales_data!N3566</f>
        <v>Офлайн-точка</v>
      </c>
      <c r="Z586" t="str">
        <f>sales_data!O3566</f>
        <v>Отменён</v>
      </c>
    </row>
    <row r="587" spans="12:26" x14ac:dyDescent="0.25">
      <c r="L587">
        <f>sales_data!A3568</f>
        <v>3191</v>
      </c>
      <c r="M587">
        <f>sales_data!B3568</f>
        <v>45679</v>
      </c>
      <c r="N587">
        <f>sales_data!C3568</f>
        <v>22</v>
      </c>
      <c r="O587" t="str">
        <f>sales_data!D3568</f>
        <v>Январь</v>
      </c>
      <c r="P587" t="str">
        <f>sales_data!E3568</f>
        <v>Анна</v>
      </c>
      <c r="Q587" t="str">
        <f>sales_data!F3568</f>
        <v>Омск</v>
      </c>
      <c r="R587" t="str">
        <f>sales_data!G3568</f>
        <v>Сибирский</v>
      </c>
      <c r="S587" t="str">
        <f>sales_data!H3568</f>
        <v>Серверы</v>
      </c>
      <c r="T587" t="str">
        <f>sales_data!I3568</f>
        <v>Firewall</v>
      </c>
      <c r="U587" t="str">
        <f>sales_data!J3568</f>
        <v>Опт</v>
      </c>
      <c r="V587">
        <f>sales_data!K3568</f>
        <v>7</v>
      </c>
      <c r="W587">
        <f>sales_data!L3568</f>
        <v>37500</v>
      </c>
      <c r="X587">
        <f>sales_data!M3568</f>
        <v>262500</v>
      </c>
      <c r="Y587" t="str">
        <f>sales_data!N3568</f>
        <v>Интернет-магазин</v>
      </c>
      <c r="Z587" t="str">
        <f>sales_data!O3568</f>
        <v>В пути</v>
      </c>
    </row>
    <row r="588" spans="12:26" x14ac:dyDescent="0.25">
      <c r="L588">
        <f>sales_data!A3580</f>
        <v>1320</v>
      </c>
      <c r="M588">
        <f>sales_data!B3580</f>
        <v>45804</v>
      </c>
      <c r="N588">
        <f>sales_data!C3580</f>
        <v>27</v>
      </c>
      <c r="O588" t="str">
        <f>sales_data!D3580</f>
        <v>Май</v>
      </c>
      <c r="P588" t="str">
        <f>sales_data!E3580</f>
        <v>Игорь</v>
      </c>
      <c r="Q588" t="str">
        <f>sales_data!F3580</f>
        <v>Воронеж</v>
      </c>
      <c r="R588" t="str">
        <f>sales_data!G3580</f>
        <v>Центральный</v>
      </c>
      <c r="S588" t="str">
        <f>sales_data!H3580</f>
        <v>Ноутбуки</v>
      </c>
      <c r="T588" t="str">
        <f>sales_data!I3580</f>
        <v>Notebook Lite</v>
      </c>
      <c r="U588" t="str">
        <f>sales_data!J3580</f>
        <v>Опт</v>
      </c>
      <c r="V588">
        <f>sales_data!K3580</f>
        <v>47</v>
      </c>
      <c r="W588">
        <f>sales_data!L3580</f>
        <v>37900</v>
      </c>
      <c r="X588">
        <f>sales_data!M3580</f>
        <v>1781300</v>
      </c>
      <c r="Y588" t="str">
        <f>sales_data!N3580</f>
        <v>Офлайн-точка</v>
      </c>
      <c r="Z588" t="str">
        <f>sales_data!O3580</f>
        <v>В пути</v>
      </c>
    </row>
    <row r="589" spans="12:26" x14ac:dyDescent="0.25">
      <c r="L589">
        <f>sales_data!A3586</f>
        <v>1757</v>
      </c>
      <c r="M589">
        <f>sales_data!B3586</f>
        <v>45765</v>
      </c>
      <c r="N589">
        <f>sales_data!C3586</f>
        <v>18</v>
      </c>
      <c r="O589" t="str">
        <f>sales_data!D3586</f>
        <v>Апрель</v>
      </c>
      <c r="P589" t="str">
        <f>sales_data!E3586</f>
        <v>Борис</v>
      </c>
      <c r="Q589" t="str">
        <f>sales_data!F3586</f>
        <v>Челябинск</v>
      </c>
      <c r="R589" t="str">
        <f>sales_data!G3586</f>
        <v>Уральский</v>
      </c>
      <c r="S589" t="str">
        <f>sales_data!H3586</f>
        <v>Серверы</v>
      </c>
      <c r="T589" t="str">
        <f>sales_data!I3586</f>
        <v>Firewall</v>
      </c>
      <c r="U589" t="str">
        <f>sales_data!J3586</f>
        <v>Опт</v>
      </c>
      <c r="V589">
        <f>sales_data!K3586</f>
        <v>25</v>
      </c>
      <c r="W589">
        <f>sales_data!L3586</f>
        <v>38000</v>
      </c>
      <c r="X589">
        <f>sales_data!M3586</f>
        <v>950000</v>
      </c>
      <c r="Y589" t="str">
        <f>sales_data!N3586</f>
        <v>Офлайн-точка</v>
      </c>
      <c r="Z589" t="str">
        <f>sales_data!O3586</f>
        <v>Доставлен</v>
      </c>
    </row>
    <row r="590" spans="12:26" x14ac:dyDescent="0.25">
      <c r="L590">
        <f>sales_data!A3595</f>
        <v>1367</v>
      </c>
      <c r="M590">
        <f>sales_data!B3595</f>
        <v>45881</v>
      </c>
      <c r="N590">
        <f>sales_data!C3595</f>
        <v>12</v>
      </c>
      <c r="O590" t="str">
        <f>sales_data!D3595</f>
        <v>Август</v>
      </c>
      <c r="P590" t="str">
        <f>sales_data!E3595</f>
        <v>Игорь</v>
      </c>
      <c r="Q590" t="str">
        <f>sales_data!F3595</f>
        <v>Воронеж</v>
      </c>
      <c r="R590" t="str">
        <f>sales_data!G3595</f>
        <v>Центральный</v>
      </c>
      <c r="S590" t="str">
        <f>sales_data!H3595</f>
        <v>Серверы</v>
      </c>
      <c r="T590" t="str">
        <f>sales_data!I3595</f>
        <v>Firewall</v>
      </c>
      <c r="U590" t="str">
        <f>sales_data!J3595</f>
        <v>Опт</v>
      </c>
      <c r="V590">
        <f>sales_data!K3595</f>
        <v>5</v>
      </c>
      <c r="W590">
        <f>sales_data!L3595</f>
        <v>38200</v>
      </c>
      <c r="X590">
        <f>sales_data!M3595</f>
        <v>191000</v>
      </c>
      <c r="Y590" t="str">
        <f>sales_data!N3595</f>
        <v>Интернет-магазин</v>
      </c>
      <c r="Z590" t="str">
        <f>sales_data!O3595</f>
        <v>Доставлен</v>
      </c>
    </row>
    <row r="591" spans="12:26" x14ac:dyDescent="0.25">
      <c r="L591">
        <f>sales_data!A3603</f>
        <v>2113</v>
      </c>
      <c r="M591">
        <f>sales_data!B3603</f>
        <v>45659</v>
      </c>
      <c r="N591">
        <f>sales_data!C3603</f>
        <v>2</v>
      </c>
      <c r="O591" t="str">
        <f>sales_data!D3603</f>
        <v>Январь</v>
      </c>
      <c r="P591" t="str">
        <f>sales_data!E3603</f>
        <v>Ольга</v>
      </c>
      <c r="Q591" t="str">
        <f>sales_data!F3603</f>
        <v>Москва</v>
      </c>
      <c r="R591" t="str">
        <f>sales_data!G3603</f>
        <v>Центральный</v>
      </c>
      <c r="S591" t="str">
        <f>sales_data!H3603</f>
        <v>Ноутбуки</v>
      </c>
      <c r="T591" t="str">
        <f>sales_data!I3603</f>
        <v>Notebook Lite</v>
      </c>
      <c r="U591" t="str">
        <f>sales_data!J3603</f>
        <v>Опт</v>
      </c>
      <c r="V591">
        <f>sales_data!K3603</f>
        <v>6</v>
      </c>
      <c r="W591">
        <f>sales_data!L3603</f>
        <v>38300</v>
      </c>
      <c r="X591">
        <f>sales_data!M3603</f>
        <v>229800</v>
      </c>
      <c r="Y591" t="str">
        <f>sales_data!N3603</f>
        <v>Офлайн-точка</v>
      </c>
      <c r="Z591" t="str">
        <f>sales_data!O3603</f>
        <v>Отменён</v>
      </c>
    </row>
    <row r="592" spans="12:26" x14ac:dyDescent="0.25">
      <c r="L592">
        <f>sales_data!A3626</f>
        <v>1575</v>
      </c>
      <c r="M592">
        <f>sales_data!B3626</f>
        <v>45875</v>
      </c>
      <c r="N592">
        <f>sales_data!C3626</f>
        <v>6</v>
      </c>
      <c r="O592" t="str">
        <f>sales_data!D3626</f>
        <v>Август</v>
      </c>
      <c r="P592" t="str">
        <f>sales_data!E3626</f>
        <v>Ольга</v>
      </c>
      <c r="Q592" t="str">
        <f>sales_data!F3626</f>
        <v>Екатеринбург</v>
      </c>
      <c r="R592" t="str">
        <f>sales_data!G3626</f>
        <v>Уральский</v>
      </c>
      <c r="S592" t="str">
        <f>sales_data!H3626</f>
        <v>Ноутбуки</v>
      </c>
      <c r="T592" t="str">
        <f>sales_data!I3626</f>
        <v>Notebook Lite</v>
      </c>
      <c r="U592" t="str">
        <f>sales_data!J3626</f>
        <v>Опт</v>
      </c>
      <c r="V592">
        <f>sales_data!K3626</f>
        <v>19</v>
      </c>
      <c r="W592">
        <f>sales_data!L3626</f>
        <v>39100</v>
      </c>
      <c r="X592">
        <f>sales_data!M3626</f>
        <v>742900</v>
      </c>
      <c r="Y592" t="str">
        <f>sales_data!N3626</f>
        <v>Офлайн-точка</v>
      </c>
      <c r="Z592" t="str">
        <f>sales_data!O3626</f>
        <v>Отменён</v>
      </c>
    </row>
    <row r="593" spans="12:26" x14ac:dyDescent="0.25">
      <c r="L593">
        <f>sales_data!A3628</f>
        <v>2632</v>
      </c>
      <c r="M593">
        <f>sales_data!B3628</f>
        <v>45966</v>
      </c>
      <c r="N593">
        <f>sales_data!C3628</f>
        <v>5</v>
      </c>
      <c r="O593" t="str">
        <f>sales_data!D3628</f>
        <v>Ноябрь</v>
      </c>
      <c r="P593" t="str">
        <f>sales_data!E3628</f>
        <v>Сергей</v>
      </c>
      <c r="Q593" t="str">
        <f>sales_data!F3628</f>
        <v>Казань</v>
      </c>
      <c r="R593" t="str">
        <f>sales_data!G3628</f>
        <v>Приволжский</v>
      </c>
      <c r="S593" t="str">
        <f>sales_data!H3628</f>
        <v>Ноутбуки</v>
      </c>
      <c r="T593" t="str">
        <f>sales_data!I3628</f>
        <v>Notebook Lite</v>
      </c>
      <c r="U593" t="str">
        <f>sales_data!J3628</f>
        <v>Опт</v>
      </c>
      <c r="V593">
        <f>sales_data!K3628</f>
        <v>35</v>
      </c>
      <c r="W593">
        <f>sales_data!L3628</f>
        <v>39100</v>
      </c>
      <c r="X593">
        <f>sales_data!M3628</f>
        <v>1368500</v>
      </c>
      <c r="Y593" t="str">
        <f>sales_data!N3628</f>
        <v>Интернет-магазин</v>
      </c>
      <c r="Z593" t="str">
        <f>sales_data!O3628</f>
        <v>В пути</v>
      </c>
    </row>
    <row r="594" spans="12:26" x14ac:dyDescent="0.25">
      <c r="L594">
        <f>sales_data!A3629</f>
        <v>3200</v>
      </c>
      <c r="M594">
        <f>sales_data!B3629</f>
        <v>45758</v>
      </c>
      <c r="N594">
        <f>sales_data!C3629</f>
        <v>11</v>
      </c>
      <c r="O594" t="str">
        <f>sales_data!D3629</f>
        <v>Апрель</v>
      </c>
      <c r="P594" t="str">
        <f>sales_data!E3629</f>
        <v>Игорь</v>
      </c>
      <c r="Q594" t="str">
        <f>sales_data!F3629</f>
        <v>Красноярск</v>
      </c>
      <c r="R594" t="str">
        <f>sales_data!G3629</f>
        <v>Сибирский</v>
      </c>
      <c r="S594" t="str">
        <f>sales_data!H3629</f>
        <v>Ноутбуки</v>
      </c>
      <c r="T594" t="str">
        <f>sales_data!I3629</f>
        <v>Notebook Lite</v>
      </c>
      <c r="U594" t="str">
        <f>sales_data!J3629</f>
        <v>Опт</v>
      </c>
      <c r="V594">
        <f>sales_data!K3629</f>
        <v>6</v>
      </c>
      <c r="W594">
        <f>sales_data!L3629</f>
        <v>39100</v>
      </c>
      <c r="X594">
        <f>sales_data!M3629</f>
        <v>234600</v>
      </c>
      <c r="Y594" t="str">
        <f>sales_data!N3629</f>
        <v>Интернет-магазин</v>
      </c>
      <c r="Z594" t="str">
        <f>sales_data!O3629</f>
        <v>В пути</v>
      </c>
    </row>
    <row r="595" spans="12:26" x14ac:dyDescent="0.25">
      <c r="L595">
        <f>sales_data!A3637</f>
        <v>4249</v>
      </c>
      <c r="M595">
        <f>sales_data!B3637</f>
        <v>45858</v>
      </c>
      <c r="N595">
        <f>sales_data!C3637</f>
        <v>20</v>
      </c>
      <c r="O595" t="str">
        <f>sales_data!D3637</f>
        <v>Июль</v>
      </c>
      <c r="P595" t="str">
        <f>sales_data!E3637</f>
        <v>Мария</v>
      </c>
      <c r="Q595" t="str">
        <f>sales_data!F3637</f>
        <v>Самара</v>
      </c>
      <c r="R595" t="str">
        <f>sales_data!G3637</f>
        <v>Приволжский</v>
      </c>
      <c r="S595" t="str">
        <f>sales_data!H3637</f>
        <v>Ноутбуки</v>
      </c>
      <c r="T595" t="str">
        <f>sales_data!I3637</f>
        <v>Notebook Lite</v>
      </c>
      <c r="U595" t="str">
        <f>sales_data!J3637</f>
        <v>Опт</v>
      </c>
      <c r="V595">
        <f>sales_data!K3637</f>
        <v>42</v>
      </c>
      <c r="W595">
        <f>sales_data!L3637</f>
        <v>39200</v>
      </c>
      <c r="X595">
        <f>sales_data!M3637</f>
        <v>1646400</v>
      </c>
      <c r="Y595" t="str">
        <f>sales_data!N3637</f>
        <v>Интернет-магазин</v>
      </c>
      <c r="Z595" t="str">
        <f>sales_data!O3637</f>
        <v>Отменён</v>
      </c>
    </row>
    <row r="596" spans="12:26" x14ac:dyDescent="0.25">
      <c r="L596">
        <f>sales_data!A3642</f>
        <v>964</v>
      </c>
      <c r="M596">
        <f>sales_data!B3642</f>
        <v>45726</v>
      </c>
      <c r="N596">
        <f>sales_data!C3642</f>
        <v>10</v>
      </c>
      <c r="O596" t="str">
        <f>sales_data!D3642</f>
        <v>Март</v>
      </c>
      <c r="P596" t="str">
        <f>sales_data!E3642</f>
        <v>Елена</v>
      </c>
      <c r="Q596" t="str">
        <f>sales_data!F3642</f>
        <v>Казань</v>
      </c>
      <c r="R596" t="str">
        <f>sales_data!G3642</f>
        <v>Приволжский</v>
      </c>
      <c r="S596" t="str">
        <f>sales_data!H3642</f>
        <v>Серверы</v>
      </c>
      <c r="T596" t="str">
        <f>sales_data!I3642</f>
        <v>Firewall</v>
      </c>
      <c r="U596" t="str">
        <f>sales_data!J3642</f>
        <v>Опт</v>
      </c>
      <c r="V596">
        <f>sales_data!K3642</f>
        <v>23</v>
      </c>
      <c r="W596">
        <f>sales_data!L3642</f>
        <v>39600</v>
      </c>
      <c r="X596">
        <f>sales_data!M3642</f>
        <v>910800</v>
      </c>
      <c r="Y596" t="str">
        <f>sales_data!N3642</f>
        <v>Интернет-магазин</v>
      </c>
      <c r="Z596" t="str">
        <f>sales_data!O3642</f>
        <v>Доставлен</v>
      </c>
    </row>
    <row r="597" spans="12:26" x14ac:dyDescent="0.25">
      <c r="L597">
        <f>sales_data!A3646</f>
        <v>787</v>
      </c>
      <c r="M597">
        <f>sales_data!B3646</f>
        <v>45698</v>
      </c>
      <c r="N597">
        <f>sales_data!C3646</f>
        <v>10</v>
      </c>
      <c r="O597" t="str">
        <f>sales_data!D3646</f>
        <v>Февраль</v>
      </c>
      <c r="P597" t="str">
        <f>sales_data!E3646</f>
        <v>Светлана</v>
      </c>
      <c r="Q597" t="str">
        <f>sales_data!F3646</f>
        <v>Уфа</v>
      </c>
      <c r="R597" t="str">
        <f>sales_data!G3646</f>
        <v>Приволжский</v>
      </c>
      <c r="S597" t="str">
        <f>sales_data!H3646</f>
        <v>Серверы</v>
      </c>
      <c r="T597" t="str">
        <f>sales_data!I3646</f>
        <v>Firewall</v>
      </c>
      <c r="U597" t="str">
        <f>sales_data!J3646</f>
        <v>Опт</v>
      </c>
      <c r="V597">
        <f>sales_data!K3646</f>
        <v>34</v>
      </c>
      <c r="W597">
        <f>sales_data!L3646</f>
        <v>39800</v>
      </c>
      <c r="X597">
        <f>sales_data!M3646</f>
        <v>1353200</v>
      </c>
      <c r="Y597" t="str">
        <f>sales_data!N3646</f>
        <v>Интернет-магазин</v>
      </c>
      <c r="Z597" t="str">
        <f>sales_data!O3646</f>
        <v>Отменён</v>
      </c>
    </row>
    <row r="598" spans="12:26" x14ac:dyDescent="0.25">
      <c r="L598">
        <f>sales_data!A3649</f>
        <v>240</v>
      </c>
      <c r="M598">
        <f>sales_data!B3649</f>
        <v>45985</v>
      </c>
      <c r="N598">
        <f>sales_data!C3649</f>
        <v>24</v>
      </c>
      <c r="O598" t="str">
        <f>sales_data!D3649</f>
        <v>Ноябрь</v>
      </c>
      <c r="P598" t="str">
        <f>sales_data!E3649</f>
        <v>Анна</v>
      </c>
      <c r="Q598" t="str">
        <f>sales_data!F3649</f>
        <v>Челябинск</v>
      </c>
      <c r="R598" t="str">
        <f>sales_data!G3649</f>
        <v>Уральский</v>
      </c>
      <c r="S598" t="str">
        <f>sales_data!H3649</f>
        <v>Серверы</v>
      </c>
      <c r="T598" t="str">
        <f>sales_data!I3649</f>
        <v>Firewall</v>
      </c>
      <c r="U598" t="str">
        <f>sales_data!J3649</f>
        <v>Опт</v>
      </c>
      <c r="V598">
        <f>sales_data!K3649</f>
        <v>46</v>
      </c>
      <c r="W598">
        <f>sales_data!L3649</f>
        <v>39900</v>
      </c>
      <c r="X598">
        <f>sales_data!M3649</f>
        <v>1835400</v>
      </c>
      <c r="Y598" t="str">
        <f>sales_data!N3649</f>
        <v>Офлайн-точка</v>
      </c>
      <c r="Z598" t="str">
        <f>sales_data!O3649</f>
        <v>В пути</v>
      </c>
    </row>
    <row r="599" spans="12:26" x14ac:dyDescent="0.25">
      <c r="L599">
        <f>sales_data!A3650</f>
        <v>2569</v>
      </c>
      <c r="M599">
        <f>sales_data!B3650</f>
        <v>45839</v>
      </c>
      <c r="N599">
        <f>sales_data!C3650</f>
        <v>1</v>
      </c>
      <c r="O599" t="str">
        <f>sales_data!D3650</f>
        <v>Июль</v>
      </c>
      <c r="P599" t="str">
        <f>sales_data!E3650</f>
        <v>Мария</v>
      </c>
      <c r="Q599" t="str">
        <f>sales_data!F3650</f>
        <v>Казань</v>
      </c>
      <c r="R599" t="str">
        <f>sales_data!G3650</f>
        <v>Приволжский</v>
      </c>
      <c r="S599" t="str">
        <f>sales_data!H3650</f>
        <v>Ноутбуки</v>
      </c>
      <c r="T599" t="str">
        <f>sales_data!I3650</f>
        <v>Notebook Lite</v>
      </c>
      <c r="U599" t="str">
        <f>sales_data!J3650</f>
        <v>Опт</v>
      </c>
      <c r="V599">
        <f>sales_data!K3650</f>
        <v>34</v>
      </c>
      <c r="W599">
        <f>sales_data!L3650</f>
        <v>39900</v>
      </c>
      <c r="X599">
        <f>sales_data!M3650</f>
        <v>1356600</v>
      </c>
      <c r="Y599" t="str">
        <f>sales_data!N3650</f>
        <v>Интернет-магазин</v>
      </c>
      <c r="Z599" t="str">
        <f>sales_data!O3650</f>
        <v>Отменён</v>
      </c>
    </row>
    <row r="600" spans="12:26" x14ac:dyDescent="0.25">
      <c r="L600">
        <f>sales_data!A3657</f>
        <v>3137</v>
      </c>
      <c r="M600">
        <f>sales_data!B3657</f>
        <v>45663</v>
      </c>
      <c r="N600">
        <f>sales_data!C3657</f>
        <v>6</v>
      </c>
      <c r="O600" t="str">
        <f>sales_data!D3657</f>
        <v>Январь</v>
      </c>
      <c r="P600" t="str">
        <f>sales_data!E3657</f>
        <v>Анна</v>
      </c>
      <c r="Q600" t="str">
        <f>sales_data!F3657</f>
        <v>Москва</v>
      </c>
      <c r="R600" t="str">
        <f>sales_data!G3657</f>
        <v>Центральный</v>
      </c>
      <c r="S600" t="str">
        <f>sales_data!H3657</f>
        <v>Ноутбуки</v>
      </c>
      <c r="T600" t="str">
        <f>sales_data!I3657</f>
        <v>Notebook Lite</v>
      </c>
      <c r="U600" t="str">
        <f>sales_data!J3657</f>
        <v>Опт</v>
      </c>
      <c r="V600">
        <f>sales_data!K3657</f>
        <v>8</v>
      </c>
      <c r="W600">
        <f>sales_data!L3657</f>
        <v>40100</v>
      </c>
      <c r="X600">
        <f>sales_data!M3657</f>
        <v>320800</v>
      </c>
      <c r="Y600" t="str">
        <f>sales_data!N3657</f>
        <v>Офлайн-точка</v>
      </c>
      <c r="Z600" t="str">
        <f>sales_data!O3657</f>
        <v>В пути</v>
      </c>
    </row>
    <row r="601" spans="12:26" x14ac:dyDescent="0.25">
      <c r="L601">
        <f>sales_data!A3662</f>
        <v>2951</v>
      </c>
      <c r="M601">
        <f>sales_data!B3662</f>
        <v>45973</v>
      </c>
      <c r="N601">
        <f>sales_data!C3662</f>
        <v>12</v>
      </c>
      <c r="O601" t="str">
        <f>sales_data!D3662</f>
        <v>Ноябрь</v>
      </c>
      <c r="P601" t="str">
        <f>sales_data!E3662</f>
        <v>Наталья</v>
      </c>
      <c r="Q601" t="str">
        <f>sales_data!F3662</f>
        <v>Москва</v>
      </c>
      <c r="R601" t="str">
        <f>sales_data!G3662</f>
        <v>Центральный</v>
      </c>
      <c r="S601" t="str">
        <f>sales_data!H3662</f>
        <v>Серверы</v>
      </c>
      <c r="T601" t="str">
        <f>sales_data!I3662</f>
        <v>Firewall</v>
      </c>
      <c r="U601" t="str">
        <f>sales_data!J3662</f>
        <v>Опт</v>
      </c>
      <c r="V601">
        <f>sales_data!K3662</f>
        <v>11</v>
      </c>
      <c r="W601">
        <f>sales_data!L3662</f>
        <v>40600</v>
      </c>
      <c r="X601">
        <f>sales_data!M3662</f>
        <v>446600</v>
      </c>
      <c r="Y601" t="str">
        <f>sales_data!N3662</f>
        <v>Офлайн-точка</v>
      </c>
      <c r="Z601" t="str">
        <f>sales_data!O3662</f>
        <v>Отменён</v>
      </c>
    </row>
    <row r="602" spans="12:26" x14ac:dyDescent="0.25">
      <c r="L602">
        <f>sales_data!A3666</f>
        <v>4912</v>
      </c>
      <c r="M602">
        <f>sales_data!B3666</f>
        <v>45768</v>
      </c>
      <c r="N602">
        <f>sales_data!C3666</f>
        <v>21</v>
      </c>
      <c r="O602" t="str">
        <f>sales_data!D3666</f>
        <v>Апрель</v>
      </c>
      <c r="P602" t="str">
        <f>sales_data!E3666</f>
        <v>Владимир</v>
      </c>
      <c r="Q602" t="str">
        <f>sales_data!F3666</f>
        <v>Челябинск</v>
      </c>
      <c r="R602" t="str">
        <f>sales_data!G3666</f>
        <v>Уральский</v>
      </c>
      <c r="S602" t="str">
        <f>sales_data!H3666</f>
        <v>Ноутбуки</v>
      </c>
      <c r="T602" t="str">
        <f>sales_data!I3666</f>
        <v>Notebook Lite</v>
      </c>
      <c r="U602" t="str">
        <f>sales_data!J3666</f>
        <v>Опт</v>
      </c>
      <c r="V602">
        <f>sales_data!K3666</f>
        <v>35</v>
      </c>
      <c r="W602">
        <f>sales_data!L3666</f>
        <v>40800</v>
      </c>
      <c r="X602">
        <f>sales_data!M3666</f>
        <v>1428000</v>
      </c>
      <c r="Y602" t="str">
        <f>sales_data!N3666</f>
        <v>Интернет-магазин</v>
      </c>
      <c r="Z602" t="str">
        <f>sales_data!O3666</f>
        <v>Доставлен</v>
      </c>
    </row>
    <row r="603" spans="12:26" x14ac:dyDescent="0.25">
      <c r="L603">
        <f>sales_data!A3669</f>
        <v>2267</v>
      </c>
      <c r="M603">
        <f>sales_data!B3669</f>
        <v>45682</v>
      </c>
      <c r="N603">
        <f>sales_data!C3669</f>
        <v>25</v>
      </c>
      <c r="O603" t="str">
        <f>sales_data!D3669</f>
        <v>Январь</v>
      </c>
      <c r="P603" t="str">
        <f>sales_data!E3669</f>
        <v>Светлана</v>
      </c>
      <c r="Q603" t="str">
        <f>sales_data!F3669</f>
        <v>Омск</v>
      </c>
      <c r="R603" t="str">
        <f>sales_data!G3669</f>
        <v>Сибирский</v>
      </c>
      <c r="S603" t="str">
        <f>sales_data!H3669</f>
        <v>Серверы</v>
      </c>
      <c r="T603" t="str">
        <f>sales_data!I3669</f>
        <v>Firewall</v>
      </c>
      <c r="U603" t="str">
        <f>sales_data!J3669</f>
        <v>Розница</v>
      </c>
      <c r="V603">
        <f>sales_data!K3669</f>
        <v>5</v>
      </c>
      <c r="W603">
        <f>sales_data!L3669</f>
        <v>41000</v>
      </c>
      <c r="X603">
        <f>sales_data!M3669</f>
        <v>205000</v>
      </c>
      <c r="Y603" t="str">
        <f>sales_data!N3669</f>
        <v>Интернет-магазин</v>
      </c>
      <c r="Z603" t="str">
        <f>sales_data!O3669</f>
        <v>В пути</v>
      </c>
    </row>
    <row r="604" spans="12:26" x14ac:dyDescent="0.25">
      <c r="L604">
        <f>sales_data!A3676</f>
        <v>2551</v>
      </c>
      <c r="M604">
        <f>sales_data!B3676</f>
        <v>45694</v>
      </c>
      <c r="N604">
        <f>sales_data!C3676</f>
        <v>6</v>
      </c>
      <c r="O604" t="str">
        <f>sales_data!D3676</f>
        <v>Февраль</v>
      </c>
      <c r="P604" t="str">
        <f>sales_data!E3676</f>
        <v>Мария</v>
      </c>
      <c r="Q604" t="str">
        <f>sales_data!F3676</f>
        <v>Екатеринбург</v>
      </c>
      <c r="R604" t="str">
        <f>sales_data!G3676</f>
        <v>Уральский</v>
      </c>
      <c r="S604" t="str">
        <f>sales_data!H3676</f>
        <v>Серверы</v>
      </c>
      <c r="T604" t="str">
        <f>sales_data!I3676</f>
        <v>Firewall</v>
      </c>
      <c r="U604" t="str">
        <f>sales_data!J3676</f>
        <v>Розница</v>
      </c>
      <c r="V604">
        <f>sales_data!K3676</f>
        <v>4</v>
      </c>
      <c r="W604">
        <f>sales_data!L3676</f>
        <v>41400</v>
      </c>
      <c r="X604">
        <f>sales_data!M3676</f>
        <v>165600</v>
      </c>
      <c r="Y604" t="str">
        <f>sales_data!N3676</f>
        <v>Офлайн-точка</v>
      </c>
      <c r="Z604" t="str">
        <f>sales_data!O3676</f>
        <v>Отменён</v>
      </c>
    </row>
    <row r="605" spans="12:26" x14ac:dyDescent="0.25">
      <c r="L605">
        <f>sales_data!A3685</f>
        <v>157</v>
      </c>
      <c r="M605">
        <f>sales_data!B3685</f>
        <v>45722</v>
      </c>
      <c r="N605">
        <f>sales_data!C3685</f>
        <v>6</v>
      </c>
      <c r="O605" t="str">
        <f>sales_data!D3685</f>
        <v>Март</v>
      </c>
      <c r="P605" t="str">
        <f>sales_data!E3685</f>
        <v>Елена</v>
      </c>
      <c r="Q605" t="str">
        <f>sales_data!F3685</f>
        <v>Омск</v>
      </c>
      <c r="R605" t="str">
        <f>sales_data!G3685</f>
        <v>Сибирский</v>
      </c>
      <c r="S605" t="str">
        <f>sales_data!H3685</f>
        <v>Серверы</v>
      </c>
      <c r="T605" t="str">
        <f>sales_data!I3685</f>
        <v>Firewall</v>
      </c>
      <c r="U605" t="str">
        <f>sales_data!J3685</f>
        <v>Опт</v>
      </c>
      <c r="V605">
        <f>sales_data!K3685</f>
        <v>29</v>
      </c>
      <c r="W605">
        <f>sales_data!L3685</f>
        <v>41800</v>
      </c>
      <c r="X605">
        <f>sales_data!M3685</f>
        <v>1212200</v>
      </c>
      <c r="Y605" t="str">
        <f>sales_data!N3685</f>
        <v>Офлайн-точка</v>
      </c>
      <c r="Z605" t="str">
        <f>sales_data!O3685</f>
        <v>В пути</v>
      </c>
    </row>
    <row r="606" spans="12:26" x14ac:dyDescent="0.25">
      <c r="L606">
        <f>sales_data!A3686</f>
        <v>2553</v>
      </c>
      <c r="M606">
        <f>sales_data!B3686</f>
        <v>45948</v>
      </c>
      <c r="N606">
        <f>sales_data!C3686</f>
        <v>18</v>
      </c>
      <c r="O606" t="str">
        <f>sales_data!D3686</f>
        <v>Октябрь</v>
      </c>
      <c r="P606" t="str">
        <f>sales_data!E3686</f>
        <v>Игорь</v>
      </c>
      <c r="Q606" t="str">
        <f>sales_data!F3686</f>
        <v>Казань</v>
      </c>
      <c r="R606" t="str">
        <f>sales_data!G3686</f>
        <v>Приволжский</v>
      </c>
      <c r="S606" t="str">
        <f>sales_data!H3686</f>
        <v>Ноутбуки</v>
      </c>
      <c r="T606" t="str">
        <f>sales_data!I3686</f>
        <v>Notebook Lite</v>
      </c>
      <c r="U606" t="str">
        <f>sales_data!J3686</f>
        <v>Опт</v>
      </c>
      <c r="V606">
        <f>sales_data!K3686</f>
        <v>9</v>
      </c>
      <c r="W606">
        <f>sales_data!L3686</f>
        <v>41800</v>
      </c>
      <c r="X606">
        <f>sales_data!M3686</f>
        <v>376200</v>
      </c>
      <c r="Y606" t="str">
        <f>sales_data!N3686</f>
        <v>Интернет-магазин</v>
      </c>
      <c r="Z606" t="str">
        <f>sales_data!O3686</f>
        <v>Доставлен</v>
      </c>
    </row>
    <row r="607" spans="12:26" x14ac:dyDescent="0.25">
      <c r="L607">
        <f>sales_data!A3694</f>
        <v>1221</v>
      </c>
      <c r="M607">
        <f>sales_data!B3694</f>
        <v>45807</v>
      </c>
      <c r="N607">
        <f>sales_data!C3694</f>
        <v>30</v>
      </c>
      <c r="O607" t="str">
        <f>sales_data!D3694</f>
        <v>Май</v>
      </c>
      <c r="P607" t="str">
        <f>sales_data!E3694</f>
        <v>Алексей</v>
      </c>
      <c r="Q607" t="str">
        <f>sales_data!F3694</f>
        <v>Нижний Новгород</v>
      </c>
      <c r="R607" t="str">
        <f>sales_data!G3694</f>
        <v>Приволжский</v>
      </c>
      <c r="S607" t="str">
        <f>sales_data!H3694</f>
        <v>Ноутбуки</v>
      </c>
      <c r="T607" t="str">
        <f>sales_data!I3694</f>
        <v>Notebook Lite</v>
      </c>
      <c r="U607" t="str">
        <f>sales_data!J3694</f>
        <v>Розница</v>
      </c>
      <c r="V607">
        <f>sales_data!K3694</f>
        <v>4</v>
      </c>
      <c r="W607">
        <f>sales_data!L3694</f>
        <v>42300</v>
      </c>
      <c r="X607">
        <f>sales_data!M3694</f>
        <v>169200</v>
      </c>
      <c r="Y607" t="str">
        <f>sales_data!N3694</f>
        <v>Интернет-магазин</v>
      </c>
      <c r="Z607" t="str">
        <f>sales_data!O3694</f>
        <v>Отменён</v>
      </c>
    </row>
    <row r="608" spans="12:26" x14ac:dyDescent="0.25">
      <c r="L608">
        <f>sales_data!A3711</f>
        <v>349</v>
      </c>
      <c r="M608">
        <f>sales_data!B3711</f>
        <v>46014</v>
      </c>
      <c r="N608">
        <f>sales_data!C3711</f>
        <v>23</v>
      </c>
      <c r="O608" t="str">
        <f>sales_data!D3711</f>
        <v>Декабрь</v>
      </c>
      <c r="P608" t="str">
        <f>sales_data!E3711</f>
        <v>Павел</v>
      </c>
      <c r="Q608" t="str">
        <f>sales_data!F3711</f>
        <v>Краснодар</v>
      </c>
      <c r="R608" t="str">
        <f>sales_data!G3711</f>
        <v>Южный</v>
      </c>
      <c r="S608" t="str">
        <f>sales_data!H3711</f>
        <v>Ноутбуки</v>
      </c>
      <c r="T608" t="str">
        <f>sales_data!I3711</f>
        <v>Notebook Lite</v>
      </c>
      <c r="U608" t="str">
        <f>sales_data!J3711</f>
        <v>Розница</v>
      </c>
      <c r="V608">
        <f>sales_data!K3711</f>
        <v>2</v>
      </c>
      <c r="W608">
        <f>sales_data!L3711</f>
        <v>43400</v>
      </c>
      <c r="X608">
        <f>sales_data!M3711</f>
        <v>86800</v>
      </c>
      <c r="Y608" t="str">
        <f>sales_data!N3711</f>
        <v>Интернет-магазин</v>
      </c>
      <c r="Z608" t="str">
        <f>sales_data!O3711</f>
        <v>В пути</v>
      </c>
    </row>
    <row r="609" spans="12:26" x14ac:dyDescent="0.25">
      <c r="L609">
        <f>sales_data!A3722</f>
        <v>345</v>
      </c>
      <c r="M609">
        <f>sales_data!B3722</f>
        <v>45878</v>
      </c>
      <c r="N609">
        <f>sales_data!C3722</f>
        <v>9</v>
      </c>
      <c r="O609" t="str">
        <f>sales_data!D3722</f>
        <v>Август</v>
      </c>
      <c r="P609" t="str">
        <f>sales_data!E3722</f>
        <v>Борис</v>
      </c>
      <c r="Q609" t="str">
        <f>sales_data!F3722</f>
        <v>Москва</v>
      </c>
      <c r="R609" t="str">
        <f>sales_data!G3722</f>
        <v>Центральный</v>
      </c>
      <c r="S609" t="str">
        <f>sales_data!H3722</f>
        <v>Ноутбуки</v>
      </c>
      <c r="T609" t="str">
        <f>sales_data!I3722</f>
        <v>Notebook Lite</v>
      </c>
      <c r="U609" t="str">
        <f>sales_data!J3722</f>
        <v>Розница</v>
      </c>
      <c r="V609">
        <f>sales_data!K3722</f>
        <v>9</v>
      </c>
      <c r="W609">
        <f>sales_data!L3722</f>
        <v>43900</v>
      </c>
      <c r="X609">
        <f>sales_data!M3722</f>
        <v>395100</v>
      </c>
      <c r="Y609" t="str">
        <f>sales_data!N3722</f>
        <v>Интернет-магазин</v>
      </c>
      <c r="Z609" t="str">
        <f>sales_data!O3722</f>
        <v>В пути</v>
      </c>
    </row>
    <row r="610" spans="12:26" x14ac:dyDescent="0.25">
      <c r="L610">
        <f>sales_data!A3725</f>
        <v>829</v>
      </c>
      <c r="M610">
        <f>sales_data!B3725</f>
        <v>45746</v>
      </c>
      <c r="N610">
        <f>sales_data!C3725</f>
        <v>30</v>
      </c>
      <c r="O610" t="str">
        <f>sales_data!D3725</f>
        <v>Март</v>
      </c>
      <c r="P610" t="str">
        <f>sales_data!E3725</f>
        <v>Игорь</v>
      </c>
      <c r="Q610" t="str">
        <f>sales_data!F3725</f>
        <v>Санкт-Петербург</v>
      </c>
      <c r="R610" t="str">
        <f>sales_data!G3725</f>
        <v>Северо-Западный</v>
      </c>
      <c r="S610" t="str">
        <f>sales_data!H3725</f>
        <v>Ноутбуки</v>
      </c>
      <c r="T610" t="str">
        <f>sales_data!I3725</f>
        <v>Notebook Lite</v>
      </c>
      <c r="U610" t="str">
        <f>sales_data!J3725</f>
        <v>Розница</v>
      </c>
      <c r="V610">
        <f>sales_data!K3725</f>
        <v>7</v>
      </c>
      <c r="W610">
        <f>sales_data!L3725</f>
        <v>44100</v>
      </c>
      <c r="X610">
        <f>sales_data!M3725</f>
        <v>308700</v>
      </c>
      <c r="Y610" t="str">
        <f>sales_data!N3725</f>
        <v>Интернет-магазин</v>
      </c>
      <c r="Z610" t="str">
        <f>sales_data!O3725</f>
        <v>Отменён</v>
      </c>
    </row>
    <row r="611" spans="12:26" x14ac:dyDescent="0.25">
      <c r="L611">
        <f>sales_data!A3730</f>
        <v>1395</v>
      </c>
      <c r="M611">
        <f>sales_data!B3730</f>
        <v>45749</v>
      </c>
      <c r="N611">
        <f>sales_data!C3730</f>
        <v>2</v>
      </c>
      <c r="O611" t="str">
        <f>sales_data!D3730</f>
        <v>Апрель</v>
      </c>
      <c r="P611" t="str">
        <f>sales_data!E3730</f>
        <v>Татьяна</v>
      </c>
      <c r="Q611" t="str">
        <f>sales_data!F3730</f>
        <v>Омск</v>
      </c>
      <c r="R611" t="str">
        <f>sales_data!G3730</f>
        <v>Сибирский</v>
      </c>
      <c r="S611" t="str">
        <f>sales_data!H3730</f>
        <v>Серверы</v>
      </c>
      <c r="T611" t="str">
        <f>sales_data!I3730</f>
        <v>Firewall</v>
      </c>
      <c r="U611" t="str">
        <f>sales_data!J3730</f>
        <v>Розница</v>
      </c>
      <c r="V611">
        <f>sales_data!K3730</f>
        <v>2</v>
      </c>
      <c r="W611">
        <f>sales_data!L3730</f>
        <v>44200</v>
      </c>
      <c r="X611">
        <f>sales_data!M3730</f>
        <v>88400</v>
      </c>
      <c r="Y611" t="str">
        <f>sales_data!N3730</f>
        <v>Офлайн-точка</v>
      </c>
      <c r="Z611" t="str">
        <f>sales_data!O3730</f>
        <v>В пути</v>
      </c>
    </row>
    <row r="612" spans="12:26" x14ac:dyDescent="0.25">
      <c r="L612">
        <f>sales_data!A3741</f>
        <v>3680</v>
      </c>
      <c r="M612">
        <f>sales_data!B3741</f>
        <v>46011</v>
      </c>
      <c r="N612">
        <f>sales_data!C3741</f>
        <v>20</v>
      </c>
      <c r="O612" t="str">
        <f>sales_data!D3741</f>
        <v>Декабрь</v>
      </c>
      <c r="P612" t="str">
        <f>sales_data!E3741</f>
        <v>Алексей</v>
      </c>
      <c r="Q612" t="str">
        <f>sales_data!F3741</f>
        <v>Омск</v>
      </c>
      <c r="R612" t="str">
        <f>sales_data!G3741</f>
        <v>Сибирский</v>
      </c>
      <c r="S612" t="str">
        <f>sales_data!H3741</f>
        <v>Серверы</v>
      </c>
      <c r="T612" t="str">
        <f>sales_data!I3741</f>
        <v>Firewall</v>
      </c>
      <c r="U612" t="str">
        <f>sales_data!J3741</f>
        <v>Розница</v>
      </c>
      <c r="V612">
        <f>sales_data!K3741</f>
        <v>7</v>
      </c>
      <c r="W612">
        <f>sales_data!L3741</f>
        <v>44800</v>
      </c>
      <c r="X612">
        <f>sales_data!M3741</f>
        <v>313600</v>
      </c>
      <c r="Y612" t="str">
        <f>sales_data!N3741</f>
        <v>Интернет-магазин</v>
      </c>
      <c r="Z612" t="str">
        <f>sales_data!O3741</f>
        <v>Отменён</v>
      </c>
    </row>
    <row r="613" spans="12:26" x14ac:dyDescent="0.25">
      <c r="L613">
        <f>sales_data!A3742</f>
        <v>4547</v>
      </c>
      <c r="M613">
        <f>sales_data!B3742</f>
        <v>45750</v>
      </c>
      <c r="N613">
        <f>sales_data!C3742</f>
        <v>3</v>
      </c>
      <c r="O613" t="str">
        <f>sales_data!D3742</f>
        <v>Апрель</v>
      </c>
      <c r="P613" t="str">
        <f>sales_data!E3742</f>
        <v>Наталья</v>
      </c>
      <c r="Q613" t="str">
        <f>sales_data!F3742</f>
        <v>Ростов-на-Дону</v>
      </c>
      <c r="R613" t="str">
        <f>sales_data!G3742</f>
        <v>Южный</v>
      </c>
      <c r="S613" t="str">
        <f>sales_data!H3742</f>
        <v>Серверы</v>
      </c>
      <c r="T613" t="str">
        <f>sales_data!I3742</f>
        <v>Firewall</v>
      </c>
      <c r="U613" t="str">
        <f>sales_data!J3742</f>
        <v>Розница</v>
      </c>
      <c r="V613">
        <f>sales_data!K3742</f>
        <v>2</v>
      </c>
      <c r="W613">
        <f>sales_data!L3742</f>
        <v>44800</v>
      </c>
      <c r="X613">
        <f>sales_data!M3742</f>
        <v>89600</v>
      </c>
      <c r="Y613" t="str">
        <f>sales_data!N3742</f>
        <v>Интернет-магазин</v>
      </c>
      <c r="Z613" t="str">
        <f>sales_data!O3742</f>
        <v>Отменён</v>
      </c>
    </row>
    <row r="614" spans="12:26" x14ac:dyDescent="0.25">
      <c r="L614">
        <f>sales_data!A3757</f>
        <v>1785</v>
      </c>
      <c r="M614">
        <f>sales_data!B3757</f>
        <v>45843</v>
      </c>
      <c r="N614">
        <f>sales_data!C3757</f>
        <v>5</v>
      </c>
      <c r="O614" t="str">
        <f>sales_data!D3757</f>
        <v>Июль</v>
      </c>
      <c r="P614" t="str">
        <f>sales_data!E3757</f>
        <v>Мария</v>
      </c>
      <c r="Q614" t="str">
        <f>sales_data!F3757</f>
        <v>Новосибирск</v>
      </c>
      <c r="R614" t="str">
        <f>sales_data!G3757</f>
        <v>Сибирский</v>
      </c>
      <c r="S614" t="str">
        <f>sales_data!H3757</f>
        <v>Серверы</v>
      </c>
      <c r="T614" t="str">
        <f>sales_data!I3757</f>
        <v>Firewall</v>
      </c>
      <c r="U614" t="str">
        <f>sales_data!J3757</f>
        <v>Розница</v>
      </c>
      <c r="V614">
        <f>sales_data!K3757</f>
        <v>6</v>
      </c>
      <c r="W614">
        <f>sales_data!L3757</f>
        <v>45200</v>
      </c>
      <c r="X614">
        <f>sales_data!M3757</f>
        <v>271200</v>
      </c>
      <c r="Y614" t="str">
        <f>sales_data!N3757</f>
        <v>Интернет-магазин</v>
      </c>
      <c r="Z614" t="str">
        <f>sales_data!O3757</f>
        <v>Доставлен</v>
      </c>
    </row>
    <row r="615" spans="12:26" x14ac:dyDescent="0.25">
      <c r="L615">
        <f>sales_data!A3762</f>
        <v>3390</v>
      </c>
      <c r="M615">
        <f>sales_data!B3762</f>
        <v>45965</v>
      </c>
      <c r="N615">
        <f>sales_data!C3762</f>
        <v>4</v>
      </c>
      <c r="O615" t="str">
        <f>sales_data!D3762</f>
        <v>Ноябрь</v>
      </c>
      <c r="P615" t="str">
        <f>sales_data!E3762</f>
        <v>Дмитрий</v>
      </c>
      <c r="Q615" t="str">
        <f>sales_data!F3762</f>
        <v>Москва</v>
      </c>
      <c r="R615" t="str">
        <f>sales_data!G3762</f>
        <v>Центральный</v>
      </c>
      <c r="S615" t="str">
        <f>sales_data!H3762</f>
        <v>Ноутбуки</v>
      </c>
      <c r="T615" t="str">
        <f>sales_data!I3762</f>
        <v>Notebook Lite</v>
      </c>
      <c r="U615" t="str">
        <f>sales_data!J3762</f>
        <v>Розница</v>
      </c>
      <c r="V615">
        <f>sales_data!K3762</f>
        <v>2</v>
      </c>
      <c r="W615">
        <f>sales_data!L3762</f>
        <v>45300</v>
      </c>
      <c r="X615">
        <f>sales_data!M3762</f>
        <v>90600</v>
      </c>
      <c r="Y615" t="str">
        <f>sales_data!N3762</f>
        <v>Офлайн-точка</v>
      </c>
      <c r="Z615" t="str">
        <f>sales_data!O3762</f>
        <v>Доставлен</v>
      </c>
    </row>
    <row r="616" spans="12:26" x14ac:dyDescent="0.25">
      <c r="L616">
        <f>sales_data!A3770</f>
        <v>4062</v>
      </c>
      <c r="M616">
        <f>sales_data!B3770</f>
        <v>45819</v>
      </c>
      <c r="N616">
        <f>sales_data!C3770</f>
        <v>11</v>
      </c>
      <c r="O616" t="str">
        <f>sales_data!D3770</f>
        <v>Июнь</v>
      </c>
      <c r="P616" t="str">
        <f>sales_data!E3770</f>
        <v>Владимир</v>
      </c>
      <c r="Q616" t="str">
        <f>sales_data!F3770</f>
        <v>Нижний Новгород</v>
      </c>
      <c r="R616" t="str">
        <f>sales_data!G3770</f>
        <v>Приволжский</v>
      </c>
      <c r="S616" t="str">
        <f>sales_data!H3770</f>
        <v>Серверы</v>
      </c>
      <c r="T616" t="str">
        <f>sales_data!I3770</f>
        <v>Firewall</v>
      </c>
      <c r="U616" t="str">
        <f>sales_data!J3770</f>
        <v>Розница</v>
      </c>
      <c r="V616">
        <f>sales_data!K3770</f>
        <v>5</v>
      </c>
      <c r="W616">
        <f>sales_data!L3770</f>
        <v>45600</v>
      </c>
      <c r="X616">
        <f>sales_data!M3770</f>
        <v>228000</v>
      </c>
      <c r="Y616" t="str">
        <f>sales_data!N3770</f>
        <v>Офлайн-точка</v>
      </c>
      <c r="Z616" t="str">
        <f>sales_data!O3770</f>
        <v>В пути</v>
      </c>
    </row>
    <row r="617" spans="12:26" x14ac:dyDescent="0.25">
      <c r="L617">
        <f>sales_data!A3772</f>
        <v>4983</v>
      </c>
      <c r="M617">
        <f>sales_data!B3772</f>
        <v>45786</v>
      </c>
      <c r="N617">
        <f>sales_data!C3772</f>
        <v>9</v>
      </c>
      <c r="O617" t="str">
        <f>sales_data!D3772</f>
        <v>Май</v>
      </c>
      <c r="P617" t="str">
        <f>sales_data!E3772</f>
        <v>Борис</v>
      </c>
      <c r="Q617" t="str">
        <f>sales_data!F3772</f>
        <v>Челябинск</v>
      </c>
      <c r="R617" t="str">
        <f>sales_data!G3772</f>
        <v>Уральский</v>
      </c>
      <c r="S617" t="str">
        <f>sales_data!H3772</f>
        <v>Серверы</v>
      </c>
      <c r="T617" t="str">
        <f>sales_data!I3772</f>
        <v>Firewall</v>
      </c>
      <c r="U617" t="str">
        <f>sales_data!J3772</f>
        <v>Розница</v>
      </c>
      <c r="V617">
        <f>sales_data!K3772</f>
        <v>6</v>
      </c>
      <c r="W617">
        <f>sales_data!L3772</f>
        <v>45600</v>
      </c>
      <c r="X617">
        <f>sales_data!M3772</f>
        <v>273600</v>
      </c>
      <c r="Y617" t="str">
        <f>sales_data!N3772</f>
        <v>Офлайн-точка</v>
      </c>
      <c r="Z617" t="str">
        <f>sales_data!O3772</f>
        <v>Доставлен</v>
      </c>
    </row>
    <row r="618" spans="12:26" x14ac:dyDescent="0.25">
      <c r="L618">
        <f>sales_data!A3775</f>
        <v>549</v>
      </c>
      <c r="M618">
        <f>sales_data!B3775</f>
        <v>45918</v>
      </c>
      <c r="N618">
        <f>sales_data!C3775</f>
        <v>18</v>
      </c>
      <c r="O618" t="str">
        <f>sales_data!D3775</f>
        <v>Сентябрь</v>
      </c>
      <c r="P618" t="str">
        <f>sales_data!E3775</f>
        <v>Павел</v>
      </c>
      <c r="Q618" t="str">
        <f>sales_data!F3775</f>
        <v>Челябинск</v>
      </c>
      <c r="R618" t="str">
        <f>sales_data!G3775</f>
        <v>Уральский</v>
      </c>
      <c r="S618" t="str">
        <f>sales_data!H3775</f>
        <v>Ноутбуки</v>
      </c>
      <c r="T618" t="str">
        <f>sales_data!I3775</f>
        <v>Notebook Lite</v>
      </c>
      <c r="U618" t="str">
        <f>sales_data!J3775</f>
        <v>Розница</v>
      </c>
      <c r="V618">
        <f>sales_data!K3775</f>
        <v>6</v>
      </c>
      <c r="W618">
        <f>sales_data!L3775</f>
        <v>45800</v>
      </c>
      <c r="X618">
        <f>sales_data!M3775</f>
        <v>274800</v>
      </c>
      <c r="Y618" t="str">
        <f>sales_data!N3775</f>
        <v>Интернет-магазин</v>
      </c>
      <c r="Z618" t="str">
        <f>sales_data!O3775</f>
        <v>Доставлен</v>
      </c>
    </row>
    <row r="619" spans="12:26" x14ac:dyDescent="0.25">
      <c r="L619">
        <f>sales_data!A3777</f>
        <v>2256</v>
      </c>
      <c r="M619">
        <f>sales_data!B3777</f>
        <v>45830</v>
      </c>
      <c r="N619">
        <f>sales_data!C3777</f>
        <v>22</v>
      </c>
      <c r="O619" t="str">
        <f>sales_data!D3777</f>
        <v>Июнь</v>
      </c>
      <c r="P619" t="str">
        <f>sales_data!E3777</f>
        <v>Ксения</v>
      </c>
      <c r="Q619" t="str">
        <f>sales_data!F3777</f>
        <v>Красноярск</v>
      </c>
      <c r="R619" t="str">
        <f>sales_data!G3777</f>
        <v>Сибирский</v>
      </c>
      <c r="S619" t="str">
        <f>sales_data!H3777</f>
        <v>Ноутбуки</v>
      </c>
      <c r="T619" t="str">
        <f>sales_data!I3777</f>
        <v>Notebook Lite</v>
      </c>
      <c r="U619" t="str">
        <f>sales_data!J3777</f>
        <v>Розница</v>
      </c>
      <c r="V619">
        <f>sales_data!K3777</f>
        <v>5</v>
      </c>
      <c r="W619">
        <f>sales_data!L3777</f>
        <v>45800</v>
      </c>
      <c r="X619">
        <f>sales_data!M3777</f>
        <v>229000</v>
      </c>
      <c r="Y619" t="str">
        <f>sales_data!N3777</f>
        <v>Офлайн-точка</v>
      </c>
      <c r="Z619" t="str">
        <f>sales_data!O3777</f>
        <v>Отменён</v>
      </c>
    </row>
    <row r="620" spans="12:26" x14ac:dyDescent="0.25">
      <c r="L620">
        <f>sales_data!A3780</f>
        <v>4518</v>
      </c>
      <c r="M620">
        <f>sales_data!B3780</f>
        <v>45976</v>
      </c>
      <c r="N620">
        <f>sales_data!C3780</f>
        <v>15</v>
      </c>
      <c r="O620" t="str">
        <f>sales_data!D3780</f>
        <v>Ноябрь</v>
      </c>
      <c r="P620" t="str">
        <f>sales_data!E3780</f>
        <v>Сергей</v>
      </c>
      <c r="Q620" t="str">
        <f>sales_data!F3780</f>
        <v>Пермь</v>
      </c>
      <c r="R620" t="str">
        <f>sales_data!G3780</f>
        <v>Приволжский</v>
      </c>
      <c r="S620" t="str">
        <f>sales_data!H3780</f>
        <v>Серверы</v>
      </c>
      <c r="T620" t="str">
        <f>sales_data!I3780</f>
        <v>Firewall</v>
      </c>
      <c r="U620" t="str">
        <f>sales_data!J3780</f>
        <v>Розница</v>
      </c>
      <c r="V620">
        <f>sales_data!K3780</f>
        <v>9</v>
      </c>
      <c r="W620">
        <f>sales_data!L3780</f>
        <v>45800</v>
      </c>
      <c r="X620">
        <f>sales_data!M3780</f>
        <v>412200</v>
      </c>
      <c r="Y620" t="str">
        <f>sales_data!N3780</f>
        <v>Интернет-магазин</v>
      </c>
      <c r="Z620" t="str">
        <f>sales_data!O3780</f>
        <v>Отменён</v>
      </c>
    </row>
    <row r="621" spans="12:26" x14ac:dyDescent="0.25">
      <c r="L621">
        <f>sales_data!A3783</f>
        <v>2625</v>
      </c>
      <c r="M621">
        <f>sales_data!B3783</f>
        <v>45749</v>
      </c>
      <c r="N621">
        <f>sales_data!C3783</f>
        <v>2</v>
      </c>
      <c r="O621" t="str">
        <f>sales_data!D3783</f>
        <v>Апрель</v>
      </c>
      <c r="P621" t="str">
        <f>sales_data!E3783</f>
        <v>Алексей</v>
      </c>
      <c r="Q621" t="str">
        <f>sales_data!F3783</f>
        <v>Казань</v>
      </c>
      <c r="R621" t="str">
        <f>sales_data!G3783</f>
        <v>Приволжский</v>
      </c>
      <c r="S621" t="str">
        <f>sales_data!H3783</f>
        <v>Ноутбуки</v>
      </c>
      <c r="T621" t="str">
        <f>sales_data!I3783</f>
        <v>Notebook Lite</v>
      </c>
      <c r="U621" t="str">
        <f>sales_data!J3783</f>
        <v>Розница</v>
      </c>
      <c r="V621">
        <f>sales_data!K3783</f>
        <v>6</v>
      </c>
      <c r="W621">
        <f>sales_data!L3783</f>
        <v>45900</v>
      </c>
      <c r="X621">
        <f>sales_data!M3783</f>
        <v>275400</v>
      </c>
      <c r="Y621" t="str">
        <f>sales_data!N3783</f>
        <v>Офлайн-точка</v>
      </c>
      <c r="Z621" t="str">
        <f>sales_data!O3783</f>
        <v>Отменён</v>
      </c>
    </row>
    <row r="622" spans="12:26" x14ac:dyDescent="0.25">
      <c r="L622">
        <f>sales_data!A3784</f>
        <v>2640</v>
      </c>
      <c r="M622">
        <f>sales_data!B3784</f>
        <v>45736</v>
      </c>
      <c r="N622">
        <f>sales_data!C3784</f>
        <v>20</v>
      </c>
      <c r="O622" t="str">
        <f>sales_data!D3784</f>
        <v>Март</v>
      </c>
      <c r="P622" t="str">
        <f>sales_data!E3784</f>
        <v>Светлана</v>
      </c>
      <c r="Q622" t="str">
        <f>sales_data!F3784</f>
        <v>Казань</v>
      </c>
      <c r="R622" t="str">
        <f>sales_data!G3784</f>
        <v>Приволжский</v>
      </c>
      <c r="S622" t="str">
        <f>sales_data!H3784</f>
        <v>Серверы</v>
      </c>
      <c r="T622" t="str">
        <f>sales_data!I3784</f>
        <v>Firewall</v>
      </c>
      <c r="U622" t="str">
        <f>sales_data!J3784</f>
        <v>Розница</v>
      </c>
      <c r="V622">
        <f>sales_data!K3784</f>
        <v>2</v>
      </c>
      <c r="W622">
        <f>sales_data!L3784</f>
        <v>45900</v>
      </c>
      <c r="X622">
        <f>sales_data!M3784</f>
        <v>91800</v>
      </c>
      <c r="Y622" t="str">
        <f>sales_data!N3784</f>
        <v>Офлайн-точка</v>
      </c>
      <c r="Z622" t="str">
        <f>sales_data!O3784</f>
        <v>В пути</v>
      </c>
    </row>
    <row r="623" spans="12:26" x14ac:dyDescent="0.25">
      <c r="L623">
        <f>sales_data!A3789</f>
        <v>1139</v>
      </c>
      <c r="M623">
        <f>sales_data!B3789</f>
        <v>45763</v>
      </c>
      <c r="N623">
        <f>sales_data!C3789</f>
        <v>16</v>
      </c>
      <c r="O623" t="str">
        <f>sales_data!D3789</f>
        <v>Апрель</v>
      </c>
      <c r="P623" t="str">
        <f>sales_data!E3789</f>
        <v>Дмитрий</v>
      </c>
      <c r="Q623" t="str">
        <f>sales_data!F3789</f>
        <v>Екатеринбург</v>
      </c>
      <c r="R623" t="str">
        <f>sales_data!G3789</f>
        <v>Уральский</v>
      </c>
      <c r="S623" t="str">
        <f>sales_data!H3789</f>
        <v>Серверы</v>
      </c>
      <c r="T623" t="str">
        <f>sales_data!I3789</f>
        <v>Firewall</v>
      </c>
      <c r="U623" t="str">
        <f>sales_data!J3789</f>
        <v>Розница</v>
      </c>
      <c r="V623">
        <f>sales_data!K3789</f>
        <v>8</v>
      </c>
      <c r="W623">
        <f>sales_data!L3789</f>
        <v>46300</v>
      </c>
      <c r="X623">
        <f>sales_data!M3789</f>
        <v>370400</v>
      </c>
      <c r="Y623" t="str">
        <f>sales_data!N3789</f>
        <v>Интернет-магазин</v>
      </c>
      <c r="Z623" t="str">
        <f>sales_data!O3789</f>
        <v>В пути</v>
      </c>
    </row>
    <row r="624" spans="12:26" x14ac:dyDescent="0.25">
      <c r="L624">
        <f>sales_data!A3790</f>
        <v>1314</v>
      </c>
      <c r="M624">
        <f>sales_data!B3790</f>
        <v>45936</v>
      </c>
      <c r="N624">
        <f>sales_data!C3790</f>
        <v>6</v>
      </c>
      <c r="O624" t="str">
        <f>sales_data!D3790</f>
        <v>Октябрь</v>
      </c>
      <c r="P624" t="str">
        <f>sales_data!E3790</f>
        <v>Алексей</v>
      </c>
      <c r="Q624" t="str">
        <f>sales_data!F3790</f>
        <v>Екатеринбург</v>
      </c>
      <c r="R624" t="str">
        <f>sales_data!G3790</f>
        <v>Уральский</v>
      </c>
      <c r="S624" t="str">
        <f>sales_data!H3790</f>
        <v>Серверы</v>
      </c>
      <c r="T624" t="str">
        <f>sales_data!I3790</f>
        <v>Firewall</v>
      </c>
      <c r="U624" t="str">
        <f>sales_data!J3790</f>
        <v>Розница</v>
      </c>
      <c r="V624">
        <f>sales_data!K3790</f>
        <v>1</v>
      </c>
      <c r="W624">
        <f>sales_data!L3790</f>
        <v>46300</v>
      </c>
      <c r="X624">
        <f>sales_data!M3790</f>
        <v>46300</v>
      </c>
      <c r="Y624" t="str">
        <f>sales_data!N3790</f>
        <v>Интернет-магазин</v>
      </c>
      <c r="Z624" t="str">
        <f>sales_data!O3790</f>
        <v>Доставлен</v>
      </c>
    </row>
    <row r="625" spans="12:26" x14ac:dyDescent="0.25">
      <c r="L625">
        <f>sales_data!A3792</f>
        <v>2798</v>
      </c>
      <c r="M625">
        <f>sales_data!B3792</f>
        <v>45723</v>
      </c>
      <c r="N625">
        <f>sales_data!C3792</f>
        <v>7</v>
      </c>
      <c r="O625" t="str">
        <f>sales_data!D3792</f>
        <v>Март</v>
      </c>
      <c r="P625" t="str">
        <f>sales_data!E3792</f>
        <v>Татьяна</v>
      </c>
      <c r="Q625" t="str">
        <f>sales_data!F3792</f>
        <v>Казань</v>
      </c>
      <c r="R625" t="str">
        <f>sales_data!G3792</f>
        <v>Приволжский</v>
      </c>
      <c r="S625" t="str">
        <f>sales_data!H3792</f>
        <v>Ноутбуки</v>
      </c>
      <c r="T625" t="str">
        <f>sales_data!I3792</f>
        <v>Notebook Air</v>
      </c>
      <c r="U625" t="str">
        <f>sales_data!J3792</f>
        <v>Опт</v>
      </c>
      <c r="V625">
        <f>sales_data!K3792</f>
        <v>20</v>
      </c>
      <c r="W625">
        <f>sales_data!L3792</f>
        <v>46400</v>
      </c>
      <c r="X625">
        <f>sales_data!M3792</f>
        <v>928000</v>
      </c>
      <c r="Y625" t="str">
        <f>sales_data!N3792</f>
        <v>Интернет-магазин</v>
      </c>
      <c r="Z625" t="str">
        <f>sales_data!O3792</f>
        <v>Отменён</v>
      </c>
    </row>
    <row r="626" spans="12:26" x14ac:dyDescent="0.25">
      <c r="L626">
        <f>sales_data!A3796</f>
        <v>4787</v>
      </c>
      <c r="M626">
        <f>sales_data!B3796</f>
        <v>45810</v>
      </c>
      <c r="N626">
        <f>sales_data!C3796</f>
        <v>2</v>
      </c>
      <c r="O626" t="str">
        <f>sales_data!D3796</f>
        <v>Июнь</v>
      </c>
      <c r="P626" t="str">
        <f>sales_data!E3796</f>
        <v>Мария</v>
      </c>
      <c r="Q626" t="str">
        <f>sales_data!F3796</f>
        <v>Санкт-Петербург</v>
      </c>
      <c r="R626" t="str">
        <f>sales_data!G3796</f>
        <v>Северо-Западный</v>
      </c>
      <c r="S626" t="str">
        <f>sales_data!H3796</f>
        <v>Серверы</v>
      </c>
      <c r="T626" t="str">
        <f>sales_data!I3796</f>
        <v>Firewall</v>
      </c>
      <c r="U626" t="str">
        <f>sales_data!J3796</f>
        <v>Розница</v>
      </c>
      <c r="V626">
        <f>sales_data!K3796</f>
        <v>8</v>
      </c>
      <c r="W626">
        <f>sales_data!L3796</f>
        <v>46600</v>
      </c>
      <c r="X626">
        <f>sales_data!M3796</f>
        <v>372800</v>
      </c>
      <c r="Y626" t="str">
        <f>sales_data!N3796</f>
        <v>Интернет-магазин</v>
      </c>
      <c r="Z626" t="str">
        <f>sales_data!O3796</f>
        <v>Отменён</v>
      </c>
    </row>
    <row r="627" spans="12:26" x14ac:dyDescent="0.25">
      <c r="L627">
        <f>sales_data!A3810</f>
        <v>3430</v>
      </c>
      <c r="M627">
        <f>sales_data!B3810</f>
        <v>45701</v>
      </c>
      <c r="N627">
        <f>sales_data!C3810</f>
        <v>13</v>
      </c>
      <c r="O627" t="str">
        <f>sales_data!D3810</f>
        <v>Февраль</v>
      </c>
      <c r="P627" t="str">
        <f>sales_data!E3810</f>
        <v>Татьяна</v>
      </c>
      <c r="Q627" t="str">
        <f>sales_data!F3810</f>
        <v>Самара</v>
      </c>
      <c r="R627" t="str">
        <f>sales_data!G3810</f>
        <v>Приволжский</v>
      </c>
      <c r="S627" t="str">
        <f>sales_data!H3810</f>
        <v>Серверы</v>
      </c>
      <c r="T627" t="str">
        <f>sales_data!I3810</f>
        <v>Firewall</v>
      </c>
      <c r="U627" t="str">
        <f>sales_data!J3810</f>
        <v>Розница</v>
      </c>
      <c r="V627">
        <f>sales_data!K3810</f>
        <v>1</v>
      </c>
      <c r="W627">
        <f>sales_data!L3810</f>
        <v>47500</v>
      </c>
      <c r="X627">
        <f>sales_data!M3810</f>
        <v>47500</v>
      </c>
      <c r="Y627" t="str">
        <f>sales_data!N3810</f>
        <v>Офлайн-точка</v>
      </c>
      <c r="Z627" t="str">
        <f>sales_data!O3810</f>
        <v>Доставлен</v>
      </c>
    </row>
    <row r="628" spans="12:26" x14ac:dyDescent="0.25">
      <c r="L628">
        <f>sales_data!A3814</f>
        <v>4283</v>
      </c>
      <c r="M628">
        <f>sales_data!B3814</f>
        <v>45930</v>
      </c>
      <c r="N628">
        <f>sales_data!C3814</f>
        <v>30</v>
      </c>
      <c r="O628" t="str">
        <f>sales_data!D3814</f>
        <v>Сентябрь</v>
      </c>
      <c r="P628" t="str">
        <f>sales_data!E3814</f>
        <v>Елена</v>
      </c>
      <c r="Q628" t="str">
        <f>sales_data!F3814</f>
        <v>Челябинск</v>
      </c>
      <c r="R628" t="str">
        <f>sales_data!G3814</f>
        <v>Уральский</v>
      </c>
      <c r="S628" t="str">
        <f>sales_data!H3814</f>
        <v>Ноутбуки</v>
      </c>
      <c r="T628" t="str">
        <f>sales_data!I3814</f>
        <v>Notebook Lite</v>
      </c>
      <c r="U628" t="str">
        <f>sales_data!J3814</f>
        <v>Розница</v>
      </c>
      <c r="V628">
        <f>sales_data!K3814</f>
        <v>1</v>
      </c>
      <c r="W628">
        <f>sales_data!L3814</f>
        <v>47600</v>
      </c>
      <c r="X628">
        <f>sales_data!M3814</f>
        <v>47600</v>
      </c>
      <c r="Y628" t="str">
        <f>sales_data!N3814</f>
        <v>Интернет-магазин</v>
      </c>
      <c r="Z628" t="str">
        <f>sales_data!O3814</f>
        <v>Доставлен</v>
      </c>
    </row>
    <row r="629" spans="12:26" x14ac:dyDescent="0.25">
      <c r="L629">
        <f>sales_data!A3815</f>
        <v>395</v>
      </c>
      <c r="M629">
        <f>sales_data!B3815</f>
        <v>45890</v>
      </c>
      <c r="N629">
        <f>sales_data!C3815</f>
        <v>21</v>
      </c>
      <c r="O629" t="str">
        <f>sales_data!D3815</f>
        <v>Август</v>
      </c>
      <c r="P629" t="str">
        <f>sales_data!E3815</f>
        <v>Сергей</v>
      </c>
      <c r="Q629" t="str">
        <f>sales_data!F3815</f>
        <v>Омск</v>
      </c>
      <c r="R629" t="str">
        <f>sales_data!G3815</f>
        <v>Сибирский</v>
      </c>
      <c r="S629" t="str">
        <f>sales_data!H3815</f>
        <v>Ноутбуки</v>
      </c>
      <c r="T629" t="str">
        <f>sales_data!I3815</f>
        <v>Notebook Lite</v>
      </c>
      <c r="U629" t="str">
        <f>sales_data!J3815</f>
        <v>Розница</v>
      </c>
      <c r="V629">
        <f>sales_data!K3815</f>
        <v>2</v>
      </c>
      <c r="W629">
        <f>sales_data!L3815</f>
        <v>47700</v>
      </c>
      <c r="X629">
        <f>sales_data!M3815</f>
        <v>95400</v>
      </c>
      <c r="Y629" t="str">
        <f>sales_data!N3815</f>
        <v>Интернет-магазин</v>
      </c>
      <c r="Z629" t="str">
        <f>sales_data!O3815</f>
        <v>Отменён</v>
      </c>
    </row>
    <row r="630" spans="12:26" x14ac:dyDescent="0.25">
      <c r="L630">
        <f>sales_data!A3817</f>
        <v>3050</v>
      </c>
      <c r="M630">
        <f>sales_data!B3817</f>
        <v>45783</v>
      </c>
      <c r="N630">
        <f>sales_data!C3817</f>
        <v>6</v>
      </c>
      <c r="O630" t="str">
        <f>sales_data!D3817</f>
        <v>Май</v>
      </c>
      <c r="P630" t="str">
        <f>sales_data!E3817</f>
        <v>Ксения</v>
      </c>
      <c r="Q630" t="str">
        <f>sales_data!F3817</f>
        <v>Екатеринбург</v>
      </c>
      <c r="R630" t="str">
        <f>sales_data!G3817</f>
        <v>Уральский</v>
      </c>
      <c r="S630" t="str">
        <f>sales_data!H3817</f>
        <v>Ноутбуки</v>
      </c>
      <c r="T630" t="str">
        <f>sales_data!I3817</f>
        <v>Notebook Lite</v>
      </c>
      <c r="U630" t="str">
        <f>sales_data!J3817</f>
        <v>Розница</v>
      </c>
      <c r="V630">
        <f>sales_data!K3817</f>
        <v>10</v>
      </c>
      <c r="W630">
        <f>sales_data!L3817</f>
        <v>47700</v>
      </c>
      <c r="X630">
        <f>sales_data!M3817</f>
        <v>477000</v>
      </c>
      <c r="Y630" t="str">
        <f>sales_data!N3817</f>
        <v>Интернет-магазин</v>
      </c>
      <c r="Z630" t="str">
        <f>sales_data!O3817</f>
        <v>Доставлен</v>
      </c>
    </row>
    <row r="631" spans="12:26" x14ac:dyDescent="0.25">
      <c r="L631">
        <f>sales_data!A3823</f>
        <v>398</v>
      </c>
      <c r="M631">
        <f>sales_data!B3823</f>
        <v>45926</v>
      </c>
      <c r="N631">
        <f>sales_data!C3823</f>
        <v>26</v>
      </c>
      <c r="O631" t="str">
        <f>sales_data!D3823</f>
        <v>Сентябрь</v>
      </c>
      <c r="P631" t="str">
        <f>sales_data!E3823</f>
        <v>Борис</v>
      </c>
      <c r="Q631" t="str">
        <f>sales_data!F3823</f>
        <v>Екатеринбург</v>
      </c>
      <c r="R631" t="str">
        <f>sales_data!G3823</f>
        <v>Уральский</v>
      </c>
      <c r="S631" t="str">
        <f>sales_data!H3823</f>
        <v>Серверы</v>
      </c>
      <c r="T631" t="str">
        <f>sales_data!I3823</f>
        <v>Firewall</v>
      </c>
      <c r="U631" t="str">
        <f>sales_data!J3823</f>
        <v>Розница</v>
      </c>
      <c r="V631">
        <f>sales_data!K3823</f>
        <v>8</v>
      </c>
      <c r="W631">
        <f>sales_data!L3823</f>
        <v>48000</v>
      </c>
      <c r="X631">
        <f>sales_data!M3823</f>
        <v>384000</v>
      </c>
      <c r="Y631" t="str">
        <f>sales_data!N3823</f>
        <v>Офлайн-точка</v>
      </c>
      <c r="Z631" t="str">
        <f>sales_data!O3823</f>
        <v>Отменён</v>
      </c>
    </row>
    <row r="632" spans="12:26" x14ac:dyDescent="0.25">
      <c r="L632">
        <f>sales_data!A3827</f>
        <v>2442</v>
      </c>
      <c r="M632">
        <f>sales_data!B3827</f>
        <v>45721</v>
      </c>
      <c r="N632">
        <f>sales_data!C3827</f>
        <v>5</v>
      </c>
      <c r="O632" t="str">
        <f>sales_data!D3827</f>
        <v>Март</v>
      </c>
      <c r="P632" t="str">
        <f>sales_data!E3827</f>
        <v>Сергей</v>
      </c>
      <c r="Q632" t="str">
        <f>sales_data!F3827</f>
        <v>Казань</v>
      </c>
      <c r="R632" t="str">
        <f>sales_data!G3827</f>
        <v>Приволжский</v>
      </c>
      <c r="S632" t="str">
        <f>sales_data!H3827</f>
        <v>Серверы</v>
      </c>
      <c r="T632" t="str">
        <f>sales_data!I3827</f>
        <v>Firewall</v>
      </c>
      <c r="U632" t="str">
        <f>sales_data!J3827</f>
        <v>Розница</v>
      </c>
      <c r="V632">
        <f>sales_data!K3827</f>
        <v>1</v>
      </c>
      <c r="W632">
        <f>sales_data!L3827</f>
        <v>48100</v>
      </c>
      <c r="X632">
        <f>sales_data!M3827</f>
        <v>48100</v>
      </c>
      <c r="Y632" t="str">
        <f>sales_data!N3827</f>
        <v>Офлайн-точка</v>
      </c>
      <c r="Z632" t="str">
        <f>sales_data!O3827</f>
        <v>В пути</v>
      </c>
    </row>
    <row r="633" spans="12:26" x14ac:dyDescent="0.25">
      <c r="L633">
        <f>sales_data!A3834</f>
        <v>3485</v>
      </c>
      <c r="M633">
        <f>sales_data!B3834</f>
        <v>45805</v>
      </c>
      <c r="N633">
        <f>sales_data!C3834</f>
        <v>28</v>
      </c>
      <c r="O633" t="str">
        <f>sales_data!D3834</f>
        <v>Май</v>
      </c>
      <c r="P633" t="str">
        <f>sales_data!E3834</f>
        <v>Алексей</v>
      </c>
      <c r="Q633" t="str">
        <f>sales_data!F3834</f>
        <v>Краснодар</v>
      </c>
      <c r="R633" t="str">
        <f>sales_data!G3834</f>
        <v>Южный</v>
      </c>
      <c r="S633" t="str">
        <f>sales_data!H3834</f>
        <v>Ноутбуки</v>
      </c>
      <c r="T633" t="str">
        <f>sales_data!I3834</f>
        <v>Notebook Air</v>
      </c>
      <c r="U633" t="str">
        <f>sales_data!J3834</f>
        <v>Опт</v>
      </c>
      <c r="V633">
        <f>sales_data!K3834</f>
        <v>31</v>
      </c>
      <c r="W633">
        <f>sales_data!L3834</f>
        <v>48400</v>
      </c>
      <c r="X633">
        <f>sales_data!M3834</f>
        <v>1500400</v>
      </c>
      <c r="Y633" t="str">
        <f>sales_data!N3834</f>
        <v>Интернет-магазин</v>
      </c>
      <c r="Z633" t="str">
        <f>sales_data!O3834</f>
        <v>В пути</v>
      </c>
    </row>
    <row r="634" spans="12:26" x14ac:dyDescent="0.25">
      <c r="L634">
        <f>sales_data!A3837</f>
        <v>1268</v>
      </c>
      <c r="M634">
        <f>sales_data!B3837</f>
        <v>45753</v>
      </c>
      <c r="N634">
        <f>sales_data!C3837</f>
        <v>6</v>
      </c>
      <c r="O634" t="str">
        <f>sales_data!D3837</f>
        <v>Апрель</v>
      </c>
      <c r="P634" t="str">
        <f>sales_data!E3837</f>
        <v>Ольга</v>
      </c>
      <c r="Q634" t="str">
        <f>sales_data!F3837</f>
        <v>Краснодар</v>
      </c>
      <c r="R634" t="str">
        <f>sales_data!G3837</f>
        <v>Южный</v>
      </c>
      <c r="S634" t="str">
        <f>sales_data!H3837</f>
        <v>Ноутбуки</v>
      </c>
      <c r="T634" t="str">
        <f>sales_data!I3837</f>
        <v>Notebook Air</v>
      </c>
      <c r="U634" t="str">
        <f>sales_data!J3837</f>
        <v>Опт</v>
      </c>
      <c r="V634">
        <f>sales_data!K3837</f>
        <v>36</v>
      </c>
      <c r="W634">
        <f>sales_data!L3837</f>
        <v>48700</v>
      </c>
      <c r="X634">
        <f>sales_data!M3837</f>
        <v>1753200</v>
      </c>
      <c r="Y634" t="str">
        <f>sales_data!N3837</f>
        <v>Интернет-магазин</v>
      </c>
      <c r="Z634" t="str">
        <f>sales_data!O3837</f>
        <v>Доставлен</v>
      </c>
    </row>
    <row r="635" spans="12:26" x14ac:dyDescent="0.25">
      <c r="L635">
        <f>sales_data!A3838</f>
        <v>1683</v>
      </c>
      <c r="M635">
        <f>sales_data!B3838</f>
        <v>45725</v>
      </c>
      <c r="N635">
        <f>sales_data!C3838</f>
        <v>9</v>
      </c>
      <c r="O635" t="str">
        <f>sales_data!D3838</f>
        <v>Март</v>
      </c>
      <c r="P635" t="str">
        <f>sales_data!E3838</f>
        <v>Ольга</v>
      </c>
      <c r="Q635" t="str">
        <f>sales_data!F3838</f>
        <v>Омск</v>
      </c>
      <c r="R635" t="str">
        <f>sales_data!G3838</f>
        <v>Сибирский</v>
      </c>
      <c r="S635" t="str">
        <f>sales_data!H3838</f>
        <v>Ноутбуки</v>
      </c>
      <c r="T635" t="str">
        <f>sales_data!I3838</f>
        <v>Notebook Air</v>
      </c>
      <c r="U635" t="str">
        <f>sales_data!J3838</f>
        <v>Опт</v>
      </c>
      <c r="V635">
        <f>sales_data!K3838</f>
        <v>18</v>
      </c>
      <c r="W635">
        <f>sales_data!L3838</f>
        <v>48700</v>
      </c>
      <c r="X635">
        <f>sales_data!M3838</f>
        <v>876600</v>
      </c>
      <c r="Y635" t="str">
        <f>sales_data!N3838</f>
        <v>Интернет-магазин</v>
      </c>
      <c r="Z635" t="str">
        <f>sales_data!O3838</f>
        <v>Доставлен</v>
      </c>
    </row>
    <row r="636" spans="12:26" x14ac:dyDescent="0.25">
      <c r="L636">
        <f>sales_data!A3851</f>
        <v>156</v>
      </c>
      <c r="M636">
        <f>sales_data!B3851</f>
        <v>46022</v>
      </c>
      <c r="N636">
        <f>sales_data!C3851</f>
        <v>31</v>
      </c>
      <c r="O636" t="str">
        <f>sales_data!D3851</f>
        <v>Декабрь</v>
      </c>
      <c r="P636" t="str">
        <f>sales_data!E3851</f>
        <v>Ксения</v>
      </c>
      <c r="Q636" t="str">
        <f>sales_data!F3851</f>
        <v>Челябинск</v>
      </c>
      <c r="R636" t="str">
        <f>sales_data!G3851</f>
        <v>Уральский</v>
      </c>
      <c r="S636" t="str">
        <f>sales_data!H3851</f>
        <v>Ноутбуки</v>
      </c>
      <c r="T636" t="str">
        <f>sales_data!I3851</f>
        <v>Notebook Air</v>
      </c>
      <c r="U636" t="str">
        <f>sales_data!J3851</f>
        <v>Опт</v>
      </c>
      <c r="V636">
        <f>sales_data!K3851</f>
        <v>43</v>
      </c>
      <c r="W636">
        <f>sales_data!L3851</f>
        <v>49200</v>
      </c>
      <c r="X636">
        <f>sales_data!M3851</f>
        <v>2115600</v>
      </c>
      <c r="Y636" t="str">
        <f>sales_data!N3851</f>
        <v>Интернет-магазин</v>
      </c>
      <c r="Z636" t="str">
        <f>sales_data!O3851</f>
        <v>Доставлен</v>
      </c>
    </row>
    <row r="637" spans="12:26" x14ac:dyDescent="0.25">
      <c r="L637">
        <f>sales_data!A3859</f>
        <v>3832</v>
      </c>
      <c r="M637">
        <f>sales_data!B3859</f>
        <v>45916</v>
      </c>
      <c r="N637">
        <f>sales_data!C3859</f>
        <v>16</v>
      </c>
      <c r="O637" t="str">
        <f>sales_data!D3859</f>
        <v>Сентябрь</v>
      </c>
      <c r="P637" t="str">
        <f>sales_data!E3859</f>
        <v>Владимир</v>
      </c>
      <c r="Q637" t="str">
        <f>sales_data!F3859</f>
        <v>Казань</v>
      </c>
      <c r="R637" t="str">
        <f>sales_data!G3859</f>
        <v>Приволжский</v>
      </c>
      <c r="S637" t="str">
        <f>sales_data!H3859</f>
        <v>Ноутбуки</v>
      </c>
      <c r="T637" t="str">
        <f>sales_data!I3859</f>
        <v>Notebook Air</v>
      </c>
      <c r="U637" t="str">
        <f>sales_data!J3859</f>
        <v>Опт</v>
      </c>
      <c r="V637">
        <f>sales_data!K3859</f>
        <v>17</v>
      </c>
      <c r="W637">
        <f>sales_data!L3859</f>
        <v>49700</v>
      </c>
      <c r="X637">
        <f>sales_data!M3859</f>
        <v>844900</v>
      </c>
      <c r="Y637" t="str">
        <f>sales_data!N3859</f>
        <v>Интернет-магазин</v>
      </c>
      <c r="Z637" t="str">
        <f>sales_data!O3859</f>
        <v>Доставлен</v>
      </c>
    </row>
    <row r="638" spans="12:26" x14ac:dyDescent="0.25">
      <c r="L638">
        <f>sales_data!A3863</f>
        <v>4292</v>
      </c>
      <c r="M638">
        <f>sales_data!B3863</f>
        <v>45987</v>
      </c>
      <c r="N638">
        <f>sales_data!C3863</f>
        <v>26</v>
      </c>
      <c r="O638" t="str">
        <f>sales_data!D3863</f>
        <v>Ноябрь</v>
      </c>
      <c r="P638" t="str">
        <f>sales_data!E3863</f>
        <v>Алексей</v>
      </c>
      <c r="Q638" t="str">
        <f>sales_data!F3863</f>
        <v>Красноярск</v>
      </c>
      <c r="R638" t="str">
        <f>sales_data!G3863</f>
        <v>Сибирский</v>
      </c>
      <c r="S638" t="str">
        <f>sales_data!H3863</f>
        <v>Ноутбуки</v>
      </c>
      <c r="T638" t="str">
        <f>sales_data!I3863</f>
        <v>Notebook Air</v>
      </c>
      <c r="U638" t="str">
        <f>sales_data!J3863</f>
        <v>Опт</v>
      </c>
      <c r="V638">
        <f>sales_data!K3863</f>
        <v>26</v>
      </c>
      <c r="W638">
        <f>sales_data!L3863</f>
        <v>49900</v>
      </c>
      <c r="X638">
        <f>sales_data!M3863</f>
        <v>1297400</v>
      </c>
      <c r="Y638" t="str">
        <f>sales_data!N3863</f>
        <v>Интернет-магазин</v>
      </c>
      <c r="Z638" t="str">
        <f>sales_data!O3863</f>
        <v>В пути</v>
      </c>
    </row>
    <row r="639" spans="12:26" x14ac:dyDescent="0.25">
      <c r="L639">
        <f>sales_data!A3866</f>
        <v>1228</v>
      </c>
      <c r="M639">
        <f>sales_data!B3866</f>
        <v>46005</v>
      </c>
      <c r="N639">
        <f>sales_data!C3866</f>
        <v>14</v>
      </c>
      <c r="O639" t="str">
        <f>sales_data!D3866</f>
        <v>Декабрь</v>
      </c>
      <c r="P639" t="str">
        <f>sales_data!E3866</f>
        <v>Владимир</v>
      </c>
      <c r="Q639" t="str">
        <f>sales_data!F3866</f>
        <v>Казань</v>
      </c>
      <c r="R639" t="str">
        <f>sales_data!G3866</f>
        <v>Приволжский</v>
      </c>
      <c r="S639" t="str">
        <f>sales_data!H3866</f>
        <v>Ноутбуки</v>
      </c>
      <c r="T639" t="str">
        <f>sales_data!I3866</f>
        <v>Notebook Air</v>
      </c>
      <c r="U639" t="str">
        <f>sales_data!J3866</f>
        <v>Опт</v>
      </c>
      <c r="V639">
        <f>sales_data!K3866</f>
        <v>35</v>
      </c>
      <c r="W639">
        <f>sales_data!L3866</f>
        <v>50600</v>
      </c>
      <c r="X639">
        <f>sales_data!M3866</f>
        <v>1771000</v>
      </c>
      <c r="Y639" t="str">
        <f>sales_data!N3866</f>
        <v>Интернет-магазин</v>
      </c>
      <c r="Z639" t="str">
        <f>sales_data!O3866</f>
        <v>Доставлен</v>
      </c>
    </row>
    <row r="640" spans="12:26" x14ac:dyDescent="0.25">
      <c r="L640">
        <f>sales_data!A3867</f>
        <v>4271</v>
      </c>
      <c r="M640">
        <f>sales_data!B3867</f>
        <v>46000</v>
      </c>
      <c r="N640">
        <f>sales_data!C3867</f>
        <v>9</v>
      </c>
      <c r="O640" t="str">
        <f>sales_data!D3867</f>
        <v>Декабрь</v>
      </c>
      <c r="P640" t="str">
        <f>sales_data!E3867</f>
        <v>Игорь</v>
      </c>
      <c r="Q640" t="str">
        <f>sales_data!F3867</f>
        <v>Нижний Новгород</v>
      </c>
      <c r="R640" t="str">
        <f>sales_data!G3867</f>
        <v>Приволжский</v>
      </c>
      <c r="S640" t="str">
        <f>sales_data!H3867</f>
        <v>Ноутбуки</v>
      </c>
      <c r="T640" t="str">
        <f>sales_data!I3867</f>
        <v>Notebook Air</v>
      </c>
      <c r="U640" t="str">
        <f>sales_data!J3867</f>
        <v>Опт</v>
      </c>
      <c r="V640">
        <f>sales_data!K3867</f>
        <v>31</v>
      </c>
      <c r="W640">
        <f>sales_data!L3867</f>
        <v>50700</v>
      </c>
      <c r="X640">
        <f>sales_data!M3867</f>
        <v>1571700</v>
      </c>
      <c r="Y640" t="str">
        <f>sales_data!N3867</f>
        <v>Офлайн-точка</v>
      </c>
      <c r="Z640" t="str">
        <f>sales_data!O3867</f>
        <v>Доставлен</v>
      </c>
    </row>
    <row r="641" spans="12:26" x14ac:dyDescent="0.25">
      <c r="L641">
        <f>sales_data!A3871</f>
        <v>4485</v>
      </c>
      <c r="M641">
        <f>sales_data!B3871</f>
        <v>46002</v>
      </c>
      <c r="N641">
        <f>sales_data!C3871</f>
        <v>11</v>
      </c>
      <c r="O641" t="str">
        <f>sales_data!D3871</f>
        <v>Декабрь</v>
      </c>
      <c r="P641" t="str">
        <f>sales_data!E3871</f>
        <v>Борис</v>
      </c>
      <c r="Q641" t="str">
        <f>sales_data!F3871</f>
        <v>Казань</v>
      </c>
      <c r="R641" t="str">
        <f>sales_data!G3871</f>
        <v>Приволжский</v>
      </c>
      <c r="S641" t="str">
        <f>sales_data!H3871</f>
        <v>Ноутбуки</v>
      </c>
      <c r="T641" t="str">
        <f>sales_data!I3871</f>
        <v>Notebook Air</v>
      </c>
      <c r="U641" t="str">
        <f>sales_data!J3871</f>
        <v>Опт</v>
      </c>
      <c r="V641">
        <f>sales_data!K3871</f>
        <v>8</v>
      </c>
      <c r="W641">
        <f>sales_data!L3871</f>
        <v>50900</v>
      </c>
      <c r="X641">
        <f>sales_data!M3871</f>
        <v>407200</v>
      </c>
      <c r="Y641" t="str">
        <f>sales_data!N3871</f>
        <v>Интернет-магазин</v>
      </c>
      <c r="Z641" t="str">
        <f>sales_data!O3871</f>
        <v>Отменён</v>
      </c>
    </row>
    <row r="642" spans="12:26" x14ac:dyDescent="0.25">
      <c r="L642">
        <f>sales_data!A3878</f>
        <v>2313</v>
      </c>
      <c r="M642">
        <f>sales_data!B3878</f>
        <v>45778</v>
      </c>
      <c r="N642">
        <f>sales_data!C3878</f>
        <v>1</v>
      </c>
      <c r="O642" t="str">
        <f>sales_data!D3878</f>
        <v>Май</v>
      </c>
      <c r="P642" t="str">
        <f>sales_data!E3878</f>
        <v>Елена</v>
      </c>
      <c r="Q642" t="str">
        <f>sales_data!F3878</f>
        <v>Красноярск</v>
      </c>
      <c r="R642" t="str">
        <f>sales_data!G3878</f>
        <v>Сибирский</v>
      </c>
      <c r="S642" t="str">
        <f>sales_data!H3878</f>
        <v>Ноутбуки</v>
      </c>
      <c r="T642" t="str">
        <f>sales_data!I3878</f>
        <v>Notebook Air</v>
      </c>
      <c r="U642" t="str">
        <f>sales_data!J3878</f>
        <v>Опт</v>
      </c>
      <c r="V642">
        <f>sales_data!K3878</f>
        <v>18</v>
      </c>
      <c r="W642">
        <f>sales_data!L3878</f>
        <v>51600</v>
      </c>
      <c r="X642">
        <f>sales_data!M3878</f>
        <v>928800</v>
      </c>
      <c r="Y642" t="str">
        <f>sales_data!N3878</f>
        <v>Офлайн-точка</v>
      </c>
      <c r="Z642" t="str">
        <f>sales_data!O3878</f>
        <v>В пути</v>
      </c>
    </row>
    <row r="643" spans="12:26" x14ac:dyDescent="0.25">
      <c r="L643">
        <f>sales_data!A3880</f>
        <v>289</v>
      </c>
      <c r="M643">
        <f>sales_data!B3880</f>
        <v>46016</v>
      </c>
      <c r="N643">
        <f>sales_data!C3880</f>
        <v>25</v>
      </c>
      <c r="O643" t="str">
        <f>sales_data!D3880</f>
        <v>Декабрь</v>
      </c>
      <c r="P643" t="str">
        <f>sales_data!E3880</f>
        <v>Борис</v>
      </c>
      <c r="Q643" t="str">
        <f>sales_data!F3880</f>
        <v>Самара</v>
      </c>
      <c r="R643" t="str">
        <f>sales_data!G3880</f>
        <v>Приволжский</v>
      </c>
      <c r="S643" t="str">
        <f>sales_data!H3880</f>
        <v>Ноутбуки</v>
      </c>
      <c r="T643" t="str">
        <f>sales_data!I3880</f>
        <v>Notebook Air</v>
      </c>
      <c r="U643" t="str">
        <f>sales_data!J3880</f>
        <v>Опт</v>
      </c>
      <c r="V643">
        <f>sales_data!K3880</f>
        <v>7</v>
      </c>
      <c r="W643">
        <f>sales_data!L3880</f>
        <v>51700</v>
      </c>
      <c r="X643">
        <f>sales_data!M3880</f>
        <v>361900</v>
      </c>
      <c r="Y643" t="str">
        <f>sales_data!N3880</f>
        <v>Офлайн-точка</v>
      </c>
      <c r="Z643" t="str">
        <f>sales_data!O3880</f>
        <v>В пути</v>
      </c>
    </row>
    <row r="644" spans="12:26" x14ac:dyDescent="0.25">
      <c r="L644">
        <f>sales_data!A3888</f>
        <v>4998</v>
      </c>
      <c r="M644">
        <f>sales_data!B3888</f>
        <v>45801</v>
      </c>
      <c r="N644">
        <f>sales_data!C3888</f>
        <v>24</v>
      </c>
      <c r="O644" t="str">
        <f>sales_data!D3888</f>
        <v>Май</v>
      </c>
      <c r="P644" t="str">
        <f>sales_data!E3888</f>
        <v>Игорь</v>
      </c>
      <c r="Q644" t="str">
        <f>sales_data!F3888</f>
        <v>Москва</v>
      </c>
      <c r="R644" t="str">
        <f>sales_data!G3888</f>
        <v>Центральный</v>
      </c>
      <c r="S644" t="str">
        <f>sales_data!H3888</f>
        <v>Серверы</v>
      </c>
      <c r="T644" t="str">
        <f>sales_data!I3888</f>
        <v>Firewall</v>
      </c>
      <c r="U644" t="str">
        <f>sales_data!J3888</f>
        <v>Розница</v>
      </c>
      <c r="V644">
        <f>sales_data!K3888</f>
        <v>4</v>
      </c>
      <c r="W644">
        <f>sales_data!L3888</f>
        <v>52000</v>
      </c>
      <c r="X644">
        <f>sales_data!M3888</f>
        <v>208000</v>
      </c>
      <c r="Y644" t="str">
        <f>sales_data!N3888</f>
        <v>Интернет-магазин</v>
      </c>
      <c r="Z644" t="str">
        <f>sales_data!O3888</f>
        <v>Отменён</v>
      </c>
    </row>
    <row r="645" spans="12:26" x14ac:dyDescent="0.25">
      <c r="L645">
        <f>sales_data!A3892</f>
        <v>372</v>
      </c>
      <c r="M645">
        <f>sales_data!B3892</f>
        <v>45907</v>
      </c>
      <c r="N645">
        <f>sales_data!C3892</f>
        <v>7</v>
      </c>
      <c r="O645" t="str">
        <f>sales_data!D3892</f>
        <v>Сентябрь</v>
      </c>
      <c r="P645" t="str">
        <f>sales_data!E3892</f>
        <v>Игорь</v>
      </c>
      <c r="Q645" t="str">
        <f>sales_data!F3892</f>
        <v>Омск</v>
      </c>
      <c r="R645" t="str">
        <f>sales_data!G3892</f>
        <v>Сибирский</v>
      </c>
      <c r="S645" t="str">
        <f>sales_data!H3892</f>
        <v>Ноутбуки</v>
      </c>
      <c r="T645" t="str">
        <f>sales_data!I3892</f>
        <v>Notebook Air</v>
      </c>
      <c r="U645" t="str">
        <f>sales_data!J3892</f>
        <v>Опт</v>
      </c>
      <c r="V645">
        <f>sales_data!K3892</f>
        <v>45</v>
      </c>
      <c r="W645">
        <f>sales_data!L3892</f>
        <v>52300</v>
      </c>
      <c r="X645">
        <f>sales_data!M3892</f>
        <v>2353500</v>
      </c>
      <c r="Y645" t="str">
        <f>sales_data!N3892</f>
        <v>Офлайн-точка</v>
      </c>
      <c r="Z645" t="str">
        <f>sales_data!O3892</f>
        <v>Доставлен</v>
      </c>
    </row>
    <row r="646" spans="12:26" x14ac:dyDescent="0.25">
      <c r="L646">
        <f>sales_data!A3893</f>
        <v>3886</v>
      </c>
      <c r="M646">
        <f>sales_data!B3893</f>
        <v>45739</v>
      </c>
      <c r="N646">
        <f>sales_data!C3893</f>
        <v>23</v>
      </c>
      <c r="O646" t="str">
        <f>sales_data!D3893</f>
        <v>Март</v>
      </c>
      <c r="P646" t="str">
        <f>sales_data!E3893</f>
        <v>Наталья</v>
      </c>
      <c r="Q646" t="str">
        <f>sales_data!F3893</f>
        <v>Нижний Новгород</v>
      </c>
      <c r="R646" t="str">
        <f>sales_data!G3893</f>
        <v>Приволжский</v>
      </c>
      <c r="S646" t="str">
        <f>sales_data!H3893</f>
        <v>Ноутбуки</v>
      </c>
      <c r="T646" t="str">
        <f>sales_data!I3893</f>
        <v>Notebook Air</v>
      </c>
      <c r="U646" t="str">
        <f>sales_data!J3893</f>
        <v>Опт</v>
      </c>
      <c r="V646">
        <f>sales_data!K3893</f>
        <v>46</v>
      </c>
      <c r="W646">
        <f>sales_data!L3893</f>
        <v>52400</v>
      </c>
      <c r="X646">
        <f>sales_data!M3893</f>
        <v>2410400</v>
      </c>
      <c r="Y646" t="str">
        <f>sales_data!N3893</f>
        <v>Интернет-магазин</v>
      </c>
      <c r="Z646" t="str">
        <f>sales_data!O3893</f>
        <v>В пути</v>
      </c>
    </row>
    <row r="647" spans="12:26" x14ac:dyDescent="0.25">
      <c r="L647">
        <f>sales_data!A3895</f>
        <v>4360</v>
      </c>
      <c r="M647">
        <f>sales_data!B3895</f>
        <v>45884</v>
      </c>
      <c r="N647">
        <f>sales_data!C3895</f>
        <v>15</v>
      </c>
      <c r="O647" t="str">
        <f>sales_data!D3895</f>
        <v>Август</v>
      </c>
      <c r="P647" t="str">
        <f>sales_data!E3895</f>
        <v>Павел</v>
      </c>
      <c r="Q647" t="str">
        <f>sales_data!F3895</f>
        <v>Нижний Новгород</v>
      </c>
      <c r="R647" t="str">
        <f>sales_data!G3895</f>
        <v>Приволжский</v>
      </c>
      <c r="S647" t="str">
        <f>sales_data!H3895</f>
        <v>Ноутбуки</v>
      </c>
      <c r="T647" t="str">
        <f>sales_data!I3895</f>
        <v>Notebook Air</v>
      </c>
      <c r="U647" t="str">
        <f>sales_data!J3895</f>
        <v>Опт</v>
      </c>
      <c r="V647">
        <f>sales_data!K3895</f>
        <v>27</v>
      </c>
      <c r="W647">
        <f>sales_data!L3895</f>
        <v>52700</v>
      </c>
      <c r="X647">
        <f>sales_data!M3895</f>
        <v>1422900</v>
      </c>
      <c r="Y647" t="str">
        <f>sales_data!N3895</f>
        <v>Офлайн-точка</v>
      </c>
      <c r="Z647" t="str">
        <f>sales_data!O3895</f>
        <v>Доставлен</v>
      </c>
    </row>
    <row r="648" spans="12:26" x14ac:dyDescent="0.25">
      <c r="L648">
        <f>sales_data!A3896</f>
        <v>4992</v>
      </c>
      <c r="M648">
        <f>sales_data!B3896</f>
        <v>46010</v>
      </c>
      <c r="N648">
        <f>sales_data!C3896</f>
        <v>19</v>
      </c>
      <c r="O648" t="str">
        <f>sales_data!D3896</f>
        <v>Декабрь</v>
      </c>
      <c r="P648" t="str">
        <f>sales_data!E3896</f>
        <v>Светлана</v>
      </c>
      <c r="Q648" t="str">
        <f>sales_data!F3896</f>
        <v>Казань</v>
      </c>
      <c r="R648" t="str">
        <f>sales_data!G3896</f>
        <v>Приволжский</v>
      </c>
      <c r="S648" t="str">
        <f>sales_data!H3896</f>
        <v>Ноутбуки</v>
      </c>
      <c r="T648" t="str">
        <f>sales_data!I3896</f>
        <v>Notebook Air</v>
      </c>
      <c r="U648" t="str">
        <f>sales_data!J3896</f>
        <v>Опт</v>
      </c>
      <c r="V648">
        <f>sales_data!K3896</f>
        <v>26</v>
      </c>
      <c r="W648">
        <f>sales_data!L3896</f>
        <v>52700</v>
      </c>
      <c r="X648">
        <f>sales_data!M3896</f>
        <v>1370200</v>
      </c>
      <c r="Y648" t="str">
        <f>sales_data!N3896</f>
        <v>Офлайн-точка</v>
      </c>
      <c r="Z648" t="str">
        <f>sales_data!O3896</f>
        <v>В пути</v>
      </c>
    </row>
    <row r="649" spans="12:26" x14ac:dyDescent="0.25">
      <c r="L649">
        <f>sales_data!A3907</f>
        <v>3291</v>
      </c>
      <c r="M649">
        <f>sales_data!B3907</f>
        <v>45963</v>
      </c>
      <c r="N649">
        <f>sales_data!C3907</f>
        <v>2</v>
      </c>
      <c r="O649" t="str">
        <f>sales_data!D3907</f>
        <v>Ноябрь</v>
      </c>
      <c r="P649" t="str">
        <f>sales_data!E3907</f>
        <v>Анна</v>
      </c>
      <c r="Q649" t="str">
        <f>sales_data!F3907</f>
        <v>Пермь</v>
      </c>
      <c r="R649" t="str">
        <f>sales_data!G3907</f>
        <v>Приволжский</v>
      </c>
      <c r="S649" t="str">
        <f>sales_data!H3907</f>
        <v>Ноутбуки</v>
      </c>
      <c r="T649" t="str">
        <f>sales_data!I3907</f>
        <v>Notebook Air</v>
      </c>
      <c r="U649" t="str">
        <f>sales_data!J3907</f>
        <v>Опт</v>
      </c>
      <c r="V649">
        <f>sales_data!K3907</f>
        <v>42</v>
      </c>
      <c r="W649">
        <f>sales_data!L3907</f>
        <v>54600</v>
      </c>
      <c r="X649">
        <f>sales_data!M3907</f>
        <v>2293200</v>
      </c>
      <c r="Y649" t="str">
        <f>sales_data!N3907</f>
        <v>Интернет-магазин</v>
      </c>
      <c r="Z649" t="str">
        <f>sales_data!O3907</f>
        <v>Доставлен</v>
      </c>
    </row>
    <row r="650" spans="12:26" x14ac:dyDescent="0.25">
      <c r="L650">
        <f>sales_data!A3909</f>
        <v>4083</v>
      </c>
      <c r="M650">
        <f>sales_data!B3909</f>
        <v>46018</v>
      </c>
      <c r="N650">
        <f>sales_data!C3909</f>
        <v>27</v>
      </c>
      <c r="O650" t="str">
        <f>sales_data!D3909</f>
        <v>Декабрь</v>
      </c>
      <c r="P650" t="str">
        <f>sales_data!E3909</f>
        <v>Наталья</v>
      </c>
      <c r="Q650" t="str">
        <f>sales_data!F3909</f>
        <v>Нижний Новгород</v>
      </c>
      <c r="R650" t="str">
        <f>sales_data!G3909</f>
        <v>Приволжский</v>
      </c>
      <c r="S650" t="str">
        <f>sales_data!H3909</f>
        <v>Ноутбуки</v>
      </c>
      <c r="T650" t="str">
        <f>sales_data!I3909</f>
        <v>Notebook Air</v>
      </c>
      <c r="U650" t="str">
        <f>sales_data!J3909</f>
        <v>Опт</v>
      </c>
      <c r="V650">
        <f>sales_data!K3909</f>
        <v>44</v>
      </c>
      <c r="W650">
        <f>sales_data!L3909</f>
        <v>55300</v>
      </c>
      <c r="X650">
        <f>sales_data!M3909</f>
        <v>2433200</v>
      </c>
      <c r="Y650" t="str">
        <f>sales_data!N3909</f>
        <v>Интернет-магазин</v>
      </c>
      <c r="Z650" t="str">
        <f>sales_data!O3909</f>
        <v>Доставлен</v>
      </c>
    </row>
    <row r="651" spans="12:26" x14ac:dyDescent="0.25">
      <c r="L651">
        <f>sales_data!A3910</f>
        <v>1852</v>
      </c>
      <c r="M651">
        <f>sales_data!B3910</f>
        <v>45950</v>
      </c>
      <c r="N651">
        <f>sales_data!C3910</f>
        <v>20</v>
      </c>
      <c r="O651" t="str">
        <f>sales_data!D3910</f>
        <v>Октябрь</v>
      </c>
      <c r="P651" t="str">
        <f>sales_data!E3910</f>
        <v>Татьяна</v>
      </c>
      <c r="Q651" t="str">
        <f>sales_data!F3910</f>
        <v>Омск</v>
      </c>
      <c r="R651" t="str">
        <f>sales_data!G3910</f>
        <v>Сибирский</v>
      </c>
      <c r="S651" t="str">
        <f>sales_data!H3910</f>
        <v>Ноутбуки</v>
      </c>
      <c r="T651" t="str">
        <f>sales_data!I3910</f>
        <v>Notebook Air</v>
      </c>
      <c r="U651" t="str">
        <f>sales_data!J3910</f>
        <v>Опт</v>
      </c>
      <c r="V651">
        <f>sales_data!K3910</f>
        <v>18</v>
      </c>
      <c r="W651">
        <f>sales_data!L3910</f>
        <v>55500</v>
      </c>
      <c r="X651">
        <f>sales_data!M3910</f>
        <v>999000</v>
      </c>
      <c r="Y651" t="str">
        <f>sales_data!N3910</f>
        <v>Интернет-магазин</v>
      </c>
      <c r="Z651" t="str">
        <f>sales_data!O3910</f>
        <v>В пути</v>
      </c>
    </row>
    <row r="652" spans="12:26" x14ac:dyDescent="0.25">
      <c r="L652">
        <f>sales_data!A3916</f>
        <v>3740</v>
      </c>
      <c r="M652">
        <f>sales_data!B3916</f>
        <v>45667</v>
      </c>
      <c r="N652">
        <f>sales_data!C3916</f>
        <v>10</v>
      </c>
      <c r="O652" t="str">
        <f>sales_data!D3916</f>
        <v>Январь</v>
      </c>
      <c r="P652" t="str">
        <f>sales_data!E3916</f>
        <v>Алексей</v>
      </c>
      <c r="Q652" t="str">
        <f>sales_data!F3916</f>
        <v>Пермь</v>
      </c>
      <c r="R652" t="str">
        <f>sales_data!G3916</f>
        <v>Приволжский</v>
      </c>
      <c r="S652" t="str">
        <f>sales_data!H3916</f>
        <v>Ноутбуки</v>
      </c>
      <c r="T652" t="str">
        <f>sales_data!I3916</f>
        <v>Notebook Air</v>
      </c>
      <c r="U652" t="str">
        <f>sales_data!J3916</f>
        <v>Розница</v>
      </c>
      <c r="V652">
        <f>sales_data!K3916</f>
        <v>3</v>
      </c>
      <c r="W652">
        <f>sales_data!L3916</f>
        <v>56000</v>
      </c>
      <c r="X652">
        <f>sales_data!M3916</f>
        <v>168000</v>
      </c>
      <c r="Y652" t="str">
        <f>sales_data!N3916</f>
        <v>Офлайн-точка</v>
      </c>
      <c r="Z652" t="str">
        <f>sales_data!O3916</f>
        <v>Отменён</v>
      </c>
    </row>
    <row r="653" spans="12:26" x14ac:dyDescent="0.25">
      <c r="L653">
        <f>sales_data!A3922</f>
        <v>2472</v>
      </c>
      <c r="M653">
        <f>sales_data!B3922</f>
        <v>45664</v>
      </c>
      <c r="N653">
        <f>sales_data!C3922</f>
        <v>7</v>
      </c>
      <c r="O653" t="str">
        <f>sales_data!D3922</f>
        <v>Январь</v>
      </c>
      <c r="P653" t="str">
        <f>sales_data!E3922</f>
        <v>Татьяна</v>
      </c>
      <c r="Q653" t="str">
        <f>sales_data!F3922</f>
        <v>Самара</v>
      </c>
      <c r="R653" t="str">
        <f>sales_data!G3922</f>
        <v>Приволжский</v>
      </c>
      <c r="S653" t="str">
        <f>sales_data!H3922</f>
        <v>Ноутбуки</v>
      </c>
      <c r="T653" t="str">
        <f>sales_data!I3922</f>
        <v>Notebook Air</v>
      </c>
      <c r="U653" t="str">
        <f>sales_data!J3922</f>
        <v>Опт</v>
      </c>
      <c r="V653">
        <f>sales_data!K3922</f>
        <v>20</v>
      </c>
      <c r="W653">
        <f>sales_data!L3922</f>
        <v>57000</v>
      </c>
      <c r="X653">
        <f>sales_data!M3922</f>
        <v>1140000</v>
      </c>
      <c r="Y653" t="str">
        <f>sales_data!N3922</f>
        <v>Интернет-магазин</v>
      </c>
      <c r="Z653" t="str">
        <f>sales_data!O3922</f>
        <v>В пути</v>
      </c>
    </row>
    <row r="654" spans="12:26" x14ac:dyDescent="0.25">
      <c r="L654">
        <f>sales_data!A3923</f>
        <v>1637</v>
      </c>
      <c r="M654">
        <f>sales_data!B3923</f>
        <v>45769</v>
      </c>
      <c r="N654">
        <f>sales_data!C3923</f>
        <v>22</v>
      </c>
      <c r="O654" t="str">
        <f>sales_data!D3923</f>
        <v>Апрель</v>
      </c>
      <c r="P654" t="str">
        <f>sales_data!E3923</f>
        <v>Павел</v>
      </c>
      <c r="Q654" t="str">
        <f>sales_data!F3923</f>
        <v>Екатеринбург</v>
      </c>
      <c r="R654" t="str">
        <f>sales_data!G3923</f>
        <v>Уральский</v>
      </c>
      <c r="S654" t="str">
        <f>sales_data!H3923</f>
        <v>Ноутбуки</v>
      </c>
      <c r="T654" t="str">
        <f>sales_data!I3923</f>
        <v>Notebook Air</v>
      </c>
      <c r="U654" t="str">
        <f>sales_data!J3923</f>
        <v>Розница</v>
      </c>
      <c r="V654">
        <f>sales_data!K3923</f>
        <v>8</v>
      </c>
      <c r="W654">
        <f>sales_data!L3923</f>
        <v>57100</v>
      </c>
      <c r="X654">
        <f>sales_data!M3923</f>
        <v>456800</v>
      </c>
      <c r="Y654" t="str">
        <f>sales_data!N3923</f>
        <v>Интернет-магазин</v>
      </c>
      <c r="Z654" t="str">
        <f>sales_data!O3923</f>
        <v>В пути</v>
      </c>
    </row>
    <row r="655" spans="12:26" x14ac:dyDescent="0.25">
      <c r="L655">
        <f>sales_data!A3944</f>
        <v>1811</v>
      </c>
      <c r="M655">
        <f>sales_data!B3944</f>
        <v>45739</v>
      </c>
      <c r="N655">
        <f>sales_data!C3944</f>
        <v>23</v>
      </c>
      <c r="O655" t="str">
        <f>sales_data!D3944</f>
        <v>Март</v>
      </c>
      <c r="P655" t="str">
        <f>sales_data!E3944</f>
        <v>Светлана</v>
      </c>
      <c r="Q655" t="str">
        <f>sales_data!F3944</f>
        <v>Краснодар</v>
      </c>
      <c r="R655" t="str">
        <f>sales_data!G3944</f>
        <v>Южный</v>
      </c>
      <c r="S655" t="str">
        <f>sales_data!H3944</f>
        <v>Ноутбуки</v>
      </c>
      <c r="T655" t="str">
        <f>sales_data!I3944</f>
        <v>Notebook Air</v>
      </c>
      <c r="U655" t="str">
        <f>sales_data!J3944</f>
        <v>Розница</v>
      </c>
      <c r="V655">
        <f>sales_data!K3944</f>
        <v>10</v>
      </c>
      <c r="W655">
        <f>sales_data!L3944</f>
        <v>58600</v>
      </c>
      <c r="X655">
        <f>sales_data!M3944</f>
        <v>586000</v>
      </c>
      <c r="Y655" t="str">
        <f>sales_data!N3944</f>
        <v>Офлайн-точка</v>
      </c>
      <c r="Z655" t="str">
        <f>sales_data!O3944</f>
        <v>Отменён</v>
      </c>
    </row>
    <row r="656" spans="12:26" x14ac:dyDescent="0.25">
      <c r="L656">
        <f>sales_data!A3953</f>
        <v>3416</v>
      </c>
      <c r="M656">
        <f>sales_data!B3953</f>
        <v>45920</v>
      </c>
      <c r="N656">
        <f>sales_data!C3953</f>
        <v>20</v>
      </c>
      <c r="O656" t="str">
        <f>sales_data!D3953</f>
        <v>Сентябрь</v>
      </c>
      <c r="P656" t="str">
        <f>sales_data!E3953</f>
        <v>Павел</v>
      </c>
      <c r="Q656" t="str">
        <f>sales_data!F3953</f>
        <v>Красноярск</v>
      </c>
      <c r="R656" t="str">
        <f>sales_data!G3953</f>
        <v>Сибирский</v>
      </c>
      <c r="S656" t="str">
        <f>sales_data!H3953</f>
        <v>Ноутбуки</v>
      </c>
      <c r="T656" t="str">
        <f>sales_data!I3953</f>
        <v>Notebook Air</v>
      </c>
      <c r="U656" t="str">
        <f>sales_data!J3953</f>
        <v>Розница</v>
      </c>
      <c r="V656">
        <f>sales_data!K3953</f>
        <v>7</v>
      </c>
      <c r="W656">
        <f>sales_data!L3953</f>
        <v>59600</v>
      </c>
      <c r="X656">
        <f>sales_data!M3953</f>
        <v>417200</v>
      </c>
      <c r="Y656" t="str">
        <f>sales_data!N3953</f>
        <v>Офлайн-точка</v>
      </c>
      <c r="Z656" t="str">
        <f>sales_data!O3953</f>
        <v>Отменён</v>
      </c>
    </row>
    <row r="657" spans="12:26" x14ac:dyDescent="0.25">
      <c r="L657">
        <f>sales_data!A3957</f>
        <v>3760</v>
      </c>
      <c r="M657">
        <f>sales_data!B3957</f>
        <v>45950</v>
      </c>
      <c r="N657">
        <f>sales_data!C3957</f>
        <v>20</v>
      </c>
      <c r="O657" t="str">
        <f>sales_data!D3957</f>
        <v>Октябрь</v>
      </c>
      <c r="P657" t="str">
        <f>sales_data!E3957</f>
        <v>Алексей</v>
      </c>
      <c r="Q657" t="str">
        <f>sales_data!F3957</f>
        <v>Санкт-Петербург</v>
      </c>
      <c r="R657" t="str">
        <f>sales_data!G3957</f>
        <v>Северо-Западный</v>
      </c>
      <c r="S657" t="str">
        <f>sales_data!H3957</f>
        <v>Ноутбуки</v>
      </c>
      <c r="T657" t="str">
        <f>sales_data!I3957</f>
        <v>Notebook Air</v>
      </c>
      <c r="U657" t="str">
        <f>sales_data!J3957</f>
        <v>Розница</v>
      </c>
      <c r="V657">
        <f>sales_data!K3957</f>
        <v>5</v>
      </c>
      <c r="W657">
        <f>sales_data!L3957</f>
        <v>59900</v>
      </c>
      <c r="X657">
        <f>sales_data!M3957</f>
        <v>299500</v>
      </c>
      <c r="Y657" t="str">
        <f>sales_data!N3957</f>
        <v>Офлайн-точка</v>
      </c>
      <c r="Z657" t="str">
        <f>sales_data!O3957</f>
        <v>В пути</v>
      </c>
    </row>
    <row r="658" spans="12:26" x14ac:dyDescent="0.25">
      <c r="L658">
        <f>sales_data!A3958</f>
        <v>3503</v>
      </c>
      <c r="M658">
        <f>sales_data!B3958</f>
        <v>45801</v>
      </c>
      <c r="N658">
        <f>sales_data!C3958</f>
        <v>24</v>
      </c>
      <c r="O658" t="str">
        <f>sales_data!D3958</f>
        <v>Май</v>
      </c>
      <c r="P658" t="str">
        <f>sales_data!E3958</f>
        <v>Сергей</v>
      </c>
      <c r="Q658" t="str">
        <f>sales_data!F3958</f>
        <v>Уфа</v>
      </c>
      <c r="R658" t="str">
        <f>sales_data!G3958</f>
        <v>Приволжский</v>
      </c>
      <c r="S658" t="str">
        <f>sales_data!H3958</f>
        <v>Ноутбуки</v>
      </c>
      <c r="T658" t="str">
        <f>sales_data!I3958</f>
        <v>Notebook Air</v>
      </c>
      <c r="U658" t="str">
        <f>sales_data!J3958</f>
        <v>Розница</v>
      </c>
      <c r="V658">
        <f>sales_data!K3958</f>
        <v>3</v>
      </c>
      <c r="W658">
        <f>sales_data!L3958</f>
        <v>60100</v>
      </c>
      <c r="X658">
        <f>sales_data!M3958</f>
        <v>180300</v>
      </c>
      <c r="Y658" t="str">
        <f>sales_data!N3958</f>
        <v>Офлайн-точка</v>
      </c>
      <c r="Z658" t="str">
        <f>sales_data!O3958</f>
        <v>Отменён</v>
      </c>
    </row>
    <row r="659" spans="12:26" x14ac:dyDescent="0.25">
      <c r="L659">
        <f>sales_data!A3966</f>
        <v>1199</v>
      </c>
      <c r="M659">
        <f>sales_data!B3966</f>
        <v>45661</v>
      </c>
      <c r="N659">
        <f>sales_data!C3966</f>
        <v>4</v>
      </c>
      <c r="O659" t="str">
        <f>sales_data!D3966</f>
        <v>Январь</v>
      </c>
      <c r="P659" t="str">
        <f>sales_data!E3966</f>
        <v>Татьяна</v>
      </c>
      <c r="Q659" t="str">
        <f>sales_data!F3966</f>
        <v>Омск</v>
      </c>
      <c r="R659" t="str">
        <f>sales_data!G3966</f>
        <v>Сибирский</v>
      </c>
      <c r="S659" t="str">
        <f>sales_data!H3966</f>
        <v>Ноутбуки</v>
      </c>
      <c r="T659" t="str">
        <f>sales_data!I3966</f>
        <v>Notebook Air</v>
      </c>
      <c r="U659" t="str">
        <f>sales_data!J3966</f>
        <v>Розница</v>
      </c>
      <c r="V659">
        <f>sales_data!K3966</f>
        <v>9</v>
      </c>
      <c r="W659">
        <f>sales_data!L3966</f>
        <v>60700</v>
      </c>
      <c r="X659">
        <f>sales_data!M3966</f>
        <v>546300</v>
      </c>
      <c r="Y659" t="str">
        <f>sales_data!N3966</f>
        <v>Интернет-магазин</v>
      </c>
      <c r="Z659" t="str">
        <f>sales_data!O3966</f>
        <v>В пути</v>
      </c>
    </row>
    <row r="660" spans="12:26" x14ac:dyDescent="0.25">
      <c r="L660">
        <f>sales_data!A3982</f>
        <v>3210</v>
      </c>
      <c r="M660">
        <f>sales_data!B3982</f>
        <v>45793</v>
      </c>
      <c r="N660">
        <f>sales_data!C3982</f>
        <v>16</v>
      </c>
      <c r="O660" t="str">
        <f>sales_data!D3982</f>
        <v>Май</v>
      </c>
      <c r="P660" t="str">
        <f>sales_data!E3982</f>
        <v>Дмитрий</v>
      </c>
      <c r="Q660" t="str">
        <f>sales_data!F3982</f>
        <v>Пермь</v>
      </c>
      <c r="R660" t="str">
        <f>sales_data!G3982</f>
        <v>Приволжский</v>
      </c>
      <c r="S660" t="str">
        <f>sales_data!H3982</f>
        <v>Ноутбуки</v>
      </c>
      <c r="T660" t="str">
        <f>sales_data!I3982</f>
        <v>Notebook Air</v>
      </c>
      <c r="U660" t="str">
        <f>sales_data!J3982</f>
        <v>Розница</v>
      </c>
      <c r="V660">
        <f>sales_data!K3982</f>
        <v>3</v>
      </c>
      <c r="W660">
        <f>sales_data!L3982</f>
        <v>61400</v>
      </c>
      <c r="X660">
        <f>sales_data!M3982</f>
        <v>184200</v>
      </c>
      <c r="Y660" t="str">
        <f>sales_data!N3982</f>
        <v>Интернет-магазин</v>
      </c>
      <c r="Z660" t="str">
        <f>sales_data!O3982</f>
        <v>Отменён</v>
      </c>
    </row>
    <row r="661" spans="12:26" x14ac:dyDescent="0.25">
      <c r="L661">
        <f>sales_data!A3984</f>
        <v>3206</v>
      </c>
      <c r="M661">
        <f>sales_data!B3984</f>
        <v>45951</v>
      </c>
      <c r="N661">
        <f>sales_data!C3984</f>
        <v>21</v>
      </c>
      <c r="O661" t="str">
        <f>sales_data!D3984</f>
        <v>Октябрь</v>
      </c>
      <c r="P661" t="str">
        <f>sales_data!E3984</f>
        <v>Ксения</v>
      </c>
      <c r="Q661" t="str">
        <f>sales_data!F3984</f>
        <v>Уфа</v>
      </c>
      <c r="R661" t="str">
        <f>sales_data!G3984</f>
        <v>Приволжский</v>
      </c>
      <c r="S661" t="str">
        <f>sales_data!H3984</f>
        <v>Ноутбуки</v>
      </c>
      <c r="T661" t="str">
        <f>sales_data!I3984</f>
        <v>Notebook Work</v>
      </c>
      <c r="U661" t="str">
        <f>sales_data!J3984</f>
        <v>Опт</v>
      </c>
      <c r="V661">
        <f>sales_data!K3984</f>
        <v>32</v>
      </c>
      <c r="W661">
        <f>sales_data!L3984</f>
        <v>61600</v>
      </c>
      <c r="X661">
        <f>sales_data!M3984</f>
        <v>1971200</v>
      </c>
      <c r="Y661" t="str">
        <f>sales_data!N3984</f>
        <v>Офлайн-точка</v>
      </c>
      <c r="Z661" t="str">
        <f>sales_data!O3984</f>
        <v>Отменён</v>
      </c>
    </row>
    <row r="662" spans="12:26" x14ac:dyDescent="0.25">
      <c r="L662">
        <f>sales_data!A3993</f>
        <v>4372</v>
      </c>
      <c r="M662">
        <f>sales_data!B3993</f>
        <v>45846</v>
      </c>
      <c r="N662">
        <f>sales_data!C3993</f>
        <v>8</v>
      </c>
      <c r="O662" t="str">
        <f>sales_data!D3993</f>
        <v>Июль</v>
      </c>
      <c r="P662" t="str">
        <f>sales_data!E3993</f>
        <v>Татьяна</v>
      </c>
      <c r="Q662" t="str">
        <f>sales_data!F3993</f>
        <v>Красноярск</v>
      </c>
      <c r="R662" t="str">
        <f>sales_data!G3993</f>
        <v>Сибирский</v>
      </c>
      <c r="S662" t="str">
        <f>sales_data!H3993</f>
        <v>Ноутбуки</v>
      </c>
      <c r="T662" t="str">
        <f>sales_data!I3993</f>
        <v>Notebook Work</v>
      </c>
      <c r="U662" t="str">
        <f>sales_data!J3993</f>
        <v>Опт</v>
      </c>
      <c r="V662">
        <f>sales_data!K3993</f>
        <v>48</v>
      </c>
      <c r="W662">
        <f>sales_data!L3993</f>
        <v>62000</v>
      </c>
      <c r="X662">
        <f>sales_data!M3993</f>
        <v>2976000</v>
      </c>
      <c r="Y662" t="str">
        <f>sales_data!N3993</f>
        <v>Офлайн-точка</v>
      </c>
      <c r="Z662" t="str">
        <f>sales_data!O3993</f>
        <v>Доставлен</v>
      </c>
    </row>
    <row r="663" spans="12:26" x14ac:dyDescent="0.25">
      <c r="L663">
        <f>sales_data!A4008</f>
        <v>4109</v>
      </c>
      <c r="M663">
        <f>sales_data!B4008</f>
        <v>45668</v>
      </c>
      <c r="N663">
        <f>sales_data!C4008</f>
        <v>11</v>
      </c>
      <c r="O663" t="str">
        <f>sales_data!D4008</f>
        <v>Январь</v>
      </c>
      <c r="P663" t="str">
        <f>sales_data!E4008</f>
        <v>Ольга</v>
      </c>
      <c r="Q663" t="str">
        <f>sales_data!F4008</f>
        <v>Новосибирск</v>
      </c>
      <c r="R663" t="str">
        <f>sales_data!G4008</f>
        <v>Сибирский</v>
      </c>
      <c r="S663" t="str">
        <f>sales_data!H4008</f>
        <v>Ноутбуки</v>
      </c>
      <c r="T663" t="str">
        <f>sales_data!I4008</f>
        <v>Notebook Work</v>
      </c>
      <c r="U663" t="str">
        <f>sales_data!J4008</f>
        <v>Опт</v>
      </c>
      <c r="V663">
        <f>sales_data!K4008</f>
        <v>23</v>
      </c>
      <c r="W663">
        <f>sales_data!L4008</f>
        <v>63100</v>
      </c>
      <c r="X663">
        <f>sales_data!M4008</f>
        <v>1451300</v>
      </c>
      <c r="Y663" t="str">
        <f>sales_data!N4008</f>
        <v>Интернет-магазин</v>
      </c>
      <c r="Z663" t="str">
        <f>sales_data!O4008</f>
        <v>В пути</v>
      </c>
    </row>
    <row r="664" spans="12:26" x14ac:dyDescent="0.25">
      <c r="L664">
        <f>sales_data!A4009</f>
        <v>726</v>
      </c>
      <c r="M664">
        <f>sales_data!B4009</f>
        <v>45888</v>
      </c>
      <c r="N664">
        <f>sales_data!C4009</f>
        <v>19</v>
      </c>
      <c r="O664" t="str">
        <f>sales_data!D4009</f>
        <v>Август</v>
      </c>
      <c r="P664" t="str">
        <f>sales_data!E4009</f>
        <v>Татьяна</v>
      </c>
      <c r="Q664" t="str">
        <f>sales_data!F4009</f>
        <v>Краснодар</v>
      </c>
      <c r="R664" t="str">
        <f>sales_data!G4009</f>
        <v>Южный</v>
      </c>
      <c r="S664" t="str">
        <f>sales_data!H4009</f>
        <v>Ноутбуки</v>
      </c>
      <c r="T664" t="str">
        <f>sales_data!I4009</f>
        <v>Notebook Work</v>
      </c>
      <c r="U664" t="str">
        <f>sales_data!J4009</f>
        <v>Опт</v>
      </c>
      <c r="V664">
        <f>sales_data!K4009</f>
        <v>37</v>
      </c>
      <c r="W664">
        <f>sales_data!L4009</f>
        <v>63200</v>
      </c>
      <c r="X664">
        <f>sales_data!M4009</f>
        <v>2338400</v>
      </c>
      <c r="Y664" t="str">
        <f>sales_data!N4009</f>
        <v>Интернет-магазин</v>
      </c>
      <c r="Z664" t="str">
        <f>sales_data!O4009</f>
        <v>В пути</v>
      </c>
    </row>
    <row r="665" spans="12:26" x14ac:dyDescent="0.25">
      <c r="L665">
        <f>sales_data!A4012</f>
        <v>287</v>
      </c>
      <c r="M665">
        <f>sales_data!B4012</f>
        <v>45870</v>
      </c>
      <c r="N665">
        <f>sales_data!C4012</f>
        <v>1</v>
      </c>
      <c r="O665" t="str">
        <f>sales_data!D4012</f>
        <v>Август</v>
      </c>
      <c r="P665" t="str">
        <f>sales_data!E4012</f>
        <v>Павел</v>
      </c>
      <c r="Q665" t="str">
        <f>sales_data!F4012</f>
        <v>Омск</v>
      </c>
      <c r="R665" t="str">
        <f>sales_data!G4012</f>
        <v>Сибирский</v>
      </c>
      <c r="S665" t="str">
        <f>sales_data!H4012</f>
        <v>Ноутбуки</v>
      </c>
      <c r="T665" t="str">
        <f>sales_data!I4012</f>
        <v>Notebook Work</v>
      </c>
      <c r="U665" t="str">
        <f>sales_data!J4012</f>
        <v>Опт</v>
      </c>
      <c r="V665">
        <f>sales_data!K4012</f>
        <v>48</v>
      </c>
      <c r="W665">
        <f>sales_data!L4012</f>
        <v>63300</v>
      </c>
      <c r="X665">
        <f>sales_data!M4012</f>
        <v>3038400</v>
      </c>
      <c r="Y665" t="str">
        <f>sales_data!N4012</f>
        <v>Офлайн-точка</v>
      </c>
      <c r="Z665" t="str">
        <f>sales_data!O4012</f>
        <v>Отменён</v>
      </c>
    </row>
    <row r="666" spans="12:26" x14ac:dyDescent="0.25">
      <c r="L666">
        <f>sales_data!A4018</f>
        <v>1504</v>
      </c>
      <c r="M666">
        <f>sales_data!B4018</f>
        <v>45728</v>
      </c>
      <c r="N666">
        <f>sales_data!C4018</f>
        <v>12</v>
      </c>
      <c r="O666" t="str">
        <f>sales_data!D4018</f>
        <v>Март</v>
      </c>
      <c r="P666" t="str">
        <f>sales_data!E4018</f>
        <v>Борис</v>
      </c>
      <c r="Q666" t="str">
        <f>sales_data!F4018</f>
        <v>Челябинск</v>
      </c>
      <c r="R666" t="str">
        <f>sales_data!G4018</f>
        <v>Уральский</v>
      </c>
      <c r="S666" t="str">
        <f>sales_data!H4018</f>
        <v>Ноутбуки</v>
      </c>
      <c r="T666" t="str">
        <f>sales_data!I4018</f>
        <v>Notebook Work</v>
      </c>
      <c r="U666" t="str">
        <f>sales_data!J4018</f>
        <v>Опт</v>
      </c>
      <c r="V666">
        <f>sales_data!K4018</f>
        <v>27</v>
      </c>
      <c r="W666">
        <f>sales_data!L4018</f>
        <v>63700</v>
      </c>
      <c r="X666">
        <f>sales_data!M4018</f>
        <v>1719900</v>
      </c>
      <c r="Y666" t="str">
        <f>sales_data!N4018</f>
        <v>Интернет-магазин</v>
      </c>
      <c r="Z666" t="str">
        <f>sales_data!O4018</f>
        <v>В пути</v>
      </c>
    </row>
    <row r="667" spans="12:26" x14ac:dyDescent="0.25">
      <c r="L667">
        <f>sales_data!A4021</f>
        <v>4723</v>
      </c>
      <c r="M667">
        <f>sales_data!B4021</f>
        <v>45805</v>
      </c>
      <c r="N667">
        <f>sales_data!C4021</f>
        <v>28</v>
      </c>
      <c r="O667" t="str">
        <f>sales_data!D4021</f>
        <v>Май</v>
      </c>
      <c r="P667" t="str">
        <f>sales_data!E4021</f>
        <v>Татьяна</v>
      </c>
      <c r="Q667" t="str">
        <f>sales_data!F4021</f>
        <v>Челябинск</v>
      </c>
      <c r="R667" t="str">
        <f>sales_data!G4021</f>
        <v>Уральский</v>
      </c>
      <c r="S667" t="str">
        <f>sales_data!H4021</f>
        <v>Ноутбуки</v>
      </c>
      <c r="T667" t="str">
        <f>sales_data!I4021</f>
        <v>Notebook Work</v>
      </c>
      <c r="U667" t="str">
        <f>sales_data!J4021</f>
        <v>Опт</v>
      </c>
      <c r="V667">
        <f>sales_data!K4021</f>
        <v>24</v>
      </c>
      <c r="W667">
        <f>sales_data!L4021</f>
        <v>63800</v>
      </c>
      <c r="X667">
        <f>sales_data!M4021</f>
        <v>1531200</v>
      </c>
      <c r="Y667" t="str">
        <f>sales_data!N4021</f>
        <v>Интернет-магазин</v>
      </c>
      <c r="Z667" t="str">
        <f>sales_data!O4021</f>
        <v>В пути</v>
      </c>
    </row>
    <row r="668" spans="12:26" x14ac:dyDescent="0.25">
      <c r="L668">
        <f>sales_data!A4033</f>
        <v>577</v>
      </c>
      <c r="M668">
        <f>sales_data!B4033</f>
        <v>45958</v>
      </c>
      <c r="N668">
        <f>sales_data!C4033</f>
        <v>28</v>
      </c>
      <c r="O668" t="str">
        <f>sales_data!D4033</f>
        <v>Октябрь</v>
      </c>
      <c r="P668" t="str">
        <f>sales_data!E4033</f>
        <v>Татьяна</v>
      </c>
      <c r="Q668" t="str">
        <f>sales_data!F4033</f>
        <v>Воронеж</v>
      </c>
      <c r="R668" t="str">
        <f>sales_data!G4033</f>
        <v>Центральный</v>
      </c>
      <c r="S668" t="str">
        <f>sales_data!H4033</f>
        <v>Ноутбуки</v>
      </c>
      <c r="T668" t="str">
        <f>sales_data!I4033</f>
        <v>Notebook Work</v>
      </c>
      <c r="U668" t="str">
        <f>sales_data!J4033</f>
        <v>Опт</v>
      </c>
      <c r="V668">
        <f>sales_data!K4033</f>
        <v>29</v>
      </c>
      <c r="W668">
        <f>sales_data!L4033</f>
        <v>64500</v>
      </c>
      <c r="X668">
        <f>sales_data!M4033</f>
        <v>1870500</v>
      </c>
      <c r="Y668" t="str">
        <f>sales_data!N4033</f>
        <v>Интернет-магазин</v>
      </c>
      <c r="Z668" t="str">
        <f>sales_data!O4033</f>
        <v>Отменён</v>
      </c>
    </row>
    <row r="669" spans="12:26" x14ac:dyDescent="0.25">
      <c r="L669">
        <f>sales_data!A4035</f>
        <v>833</v>
      </c>
      <c r="M669">
        <f>sales_data!B4035</f>
        <v>45722</v>
      </c>
      <c r="N669">
        <f>sales_data!C4035</f>
        <v>6</v>
      </c>
      <c r="O669" t="str">
        <f>sales_data!D4035</f>
        <v>Март</v>
      </c>
      <c r="P669" t="str">
        <f>sales_data!E4035</f>
        <v>Дмитрий</v>
      </c>
      <c r="Q669" t="str">
        <f>sales_data!F4035</f>
        <v>Казань</v>
      </c>
      <c r="R669" t="str">
        <f>sales_data!G4035</f>
        <v>Приволжский</v>
      </c>
      <c r="S669" t="str">
        <f>sales_data!H4035</f>
        <v>Серверы</v>
      </c>
      <c r="T669" t="str">
        <f>sales_data!I4035</f>
        <v>Storage NAS</v>
      </c>
      <c r="U669" t="str">
        <f>sales_data!J4035</f>
        <v>Опт</v>
      </c>
      <c r="V669">
        <f>sales_data!K4035</f>
        <v>31</v>
      </c>
      <c r="W669">
        <f>sales_data!L4035</f>
        <v>64600</v>
      </c>
      <c r="X669">
        <f>sales_data!M4035</f>
        <v>2002600</v>
      </c>
      <c r="Y669" t="str">
        <f>sales_data!N4035</f>
        <v>Интернет-магазин</v>
      </c>
      <c r="Z669" t="str">
        <f>sales_data!O4035</f>
        <v>Доставлен</v>
      </c>
    </row>
    <row r="670" spans="12:26" x14ac:dyDescent="0.25">
      <c r="L670">
        <f>sales_data!A4036</f>
        <v>1172</v>
      </c>
      <c r="M670">
        <f>sales_data!B4036</f>
        <v>45820</v>
      </c>
      <c r="N670">
        <f>sales_data!C4036</f>
        <v>12</v>
      </c>
      <c r="O670" t="str">
        <f>sales_data!D4036</f>
        <v>Июнь</v>
      </c>
      <c r="P670" t="str">
        <f>sales_data!E4036</f>
        <v>Татьяна</v>
      </c>
      <c r="Q670" t="str">
        <f>sales_data!F4036</f>
        <v>Красноярск</v>
      </c>
      <c r="R670" t="str">
        <f>sales_data!G4036</f>
        <v>Сибирский</v>
      </c>
      <c r="S670" t="str">
        <f>sales_data!H4036</f>
        <v>Ноутбуки</v>
      </c>
      <c r="T670" t="str">
        <f>sales_data!I4036</f>
        <v>Notebook Work</v>
      </c>
      <c r="U670" t="str">
        <f>sales_data!J4036</f>
        <v>Опт</v>
      </c>
      <c r="V670">
        <f>sales_data!K4036</f>
        <v>46</v>
      </c>
      <c r="W670">
        <f>sales_data!L4036</f>
        <v>64600</v>
      </c>
      <c r="X670">
        <f>sales_data!M4036</f>
        <v>2971600</v>
      </c>
      <c r="Y670" t="str">
        <f>sales_data!N4036</f>
        <v>Офлайн-точка</v>
      </c>
      <c r="Z670" t="str">
        <f>sales_data!O4036</f>
        <v>Доставлен</v>
      </c>
    </row>
    <row r="671" spans="12:26" x14ac:dyDescent="0.25">
      <c r="L671">
        <f>sales_data!A4037</f>
        <v>1689</v>
      </c>
      <c r="M671">
        <f>sales_data!B4037</f>
        <v>45970</v>
      </c>
      <c r="N671">
        <f>sales_data!C4037</f>
        <v>9</v>
      </c>
      <c r="O671" t="str">
        <f>sales_data!D4037</f>
        <v>Ноябрь</v>
      </c>
      <c r="P671" t="str">
        <f>sales_data!E4037</f>
        <v>Сергей</v>
      </c>
      <c r="Q671" t="str">
        <f>sales_data!F4037</f>
        <v>Самара</v>
      </c>
      <c r="R671" t="str">
        <f>sales_data!G4037</f>
        <v>Приволжский</v>
      </c>
      <c r="S671" t="str">
        <f>sales_data!H4037</f>
        <v>Ноутбуки</v>
      </c>
      <c r="T671" t="str">
        <f>sales_data!I4037</f>
        <v>Notebook Work</v>
      </c>
      <c r="U671" t="str">
        <f>sales_data!J4037</f>
        <v>Опт</v>
      </c>
      <c r="V671">
        <f>sales_data!K4037</f>
        <v>6</v>
      </c>
      <c r="W671">
        <f>sales_data!L4037</f>
        <v>64700</v>
      </c>
      <c r="X671">
        <f>sales_data!M4037</f>
        <v>388200</v>
      </c>
      <c r="Y671" t="str">
        <f>sales_data!N4037</f>
        <v>Офлайн-точка</v>
      </c>
      <c r="Z671" t="str">
        <f>sales_data!O4037</f>
        <v>Отменён</v>
      </c>
    </row>
    <row r="672" spans="12:26" x14ac:dyDescent="0.25">
      <c r="L672">
        <f>sales_data!A4041</f>
        <v>733</v>
      </c>
      <c r="M672">
        <f>sales_data!B4041</f>
        <v>45836</v>
      </c>
      <c r="N672">
        <f>sales_data!C4041</f>
        <v>28</v>
      </c>
      <c r="O672" t="str">
        <f>sales_data!D4041</f>
        <v>Июнь</v>
      </c>
      <c r="P672" t="str">
        <f>sales_data!E4041</f>
        <v>Анна</v>
      </c>
      <c r="Q672" t="str">
        <f>sales_data!F4041</f>
        <v>Казань</v>
      </c>
      <c r="R672" t="str">
        <f>sales_data!G4041</f>
        <v>Приволжский</v>
      </c>
      <c r="S672" t="str">
        <f>sales_data!H4041</f>
        <v>Ноутбуки</v>
      </c>
      <c r="T672" t="str">
        <f>sales_data!I4041</f>
        <v>Notebook Work</v>
      </c>
      <c r="U672" t="str">
        <f>sales_data!J4041</f>
        <v>Опт</v>
      </c>
      <c r="V672">
        <f>sales_data!K4041</f>
        <v>26</v>
      </c>
      <c r="W672">
        <f>sales_data!L4041</f>
        <v>65100</v>
      </c>
      <c r="X672">
        <f>sales_data!M4041</f>
        <v>1692600</v>
      </c>
      <c r="Y672" t="str">
        <f>sales_data!N4041</f>
        <v>Интернет-магазин</v>
      </c>
      <c r="Z672" t="str">
        <f>sales_data!O4041</f>
        <v>Доставлен</v>
      </c>
    </row>
    <row r="673" spans="12:26" x14ac:dyDescent="0.25">
      <c r="L673">
        <f>sales_data!A4045</f>
        <v>4734</v>
      </c>
      <c r="M673">
        <f>sales_data!B4045</f>
        <v>45724</v>
      </c>
      <c r="N673">
        <f>sales_data!C4045</f>
        <v>8</v>
      </c>
      <c r="O673" t="str">
        <f>sales_data!D4045</f>
        <v>Март</v>
      </c>
      <c r="P673" t="str">
        <f>sales_data!E4045</f>
        <v>Ксения</v>
      </c>
      <c r="Q673" t="str">
        <f>sales_data!F4045</f>
        <v>Санкт-Петербург</v>
      </c>
      <c r="R673" t="str">
        <f>sales_data!G4045</f>
        <v>Северо-Западный</v>
      </c>
      <c r="S673" t="str">
        <f>sales_data!H4045</f>
        <v>Ноутбуки</v>
      </c>
      <c r="T673" t="str">
        <f>sales_data!I4045</f>
        <v>Notebook Work</v>
      </c>
      <c r="U673" t="str">
        <f>sales_data!J4045</f>
        <v>Опт</v>
      </c>
      <c r="V673">
        <f>sales_data!K4045</f>
        <v>32</v>
      </c>
      <c r="W673">
        <f>sales_data!L4045</f>
        <v>65300</v>
      </c>
      <c r="X673">
        <f>sales_data!M4045</f>
        <v>2089600</v>
      </c>
      <c r="Y673" t="str">
        <f>sales_data!N4045</f>
        <v>Офлайн-точка</v>
      </c>
      <c r="Z673" t="str">
        <f>sales_data!O4045</f>
        <v>В пути</v>
      </c>
    </row>
    <row r="674" spans="12:26" x14ac:dyDescent="0.25">
      <c r="L674">
        <f>sales_data!A4052</f>
        <v>107</v>
      </c>
      <c r="M674">
        <f>sales_data!B4052</f>
        <v>45823</v>
      </c>
      <c r="N674">
        <f>sales_data!C4052</f>
        <v>15</v>
      </c>
      <c r="O674" t="str">
        <f>sales_data!D4052</f>
        <v>Июнь</v>
      </c>
      <c r="P674" t="str">
        <f>sales_data!E4052</f>
        <v>Сергей</v>
      </c>
      <c r="Q674" t="str">
        <f>sales_data!F4052</f>
        <v>Екатеринбург</v>
      </c>
      <c r="R674" t="str">
        <f>sales_data!G4052</f>
        <v>Уральский</v>
      </c>
      <c r="S674" t="str">
        <f>sales_data!H4052</f>
        <v>Ноутбуки</v>
      </c>
      <c r="T674" t="str">
        <f>sales_data!I4052</f>
        <v>Notebook Air</v>
      </c>
      <c r="U674" t="str">
        <f>sales_data!J4052</f>
        <v>Розница</v>
      </c>
      <c r="V674">
        <f>sales_data!K4052</f>
        <v>10</v>
      </c>
      <c r="W674">
        <f>sales_data!L4052</f>
        <v>65700</v>
      </c>
      <c r="X674">
        <f>sales_data!M4052</f>
        <v>657000</v>
      </c>
      <c r="Y674" t="str">
        <f>sales_data!N4052</f>
        <v>Интернет-магазин</v>
      </c>
      <c r="Z674" t="str">
        <f>sales_data!O4052</f>
        <v>Отменён</v>
      </c>
    </row>
    <row r="675" spans="12:26" x14ac:dyDescent="0.25">
      <c r="L675">
        <f>sales_data!A4060</f>
        <v>4008</v>
      </c>
      <c r="M675">
        <f>sales_data!B4060</f>
        <v>45735</v>
      </c>
      <c r="N675">
        <f>sales_data!C4060</f>
        <v>19</v>
      </c>
      <c r="O675" t="str">
        <f>sales_data!D4060</f>
        <v>Март</v>
      </c>
      <c r="P675" t="str">
        <f>sales_data!E4060</f>
        <v>Светлана</v>
      </c>
      <c r="Q675" t="str">
        <f>sales_data!F4060</f>
        <v>Воронеж</v>
      </c>
      <c r="R675" t="str">
        <f>sales_data!G4060</f>
        <v>Центральный</v>
      </c>
      <c r="S675" t="str">
        <f>sales_data!H4060</f>
        <v>Серверы</v>
      </c>
      <c r="T675" t="str">
        <f>sales_data!I4060</f>
        <v>Storage NAS</v>
      </c>
      <c r="U675" t="str">
        <f>sales_data!J4060</f>
        <v>Опт</v>
      </c>
      <c r="V675">
        <f>sales_data!K4060</f>
        <v>30</v>
      </c>
      <c r="W675">
        <f>sales_data!L4060</f>
        <v>65900</v>
      </c>
      <c r="X675">
        <f>sales_data!M4060</f>
        <v>1977000</v>
      </c>
      <c r="Y675" t="str">
        <f>sales_data!N4060</f>
        <v>Офлайн-точка</v>
      </c>
      <c r="Z675" t="str">
        <f>sales_data!O4060</f>
        <v>Доставлен</v>
      </c>
    </row>
    <row r="676" spans="12:26" x14ac:dyDescent="0.25">
      <c r="L676">
        <f>sales_data!A4061</f>
        <v>4843</v>
      </c>
      <c r="M676">
        <f>sales_data!B4061</f>
        <v>45677</v>
      </c>
      <c r="N676">
        <f>sales_data!C4061</f>
        <v>20</v>
      </c>
      <c r="O676" t="str">
        <f>sales_data!D4061</f>
        <v>Январь</v>
      </c>
      <c r="P676" t="str">
        <f>sales_data!E4061</f>
        <v>Елена</v>
      </c>
      <c r="Q676" t="str">
        <f>sales_data!F4061</f>
        <v>Краснодар</v>
      </c>
      <c r="R676" t="str">
        <f>sales_data!G4061</f>
        <v>Южный</v>
      </c>
      <c r="S676" t="str">
        <f>sales_data!H4061</f>
        <v>Ноутбуки</v>
      </c>
      <c r="T676" t="str">
        <f>sales_data!I4061</f>
        <v>Notebook Work</v>
      </c>
      <c r="U676" t="str">
        <f>sales_data!J4061</f>
        <v>Опт</v>
      </c>
      <c r="V676">
        <f>sales_data!K4061</f>
        <v>25</v>
      </c>
      <c r="W676">
        <f>sales_data!L4061</f>
        <v>65900</v>
      </c>
      <c r="X676">
        <f>sales_data!M4061</f>
        <v>1647500</v>
      </c>
      <c r="Y676" t="str">
        <f>sales_data!N4061</f>
        <v>Офлайн-точка</v>
      </c>
      <c r="Z676" t="str">
        <f>sales_data!O4061</f>
        <v>Отменён</v>
      </c>
    </row>
    <row r="677" spans="12:26" x14ac:dyDescent="0.25">
      <c r="L677">
        <f>sales_data!A4067</f>
        <v>1619</v>
      </c>
      <c r="M677">
        <f>sales_data!B4067</f>
        <v>45903</v>
      </c>
      <c r="N677">
        <f>sales_data!C4067</f>
        <v>3</v>
      </c>
      <c r="O677" t="str">
        <f>sales_data!D4067</f>
        <v>Сентябрь</v>
      </c>
      <c r="P677" t="str">
        <f>sales_data!E4067</f>
        <v>Ольга</v>
      </c>
      <c r="Q677" t="str">
        <f>sales_data!F4067</f>
        <v>Москва</v>
      </c>
      <c r="R677" t="str">
        <f>sales_data!G4067</f>
        <v>Центральный</v>
      </c>
      <c r="S677" t="str">
        <f>sales_data!H4067</f>
        <v>Серверы</v>
      </c>
      <c r="T677" t="str">
        <f>sales_data!I4067</f>
        <v>Storage NAS</v>
      </c>
      <c r="U677" t="str">
        <f>sales_data!J4067</f>
        <v>Опт</v>
      </c>
      <c r="V677">
        <f>sales_data!K4067</f>
        <v>45</v>
      </c>
      <c r="W677">
        <f>sales_data!L4067</f>
        <v>66600</v>
      </c>
      <c r="X677">
        <f>sales_data!M4067</f>
        <v>2997000</v>
      </c>
      <c r="Y677" t="str">
        <f>sales_data!N4067</f>
        <v>Интернет-магазин</v>
      </c>
      <c r="Z677" t="str">
        <f>sales_data!O4067</f>
        <v>Отменён</v>
      </c>
    </row>
    <row r="678" spans="12:26" x14ac:dyDescent="0.25">
      <c r="L678">
        <f>sales_data!A4084</f>
        <v>2993</v>
      </c>
      <c r="M678">
        <f>sales_data!B4084</f>
        <v>45818</v>
      </c>
      <c r="N678">
        <f>sales_data!C4084</f>
        <v>10</v>
      </c>
      <c r="O678" t="str">
        <f>sales_data!D4084</f>
        <v>Июнь</v>
      </c>
      <c r="P678" t="str">
        <f>sales_data!E4084</f>
        <v>Дмитрий</v>
      </c>
      <c r="Q678" t="str">
        <f>sales_data!F4084</f>
        <v>Ростов-на-Дону</v>
      </c>
      <c r="R678" t="str">
        <f>sales_data!G4084</f>
        <v>Южный</v>
      </c>
      <c r="S678" t="str">
        <f>sales_data!H4084</f>
        <v>Серверы</v>
      </c>
      <c r="T678" t="str">
        <f>sales_data!I4084</f>
        <v>Storage NAS</v>
      </c>
      <c r="U678" t="str">
        <f>sales_data!J4084</f>
        <v>Опт</v>
      </c>
      <c r="V678">
        <f>sales_data!K4084</f>
        <v>33</v>
      </c>
      <c r="W678">
        <f>sales_data!L4084</f>
        <v>68200</v>
      </c>
      <c r="X678">
        <f>sales_data!M4084</f>
        <v>2250600</v>
      </c>
      <c r="Y678" t="str">
        <f>sales_data!N4084</f>
        <v>Интернет-магазин</v>
      </c>
      <c r="Z678" t="str">
        <f>sales_data!O4084</f>
        <v>Отменён</v>
      </c>
    </row>
    <row r="679" spans="12:26" x14ac:dyDescent="0.25">
      <c r="L679">
        <f>sales_data!A4085</f>
        <v>3676</v>
      </c>
      <c r="M679">
        <f>sales_data!B4085</f>
        <v>45910</v>
      </c>
      <c r="N679">
        <f>sales_data!C4085</f>
        <v>10</v>
      </c>
      <c r="O679" t="str">
        <f>sales_data!D4085</f>
        <v>Сентябрь</v>
      </c>
      <c r="P679" t="str">
        <f>sales_data!E4085</f>
        <v>Дмитрий</v>
      </c>
      <c r="Q679" t="str">
        <f>sales_data!F4085</f>
        <v>Ростов-на-Дону</v>
      </c>
      <c r="R679" t="str">
        <f>sales_data!G4085</f>
        <v>Южный</v>
      </c>
      <c r="S679" t="str">
        <f>sales_data!H4085</f>
        <v>Серверы</v>
      </c>
      <c r="T679" t="str">
        <f>sales_data!I4085</f>
        <v>Storage NAS</v>
      </c>
      <c r="U679" t="str">
        <f>sales_data!J4085</f>
        <v>Опт</v>
      </c>
      <c r="V679">
        <f>sales_data!K4085</f>
        <v>20</v>
      </c>
      <c r="W679">
        <f>sales_data!L4085</f>
        <v>68200</v>
      </c>
      <c r="X679">
        <f>sales_data!M4085</f>
        <v>1364000</v>
      </c>
      <c r="Y679" t="str">
        <f>sales_data!N4085</f>
        <v>Интернет-магазин</v>
      </c>
      <c r="Z679" t="str">
        <f>sales_data!O4085</f>
        <v>В пути</v>
      </c>
    </row>
    <row r="680" spans="12:26" x14ac:dyDescent="0.25">
      <c r="L680">
        <f>sales_data!A4089</f>
        <v>3814</v>
      </c>
      <c r="M680">
        <f>sales_data!B4089</f>
        <v>45826</v>
      </c>
      <c r="N680">
        <f>sales_data!C4089</f>
        <v>18</v>
      </c>
      <c r="O680" t="str">
        <f>sales_data!D4089</f>
        <v>Июнь</v>
      </c>
      <c r="P680" t="str">
        <f>sales_data!E4089</f>
        <v>Борис</v>
      </c>
      <c r="Q680" t="str">
        <f>sales_data!F4089</f>
        <v>Красноярск</v>
      </c>
      <c r="R680" t="str">
        <f>sales_data!G4089</f>
        <v>Сибирский</v>
      </c>
      <c r="S680" t="str">
        <f>sales_data!H4089</f>
        <v>Серверы</v>
      </c>
      <c r="T680" t="str">
        <f>sales_data!I4089</f>
        <v>Storage NAS</v>
      </c>
      <c r="U680" t="str">
        <f>sales_data!J4089</f>
        <v>Опт</v>
      </c>
      <c r="V680">
        <f>sales_data!K4089</f>
        <v>20</v>
      </c>
      <c r="W680">
        <f>sales_data!L4089</f>
        <v>68300</v>
      </c>
      <c r="X680">
        <f>sales_data!M4089</f>
        <v>1366000</v>
      </c>
      <c r="Y680" t="str">
        <f>sales_data!N4089</f>
        <v>Интернет-магазин</v>
      </c>
      <c r="Z680" t="str">
        <f>sales_data!O4089</f>
        <v>Отменён</v>
      </c>
    </row>
    <row r="681" spans="12:26" x14ac:dyDescent="0.25">
      <c r="L681">
        <f>sales_data!A4096</f>
        <v>3798</v>
      </c>
      <c r="M681">
        <f>sales_data!B4096</f>
        <v>45673</v>
      </c>
      <c r="N681">
        <f>sales_data!C4096</f>
        <v>16</v>
      </c>
      <c r="O681" t="str">
        <f>sales_data!D4096</f>
        <v>Январь</v>
      </c>
      <c r="P681" t="str">
        <f>sales_data!E4096</f>
        <v>Мария</v>
      </c>
      <c r="Q681" t="str">
        <f>sales_data!F4096</f>
        <v>Новосибирск</v>
      </c>
      <c r="R681" t="str">
        <f>sales_data!G4096</f>
        <v>Сибирский</v>
      </c>
      <c r="S681" t="str">
        <f>sales_data!H4096</f>
        <v>Серверы</v>
      </c>
      <c r="T681" t="str">
        <f>sales_data!I4096</f>
        <v>Storage NAS</v>
      </c>
      <c r="U681" t="str">
        <f>sales_data!J4096</f>
        <v>Опт</v>
      </c>
      <c r="V681">
        <f>sales_data!K4096</f>
        <v>41</v>
      </c>
      <c r="W681">
        <f>sales_data!L4096</f>
        <v>68700</v>
      </c>
      <c r="X681">
        <f>sales_data!M4096</f>
        <v>2816700</v>
      </c>
      <c r="Y681" t="str">
        <f>sales_data!N4096</f>
        <v>Интернет-магазин</v>
      </c>
      <c r="Z681" t="str">
        <f>sales_data!O4096</f>
        <v>Отменён</v>
      </c>
    </row>
    <row r="682" spans="12:26" x14ac:dyDescent="0.25">
      <c r="L682">
        <f>sales_data!A4103</f>
        <v>49</v>
      </c>
      <c r="M682">
        <f>sales_data!B4103</f>
        <v>45869</v>
      </c>
      <c r="N682">
        <f>sales_data!C4103</f>
        <v>31</v>
      </c>
      <c r="O682" t="str">
        <f>sales_data!D4103</f>
        <v>Июль</v>
      </c>
      <c r="P682" t="str">
        <f>sales_data!E4103</f>
        <v>Анна</v>
      </c>
      <c r="Q682" t="str">
        <f>sales_data!F4103</f>
        <v>Казань</v>
      </c>
      <c r="R682" t="str">
        <f>sales_data!G4103</f>
        <v>Приволжский</v>
      </c>
      <c r="S682" t="str">
        <f>sales_data!H4103</f>
        <v>Серверы</v>
      </c>
      <c r="T682" t="str">
        <f>sales_data!I4103</f>
        <v>Storage NAS</v>
      </c>
      <c r="U682" t="str">
        <f>sales_data!J4103</f>
        <v>Опт</v>
      </c>
      <c r="V682">
        <f>sales_data!K4103</f>
        <v>47</v>
      </c>
      <c r="W682">
        <f>sales_data!L4103</f>
        <v>69200</v>
      </c>
      <c r="X682">
        <f>sales_data!M4103</f>
        <v>3252400</v>
      </c>
      <c r="Y682" t="str">
        <f>sales_data!N4103</f>
        <v>Интернет-магазин</v>
      </c>
      <c r="Z682" t="str">
        <f>sales_data!O4103</f>
        <v>В пути</v>
      </c>
    </row>
    <row r="683" spans="12:26" x14ac:dyDescent="0.25">
      <c r="L683">
        <f>sales_data!A4105</f>
        <v>3067</v>
      </c>
      <c r="M683">
        <f>sales_data!B4105</f>
        <v>45825</v>
      </c>
      <c r="N683">
        <f>sales_data!C4105</f>
        <v>17</v>
      </c>
      <c r="O683" t="str">
        <f>sales_data!D4105</f>
        <v>Июнь</v>
      </c>
      <c r="P683" t="str">
        <f>sales_data!E4105</f>
        <v>Владимир</v>
      </c>
      <c r="Q683" t="str">
        <f>sales_data!F4105</f>
        <v>Краснодар</v>
      </c>
      <c r="R683" t="str">
        <f>sales_data!G4105</f>
        <v>Южный</v>
      </c>
      <c r="S683" t="str">
        <f>sales_data!H4105</f>
        <v>Ноутбуки</v>
      </c>
      <c r="T683" t="str">
        <f>sales_data!I4105</f>
        <v>Notebook Work</v>
      </c>
      <c r="U683" t="str">
        <f>sales_data!J4105</f>
        <v>Опт</v>
      </c>
      <c r="V683">
        <f>sales_data!K4105</f>
        <v>6</v>
      </c>
      <c r="W683">
        <f>sales_data!L4105</f>
        <v>69300</v>
      </c>
      <c r="X683">
        <f>sales_data!M4105</f>
        <v>415800</v>
      </c>
      <c r="Y683" t="str">
        <f>sales_data!N4105</f>
        <v>Интернет-магазин</v>
      </c>
      <c r="Z683" t="str">
        <f>sales_data!O4105</f>
        <v>В пути</v>
      </c>
    </row>
    <row r="684" spans="12:26" x14ac:dyDescent="0.25">
      <c r="L684">
        <f>sales_data!A4108</f>
        <v>268</v>
      </c>
      <c r="M684">
        <f>sales_data!B4108</f>
        <v>46014</v>
      </c>
      <c r="N684">
        <f>sales_data!C4108</f>
        <v>23</v>
      </c>
      <c r="O684" t="str">
        <f>sales_data!D4108</f>
        <v>Декабрь</v>
      </c>
      <c r="P684" t="str">
        <f>sales_data!E4108</f>
        <v>Елена</v>
      </c>
      <c r="Q684" t="str">
        <f>sales_data!F4108</f>
        <v>Казань</v>
      </c>
      <c r="R684" t="str">
        <f>sales_data!G4108</f>
        <v>Приволжский</v>
      </c>
      <c r="S684" t="str">
        <f>sales_data!H4108</f>
        <v>Ноутбуки</v>
      </c>
      <c r="T684" t="str">
        <f>sales_data!I4108</f>
        <v>Notebook Work</v>
      </c>
      <c r="U684" t="str">
        <f>sales_data!J4108</f>
        <v>Розница</v>
      </c>
      <c r="V684">
        <f>sales_data!K4108</f>
        <v>4</v>
      </c>
      <c r="W684">
        <f>sales_data!L4108</f>
        <v>69600</v>
      </c>
      <c r="X684">
        <f>sales_data!M4108</f>
        <v>278400</v>
      </c>
      <c r="Y684" t="str">
        <f>sales_data!N4108</f>
        <v>Интернет-магазин</v>
      </c>
      <c r="Z684" t="str">
        <f>sales_data!O4108</f>
        <v>Отменён</v>
      </c>
    </row>
    <row r="685" spans="12:26" x14ac:dyDescent="0.25">
      <c r="L685">
        <f>sales_data!A4111</f>
        <v>1402</v>
      </c>
      <c r="M685">
        <f>sales_data!B4111</f>
        <v>45886</v>
      </c>
      <c r="N685">
        <f>sales_data!C4111</f>
        <v>17</v>
      </c>
      <c r="O685" t="str">
        <f>sales_data!D4111</f>
        <v>Август</v>
      </c>
      <c r="P685" t="str">
        <f>sales_data!E4111</f>
        <v>Ольга</v>
      </c>
      <c r="Q685" t="str">
        <f>sales_data!F4111</f>
        <v>Омск</v>
      </c>
      <c r="R685" t="str">
        <f>sales_data!G4111</f>
        <v>Сибирский</v>
      </c>
      <c r="S685" t="str">
        <f>sales_data!H4111</f>
        <v>Серверы</v>
      </c>
      <c r="T685" t="str">
        <f>sales_data!I4111</f>
        <v>Storage NAS</v>
      </c>
      <c r="U685" t="str">
        <f>sales_data!J4111</f>
        <v>Опт</v>
      </c>
      <c r="V685">
        <f>sales_data!K4111</f>
        <v>44</v>
      </c>
      <c r="W685">
        <f>sales_data!L4111</f>
        <v>69800</v>
      </c>
      <c r="X685">
        <f>sales_data!M4111</f>
        <v>3071200</v>
      </c>
      <c r="Y685" t="str">
        <f>sales_data!N4111</f>
        <v>Интернет-магазин</v>
      </c>
      <c r="Z685" t="str">
        <f>sales_data!O4111</f>
        <v>Отменён</v>
      </c>
    </row>
    <row r="686" spans="12:26" x14ac:dyDescent="0.25">
      <c r="L686">
        <f>sales_data!A4114</f>
        <v>445</v>
      </c>
      <c r="M686">
        <f>sales_data!B4114</f>
        <v>45850</v>
      </c>
      <c r="N686">
        <f>sales_data!C4114</f>
        <v>12</v>
      </c>
      <c r="O686" t="str">
        <f>sales_data!D4114</f>
        <v>Июль</v>
      </c>
      <c r="P686" t="str">
        <f>sales_data!E4114</f>
        <v>Светлана</v>
      </c>
      <c r="Q686" t="str">
        <f>sales_data!F4114</f>
        <v>Уфа</v>
      </c>
      <c r="R686" t="str">
        <f>sales_data!G4114</f>
        <v>Приволжский</v>
      </c>
      <c r="S686" t="str">
        <f>sales_data!H4114</f>
        <v>Ноутбуки</v>
      </c>
      <c r="T686" t="str">
        <f>sales_data!I4114</f>
        <v>Notebook Work</v>
      </c>
      <c r="U686" t="str">
        <f>sales_data!J4114</f>
        <v>Розница</v>
      </c>
      <c r="V686">
        <f>sales_data!K4114</f>
        <v>6</v>
      </c>
      <c r="W686">
        <f>sales_data!L4114</f>
        <v>70100</v>
      </c>
      <c r="X686">
        <f>sales_data!M4114</f>
        <v>420600</v>
      </c>
      <c r="Y686" t="str">
        <f>sales_data!N4114</f>
        <v>Офлайн-точка</v>
      </c>
      <c r="Z686" t="str">
        <f>sales_data!O4114</f>
        <v>Отменён</v>
      </c>
    </row>
    <row r="687" spans="12:26" x14ac:dyDescent="0.25">
      <c r="L687">
        <f>sales_data!A4121</f>
        <v>2864</v>
      </c>
      <c r="M687">
        <f>sales_data!B4121</f>
        <v>45701</v>
      </c>
      <c r="N687">
        <f>sales_data!C4121</f>
        <v>13</v>
      </c>
      <c r="O687" t="str">
        <f>sales_data!D4121</f>
        <v>Февраль</v>
      </c>
      <c r="P687" t="str">
        <f>sales_data!E4121</f>
        <v>Сергей</v>
      </c>
      <c r="Q687" t="str">
        <f>sales_data!F4121</f>
        <v>Москва</v>
      </c>
      <c r="R687" t="str">
        <f>sales_data!G4121</f>
        <v>Центральный</v>
      </c>
      <c r="S687" t="str">
        <f>sales_data!H4121</f>
        <v>Серверы</v>
      </c>
      <c r="T687" t="str">
        <f>sales_data!I4121</f>
        <v>Storage NAS</v>
      </c>
      <c r="U687" t="str">
        <f>sales_data!J4121</f>
        <v>Опт</v>
      </c>
      <c r="V687">
        <f>sales_data!K4121</f>
        <v>34</v>
      </c>
      <c r="W687">
        <f>sales_data!L4121</f>
        <v>70300</v>
      </c>
      <c r="X687">
        <f>sales_data!M4121</f>
        <v>2390200</v>
      </c>
      <c r="Y687" t="str">
        <f>sales_data!N4121</f>
        <v>Интернет-магазин</v>
      </c>
      <c r="Z687" t="str">
        <f>sales_data!O4121</f>
        <v>Доставлен</v>
      </c>
    </row>
    <row r="688" spans="12:26" x14ac:dyDescent="0.25">
      <c r="L688">
        <f>sales_data!A4135</f>
        <v>3046</v>
      </c>
      <c r="M688">
        <f>sales_data!B4135</f>
        <v>45984</v>
      </c>
      <c r="N688">
        <f>sales_data!C4135</f>
        <v>23</v>
      </c>
      <c r="O688" t="str">
        <f>sales_data!D4135</f>
        <v>Ноябрь</v>
      </c>
      <c r="P688" t="str">
        <f>sales_data!E4135</f>
        <v>Владимир</v>
      </c>
      <c r="Q688" t="str">
        <f>sales_data!F4135</f>
        <v>Краснодар</v>
      </c>
      <c r="R688" t="str">
        <f>sales_data!G4135</f>
        <v>Южный</v>
      </c>
      <c r="S688" t="str">
        <f>sales_data!H4135</f>
        <v>Серверы</v>
      </c>
      <c r="T688" t="str">
        <f>sales_data!I4135</f>
        <v>Storage NAS</v>
      </c>
      <c r="U688" t="str">
        <f>sales_data!J4135</f>
        <v>Розница</v>
      </c>
      <c r="V688">
        <f>sales_data!K4135</f>
        <v>10</v>
      </c>
      <c r="W688">
        <f>sales_data!L4135</f>
        <v>71800</v>
      </c>
      <c r="X688">
        <f>sales_data!M4135</f>
        <v>718000</v>
      </c>
      <c r="Y688" t="str">
        <f>sales_data!N4135</f>
        <v>Офлайн-точка</v>
      </c>
      <c r="Z688" t="str">
        <f>sales_data!O4135</f>
        <v>Доставлен</v>
      </c>
    </row>
    <row r="689" spans="12:26" x14ac:dyDescent="0.25">
      <c r="L689">
        <f>sales_data!A4147</f>
        <v>974</v>
      </c>
      <c r="M689">
        <f>sales_data!B4147</f>
        <v>45963</v>
      </c>
      <c r="N689">
        <f>sales_data!C4147</f>
        <v>2</v>
      </c>
      <c r="O689" t="str">
        <f>sales_data!D4147</f>
        <v>Ноябрь</v>
      </c>
      <c r="P689" t="str">
        <f>sales_data!E4147</f>
        <v>Елена</v>
      </c>
      <c r="Q689" t="str">
        <f>sales_data!F4147</f>
        <v>Санкт-Петербург</v>
      </c>
      <c r="R689" t="str">
        <f>sales_data!G4147</f>
        <v>Северо-Западный</v>
      </c>
      <c r="S689" t="str">
        <f>sales_data!H4147</f>
        <v>Ноутбуки</v>
      </c>
      <c r="T689" t="str">
        <f>sales_data!I4147</f>
        <v>Notebook Work</v>
      </c>
      <c r="U689" t="str">
        <f>sales_data!J4147</f>
        <v>Розница</v>
      </c>
      <c r="V689">
        <f>sales_data!K4147</f>
        <v>1</v>
      </c>
      <c r="W689">
        <f>sales_data!L4147</f>
        <v>72600</v>
      </c>
      <c r="X689">
        <f>sales_data!M4147</f>
        <v>72600</v>
      </c>
      <c r="Y689" t="str">
        <f>sales_data!N4147</f>
        <v>Офлайн-точка</v>
      </c>
      <c r="Z689" t="str">
        <f>sales_data!O4147</f>
        <v>Доставлен</v>
      </c>
    </row>
    <row r="690" spans="12:26" x14ac:dyDescent="0.25">
      <c r="L690">
        <f>sales_data!A4151</f>
        <v>936</v>
      </c>
      <c r="M690">
        <f>sales_data!B4151</f>
        <v>45983</v>
      </c>
      <c r="N690">
        <f>sales_data!C4151</f>
        <v>22</v>
      </c>
      <c r="O690" t="str">
        <f>sales_data!D4151</f>
        <v>Ноябрь</v>
      </c>
      <c r="P690" t="str">
        <f>sales_data!E4151</f>
        <v>Владимир</v>
      </c>
      <c r="Q690" t="str">
        <f>sales_data!F4151</f>
        <v>Красноярск</v>
      </c>
      <c r="R690" t="str">
        <f>sales_data!G4151</f>
        <v>Сибирский</v>
      </c>
      <c r="S690" t="str">
        <f>sales_data!H4151</f>
        <v>Ноутбуки</v>
      </c>
      <c r="T690" t="str">
        <f>sales_data!I4151</f>
        <v>Notebook Work</v>
      </c>
      <c r="U690" t="str">
        <f>sales_data!J4151</f>
        <v>Розница</v>
      </c>
      <c r="V690">
        <f>sales_data!K4151</f>
        <v>5</v>
      </c>
      <c r="W690">
        <f>sales_data!L4151</f>
        <v>73100</v>
      </c>
      <c r="X690">
        <f>sales_data!M4151</f>
        <v>365500</v>
      </c>
      <c r="Y690" t="str">
        <f>sales_data!N4151</f>
        <v>Офлайн-точка</v>
      </c>
      <c r="Z690" t="str">
        <f>sales_data!O4151</f>
        <v>Доставлен</v>
      </c>
    </row>
    <row r="691" spans="12:26" x14ac:dyDescent="0.25">
      <c r="L691">
        <f>sales_data!A4153</f>
        <v>741</v>
      </c>
      <c r="M691">
        <f>sales_data!B4153</f>
        <v>45896</v>
      </c>
      <c r="N691">
        <f>sales_data!C4153</f>
        <v>27</v>
      </c>
      <c r="O691" t="str">
        <f>sales_data!D4153</f>
        <v>Август</v>
      </c>
      <c r="P691" t="str">
        <f>sales_data!E4153</f>
        <v>Татьяна</v>
      </c>
      <c r="Q691" t="str">
        <f>sales_data!F4153</f>
        <v>Красноярск</v>
      </c>
      <c r="R691" t="str">
        <f>sales_data!G4153</f>
        <v>Сибирский</v>
      </c>
      <c r="S691" t="str">
        <f>sales_data!H4153</f>
        <v>Ноутбуки</v>
      </c>
      <c r="T691" t="str">
        <f>sales_data!I4153</f>
        <v>Notebook Pro</v>
      </c>
      <c r="U691" t="str">
        <f>sales_data!J4153</f>
        <v>Опт</v>
      </c>
      <c r="V691">
        <f>sales_data!K4153</f>
        <v>31</v>
      </c>
      <c r="W691">
        <f>sales_data!L4153</f>
        <v>73300</v>
      </c>
      <c r="X691">
        <f>sales_data!M4153</f>
        <v>2272300</v>
      </c>
      <c r="Y691" t="str">
        <f>sales_data!N4153</f>
        <v>Интернет-магазин</v>
      </c>
      <c r="Z691" t="str">
        <f>sales_data!O4153</f>
        <v>В пути</v>
      </c>
    </row>
    <row r="692" spans="12:26" x14ac:dyDescent="0.25">
      <c r="L692">
        <f>sales_data!A4154</f>
        <v>4477</v>
      </c>
      <c r="M692">
        <f>sales_data!B4154</f>
        <v>45910</v>
      </c>
      <c r="N692">
        <f>sales_data!C4154</f>
        <v>10</v>
      </c>
      <c r="O692" t="str">
        <f>sales_data!D4154</f>
        <v>Сентябрь</v>
      </c>
      <c r="P692" t="str">
        <f>sales_data!E4154</f>
        <v>Борис</v>
      </c>
      <c r="Q692" t="str">
        <f>sales_data!F4154</f>
        <v>Челябинск</v>
      </c>
      <c r="R692" t="str">
        <f>sales_data!G4154</f>
        <v>Уральский</v>
      </c>
      <c r="S692" t="str">
        <f>sales_data!H4154</f>
        <v>Ноутбуки</v>
      </c>
      <c r="T692" t="str">
        <f>sales_data!I4154</f>
        <v>Notebook Work</v>
      </c>
      <c r="U692" t="str">
        <f>sales_data!J4154</f>
        <v>Розница</v>
      </c>
      <c r="V692">
        <f>sales_data!K4154</f>
        <v>5</v>
      </c>
      <c r="W692">
        <f>sales_data!L4154</f>
        <v>73300</v>
      </c>
      <c r="X692">
        <f>sales_data!M4154</f>
        <v>366500</v>
      </c>
      <c r="Y692" t="str">
        <f>sales_data!N4154</f>
        <v>Интернет-магазин</v>
      </c>
      <c r="Z692" t="str">
        <f>sales_data!O4154</f>
        <v>Отменён</v>
      </c>
    </row>
    <row r="693" spans="12:26" x14ac:dyDescent="0.25">
      <c r="L693">
        <f>sales_data!A4174</f>
        <v>4043</v>
      </c>
      <c r="M693">
        <f>sales_data!B4174</f>
        <v>45707</v>
      </c>
      <c r="N693">
        <f>sales_data!C4174</f>
        <v>19</v>
      </c>
      <c r="O693" t="str">
        <f>sales_data!D4174</f>
        <v>Февраль</v>
      </c>
      <c r="P693" t="str">
        <f>sales_data!E4174</f>
        <v>Ольга</v>
      </c>
      <c r="Q693" t="str">
        <f>sales_data!F4174</f>
        <v>Новосибирск</v>
      </c>
      <c r="R693" t="str">
        <f>sales_data!G4174</f>
        <v>Сибирский</v>
      </c>
      <c r="S693" t="str">
        <f>sales_data!H4174</f>
        <v>Ноутбуки</v>
      </c>
      <c r="T693" t="str">
        <f>sales_data!I4174</f>
        <v>Notebook Pro</v>
      </c>
      <c r="U693" t="str">
        <f>sales_data!J4174</f>
        <v>Опт</v>
      </c>
      <c r="V693">
        <f>sales_data!K4174</f>
        <v>20</v>
      </c>
      <c r="W693">
        <f>sales_data!L4174</f>
        <v>74200</v>
      </c>
      <c r="X693">
        <f>sales_data!M4174</f>
        <v>1484000</v>
      </c>
      <c r="Y693" t="str">
        <f>sales_data!N4174</f>
        <v>Интернет-магазин</v>
      </c>
      <c r="Z693" t="str">
        <f>sales_data!O4174</f>
        <v>Отменён</v>
      </c>
    </row>
    <row r="694" spans="12:26" x14ac:dyDescent="0.25">
      <c r="L694">
        <f>sales_data!A4194</f>
        <v>3504</v>
      </c>
      <c r="M694">
        <f>sales_data!B4194</f>
        <v>45847</v>
      </c>
      <c r="N694">
        <f>sales_data!C4194</f>
        <v>9</v>
      </c>
      <c r="O694" t="str">
        <f>sales_data!D4194</f>
        <v>Июль</v>
      </c>
      <c r="P694" t="str">
        <f>sales_data!E4194</f>
        <v>Наталья</v>
      </c>
      <c r="Q694" t="str">
        <f>sales_data!F4194</f>
        <v>Пермь</v>
      </c>
      <c r="R694" t="str">
        <f>sales_data!G4194</f>
        <v>Приволжский</v>
      </c>
      <c r="S694" t="str">
        <f>sales_data!H4194</f>
        <v>Ноутбуки</v>
      </c>
      <c r="T694" t="str">
        <f>sales_data!I4194</f>
        <v>Notebook Work</v>
      </c>
      <c r="U694" t="str">
        <f>sales_data!J4194</f>
        <v>Розница</v>
      </c>
      <c r="V694">
        <f>sales_data!K4194</f>
        <v>6</v>
      </c>
      <c r="W694">
        <f>sales_data!L4194</f>
        <v>75200</v>
      </c>
      <c r="X694">
        <f>sales_data!M4194</f>
        <v>451200</v>
      </c>
      <c r="Y694" t="str">
        <f>sales_data!N4194</f>
        <v>Интернет-магазин</v>
      </c>
      <c r="Z694" t="str">
        <f>sales_data!O4194</f>
        <v>Отменён</v>
      </c>
    </row>
    <row r="695" spans="12:26" x14ac:dyDescent="0.25">
      <c r="L695">
        <f>sales_data!A4211</f>
        <v>133</v>
      </c>
      <c r="M695">
        <f>sales_data!B4211</f>
        <v>45854</v>
      </c>
      <c r="N695">
        <f>sales_data!C4211</f>
        <v>16</v>
      </c>
      <c r="O695" t="str">
        <f>sales_data!D4211</f>
        <v>Июль</v>
      </c>
      <c r="P695" t="str">
        <f>sales_data!E4211</f>
        <v>Владимир</v>
      </c>
      <c r="Q695" t="str">
        <f>sales_data!F4211</f>
        <v>Челябинск</v>
      </c>
      <c r="R695" t="str">
        <f>sales_data!G4211</f>
        <v>Уральский</v>
      </c>
      <c r="S695" t="str">
        <f>sales_data!H4211</f>
        <v>Ноутбуки</v>
      </c>
      <c r="T695" t="str">
        <f>sales_data!I4211</f>
        <v>Notebook Pro</v>
      </c>
      <c r="U695" t="str">
        <f>sales_data!J4211</f>
        <v>Опт</v>
      </c>
      <c r="V695">
        <f>sales_data!K4211</f>
        <v>41</v>
      </c>
      <c r="W695">
        <f>sales_data!L4211</f>
        <v>76500</v>
      </c>
      <c r="X695">
        <f>sales_data!M4211</f>
        <v>3136500</v>
      </c>
      <c r="Y695" t="str">
        <f>sales_data!N4211</f>
        <v>Офлайн-точка</v>
      </c>
      <c r="Z695" t="str">
        <f>sales_data!O4211</f>
        <v>Отменён</v>
      </c>
    </row>
    <row r="696" spans="12:26" x14ac:dyDescent="0.25">
      <c r="L696">
        <f>sales_data!A4218</f>
        <v>323</v>
      </c>
      <c r="M696">
        <f>sales_data!B4218</f>
        <v>45681</v>
      </c>
      <c r="N696">
        <f>sales_data!C4218</f>
        <v>24</v>
      </c>
      <c r="O696" t="str">
        <f>sales_data!D4218</f>
        <v>Январь</v>
      </c>
      <c r="P696" t="str">
        <f>sales_data!E4218</f>
        <v>Ксения</v>
      </c>
      <c r="Q696" t="str">
        <f>sales_data!F4218</f>
        <v>Санкт-Петербург</v>
      </c>
      <c r="R696" t="str">
        <f>sales_data!G4218</f>
        <v>Северо-Западный</v>
      </c>
      <c r="S696" t="str">
        <f>sales_data!H4218</f>
        <v>Серверы</v>
      </c>
      <c r="T696" t="str">
        <f>sales_data!I4218</f>
        <v>Storage NAS</v>
      </c>
      <c r="U696" t="str">
        <f>sales_data!J4218</f>
        <v>Розница</v>
      </c>
      <c r="V696">
        <f>sales_data!K4218</f>
        <v>3</v>
      </c>
      <c r="W696">
        <f>sales_data!L4218</f>
        <v>76700</v>
      </c>
      <c r="X696">
        <f>sales_data!M4218</f>
        <v>230100</v>
      </c>
      <c r="Y696" t="str">
        <f>sales_data!N4218</f>
        <v>Офлайн-точка</v>
      </c>
      <c r="Z696" t="str">
        <f>sales_data!O4218</f>
        <v>Доставлен</v>
      </c>
    </row>
    <row r="697" spans="12:26" x14ac:dyDescent="0.25">
      <c r="L697">
        <f>sales_data!A4222</f>
        <v>4862</v>
      </c>
      <c r="M697">
        <f>sales_data!B4222</f>
        <v>45682</v>
      </c>
      <c r="N697">
        <f>sales_data!C4222</f>
        <v>25</v>
      </c>
      <c r="O697" t="str">
        <f>sales_data!D4222</f>
        <v>Январь</v>
      </c>
      <c r="P697" t="str">
        <f>sales_data!E4222</f>
        <v>Алексей</v>
      </c>
      <c r="Q697" t="str">
        <f>sales_data!F4222</f>
        <v>Екатеринбург</v>
      </c>
      <c r="R697" t="str">
        <f>sales_data!G4222</f>
        <v>Уральский</v>
      </c>
      <c r="S697" t="str">
        <f>sales_data!H4222</f>
        <v>Серверы</v>
      </c>
      <c r="T697" t="str">
        <f>sales_data!I4222</f>
        <v>Storage NAS</v>
      </c>
      <c r="U697" t="str">
        <f>sales_data!J4222</f>
        <v>Розница</v>
      </c>
      <c r="V697">
        <f>sales_data!K4222</f>
        <v>1</v>
      </c>
      <c r="W697">
        <f>sales_data!L4222</f>
        <v>76700</v>
      </c>
      <c r="X697">
        <f>sales_data!M4222</f>
        <v>76700</v>
      </c>
      <c r="Y697" t="str">
        <f>sales_data!N4222</f>
        <v>Офлайн-точка</v>
      </c>
      <c r="Z697" t="str">
        <f>sales_data!O4222</f>
        <v>Доставлен</v>
      </c>
    </row>
    <row r="698" spans="12:26" x14ac:dyDescent="0.25">
      <c r="L698">
        <f>sales_data!A4226</f>
        <v>1412</v>
      </c>
      <c r="M698">
        <f>sales_data!B4226</f>
        <v>45953</v>
      </c>
      <c r="N698">
        <f>sales_data!C4226</f>
        <v>23</v>
      </c>
      <c r="O698" t="str">
        <f>sales_data!D4226</f>
        <v>Октябрь</v>
      </c>
      <c r="P698" t="str">
        <f>sales_data!E4226</f>
        <v>Анна</v>
      </c>
      <c r="Q698" t="str">
        <f>sales_data!F4226</f>
        <v>Екатеринбург</v>
      </c>
      <c r="R698" t="str">
        <f>sales_data!G4226</f>
        <v>Уральский</v>
      </c>
      <c r="S698" t="str">
        <f>sales_data!H4226</f>
        <v>Ноутбуки</v>
      </c>
      <c r="T698" t="str">
        <f>sales_data!I4226</f>
        <v>Notebook Work</v>
      </c>
      <c r="U698" t="str">
        <f>sales_data!J4226</f>
        <v>Розница</v>
      </c>
      <c r="V698">
        <f>sales_data!K4226</f>
        <v>8</v>
      </c>
      <c r="W698">
        <f>sales_data!L4226</f>
        <v>77100</v>
      </c>
      <c r="X698">
        <f>sales_data!M4226</f>
        <v>616800</v>
      </c>
      <c r="Y698" t="str">
        <f>sales_data!N4226</f>
        <v>Офлайн-точка</v>
      </c>
      <c r="Z698" t="str">
        <f>sales_data!O4226</f>
        <v>Доставлен</v>
      </c>
    </row>
    <row r="699" spans="12:26" x14ac:dyDescent="0.25">
      <c r="L699">
        <f>sales_data!A4230</f>
        <v>4910</v>
      </c>
      <c r="M699">
        <f>sales_data!B4230</f>
        <v>45834</v>
      </c>
      <c r="N699">
        <f>sales_data!C4230</f>
        <v>26</v>
      </c>
      <c r="O699" t="str">
        <f>sales_data!D4230</f>
        <v>Июнь</v>
      </c>
      <c r="P699" t="str">
        <f>sales_data!E4230</f>
        <v>Борис</v>
      </c>
      <c r="Q699" t="str">
        <f>sales_data!F4230</f>
        <v>Москва</v>
      </c>
      <c r="R699" t="str">
        <f>sales_data!G4230</f>
        <v>Центральный</v>
      </c>
      <c r="S699" t="str">
        <f>sales_data!H4230</f>
        <v>Ноутбуки</v>
      </c>
      <c r="T699" t="str">
        <f>sales_data!I4230</f>
        <v>Notebook Pro</v>
      </c>
      <c r="U699" t="str">
        <f>sales_data!J4230</f>
        <v>Опт</v>
      </c>
      <c r="V699">
        <f>sales_data!K4230</f>
        <v>5</v>
      </c>
      <c r="W699">
        <f>sales_data!L4230</f>
        <v>77400</v>
      </c>
      <c r="X699">
        <f>sales_data!M4230</f>
        <v>387000</v>
      </c>
      <c r="Y699" t="str">
        <f>sales_data!N4230</f>
        <v>Офлайн-точка</v>
      </c>
      <c r="Z699" t="str">
        <f>sales_data!O4230</f>
        <v>В пути</v>
      </c>
    </row>
    <row r="700" spans="12:26" x14ac:dyDescent="0.25">
      <c r="L700">
        <f>sales_data!A4242</f>
        <v>70</v>
      </c>
      <c r="M700">
        <f>sales_data!B4242</f>
        <v>45935</v>
      </c>
      <c r="N700">
        <f>sales_data!C4242</f>
        <v>5</v>
      </c>
      <c r="O700" t="str">
        <f>sales_data!D4242</f>
        <v>Октябрь</v>
      </c>
      <c r="P700" t="str">
        <f>sales_data!E4242</f>
        <v>Павел</v>
      </c>
      <c r="Q700" t="str">
        <f>sales_data!F4242</f>
        <v>Нижний Новгород</v>
      </c>
      <c r="R700" t="str">
        <f>sales_data!G4242</f>
        <v>Приволжский</v>
      </c>
      <c r="S700" t="str">
        <f>sales_data!H4242</f>
        <v>Ноутбуки</v>
      </c>
      <c r="T700" t="str">
        <f>sales_data!I4242</f>
        <v>Notebook Pro</v>
      </c>
      <c r="U700" t="str">
        <f>sales_data!J4242</f>
        <v>Опт</v>
      </c>
      <c r="V700">
        <f>sales_data!K4242</f>
        <v>29</v>
      </c>
      <c r="W700">
        <f>sales_data!L4242</f>
        <v>78100</v>
      </c>
      <c r="X700">
        <f>sales_data!M4242</f>
        <v>2264900</v>
      </c>
      <c r="Y700" t="str">
        <f>sales_data!N4242</f>
        <v>Интернет-магазин</v>
      </c>
      <c r="Z700" t="str">
        <f>sales_data!O4242</f>
        <v>Отменён</v>
      </c>
    </row>
    <row r="701" spans="12:26" x14ac:dyDescent="0.25">
      <c r="L701">
        <f>sales_data!A4251</f>
        <v>2350</v>
      </c>
      <c r="M701">
        <f>sales_data!B4251</f>
        <v>45715</v>
      </c>
      <c r="N701">
        <f>sales_data!C4251</f>
        <v>27</v>
      </c>
      <c r="O701" t="str">
        <f>sales_data!D4251</f>
        <v>Февраль</v>
      </c>
      <c r="P701" t="str">
        <f>sales_data!E4251</f>
        <v>Дмитрий</v>
      </c>
      <c r="Q701" t="str">
        <f>sales_data!F4251</f>
        <v>Челябинск</v>
      </c>
      <c r="R701" t="str">
        <f>sales_data!G4251</f>
        <v>Уральский</v>
      </c>
      <c r="S701" t="str">
        <f>sales_data!H4251</f>
        <v>Серверы</v>
      </c>
      <c r="T701" t="str">
        <f>sales_data!I4251</f>
        <v>Storage NAS</v>
      </c>
      <c r="U701" t="str">
        <f>sales_data!J4251</f>
        <v>Розница</v>
      </c>
      <c r="V701">
        <f>sales_data!K4251</f>
        <v>10</v>
      </c>
      <c r="W701">
        <f>sales_data!L4251</f>
        <v>78400</v>
      </c>
      <c r="X701">
        <f>sales_data!M4251</f>
        <v>784000</v>
      </c>
      <c r="Y701" t="str">
        <f>sales_data!N4251</f>
        <v>Интернет-магазин</v>
      </c>
      <c r="Z701" t="str">
        <f>sales_data!O4251</f>
        <v>Доставлен</v>
      </c>
    </row>
    <row r="702" spans="12:26" x14ac:dyDescent="0.25">
      <c r="L702">
        <f>sales_data!A4264</f>
        <v>548</v>
      </c>
      <c r="M702">
        <f>sales_data!B4264</f>
        <v>45855</v>
      </c>
      <c r="N702">
        <f>sales_data!C4264</f>
        <v>17</v>
      </c>
      <c r="O702" t="str">
        <f>sales_data!D4264</f>
        <v>Июль</v>
      </c>
      <c r="P702" t="str">
        <f>sales_data!E4264</f>
        <v>Елена</v>
      </c>
      <c r="Q702" t="str">
        <f>sales_data!F4264</f>
        <v>Самара</v>
      </c>
      <c r="R702" t="str">
        <f>sales_data!G4264</f>
        <v>Приволжский</v>
      </c>
      <c r="S702" t="str">
        <f>sales_data!H4264</f>
        <v>Серверы</v>
      </c>
      <c r="T702" t="str">
        <f>sales_data!I4264</f>
        <v>Storage NAS</v>
      </c>
      <c r="U702" t="str">
        <f>sales_data!J4264</f>
        <v>Розница</v>
      </c>
      <c r="V702">
        <f>sales_data!K4264</f>
        <v>9</v>
      </c>
      <c r="W702">
        <f>sales_data!L4264</f>
        <v>79200</v>
      </c>
      <c r="X702">
        <f>sales_data!M4264</f>
        <v>712800</v>
      </c>
      <c r="Y702" t="str">
        <f>sales_data!N4264</f>
        <v>Офлайн-точка</v>
      </c>
      <c r="Z702" t="str">
        <f>sales_data!O4264</f>
        <v>Отменён</v>
      </c>
    </row>
    <row r="703" spans="12:26" x14ac:dyDescent="0.25">
      <c r="L703">
        <f>sales_data!A4265</f>
        <v>1376</v>
      </c>
      <c r="M703">
        <f>sales_data!B4265</f>
        <v>46010</v>
      </c>
      <c r="N703">
        <f>sales_data!C4265</f>
        <v>19</v>
      </c>
      <c r="O703" t="str">
        <f>sales_data!D4265</f>
        <v>Декабрь</v>
      </c>
      <c r="P703" t="str">
        <f>sales_data!E4265</f>
        <v>Татьяна</v>
      </c>
      <c r="Q703" t="str">
        <f>sales_data!F4265</f>
        <v>Нижний Новгород</v>
      </c>
      <c r="R703" t="str">
        <f>sales_data!G4265</f>
        <v>Приволжский</v>
      </c>
      <c r="S703" t="str">
        <f>sales_data!H4265</f>
        <v>Серверы</v>
      </c>
      <c r="T703" t="str">
        <f>sales_data!I4265</f>
        <v>Storage NAS</v>
      </c>
      <c r="U703" t="str">
        <f>sales_data!J4265</f>
        <v>Розница</v>
      </c>
      <c r="V703">
        <f>sales_data!K4265</f>
        <v>2</v>
      </c>
      <c r="W703">
        <f>sales_data!L4265</f>
        <v>79200</v>
      </c>
      <c r="X703">
        <f>sales_data!M4265</f>
        <v>158400</v>
      </c>
      <c r="Y703" t="str">
        <f>sales_data!N4265</f>
        <v>Интернет-магазин</v>
      </c>
      <c r="Z703" t="str">
        <f>sales_data!O4265</f>
        <v>Доставлен</v>
      </c>
    </row>
    <row r="704" spans="12:26" x14ac:dyDescent="0.25">
      <c r="L704">
        <f>sales_data!A4269</f>
        <v>3184</v>
      </c>
      <c r="M704">
        <f>sales_data!B4269</f>
        <v>45942</v>
      </c>
      <c r="N704">
        <f>sales_data!C4269</f>
        <v>12</v>
      </c>
      <c r="O704" t="str">
        <f>sales_data!D4269</f>
        <v>Октябрь</v>
      </c>
      <c r="P704" t="str">
        <f>sales_data!E4269</f>
        <v>Ксения</v>
      </c>
      <c r="Q704" t="str">
        <f>sales_data!F4269</f>
        <v>Челябинск</v>
      </c>
      <c r="R704" t="str">
        <f>sales_data!G4269</f>
        <v>Уральский</v>
      </c>
      <c r="S704" t="str">
        <f>sales_data!H4269</f>
        <v>Ноутбуки</v>
      </c>
      <c r="T704" t="str">
        <f>sales_data!I4269</f>
        <v>Notebook Pro</v>
      </c>
      <c r="U704" t="str">
        <f>sales_data!J4269</f>
        <v>Опт</v>
      </c>
      <c r="V704">
        <f>sales_data!K4269</f>
        <v>38</v>
      </c>
      <c r="W704">
        <f>sales_data!L4269</f>
        <v>79400</v>
      </c>
      <c r="X704">
        <f>sales_data!M4269</f>
        <v>3017200</v>
      </c>
      <c r="Y704" t="str">
        <f>sales_data!N4269</f>
        <v>Офлайн-точка</v>
      </c>
      <c r="Z704" t="str">
        <f>sales_data!O4269</f>
        <v>Доставлен</v>
      </c>
    </row>
    <row r="705" spans="12:26" x14ac:dyDescent="0.25">
      <c r="L705">
        <f>sales_data!A4273</f>
        <v>451</v>
      </c>
      <c r="M705">
        <f>sales_data!B4273</f>
        <v>45899</v>
      </c>
      <c r="N705">
        <f>sales_data!C4273</f>
        <v>30</v>
      </c>
      <c r="O705" t="str">
        <f>sales_data!D4273</f>
        <v>Август</v>
      </c>
      <c r="P705" t="str">
        <f>sales_data!E4273</f>
        <v>Павел</v>
      </c>
      <c r="Q705" t="str">
        <f>sales_data!F4273</f>
        <v>Воронеж</v>
      </c>
      <c r="R705" t="str">
        <f>sales_data!G4273</f>
        <v>Центральный</v>
      </c>
      <c r="S705" t="str">
        <f>sales_data!H4273</f>
        <v>Серверы</v>
      </c>
      <c r="T705" t="str">
        <f>sales_data!I4273</f>
        <v>Storage NAS</v>
      </c>
      <c r="U705" t="str">
        <f>sales_data!J4273</f>
        <v>Розница</v>
      </c>
      <c r="V705">
        <f>sales_data!K4273</f>
        <v>9</v>
      </c>
      <c r="W705">
        <f>sales_data!L4273</f>
        <v>79700</v>
      </c>
      <c r="X705">
        <f>sales_data!M4273</f>
        <v>717300</v>
      </c>
      <c r="Y705" t="str">
        <f>sales_data!N4273</f>
        <v>Офлайн-точка</v>
      </c>
      <c r="Z705" t="str">
        <f>sales_data!O4273</f>
        <v>Доставлен</v>
      </c>
    </row>
    <row r="706" spans="12:26" x14ac:dyDescent="0.25">
      <c r="L706">
        <f>sales_data!A4275</f>
        <v>2777</v>
      </c>
      <c r="M706">
        <f>sales_data!B4275</f>
        <v>45718</v>
      </c>
      <c r="N706">
        <f>sales_data!C4275</f>
        <v>2</v>
      </c>
      <c r="O706" t="str">
        <f>sales_data!D4275</f>
        <v>Март</v>
      </c>
      <c r="P706" t="str">
        <f>sales_data!E4275</f>
        <v>Владимир</v>
      </c>
      <c r="Q706" t="str">
        <f>sales_data!F4275</f>
        <v>Воронеж</v>
      </c>
      <c r="R706" t="str">
        <f>sales_data!G4275</f>
        <v>Центральный</v>
      </c>
      <c r="S706" t="str">
        <f>sales_data!H4275</f>
        <v>Ноутбуки</v>
      </c>
      <c r="T706" t="str">
        <f>sales_data!I4275</f>
        <v>Notebook Pro</v>
      </c>
      <c r="U706" t="str">
        <f>sales_data!J4275</f>
        <v>Опт</v>
      </c>
      <c r="V706">
        <f>sales_data!K4275</f>
        <v>13</v>
      </c>
      <c r="W706">
        <f>sales_data!L4275</f>
        <v>79700</v>
      </c>
      <c r="X706">
        <f>sales_data!M4275</f>
        <v>1036100</v>
      </c>
      <c r="Y706" t="str">
        <f>sales_data!N4275</f>
        <v>Офлайн-точка</v>
      </c>
      <c r="Z706" t="str">
        <f>sales_data!O4275</f>
        <v>Доставлен</v>
      </c>
    </row>
    <row r="707" spans="12:26" x14ac:dyDescent="0.25">
      <c r="L707">
        <f>sales_data!A4279</f>
        <v>3317</v>
      </c>
      <c r="M707">
        <f>sales_data!B4279</f>
        <v>45947</v>
      </c>
      <c r="N707">
        <f>sales_data!C4279</f>
        <v>17</v>
      </c>
      <c r="O707" t="str">
        <f>sales_data!D4279</f>
        <v>Октябрь</v>
      </c>
      <c r="P707" t="str">
        <f>sales_data!E4279</f>
        <v>Мария</v>
      </c>
      <c r="Q707" t="str">
        <f>sales_data!F4279</f>
        <v>Санкт-Петербург</v>
      </c>
      <c r="R707" t="str">
        <f>sales_data!G4279</f>
        <v>Северо-Западный</v>
      </c>
      <c r="S707" t="str">
        <f>sales_data!H4279</f>
        <v>Серверы</v>
      </c>
      <c r="T707" t="str">
        <f>sales_data!I4279</f>
        <v>Storage NAS</v>
      </c>
      <c r="U707" t="str">
        <f>sales_data!J4279</f>
        <v>Розница</v>
      </c>
      <c r="V707">
        <f>sales_data!K4279</f>
        <v>4</v>
      </c>
      <c r="W707">
        <f>sales_data!L4279</f>
        <v>79800</v>
      </c>
      <c r="X707">
        <f>sales_data!M4279</f>
        <v>319200</v>
      </c>
      <c r="Y707" t="str">
        <f>sales_data!N4279</f>
        <v>Офлайн-точка</v>
      </c>
      <c r="Z707" t="str">
        <f>sales_data!O4279</f>
        <v>В пути</v>
      </c>
    </row>
    <row r="708" spans="12:26" x14ac:dyDescent="0.25">
      <c r="L708">
        <f>sales_data!A4280</f>
        <v>4710</v>
      </c>
      <c r="M708">
        <f>sales_data!B4280</f>
        <v>45928</v>
      </c>
      <c r="N708">
        <f>sales_data!C4280</f>
        <v>28</v>
      </c>
      <c r="O708" t="str">
        <f>sales_data!D4280</f>
        <v>Сентябрь</v>
      </c>
      <c r="P708" t="str">
        <f>sales_data!E4280</f>
        <v>Наталья</v>
      </c>
      <c r="Q708" t="str">
        <f>sales_data!F4280</f>
        <v>Краснодар</v>
      </c>
      <c r="R708" t="str">
        <f>sales_data!G4280</f>
        <v>Южный</v>
      </c>
      <c r="S708" t="str">
        <f>sales_data!H4280</f>
        <v>Серверы</v>
      </c>
      <c r="T708" t="str">
        <f>sales_data!I4280</f>
        <v>Storage NAS</v>
      </c>
      <c r="U708" t="str">
        <f>sales_data!J4280</f>
        <v>Розница</v>
      </c>
      <c r="V708">
        <f>sales_data!K4280</f>
        <v>10</v>
      </c>
      <c r="W708">
        <f>sales_data!L4280</f>
        <v>79800</v>
      </c>
      <c r="X708">
        <f>sales_data!M4280</f>
        <v>798000</v>
      </c>
      <c r="Y708" t="str">
        <f>sales_data!N4280</f>
        <v>Интернет-магазин</v>
      </c>
      <c r="Z708" t="str">
        <f>sales_data!O4280</f>
        <v>Доставлен</v>
      </c>
    </row>
    <row r="709" spans="12:26" x14ac:dyDescent="0.25">
      <c r="L709">
        <f>sales_data!A4285</f>
        <v>3907</v>
      </c>
      <c r="M709">
        <f>sales_data!B4285</f>
        <v>45828</v>
      </c>
      <c r="N709">
        <f>sales_data!C4285</f>
        <v>20</v>
      </c>
      <c r="O709" t="str">
        <f>sales_data!D4285</f>
        <v>Июнь</v>
      </c>
      <c r="P709" t="str">
        <f>sales_data!E4285</f>
        <v>Ксения</v>
      </c>
      <c r="Q709" t="str">
        <f>sales_data!F4285</f>
        <v>Новосибирск</v>
      </c>
      <c r="R709" t="str">
        <f>sales_data!G4285</f>
        <v>Сибирский</v>
      </c>
      <c r="S709" t="str">
        <f>sales_data!H4285</f>
        <v>Ноутбуки</v>
      </c>
      <c r="T709" t="str">
        <f>sales_data!I4285</f>
        <v>Notebook Work</v>
      </c>
      <c r="U709" t="str">
        <f>sales_data!J4285</f>
        <v>Розница</v>
      </c>
      <c r="V709">
        <f>sales_data!K4285</f>
        <v>7</v>
      </c>
      <c r="W709">
        <f>sales_data!L4285</f>
        <v>80000</v>
      </c>
      <c r="X709">
        <f>sales_data!M4285</f>
        <v>560000</v>
      </c>
      <c r="Y709" t="str">
        <f>sales_data!N4285</f>
        <v>Интернет-магазин</v>
      </c>
      <c r="Z709" t="str">
        <f>sales_data!O4285</f>
        <v>В пути</v>
      </c>
    </row>
    <row r="710" spans="12:26" x14ac:dyDescent="0.25">
      <c r="L710">
        <f>sales_data!A4294</f>
        <v>544</v>
      </c>
      <c r="M710">
        <f>sales_data!B4294</f>
        <v>45770</v>
      </c>
      <c r="N710">
        <f>sales_data!C4294</f>
        <v>23</v>
      </c>
      <c r="O710" t="str">
        <f>sales_data!D4294</f>
        <v>Апрель</v>
      </c>
      <c r="P710" t="str">
        <f>sales_data!E4294</f>
        <v>Светлана</v>
      </c>
      <c r="Q710" t="str">
        <f>sales_data!F4294</f>
        <v>Самара</v>
      </c>
      <c r="R710" t="str">
        <f>sales_data!G4294</f>
        <v>Приволжский</v>
      </c>
      <c r="S710" t="str">
        <f>sales_data!H4294</f>
        <v>Ноутбуки</v>
      </c>
      <c r="T710" t="str">
        <f>sales_data!I4294</f>
        <v>Notebook Work</v>
      </c>
      <c r="U710" t="str">
        <f>sales_data!J4294</f>
        <v>Розница</v>
      </c>
      <c r="V710">
        <f>sales_data!K4294</f>
        <v>7</v>
      </c>
      <c r="W710">
        <f>sales_data!L4294</f>
        <v>80400</v>
      </c>
      <c r="X710">
        <f>sales_data!M4294</f>
        <v>562800</v>
      </c>
      <c r="Y710" t="str">
        <f>sales_data!N4294</f>
        <v>Офлайн-точка</v>
      </c>
      <c r="Z710" t="str">
        <f>sales_data!O4294</f>
        <v>Доставлен</v>
      </c>
    </row>
    <row r="711" spans="12:26" x14ac:dyDescent="0.25">
      <c r="L711">
        <f>sales_data!A4309</f>
        <v>4729</v>
      </c>
      <c r="M711">
        <f>sales_data!B4309</f>
        <v>45668</v>
      </c>
      <c r="N711">
        <f>sales_data!C4309</f>
        <v>11</v>
      </c>
      <c r="O711" t="str">
        <f>sales_data!D4309</f>
        <v>Январь</v>
      </c>
      <c r="P711" t="str">
        <f>sales_data!E4309</f>
        <v>Алексей</v>
      </c>
      <c r="Q711" t="str">
        <f>sales_data!F4309</f>
        <v>Санкт-Петербург</v>
      </c>
      <c r="R711" t="str">
        <f>sales_data!G4309</f>
        <v>Северо-Западный</v>
      </c>
      <c r="S711" t="str">
        <f>sales_data!H4309</f>
        <v>Ноутбуки</v>
      </c>
      <c r="T711" t="str">
        <f>sales_data!I4309</f>
        <v>Notebook Work</v>
      </c>
      <c r="U711" t="str">
        <f>sales_data!J4309</f>
        <v>Розница</v>
      </c>
      <c r="V711">
        <f>sales_data!K4309</f>
        <v>7</v>
      </c>
      <c r="W711">
        <f>sales_data!L4309</f>
        <v>81000</v>
      </c>
      <c r="X711">
        <f>sales_data!M4309</f>
        <v>567000</v>
      </c>
      <c r="Y711" t="str">
        <f>sales_data!N4309</f>
        <v>Интернет-магазин</v>
      </c>
      <c r="Z711" t="str">
        <f>sales_data!O4309</f>
        <v>Отменён</v>
      </c>
    </row>
    <row r="712" spans="12:26" x14ac:dyDescent="0.25">
      <c r="L712">
        <f>sales_data!A4311</f>
        <v>3455</v>
      </c>
      <c r="M712">
        <f>sales_data!B4311</f>
        <v>45722</v>
      </c>
      <c r="N712">
        <f>sales_data!C4311</f>
        <v>6</v>
      </c>
      <c r="O712" t="str">
        <f>sales_data!D4311</f>
        <v>Март</v>
      </c>
      <c r="P712" t="str">
        <f>sales_data!E4311</f>
        <v>Владимир</v>
      </c>
      <c r="Q712" t="str">
        <f>sales_data!F4311</f>
        <v>Краснодар</v>
      </c>
      <c r="R712" t="str">
        <f>sales_data!G4311</f>
        <v>Южный</v>
      </c>
      <c r="S712" t="str">
        <f>sales_data!H4311</f>
        <v>Ноутбуки</v>
      </c>
      <c r="T712" t="str">
        <f>sales_data!I4311</f>
        <v>Notebook Pro</v>
      </c>
      <c r="U712" t="str">
        <f>sales_data!J4311</f>
        <v>Розница</v>
      </c>
      <c r="V712">
        <f>sales_data!K4311</f>
        <v>4</v>
      </c>
      <c r="W712">
        <f>sales_data!L4311</f>
        <v>81100</v>
      </c>
      <c r="X712">
        <f>sales_data!M4311</f>
        <v>324400</v>
      </c>
      <c r="Y712" t="str">
        <f>sales_data!N4311</f>
        <v>Интернет-магазин</v>
      </c>
      <c r="Z712" t="str">
        <f>sales_data!O4311</f>
        <v>Отменён</v>
      </c>
    </row>
    <row r="713" spans="12:26" x14ac:dyDescent="0.25">
      <c r="L713">
        <f>sales_data!A4318</f>
        <v>2026</v>
      </c>
      <c r="M713">
        <f>sales_data!B4318</f>
        <v>45939</v>
      </c>
      <c r="N713">
        <f>sales_data!C4318</f>
        <v>9</v>
      </c>
      <c r="O713" t="str">
        <f>sales_data!D4318</f>
        <v>Октябрь</v>
      </c>
      <c r="P713" t="str">
        <f>sales_data!E4318</f>
        <v>Ольга</v>
      </c>
      <c r="Q713" t="str">
        <f>sales_data!F4318</f>
        <v>Москва</v>
      </c>
      <c r="R713" t="str">
        <f>sales_data!G4318</f>
        <v>Центральный</v>
      </c>
      <c r="S713" t="str">
        <f>sales_data!H4318</f>
        <v>Ноутбуки</v>
      </c>
      <c r="T713" t="str">
        <f>sales_data!I4318</f>
        <v>Notebook Pro</v>
      </c>
      <c r="U713" t="str">
        <f>sales_data!J4318</f>
        <v>Опт</v>
      </c>
      <c r="V713">
        <f>sales_data!K4318</f>
        <v>36</v>
      </c>
      <c r="W713">
        <f>sales_data!L4318</f>
        <v>81500</v>
      </c>
      <c r="X713">
        <f>sales_data!M4318</f>
        <v>2934000</v>
      </c>
      <c r="Y713" t="str">
        <f>sales_data!N4318</f>
        <v>Офлайн-точка</v>
      </c>
      <c r="Z713" t="str">
        <f>sales_data!O4318</f>
        <v>Отменён</v>
      </c>
    </row>
    <row r="714" spans="12:26" x14ac:dyDescent="0.25">
      <c r="L714">
        <f>sales_data!A4324</f>
        <v>4191</v>
      </c>
      <c r="M714">
        <f>sales_data!B4324</f>
        <v>45779</v>
      </c>
      <c r="N714">
        <f>sales_data!C4324</f>
        <v>2</v>
      </c>
      <c r="O714" t="str">
        <f>sales_data!D4324</f>
        <v>Май</v>
      </c>
      <c r="P714" t="str">
        <f>sales_data!E4324</f>
        <v>Игорь</v>
      </c>
      <c r="Q714" t="str">
        <f>sales_data!F4324</f>
        <v>Уфа</v>
      </c>
      <c r="R714" t="str">
        <f>sales_data!G4324</f>
        <v>Приволжский</v>
      </c>
      <c r="S714" t="str">
        <f>sales_data!H4324</f>
        <v>Серверы</v>
      </c>
      <c r="T714" t="str">
        <f>sales_data!I4324</f>
        <v>Storage NAS</v>
      </c>
      <c r="U714" t="str">
        <f>sales_data!J4324</f>
        <v>Розница</v>
      </c>
      <c r="V714">
        <f>sales_data!K4324</f>
        <v>5</v>
      </c>
      <c r="W714">
        <f>sales_data!L4324</f>
        <v>81600</v>
      </c>
      <c r="X714">
        <f>sales_data!M4324</f>
        <v>408000</v>
      </c>
      <c r="Y714" t="str">
        <f>sales_data!N4324</f>
        <v>Офлайн-точка</v>
      </c>
      <c r="Z714" t="str">
        <f>sales_data!O4324</f>
        <v>Доставлен</v>
      </c>
    </row>
    <row r="715" spans="12:26" x14ac:dyDescent="0.25">
      <c r="L715">
        <f>sales_data!A4325</f>
        <v>1453</v>
      </c>
      <c r="M715">
        <f>sales_data!B4325</f>
        <v>45808</v>
      </c>
      <c r="N715">
        <f>sales_data!C4325</f>
        <v>31</v>
      </c>
      <c r="O715" t="str">
        <f>sales_data!D4325</f>
        <v>Май</v>
      </c>
      <c r="P715" t="str">
        <f>sales_data!E4325</f>
        <v>Анна</v>
      </c>
      <c r="Q715" t="str">
        <f>sales_data!F4325</f>
        <v>Челябинск</v>
      </c>
      <c r="R715" t="str">
        <f>sales_data!G4325</f>
        <v>Уральский</v>
      </c>
      <c r="S715" t="str">
        <f>sales_data!H4325</f>
        <v>Ноутбуки</v>
      </c>
      <c r="T715" t="str">
        <f>sales_data!I4325</f>
        <v>Notebook Pro</v>
      </c>
      <c r="U715" t="str">
        <f>sales_data!J4325</f>
        <v>Опт</v>
      </c>
      <c r="V715">
        <f>sales_data!K4325</f>
        <v>42</v>
      </c>
      <c r="W715">
        <f>sales_data!L4325</f>
        <v>81700</v>
      </c>
      <c r="X715">
        <f>sales_data!M4325</f>
        <v>3431400</v>
      </c>
      <c r="Y715" t="str">
        <f>sales_data!N4325</f>
        <v>Интернет-магазин</v>
      </c>
      <c r="Z715" t="str">
        <f>sales_data!O4325</f>
        <v>Доставлен</v>
      </c>
    </row>
    <row r="716" spans="12:26" x14ac:dyDescent="0.25">
      <c r="L716">
        <f>sales_data!A4326</f>
        <v>2286</v>
      </c>
      <c r="M716">
        <f>sales_data!B4326</f>
        <v>45739</v>
      </c>
      <c r="N716">
        <f>sales_data!C4326</f>
        <v>23</v>
      </c>
      <c r="O716" t="str">
        <f>sales_data!D4326</f>
        <v>Март</v>
      </c>
      <c r="P716" t="str">
        <f>sales_data!E4326</f>
        <v>Борис</v>
      </c>
      <c r="Q716" t="str">
        <f>sales_data!F4326</f>
        <v>Нижний Новгород</v>
      </c>
      <c r="R716" t="str">
        <f>sales_data!G4326</f>
        <v>Приволжский</v>
      </c>
      <c r="S716" t="str">
        <f>sales_data!H4326</f>
        <v>Серверы</v>
      </c>
      <c r="T716" t="str">
        <f>sales_data!I4326</f>
        <v>Storage NAS</v>
      </c>
      <c r="U716" t="str">
        <f>sales_data!J4326</f>
        <v>Розница</v>
      </c>
      <c r="V716">
        <f>sales_data!K4326</f>
        <v>6</v>
      </c>
      <c r="W716">
        <f>sales_data!L4326</f>
        <v>81800</v>
      </c>
      <c r="X716">
        <f>sales_data!M4326</f>
        <v>490800</v>
      </c>
      <c r="Y716" t="str">
        <f>sales_data!N4326</f>
        <v>Офлайн-точка</v>
      </c>
      <c r="Z716" t="str">
        <f>sales_data!O4326</f>
        <v>Доставлен</v>
      </c>
    </row>
    <row r="717" spans="12:26" x14ac:dyDescent="0.25">
      <c r="L717">
        <f>sales_data!A4335</f>
        <v>387</v>
      </c>
      <c r="M717">
        <f>sales_data!B4335</f>
        <v>45858</v>
      </c>
      <c r="N717">
        <f>sales_data!C4335</f>
        <v>20</v>
      </c>
      <c r="O717" t="str">
        <f>sales_data!D4335</f>
        <v>Июль</v>
      </c>
      <c r="P717" t="str">
        <f>sales_data!E4335</f>
        <v>Елена</v>
      </c>
      <c r="Q717" t="str">
        <f>sales_data!F4335</f>
        <v>Ростов-на-Дону</v>
      </c>
      <c r="R717" t="str">
        <f>sales_data!G4335</f>
        <v>Южный</v>
      </c>
      <c r="S717" t="str">
        <f>sales_data!H4335</f>
        <v>Ноутбуки</v>
      </c>
      <c r="T717" t="str">
        <f>sales_data!I4335</f>
        <v>Notebook Pro</v>
      </c>
      <c r="U717" t="str">
        <f>sales_data!J4335</f>
        <v>Опт</v>
      </c>
      <c r="V717">
        <f>sales_data!K4335</f>
        <v>29</v>
      </c>
      <c r="W717">
        <f>sales_data!L4335</f>
        <v>82100</v>
      </c>
      <c r="X717">
        <f>sales_data!M4335</f>
        <v>2380900</v>
      </c>
      <c r="Y717" t="str">
        <f>sales_data!N4335</f>
        <v>Интернет-магазин</v>
      </c>
      <c r="Z717" t="str">
        <f>sales_data!O4335</f>
        <v>Доставлен</v>
      </c>
    </row>
    <row r="718" spans="12:26" x14ac:dyDescent="0.25">
      <c r="L718">
        <f>sales_data!A4344</f>
        <v>3369</v>
      </c>
      <c r="M718">
        <f>sales_data!B4344</f>
        <v>45710</v>
      </c>
      <c r="N718">
        <f>sales_data!C4344</f>
        <v>22</v>
      </c>
      <c r="O718" t="str">
        <f>sales_data!D4344</f>
        <v>Февраль</v>
      </c>
      <c r="P718" t="str">
        <f>sales_data!E4344</f>
        <v>Игорь</v>
      </c>
      <c r="Q718" t="str">
        <f>sales_data!F4344</f>
        <v>Челябинск</v>
      </c>
      <c r="R718" t="str">
        <f>sales_data!G4344</f>
        <v>Уральский</v>
      </c>
      <c r="S718" t="str">
        <f>sales_data!H4344</f>
        <v>Ноутбуки</v>
      </c>
      <c r="T718" t="str">
        <f>sales_data!I4344</f>
        <v>Notebook Pro</v>
      </c>
      <c r="U718" t="str">
        <f>sales_data!J4344</f>
        <v>Опт</v>
      </c>
      <c r="V718">
        <f>sales_data!K4344</f>
        <v>46</v>
      </c>
      <c r="W718">
        <f>sales_data!L4344</f>
        <v>82400</v>
      </c>
      <c r="X718">
        <f>sales_data!M4344</f>
        <v>3790400</v>
      </c>
      <c r="Y718" t="str">
        <f>sales_data!N4344</f>
        <v>Офлайн-точка</v>
      </c>
      <c r="Z718" t="str">
        <f>sales_data!O4344</f>
        <v>Доставлен</v>
      </c>
    </row>
    <row r="719" spans="12:26" x14ac:dyDescent="0.25">
      <c r="L719">
        <f>sales_data!A4347</f>
        <v>1546</v>
      </c>
      <c r="M719">
        <f>sales_data!B4347</f>
        <v>45670</v>
      </c>
      <c r="N719">
        <f>sales_data!C4347</f>
        <v>13</v>
      </c>
      <c r="O719" t="str">
        <f>sales_data!D4347</f>
        <v>Январь</v>
      </c>
      <c r="P719" t="str">
        <f>sales_data!E4347</f>
        <v>Алексей</v>
      </c>
      <c r="Q719" t="str">
        <f>sales_data!F4347</f>
        <v>Казань</v>
      </c>
      <c r="R719" t="str">
        <f>sales_data!G4347</f>
        <v>Приволжский</v>
      </c>
      <c r="S719" t="str">
        <f>sales_data!H4347</f>
        <v>Ноутбуки</v>
      </c>
      <c r="T719" t="str">
        <f>sales_data!I4347</f>
        <v>Notebook Pro</v>
      </c>
      <c r="U719" t="str">
        <f>sales_data!J4347</f>
        <v>Опт</v>
      </c>
      <c r="V719">
        <f>sales_data!K4347</f>
        <v>32</v>
      </c>
      <c r="W719">
        <f>sales_data!L4347</f>
        <v>82600</v>
      </c>
      <c r="X719">
        <f>sales_data!M4347</f>
        <v>2643200</v>
      </c>
      <c r="Y719" t="str">
        <f>sales_data!N4347</f>
        <v>Офлайн-точка</v>
      </c>
      <c r="Z719" t="str">
        <f>sales_data!O4347</f>
        <v>Доставлен</v>
      </c>
    </row>
    <row r="720" spans="12:26" x14ac:dyDescent="0.25">
      <c r="L720">
        <f>sales_data!A4349</f>
        <v>3537</v>
      </c>
      <c r="M720">
        <f>sales_data!B4349</f>
        <v>46003</v>
      </c>
      <c r="N720">
        <f>sales_data!C4349</f>
        <v>12</v>
      </c>
      <c r="O720" t="str">
        <f>sales_data!D4349</f>
        <v>Декабрь</v>
      </c>
      <c r="P720" t="str">
        <f>sales_data!E4349</f>
        <v>Ольга</v>
      </c>
      <c r="Q720" t="str">
        <f>sales_data!F4349</f>
        <v>Ростов-на-Дону</v>
      </c>
      <c r="R720" t="str">
        <f>sales_data!G4349</f>
        <v>Южный</v>
      </c>
      <c r="S720" t="str">
        <f>sales_data!H4349</f>
        <v>Серверы</v>
      </c>
      <c r="T720" t="str">
        <f>sales_data!I4349</f>
        <v>Storage NAS</v>
      </c>
      <c r="U720" t="str">
        <f>sales_data!J4349</f>
        <v>Розница</v>
      </c>
      <c r="V720">
        <f>sales_data!K4349</f>
        <v>8</v>
      </c>
      <c r="W720">
        <f>sales_data!L4349</f>
        <v>82700</v>
      </c>
      <c r="X720">
        <f>sales_data!M4349</f>
        <v>661600</v>
      </c>
      <c r="Y720" t="str">
        <f>sales_data!N4349</f>
        <v>Интернет-магазин</v>
      </c>
      <c r="Z720" t="str">
        <f>sales_data!O4349</f>
        <v>Отменён</v>
      </c>
    </row>
    <row r="721" spans="12:26" x14ac:dyDescent="0.25">
      <c r="L721">
        <f>sales_data!A4350</f>
        <v>2129</v>
      </c>
      <c r="M721">
        <f>sales_data!B4350</f>
        <v>45911</v>
      </c>
      <c r="N721">
        <f>sales_data!C4350</f>
        <v>11</v>
      </c>
      <c r="O721" t="str">
        <f>sales_data!D4350</f>
        <v>Сентябрь</v>
      </c>
      <c r="P721" t="str">
        <f>sales_data!E4350</f>
        <v>Мария</v>
      </c>
      <c r="Q721" t="str">
        <f>sales_data!F4350</f>
        <v>Самара</v>
      </c>
      <c r="R721" t="str">
        <f>sales_data!G4350</f>
        <v>Приволжский</v>
      </c>
      <c r="S721" t="str">
        <f>sales_data!H4350</f>
        <v>Серверы</v>
      </c>
      <c r="T721" t="str">
        <f>sales_data!I4350</f>
        <v>Storage NAS</v>
      </c>
      <c r="U721" t="str">
        <f>sales_data!J4350</f>
        <v>Розница</v>
      </c>
      <c r="V721">
        <f>sales_data!K4350</f>
        <v>10</v>
      </c>
      <c r="W721">
        <f>sales_data!L4350</f>
        <v>82900</v>
      </c>
      <c r="X721">
        <f>sales_data!M4350</f>
        <v>829000</v>
      </c>
      <c r="Y721" t="str">
        <f>sales_data!N4350</f>
        <v>Интернет-магазин</v>
      </c>
      <c r="Z721" t="str">
        <f>sales_data!O4350</f>
        <v>Отменён</v>
      </c>
    </row>
    <row r="722" spans="12:26" x14ac:dyDescent="0.25">
      <c r="L722">
        <f>sales_data!A4355</f>
        <v>2943</v>
      </c>
      <c r="M722">
        <f>sales_data!B4355</f>
        <v>45709</v>
      </c>
      <c r="N722">
        <f>sales_data!C4355</f>
        <v>21</v>
      </c>
      <c r="O722" t="str">
        <f>sales_data!D4355</f>
        <v>Февраль</v>
      </c>
      <c r="P722" t="str">
        <f>sales_data!E4355</f>
        <v>Анна</v>
      </c>
      <c r="Q722" t="str">
        <f>sales_data!F4355</f>
        <v>Казань</v>
      </c>
      <c r="R722" t="str">
        <f>sales_data!G4355</f>
        <v>Приволжский</v>
      </c>
      <c r="S722" t="str">
        <f>sales_data!H4355</f>
        <v>Ноутбуки</v>
      </c>
      <c r="T722" t="str">
        <f>sales_data!I4355</f>
        <v>Notebook Pro</v>
      </c>
      <c r="U722" t="str">
        <f>sales_data!J4355</f>
        <v>Опт</v>
      </c>
      <c r="V722">
        <f>sales_data!K4355</f>
        <v>24</v>
      </c>
      <c r="W722">
        <f>sales_data!L4355</f>
        <v>83300</v>
      </c>
      <c r="X722">
        <f>sales_data!M4355</f>
        <v>1999200</v>
      </c>
      <c r="Y722" t="str">
        <f>sales_data!N4355</f>
        <v>Интернет-магазин</v>
      </c>
      <c r="Z722" t="str">
        <f>sales_data!O4355</f>
        <v>Отменён</v>
      </c>
    </row>
    <row r="723" spans="12:26" x14ac:dyDescent="0.25">
      <c r="L723">
        <f>sales_data!A4358</f>
        <v>1984</v>
      </c>
      <c r="M723">
        <f>sales_data!B4358</f>
        <v>45731</v>
      </c>
      <c r="N723">
        <f>sales_data!C4358</f>
        <v>15</v>
      </c>
      <c r="O723" t="str">
        <f>sales_data!D4358</f>
        <v>Март</v>
      </c>
      <c r="P723" t="str">
        <f>sales_data!E4358</f>
        <v>Ксения</v>
      </c>
      <c r="Q723" t="str">
        <f>sales_data!F4358</f>
        <v>Санкт-Петербург</v>
      </c>
      <c r="R723" t="str">
        <f>sales_data!G4358</f>
        <v>Северо-Западный</v>
      </c>
      <c r="S723" t="str">
        <f>sales_data!H4358</f>
        <v>Серверы</v>
      </c>
      <c r="T723" t="str">
        <f>sales_data!I4358</f>
        <v>Storage NAS</v>
      </c>
      <c r="U723" t="str">
        <f>sales_data!J4358</f>
        <v>Розница</v>
      </c>
      <c r="V723">
        <f>sales_data!K4358</f>
        <v>7</v>
      </c>
      <c r="W723">
        <f>sales_data!L4358</f>
        <v>83400</v>
      </c>
      <c r="X723">
        <f>sales_data!M4358</f>
        <v>583800</v>
      </c>
      <c r="Y723" t="str">
        <f>sales_data!N4358</f>
        <v>Офлайн-точка</v>
      </c>
      <c r="Z723" t="str">
        <f>sales_data!O4358</f>
        <v>Доставлен</v>
      </c>
    </row>
    <row r="724" spans="12:26" x14ac:dyDescent="0.25">
      <c r="L724">
        <f>sales_data!A4360</f>
        <v>2462</v>
      </c>
      <c r="M724">
        <f>sales_data!B4360</f>
        <v>45714</v>
      </c>
      <c r="N724">
        <f>sales_data!C4360</f>
        <v>26</v>
      </c>
      <c r="O724" t="str">
        <f>sales_data!D4360</f>
        <v>Февраль</v>
      </c>
      <c r="P724" t="str">
        <f>sales_data!E4360</f>
        <v>Ксения</v>
      </c>
      <c r="Q724" t="str">
        <f>sales_data!F4360</f>
        <v>Казань</v>
      </c>
      <c r="R724" t="str">
        <f>sales_data!G4360</f>
        <v>Приволжский</v>
      </c>
      <c r="S724" t="str">
        <f>sales_data!H4360</f>
        <v>Ноутбуки</v>
      </c>
      <c r="T724" t="str">
        <f>sales_data!I4360</f>
        <v>Notebook Pro</v>
      </c>
      <c r="U724" t="str">
        <f>sales_data!J4360</f>
        <v>Опт</v>
      </c>
      <c r="V724">
        <f>sales_data!K4360</f>
        <v>19</v>
      </c>
      <c r="W724">
        <f>sales_data!L4360</f>
        <v>83700</v>
      </c>
      <c r="X724">
        <f>sales_data!M4360</f>
        <v>1590300</v>
      </c>
      <c r="Y724" t="str">
        <f>sales_data!N4360</f>
        <v>Офлайн-точка</v>
      </c>
      <c r="Z724" t="str">
        <f>sales_data!O4360</f>
        <v>В пути</v>
      </c>
    </row>
    <row r="725" spans="12:26" x14ac:dyDescent="0.25">
      <c r="L725">
        <f>sales_data!A4361</f>
        <v>4829</v>
      </c>
      <c r="M725">
        <f>sales_data!B4361</f>
        <v>45736</v>
      </c>
      <c r="N725">
        <f>sales_data!C4361</f>
        <v>20</v>
      </c>
      <c r="O725" t="str">
        <f>sales_data!D4361</f>
        <v>Март</v>
      </c>
      <c r="P725" t="str">
        <f>sales_data!E4361</f>
        <v>Елена</v>
      </c>
      <c r="Q725" t="str">
        <f>sales_data!F4361</f>
        <v>Санкт-Петербург</v>
      </c>
      <c r="R725" t="str">
        <f>sales_data!G4361</f>
        <v>Северо-Западный</v>
      </c>
      <c r="S725" t="str">
        <f>sales_data!H4361</f>
        <v>Серверы</v>
      </c>
      <c r="T725" t="str">
        <f>sales_data!I4361</f>
        <v>Storage NAS</v>
      </c>
      <c r="U725" t="str">
        <f>sales_data!J4361</f>
        <v>Розница</v>
      </c>
      <c r="V725">
        <f>sales_data!K4361</f>
        <v>9</v>
      </c>
      <c r="W725">
        <f>sales_data!L4361</f>
        <v>83700</v>
      </c>
      <c r="X725">
        <f>sales_data!M4361</f>
        <v>753300</v>
      </c>
      <c r="Y725" t="str">
        <f>sales_data!N4361</f>
        <v>Интернет-магазин</v>
      </c>
      <c r="Z725" t="str">
        <f>sales_data!O4361</f>
        <v>В пути</v>
      </c>
    </row>
    <row r="726" spans="12:26" x14ac:dyDescent="0.25">
      <c r="L726">
        <f>sales_data!A4362</f>
        <v>1186</v>
      </c>
      <c r="M726">
        <f>sales_data!B4362</f>
        <v>46021</v>
      </c>
      <c r="N726">
        <f>sales_data!C4362</f>
        <v>30</v>
      </c>
      <c r="O726" t="str">
        <f>sales_data!D4362</f>
        <v>Декабрь</v>
      </c>
      <c r="P726" t="str">
        <f>sales_data!E4362</f>
        <v>Павел</v>
      </c>
      <c r="Q726" t="str">
        <f>sales_data!F4362</f>
        <v>Ростов-на-Дону</v>
      </c>
      <c r="R726" t="str">
        <f>sales_data!G4362</f>
        <v>Южный</v>
      </c>
      <c r="S726" t="str">
        <f>sales_data!H4362</f>
        <v>Серверы</v>
      </c>
      <c r="T726" t="str">
        <f>sales_data!I4362</f>
        <v>Storage NAS</v>
      </c>
      <c r="U726" t="str">
        <f>sales_data!J4362</f>
        <v>Розница</v>
      </c>
      <c r="V726">
        <f>sales_data!K4362</f>
        <v>7</v>
      </c>
      <c r="W726">
        <f>sales_data!L4362</f>
        <v>83800</v>
      </c>
      <c r="X726">
        <f>sales_data!M4362</f>
        <v>586600</v>
      </c>
      <c r="Y726" t="str">
        <f>sales_data!N4362</f>
        <v>Офлайн-точка</v>
      </c>
      <c r="Z726" t="str">
        <f>sales_data!O4362</f>
        <v>Отменён</v>
      </c>
    </row>
    <row r="727" spans="12:26" x14ac:dyDescent="0.25">
      <c r="L727">
        <f>sales_data!A4365</f>
        <v>2071</v>
      </c>
      <c r="M727">
        <f>sales_data!B4365</f>
        <v>45996</v>
      </c>
      <c r="N727">
        <f>sales_data!C4365</f>
        <v>5</v>
      </c>
      <c r="O727" t="str">
        <f>sales_data!D4365</f>
        <v>Декабрь</v>
      </c>
      <c r="P727" t="str">
        <f>sales_data!E4365</f>
        <v>Алексей</v>
      </c>
      <c r="Q727" t="str">
        <f>sales_data!F4365</f>
        <v>Челябинск</v>
      </c>
      <c r="R727" t="str">
        <f>sales_data!G4365</f>
        <v>Уральский</v>
      </c>
      <c r="S727" t="str">
        <f>sales_data!H4365</f>
        <v>Серверы</v>
      </c>
      <c r="T727" t="str">
        <f>sales_data!I4365</f>
        <v>Storage NAS</v>
      </c>
      <c r="U727" t="str">
        <f>sales_data!J4365</f>
        <v>Розница</v>
      </c>
      <c r="V727">
        <f>sales_data!K4365</f>
        <v>3</v>
      </c>
      <c r="W727">
        <f>sales_data!L4365</f>
        <v>83900</v>
      </c>
      <c r="X727">
        <f>sales_data!M4365</f>
        <v>251700</v>
      </c>
      <c r="Y727" t="str">
        <f>sales_data!N4365</f>
        <v>Интернет-магазин</v>
      </c>
      <c r="Z727" t="str">
        <f>sales_data!O4365</f>
        <v>Доставлен</v>
      </c>
    </row>
    <row r="728" spans="12:26" x14ac:dyDescent="0.25">
      <c r="L728">
        <f>sales_data!A4371</f>
        <v>1630</v>
      </c>
      <c r="M728">
        <f>sales_data!B4371</f>
        <v>45984</v>
      </c>
      <c r="N728">
        <f>sales_data!C4371</f>
        <v>23</v>
      </c>
      <c r="O728" t="str">
        <f>sales_data!D4371</f>
        <v>Ноябрь</v>
      </c>
      <c r="P728" t="str">
        <f>sales_data!E4371</f>
        <v>Игорь</v>
      </c>
      <c r="Q728" t="str">
        <f>sales_data!F4371</f>
        <v>Челябинск</v>
      </c>
      <c r="R728" t="str">
        <f>sales_data!G4371</f>
        <v>Уральский</v>
      </c>
      <c r="S728" t="str">
        <f>sales_data!H4371</f>
        <v>Ноутбуки</v>
      </c>
      <c r="T728" t="str">
        <f>sales_data!I4371</f>
        <v>Notebook Pro</v>
      </c>
      <c r="U728" t="str">
        <f>sales_data!J4371</f>
        <v>Опт</v>
      </c>
      <c r="V728">
        <f>sales_data!K4371</f>
        <v>48</v>
      </c>
      <c r="W728">
        <f>sales_data!L4371</f>
        <v>84200</v>
      </c>
      <c r="X728">
        <f>sales_data!M4371</f>
        <v>4041600</v>
      </c>
      <c r="Y728" t="str">
        <f>sales_data!N4371</f>
        <v>Интернет-магазин</v>
      </c>
      <c r="Z728" t="str">
        <f>sales_data!O4371</f>
        <v>Отменён</v>
      </c>
    </row>
    <row r="729" spans="12:26" x14ac:dyDescent="0.25">
      <c r="L729">
        <f>sales_data!A4373</f>
        <v>4931</v>
      </c>
      <c r="M729">
        <f>sales_data!B4373</f>
        <v>45941</v>
      </c>
      <c r="N729">
        <f>sales_data!C4373</f>
        <v>11</v>
      </c>
      <c r="O729" t="str">
        <f>sales_data!D4373</f>
        <v>Октябрь</v>
      </c>
      <c r="P729" t="str">
        <f>sales_data!E4373</f>
        <v>Елена</v>
      </c>
      <c r="Q729" t="str">
        <f>sales_data!F4373</f>
        <v>Красноярск</v>
      </c>
      <c r="R729" t="str">
        <f>sales_data!G4373</f>
        <v>Сибирский</v>
      </c>
      <c r="S729" t="str">
        <f>sales_data!H4373</f>
        <v>Серверы</v>
      </c>
      <c r="T729" t="str">
        <f>sales_data!I4373</f>
        <v>Storage NAS</v>
      </c>
      <c r="U729" t="str">
        <f>sales_data!J4373</f>
        <v>Розница</v>
      </c>
      <c r="V729">
        <f>sales_data!K4373</f>
        <v>5</v>
      </c>
      <c r="W729">
        <f>sales_data!L4373</f>
        <v>84400</v>
      </c>
      <c r="X729">
        <f>sales_data!M4373</f>
        <v>422000</v>
      </c>
      <c r="Y729" t="str">
        <f>sales_data!N4373</f>
        <v>Офлайн-точка</v>
      </c>
      <c r="Z729" t="str">
        <f>sales_data!O4373</f>
        <v>Доставлен</v>
      </c>
    </row>
    <row r="730" spans="12:26" x14ac:dyDescent="0.25">
      <c r="L730">
        <f>sales_data!A4374</f>
        <v>956</v>
      </c>
      <c r="M730">
        <f>sales_data!B4374</f>
        <v>45940</v>
      </c>
      <c r="N730">
        <f>sales_data!C4374</f>
        <v>10</v>
      </c>
      <c r="O730" t="str">
        <f>sales_data!D4374</f>
        <v>Октябрь</v>
      </c>
      <c r="P730" t="str">
        <f>sales_data!E4374</f>
        <v>Ольга</v>
      </c>
      <c r="Q730" t="str">
        <f>sales_data!F4374</f>
        <v>Екатеринбург</v>
      </c>
      <c r="R730" t="str">
        <f>sales_data!G4374</f>
        <v>Уральский</v>
      </c>
      <c r="S730" t="str">
        <f>sales_data!H4374</f>
        <v>Серверы</v>
      </c>
      <c r="T730" t="str">
        <f>sales_data!I4374</f>
        <v>Storage NAS</v>
      </c>
      <c r="U730" t="str">
        <f>sales_data!J4374</f>
        <v>Розница</v>
      </c>
      <c r="V730">
        <f>sales_data!K4374</f>
        <v>9</v>
      </c>
      <c r="W730">
        <f>sales_data!L4374</f>
        <v>84500</v>
      </c>
      <c r="X730">
        <f>sales_data!M4374</f>
        <v>760500</v>
      </c>
      <c r="Y730" t="str">
        <f>sales_data!N4374</f>
        <v>Интернет-магазин</v>
      </c>
      <c r="Z730" t="str">
        <f>sales_data!O4374</f>
        <v>В пути</v>
      </c>
    </row>
    <row r="731" spans="12:26" x14ac:dyDescent="0.25">
      <c r="L731">
        <f>sales_data!A4375</f>
        <v>1486</v>
      </c>
      <c r="M731">
        <f>sales_data!B4375</f>
        <v>45968</v>
      </c>
      <c r="N731">
        <f>sales_data!C4375</f>
        <v>7</v>
      </c>
      <c r="O731" t="str">
        <f>sales_data!D4375</f>
        <v>Ноябрь</v>
      </c>
      <c r="P731" t="str">
        <f>sales_data!E4375</f>
        <v>Татьяна</v>
      </c>
      <c r="Q731" t="str">
        <f>sales_data!F4375</f>
        <v>Пермь</v>
      </c>
      <c r="R731" t="str">
        <f>sales_data!G4375</f>
        <v>Приволжский</v>
      </c>
      <c r="S731" t="str">
        <f>sales_data!H4375</f>
        <v>Ноутбуки</v>
      </c>
      <c r="T731" t="str">
        <f>sales_data!I4375</f>
        <v>Notebook Pro</v>
      </c>
      <c r="U731" t="str">
        <f>sales_data!J4375</f>
        <v>Опт</v>
      </c>
      <c r="V731">
        <f>sales_data!K4375</f>
        <v>11</v>
      </c>
      <c r="W731">
        <f>sales_data!L4375</f>
        <v>84500</v>
      </c>
      <c r="X731">
        <f>sales_data!M4375</f>
        <v>929500</v>
      </c>
      <c r="Y731" t="str">
        <f>sales_data!N4375</f>
        <v>Офлайн-точка</v>
      </c>
      <c r="Z731" t="str">
        <f>sales_data!O4375</f>
        <v>В пути</v>
      </c>
    </row>
    <row r="732" spans="12:26" x14ac:dyDescent="0.25">
      <c r="L732">
        <f>sales_data!A4386</f>
        <v>1426</v>
      </c>
      <c r="M732">
        <f>sales_data!B4386</f>
        <v>45736</v>
      </c>
      <c r="N732">
        <f>sales_data!C4386</f>
        <v>20</v>
      </c>
      <c r="O732" t="str">
        <f>sales_data!D4386</f>
        <v>Март</v>
      </c>
      <c r="P732" t="str">
        <f>sales_data!E4386</f>
        <v>Владимир</v>
      </c>
      <c r="Q732" t="str">
        <f>sales_data!F4386</f>
        <v>Самара</v>
      </c>
      <c r="R732" t="str">
        <f>sales_data!G4386</f>
        <v>Приволжский</v>
      </c>
      <c r="S732" t="str">
        <f>sales_data!H4386</f>
        <v>Ноутбуки</v>
      </c>
      <c r="T732" t="str">
        <f>sales_data!I4386</f>
        <v>Notebook Pro</v>
      </c>
      <c r="U732" t="str">
        <f>sales_data!J4386</f>
        <v>Розница</v>
      </c>
      <c r="V732">
        <f>sales_data!K4386</f>
        <v>6</v>
      </c>
      <c r="W732">
        <f>sales_data!L4386</f>
        <v>85700</v>
      </c>
      <c r="X732">
        <f>sales_data!M4386</f>
        <v>514200</v>
      </c>
      <c r="Y732" t="str">
        <f>sales_data!N4386</f>
        <v>Офлайн-точка</v>
      </c>
      <c r="Z732" t="str">
        <f>sales_data!O4386</f>
        <v>В пути</v>
      </c>
    </row>
    <row r="733" spans="12:26" x14ac:dyDescent="0.25">
      <c r="L733">
        <f>sales_data!A4399</f>
        <v>863</v>
      </c>
      <c r="M733">
        <f>sales_data!B4399</f>
        <v>46012</v>
      </c>
      <c r="N733">
        <f>sales_data!C4399</f>
        <v>21</v>
      </c>
      <c r="O733" t="str">
        <f>sales_data!D4399</f>
        <v>Декабрь</v>
      </c>
      <c r="P733" t="str">
        <f>sales_data!E4399</f>
        <v>Наталья</v>
      </c>
      <c r="Q733" t="str">
        <f>sales_data!F4399</f>
        <v>Воронеж</v>
      </c>
      <c r="R733" t="str">
        <f>sales_data!G4399</f>
        <v>Центральный</v>
      </c>
      <c r="S733" t="str">
        <f>sales_data!H4399</f>
        <v>Ноутбуки</v>
      </c>
      <c r="T733" t="str">
        <f>sales_data!I4399</f>
        <v>Notebook Pro</v>
      </c>
      <c r="U733" t="str">
        <f>sales_data!J4399</f>
        <v>Опт</v>
      </c>
      <c r="V733">
        <f>sales_data!K4399</f>
        <v>10</v>
      </c>
      <c r="W733">
        <f>sales_data!L4399</f>
        <v>87000</v>
      </c>
      <c r="X733">
        <f>sales_data!M4399</f>
        <v>870000</v>
      </c>
      <c r="Y733" t="str">
        <f>sales_data!N4399</f>
        <v>Интернет-магазин</v>
      </c>
      <c r="Z733" t="str">
        <f>sales_data!O4399</f>
        <v>В пути</v>
      </c>
    </row>
    <row r="734" spans="12:26" x14ac:dyDescent="0.25">
      <c r="L734">
        <f>sales_data!A4403</f>
        <v>864</v>
      </c>
      <c r="M734">
        <f>sales_data!B4403</f>
        <v>45749</v>
      </c>
      <c r="N734">
        <f>sales_data!C4403</f>
        <v>2</v>
      </c>
      <c r="O734" t="str">
        <f>sales_data!D4403</f>
        <v>Апрель</v>
      </c>
      <c r="P734" t="str">
        <f>sales_data!E4403</f>
        <v>Елена</v>
      </c>
      <c r="Q734" t="str">
        <f>sales_data!F4403</f>
        <v>Санкт-Петербург</v>
      </c>
      <c r="R734" t="str">
        <f>sales_data!G4403</f>
        <v>Северо-Западный</v>
      </c>
      <c r="S734" t="str">
        <f>sales_data!H4403</f>
        <v>Ноутбуки</v>
      </c>
      <c r="T734" t="str">
        <f>sales_data!I4403</f>
        <v>Notebook Pro</v>
      </c>
      <c r="U734" t="str">
        <f>sales_data!J4403</f>
        <v>Опт</v>
      </c>
      <c r="V734">
        <f>sales_data!K4403</f>
        <v>12</v>
      </c>
      <c r="W734">
        <f>sales_data!L4403</f>
        <v>88000</v>
      </c>
      <c r="X734">
        <f>sales_data!M4403</f>
        <v>1056000</v>
      </c>
      <c r="Y734" t="str">
        <f>sales_data!N4403</f>
        <v>Интернет-магазин</v>
      </c>
      <c r="Z734" t="str">
        <f>sales_data!O4403</f>
        <v>В пути</v>
      </c>
    </row>
    <row r="735" spans="12:26" x14ac:dyDescent="0.25">
      <c r="L735">
        <f>sales_data!A4415</f>
        <v>4895</v>
      </c>
      <c r="M735">
        <f>sales_data!B4415</f>
        <v>45721</v>
      </c>
      <c r="N735">
        <f>sales_data!C4415</f>
        <v>5</v>
      </c>
      <c r="O735" t="str">
        <f>sales_data!D4415</f>
        <v>Март</v>
      </c>
      <c r="P735" t="str">
        <f>sales_data!E4415</f>
        <v>Татьяна</v>
      </c>
      <c r="Q735" t="str">
        <f>sales_data!F4415</f>
        <v>Нижний Новгород</v>
      </c>
      <c r="R735" t="str">
        <f>sales_data!G4415</f>
        <v>Приволжский</v>
      </c>
      <c r="S735" t="str">
        <f>sales_data!H4415</f>
        <v>Ноутбуки</v>
      </c>
      <c r="T735" t="str">
        <f>sales_data!I4415</f>
        <v>Notebook Pro</v>
      </c>
      <c r="U735" t="str">
        <f>sales_data!J4415</f>
        <v>Розница</v>
      </c>
      <c r="V735">
        <f>sales_data!K4415</f>
        <v>6</v>
      </c>
      <c r="W735">
        <f>sales_data!L4415</f>
        <v>89900</v>
      </c>
      <c r="X735">
        <f>sales_data!M4415</f>
        <v>539400</v>
      </c>
      <c r="Y735" t="str">
        <f>sales_data!N4415</f>
        <v>Интернет-магазин</v>
      </c>
      <c r="Z735" t="str">
        <f>sales_data!O4415</f>
        <v>Отменён</v>
      </c>
    </row>
    <row r="736" spans="12:26" x14ac:dyDescent="0.25">
      <c r="L736">
        <f>sales_data!A4423</f>
        <v>3257</v>
      </c>
      <c r="M736">
        <f>sales_data!B4423</f>
        <v>45920</v>
      </c>
      <c r="N736">
        <f>sales_data!C4423</f>
        <v>20</v>
      </c>
      <c r="O736" t="str">
        <f>sales_data!D4423</f>
        <v>Сентябрь</v>
      </c>
      <c r="P736" t="str">
        <f>sales_data!E4423</f>
        <v>Татьяна</v>
      </c>
      <c r="Q736" t="str">
        <f>sales_data!F4423</f>
        <v>Нижний Новгород</v>
      </c>
      <c r="R736" t="str">
        <f>sales_data!G4423</f>
        <v>Приволжский</v>
      </c>
      <c r="S736" t="str">
        <f>sales_data!H4423</f>
        <v>Ноутбуки</v>
      </c>
      <c r="T736" t="str">
        <f>sales_data!I4423</f>
        <v>Notebook Pro</v>
      </c>
      <c r="U736" t="str">
        <f>sales_data!J4423</f>
        <v>Розница</v>
      </c>
      <c r="V736">
        <f>sales_data!K4423</f>
        <v>6</v>
      </c>
      <c r="W736">
        <f>sales_data!L4423</f>
        <v>90800</v>
      </c>
      <c r="X736">
        <f>sales_data!M4423</f>
        <v>544800</v>
      </c>
      <c r="Y736" t="str">
        <f>sales_data!N4423</f>
        <v>Интернет-магазин</v>
      </c>
      <c r="Z736" t="str">
        <f>sales_data!O4423</f>
        <v>Отменён</v>
      </c>
    </row>
    <row r="737" spans="12:26" x14ac:dyDescent="0.25">
      <c r="L737">
        <f>sales_data!A4425</f>
        <v>3914</v>
      </c>
      <c r="M737">
        <f>sales_data!B4425</f>
        <v>45699</v>
      </c>
      <c r="N737">
        <f>sales_data!C4425</f>
        <v>11</v>
      </c>
      <c r="O737" t="str">
        <f>sales_data!D4425</f>
        <v>Февраль</v>
      </c>
      <c r="P737" t="str">
        <f>sales_data!E4425</f>
        <v>Елена</v>
      </c>
      <c r="Q737" t="str">
        <f>sales_data!F4425</f>
        <v>Москва</v>
      </c>
      <c r="R737" t="str">
        <f>sales_data!G4425</f>
        <v>Центральный</v>
      </c>
      <c r="S737" t="str">
        <f>sales_data!H4425</f>
        <v>Ноутбуки</v>
      </c>
      <c r="T737" t="str">
        <f>sales_data!I4425</f>
        <v>Notebook Pro</v>
      </c>
      <c r="U737" t="str">
        <f>sales_data!J4425</f>
        <v>Розница</v>
      </c>
      <c r="V737">
        <f>sales_data!K4425</f>
        <v>4</v>
      </c>
      <c r="W737">
        <f>sales_data!L4425</f>
        <v>91000</v>
      </c>
      <c r="X737">
        <f>sales_data!M4425</f>
        <v>364000</v>
      </c>
      <c r="Y737" t="str">
        <f>sales_data!N4425</f>
        <v>Интернет-магазин</v>
      </c>
      <c r="Z737" t="str">
        <f>sales_data!O4425</f>
        <v>Отменён</v>
      </c>
    </row>
    <row r="738" spans="12:26" x14ac:dyDescent="0.25">
      <c r="L738">
        <f>sales_data!A4428</f>
        <v>2222</v>
      </c>
      <c r="M738">
        <f>sales_data!B4428</f>
        <v>45926</v>
      </c>
      <c r="N738">
        <f>sales_data!C4428</f>
        <v>26</v>
      </c>
      <c r="O738" t="str">
        <f>sales_data!D4428</f>
        <v>Сентябрь</v>
      </c>
      <c r="P738" t="str">
        <f>sales_data!E4428</f>
        <v>Ксения</v>
      </c>
      <c r="Q738" t="str">
        <f>sales_data!F4428</f>
        <v>Москва</v>
      </c>
      <c r="R738" t="str">
        <f>sales_data!G4428</f>
        <v>Центральный</v>
      </c>
      <c r="S738" t="str">
        <f>sales_data!H4428</f>
        <v>Ноутбуки</v>
      </c>
      <c r="T738" t="str">
        <f>sales_data!I4428</f>
        <v>Notebook Pro</v>
      </c>
      <c r="U738" t="str">
        <f>sales_data!J4428</f>
        <v>Розница</v>
      </c>
      <c r="V738">
        <f>sales_data!K4428</f>
        <v>1</v>
      </c>
      <c r="W738">
        <f>sales_data!L4428</f>
        <v>91900</v>
      </c>
      <c r="X738">
        <f>sales_data!M4428</f>
        <v>91900</v>
      </c>
      <c r="Y738" t="str">
        <f>sales_data!N4428</f>
        <v>Интернет-магазин</v>
      </c>
      <c r="Z738" t="str">
        <f>sales_data!O4428</f>
        <v>Отменён</v>
      </c>
    </row>
    <row r="739" spans="12:26" x14ac:dyDescent="0.25">
      <c r="L739">
        <f>sales_data!A4445</f>
        <v>1176</v>
      </c>
      <c r="M739">
        <f>sales_data!B4445</f>
        <v>45730</v>
      </c>
      <c r="N739">
        <f>sales_data!C4445</f>
        <v>14</v>
      </c>
      <c r="O739" t="str">
        <f>sales_data!D4445</f>
        <v>Март</v>
      </c>
      <c r="P739" t="str">
        <f>sales_data!E4445</f>
        <v>Дмитрий</v>
      </c>
      <c r="Q739" t="str">
        <f>sales_data!F4445</f>
        <v>Казань</v>
      </c>
      <c r="R739" t="str">
        <f>sales_data!G4445</f>
        <v>Приволжский</v>
      </c>
      <c r="S739" t="str">
        <f>sales_data!H4445</f>
        <v>Ноутбуки</v>
      </c>
      <c r="T739" t="str">
        <f>sales_data!I4445</f>
        <v>Notebook Pro</v>
      </c>
      <c r="U739" t="str">
        <f>sales_data!J4445</f>
        <v>Розница</v>
      </c>
      <c r="V739">
        <f>sales_data!K4445</f>
        <v>4</v>
      </c>
      <c r="W739">
        <f>sales_data!L4445</f>
        <v>93700</v>
      </c>
      <c r="X739">
        <f>sales_data!M4445</f>
        <v>374800</v>
      </c>
      <c r="Y739" t="str">
        <f>sales_data!N4445</f>
        <v>Интернет-магазин</v>
      </c>
      <c r="Z739" t="str">
        <f>sales_data!O4445</f>
        <v>В пути</v>
      </c>
    </row>
    <row r="740" spans="12:26" x14ac:dyDescent="0.25">
      <c r="L740">
        <f>sales_data!A4453</f>
        <v>4172</v>
      </c>
      <c r="M740">
        <f>sales_data!B4453</f>
        <v>45826</v>
      </c>
      <c r="N740">
        <f>sales_data!C4453</f>
        <v>18</v>
      </c>
      <c r="O740" t="str">
        <f>sales_data!D4453</f>
        <v>Июнь</v>
      </c>
      <c r="P740" t="str">
        <f>sales_data!E4453</f>
        <v>Алексей</v>
      </c>
      <c r="Q740" t="str">
        <f>sales_data!F4453</f>
        <v>Нижний Новгород</v>
      </c>
      <c r="R740" t="str">
        <f>sales_data!G4453</f>
        <v>Приволжский</v>
      </c>
      <c r="S740" t="str">
        <f>sales_data!H4453</f>
        <v>Ноутбуки</v>
      </c>
      <c r="T740" t="str">
        <f>sales_data!I4453</f>
        <v>Notebook Pro</v>
      </c>
      <c r="U740" t="str">
        <f>sales_data!J4453</f>
        <v>Розница</v>
      </c>
      <c r="V740">
        <f>sales_data!K4453</f>
        <v>9</v>
      </c>
      <c r="W740">
        <f>sales_data!L4453</f>
        <v>94200</v>
      </c>
      <c r="X740">
        <f>sales_data!M4453</f>
        <v>847800</v>
      </c>
      <c r="Y740" t="str">
        <f>sales_data!N4453</f>
        <v>Офлайн-точка</v>
      </c>
      <c r="Z740" t="str">
        <f>sales_data!O4453</f>
        <v>Отменён</v>
      </c>
    </row>
    <row r="741" spans="12:26" x14ac:dyDescent="0.25">
      <c r="L741">
        <f>sales_data!A4473</f>
        <v>4192</v>
      </c>
      <c r="M741">
        <f>sales_data!B4473</f>
        <v>45792</v>
      </c>
      <c r="N741">
        <f>sales_data!C4473</f>
        <v>15</v>
      </c>
      <c r="O741" t="str">
        <f>sales_data!D4473</f>
        <v>Май</v>
      </c>
      <c r="P741" t="str">
        <f>sales_data!E4473</f>
        <v>Сергей</v>
      </c>
      <c r="Q741" t="str">
        <f>sales_data!F4473</f>
        <v>Уфа</v>
      </c>
      <c r="R741" t="str">
        <f>sales_data!G4473</f>
        <v>Приволжский</v>
      </c>
      <c r="S741" t="str">
        <f>sales_data!H4473</f>
        <v>Ноутбуки</v>
      </c>
      <c r="T741" t="str">
        <f>sales_data!I4473</f>
        <v>Notebook Pro</v>
      </c>
      <c r="U741" t="str">
        <f>sales_data!J4473</f>
        <v>Розница</v>
      </c>
      <c r="V741">
        <f>sales_data!K4473</f>
        <v>3</v>
      </c>
      <c r="W741">
        <f>sales_data!L4473</f>
        <v>96300</v>
      </c>
      <c r="X741">
        <f>sales_data!M4473</f>
        <v>288900</v>
      </c>
      <c r="Y741" t="str">
        <f>sales_data!N4473</f>
        <v>Интернет-магазин</v>
      </c>
      <c r="Z741" t="str">
        <f>sales_data!O4473</f>
        <v>В пути</v>
      </c>
    </row>
    <row r="742" spans="12:26" x14ac:dyDescent="0.25">
      <c r="L742">
        <f>sales_data!A4474</f>
        <v>3787</v>
      </c>
      <c r="M742">
        <f>sales_data!B4474</f>
        <v>45809</v>
      </c>
      <c r="N742">
        <f>sales_data!C4474</f>
        <v>1</v>
      </c>
      <c r="O742" t="str">
        <f>sales_data!D4474</f>
        <v>Июнь</v>
      </c>
      <c r="P742" t="str">
        <f>sales_data!E4474</f>
        <v>Алексей</v>
      </c>
      <c r="Q742" t="str">
        <f>sales_data!F4474</f>
        <v>Нижний Новгород</v>
      </c>
      <c r="R742" t="str">
        <f>sales_data!G4474</f>
        <v>Приволжский</v>
      </c>
      <c r="S742" t="str">
        <f>sales_data!H4474</f>
        <v>Ноутбуки</v>
      </c>
      <c r="T742" t="str">
        <f>sales_data!I4474</f>
        <v>Notebook Pro</v>
      </c>
      <c r="U742" t="str">
        <f>sales_data!J4474</f>
        <v>Розница</v>
      </c>
      <c r="V742">
        <f>sales_data!K4474</f>
        <v>2</v>
      </c>
      <c r="W742">
        <f>sales_data!L4474</f>
        <v>96500</v>
      </c>
      <c r="X742">
        <f>sales_data!M4474</f>
        <v>193000</v>
      </c>
      <c r="Y742" t="str">
        <f>sales_data!N4474</f>
        <v>Офлайн-точка</v>
      </c>
      <c r="Z742" t="str">
        <f>sales_data!O4474</f>
        <v>Отменён</v>
      </c>
    </row>
    <row r="743" spans="12:26" x14ac:dyDescent="0.25">
      <c r="L743">
        <f>sales_data!A4475</f>
        <v>3301</v>
      </c>
      <c r="M743">
        <f>sales_data!B4475</f>
        <v>45991</v>
      </c>
      <c r="N743">
        <f>sales_data!C4475</f>
        <v>30</v>
      </c>
      <c r="O743" t="str">
        <f>sales_data!D4475</f>
        <v>Ноябрь</v>
      </c>
      <c r="P743" t="str">
        <f>sales_data!E4475</f>
        <v>Ксения</v>
      </c>
      <c r="Q743" t="str">
        <f>sales_data!F4475</f>
        <v>Уфа</v>
      </c>
      <c r="R743" t="str">
        <f>sales_data!G4475</f>
        <v>Приволжский</v>
      </c>
      <c r="S743" t="str">
        <f>sales_data!H4475</f>
        <v>Ноутбуки</v>
      </c>
      <c r="T743" t="str">
        <f>sales_data!I4475</f>
        <v>Notebook Pro</v>
      </c>
      <c r="U743" t="str">
        <f>sales_data!J4475</f>
        <v>Розница</v>
      </c>
      <c r="V743">
        <f>sales_data!K4475</f>
        <v>6</v>
      </c>
      <c r="W743">
        <f>sales_data!L4475</f>
        <v>96600</v>
      </c>
      <c r="X743">
        <f>sales_data!M4475</f>
        <v>579600</v>
      </c>
      <c r="Y743" t="str">
        <f>sales_data!N4475</f>
        <v>Интернет-магазин</v>
      </c>
      <c r="Z743" t="str">
        <f>sales_data!O4475</f>
        <v>Доставлен</v>
      </c>
    </row>
    <row r="744" spans="12:26" x14ac:dyDescent="0.25">
      <c r="L744">
        <f>sales_data!A4479</f>
        <v>4228</v>
      </c>
      <c r="M744">
        <f>sales_data!B4479</f>
        <v>45861</v>
      </c>
      <c r="N744">
        <f>sales_data!C4479</f>
        <v>23</v>
      </c>
      <c r="O744" t="str">
        <f>sales_data!D4479</f>
        <v>Июль</v>
      </c>
      <c r="P744" t="str">
        <f>sales_data!E4479</f>
        <v>Мария</v>
      </c>
      <c r="Q744" t="str">
        <f>sales_data!F4479</f>
        <v>Самара</v>
      </c>
      <c r="R744" t="str">
        <f>sales_data!G4479</f>
        <v>Приволжский</v>
      </c>
      <c r="S744" t="str">
        <f>sales_data!H4479</f>
        <v>Ноутбуки</v>
      </c>
      <c r="T744" t="str">
        <f>sales_data!I4479</f>
        <v>Notebook Pro</v>
      </c>
      <c r="U744" t="str">
        <f>sales_data!J4479</f>
        <v>Розница</v>
      </c>
      <c r="V744">
        <f>sales_data!K4479</f>
        <v>7</v>
      </c>
      <c r="W744">
        <f>sales_data!L4479</f>
        <v>97000</v>
      </c>
      <c r="X744">
        <f>sales_data!M4479</f>
        <v>679000</v>
      </c>
      <c r="Y744" t="str">
        <f>sales_data!N4479</f>
        <v>Офлайн-точка</v>
      </c>
      <c r="Z744" t="str">
        <f>sales_data!O4479</f>
        <v>В пути</v>
      </c>
    </row>
    <row r="745" spans="12:26" x14ac:dyDescent="0.25">
      <c r="L745">
        <f>sales_data!A4487</f>
        <v>4883</v>
      </c>
      <c r="M745">
        <f>sales_data!B4487</f>
        <v>45923</v>
      </c>
      <c r="N745">
        <f>sales_data!C4487</f>
        <v>23</v>
      </c>
      <c r="O745" t="str">
        <f>sales_data!D4487</f>
        <v>Сентябрь</v>
      </c>
      <c r="P745" t="str">
        <f>sales_data!E4487</f>
        <v>Анна</v>
      </c>
      <c r="Q745" t="str">
        <f>sales_data!F4487</f>
        <v>Краснодар</v>
      </c>
      <c r="R745" t="str">
        <f>sales_data!G4487</f>
        <v>Южный</v>
      </c>
      <c r="S745" t="str">
        <f>sales_data!H4487</f>
        <v>Ноутбуки</v>
      </c>
      <c r="T745" t="str">
        <f>sales_data!I4487</f>
        <v>Notebook Ultra</v>
      </c>
      <c r="U745" t="str">
        <f>sales_data!J4487</f>
        <v>Опт</v>
      </c>
      <c r="V745">
        <f>sales_data!K4487</f>
        <v>7</v>
      </c>
      <c r="W745">
        <f>sales_data!L4487</f>
        <v>97700</v>
      </c>
      <c r="X745">
        <f>sales_data!M4487</f>
        <v>683900</v>
      </c>
      <c r="Y745" t="str">
        <f>sales_data!N4487</f>
        <v>Офлайн-точка</v>
      </c>
      <c r="Z745" t="str">
        <f>sales_data!O4487</f>
        <v>Отменён</v>
      </c>
    </row>
    <row r="746" spans="12:26" x14ac:dyDescent="0.25">
      <c r="L746">
        <f>sales_data!A4506</f>
        <v>2769</v>
      </c>
      <c r="M746">
        <f>sales_data!B4506</f>
        <v>45954</v>
      </c>
      <c r="N746">
        <f>sales_data!C4506</f>
        <v>24</v>
      </c>
      <c r="O746" t="str">
        <f>sales_data!D4506</f>
        <v>Октябрь</v>
      </c>
      <c r="P746" t="str">
        <f>sales_data!E4506</f>
        <v>Владимир</v>
      </c>
      <c r="Q746" t="str">
        <f>sales_data!F4506</f>
        <v>Омск</v>
      </c>
      <c r="R746" t="str">
        <f>sales_data!G4506</f>
        <v>Сибирский</v>
      </c>
      <c r="S746" t="str">
        <f>sales_data!H4506</f>
        <v>Ноутбуки</v>
      </c>
      <c r="T746" t="str">
        <f>sales_data!I4506</f>
        <v>Notebook Ultra</v>
      </c>
      <c r="U746" t="str">
        <f>sales_data!J4506</f>
        <v>Опт</v>
      </c>
      <c r="V746">
        <f>sales_data!K4506</f>
        <v>45</v>
      </c>
      <c r="W746">
        <f>sales_data!L4506</f>
        <v>99400</v>
      </c>
      <c r="X746">
        <f>sales_data!M4506</f>
        <v>4473000</v>
      </c>
      <c r="Y746" t="str">
        <f>sales_data!N4506</f>
        <v>Офлайн-точка</v>
      </c>
      <c r="Z746" t="str">
        <f>sales_data!O4506</f>
        <v>Доставлен</v>
      </c>
    </row>
    <row r="747" spans="12:26" x14ac:dyDescent="0.25">
      <c r="L747">
        <f>sales_data!A4511</f>
        <v>641</v>
      </c>
      <c r="M747">
        <f>sales_data!B4511</f>
        <v>45904</v>
      </c>
      <c r="N747">
        <f>sales_data!C4511</f>
        <v>4</v>
      </c>
      <c r="O747" t="str">
        <f>sales_data!D4511</f>
        <v>Сентябрь</v>
      </c>
      <c r="P747" t="str">
        <f>sales_data!E4511</f>
        <v>Мария</v>
      </c>
      <c r="Q747" t="str">
        <f>sales_data!F4511</f>
        <v>Новосибирск</v>
      </c>
      <c r="R747" t="str">
        <f>sales_data!G4511</f>
        <v>Сибирский</v>
      </c>
      <c r="S747" t="str">
        <f>sales_data!H4511</f>
        <v>Ноутбуки</v>
      </c>
      <c r="T747" t="str">
        <f>sales_data!I4511</f>
        <v>Notebook Ultra</v>
      </c>
      <c r="U747" t="str">
        <f>sales_data!J4511</f>
        <v>Опт</v>
      </c>
      <c r="V747">
        <f>sales_data!K4511</f>
        <v>28</v>
      </c>
      <c r="W747">
        <f>sales_data!L4511</f>
        <v>100300</v>
      </c>
      <c r="X747">
        <f>sales_data!M4511</f>
        <v>2808400</v>
      </c>
      <c r="Y747" t="str">
        <f>sales_data!N4511</f>
        <v>Офлайн-точка</v>
      </c>
      <c r="Z747" t="str">
        <f>sales_data!O4511</f>
        <v>В пути</v>
      </c>
    </row>
    <row r="748" spans="12:26" x14ac:dyDescent="0.25">
      <c r="L748">
        <f>sales_data!A4534</f>
        <v>2039</v>
      </c>
      <c r="M748">
        <f>sales_data!B4534</f>
        <v>45926</v>
      </c>
      <c r="N748">
        <f>sales_data!C4534</f>
        <v>26</v>
      </c>
      <c r="O748" t="str">
        <f>sales_data!D4534</f>
        <v>Сентябрь</v>
      </c>
      <c r="P748" t="str">
        <f>sales_data!E4534</f>
        <v>Игорь</v>
      </c>
      <c r="Q748" t="str">
        <f>sales_data!F4534</f>
        <v>Краснодар</v>
      </c>
      <c r="R748" t="str">
        <f>sales_data!G4534</f>
        <v>Южный</v>
      </c>
      <c r="S748" t="str">
        <f>sales_data!H4534</f>
        <v>Ноутбуки</v>
      </c>
      <c r="T748" t="str">
        <f>sales_data!I4534</f>
        <v>Notebook Ultra</v>
      </c>
      <c r="U748" t="str">
        <f>sales_data!J4534</f>
        <v>Опт</v>
      </c>
      <c r="V748">
        <f>sales_data!K4534</f>
        <v>33</v>
      </c>
      <c r="W748">
        <f>sales_data!L4534</f>
        <v>101900</v>
      </c>
      <c r="X748">
        <f>sales_data!M4534</f>
        <v>3362700</v>
      </c>
      <c r="Y748" t="str">
        <f>sales_data!N4534</f>
        <v>Интернет-магазин</v>
      </c>
      <c r="Z748" t="str">
        <f>sales_data!O4534</f>
        <v>В пути</v>
      </c>
    </row>
    <row r="749" spans="12:26" x14ac:dyDescent="0.25">
      <c r="L749">
        <f>sales_data!A4538</f>
        <v>2385</v>
      </c>
      <c r="M749">
        <f>sales_data!B4538</f>
        <v>45869</v>
      </c>
      <c r="N749">
        <f>sales_data!C4538</f>
        <v>31</v>
      </c>
      <c r="O749" t="str">
        <f>sales_data!D4538</f>
        <v>Июль</v>
      </c>
      <c r="P749" t="str">
        <f>sales_data!E4538</f>
        <v>Мария</v>
      </c>
      <c r="Q749" t="str">
        <f>sales_data!F4538</f>
        <v>Новосибирск</v>
      </c>
      <c r="R749" t="str">
        <f>sales_data!G4538</f>
        <v>Сибирский</v>
      </c>
      <c r="S749" t="str">
        <f>sales_data!H4538</f>
        <v>Ноутбуки</v>
      </c>
      <c r="T749" t="str">
        <f>sales_data!I4538</f>
        <v>Notebook Ultra</v>
      </c>
      <c r="U749" t="str">
        <f>sales_data!J4538</f>
        <v>Опт</v>
      </c>
      <c r="V749">
        <f>sales_data!K4538</f>
        <v>22</v>
      </c>
      <c r="W749">
        <f>sales_data!L4538</f>
        <v>102200</v>
      </c>
      <c r="X749">
        <f>sales_data!M4538</f>
        <v>2248400</v>
      </c>
      <c r="Y749" t="str">
        <f>sales_data!N4538</f>
        <v>Интернет-магазин</v>
      </c>
      <c r="Z749" t="str">
        <f>sales_data!O4538</f>
        <v>В пути</v>
      </c>
    </row>
    <row r="750" spans="12:26" x14ac:dyDescent="0.25">
      <c r="L750">
        <f>sales_data!A4543</f>
        <v>3058</v>
      </c>
      <c r="M750">
        <f>sales_data!B4543</f>
        <v>45872</v>
      </c>
      <c r="N750">
        <f>sales_data!C4543</f>
        <v>3</v>
      </c>
      <c r="O750" t="str">
        <f>sales_data!D4543</f>
        <v>Август</v>
      </c>
      <c r="P750" t="str">
        <f>sales_data!E4543</f>
        <v>Владимир</v>
      </c>
      <c r="Q750" t="str">
        <f>sales_data!F4543</f>
        <v>Пермь</v>
      </c>
      <c r="R750" t="str">
        <f>sales_data!G4543</f>
        <v>Приволжский</v>
      </c>
      <c r="S750" t="str">
        <f>sales_data!H4543</f>
        <v>Ноутбуки</v>
      </c>
      <c r="T750" t="str">
        <f>sales_data!I4543</f>
        <v>Notebook Ultra</v>
      </c>
      <c r="U750" t="str">
        <f>sales_data!J4543</f>
        <v>Опт</v>
      </c>
      <c r="V750">
        <f>sales_data!K4543</f>
        <v>13</v>
      </c>
      <c r="W750">
        <f>sales_data!L4543</f>
        <v>103000</v>
      </c>
      <c r="X750">
        <f>sales_data!M4543</f>
        <v>1339000</v>
      </c>
      <c r="Y750" t="str">
        <f>sales_data!N4543</f>
        <v>Офлайн-точка</v>
      </c>
      <c r="Z750" t="str">
        <f>sales_data!O4543</f>
        <v>В пути</v>
      </c>
    </row>
    <row r="751" spans="12:26" x14ac:dyDescent="0.25">
      <c r="L751">
        <f>sales_data!A4556</f>
        <v>3437</v>
      </c>
      <c r="M751">
        <f>sales_data!B4556</f>
        <v>45851</v>
      </c>
      <c r="N751">
        <f>sales_data!C4556</f>
        <v>13</v>
      </c>
      <c r="O751" t="str">
        <f>sales_data!D4556</f>
        <v>Июль</v>
      </c>
      <c r="P751" t="str">
        <f>sales_data!E4556</f>
        <v>Борис</v>
      </c>
      <c r="Q751" t="str">
        <f>sales_data!F4556</f>
        <v>Уфа</v>
      </c>
      <c r="R751" t="str">
        <f>sales_data!G4556</f>
        <v>Приволжский</v>
      </c>
      <c r="S751" t="str">
        <f>sales_data!H4556</f>
        <v>Ноутбуки</v>
      </c>
      <c r="T751" t="str">
        <f>sales_data!I4556</f>
        <v>Notebook Ultra</v>
      </c>
      <c r="U751" t="str">
        <f>sales_data!J4556</f>
        <v>Опт</v>
      </c>
      <c r="V751">
        <f>sales_data!K4556</f>
        <v>31</v>
      </c>
      <c r="W751">
        <f>sales_data!L4556</f>
        <v>104900</v>
      </c>
      <c r="X751">
        <f>sales_data!M4556</f>
        <v>3251900</v>
      </c>
      <c r="Y751" t="str">
        <f>sales_data!N4556</f>
        <v>Офлайн-точка</v>
      </c>
      <c r="Z751" t="str">
        <f>sales_data!O4556</f>
        <v>Доставлен</v>
      </c>
    </row>
    <row r="752" spans="12:26" x14ac:dyDescent="0.25">
      <c r="L752">
        <f>sales_data!A4563</f>
        <v>2469</v>
      </c>
      <c r="M752">
        <f>sales_data!B4563</f>
        <v>45975</v>
      </c>
      <c r="N752">
        <f>sales_data!C4563</f>
        <v>14</v>
      </c>
      <c r="O752" t="str">
        <f>sales_data!D4563</f>
        <v>Ноябрь</v>
      </c>
      <c r="P752" t="str">
        <f>sales_data!E4563</f>
        <v>Алексей</v>
      </c>
      <c r="Q752" t="str">
        <f>sales_data!F4563</f>
        <v>Пермь</v>
      </c>
      <c r="R752" t="str">
        <f>sales_data!G4563</f>
        <v>Приволжский</v>
      </c>
      <c r="S752" t="str">
        <f>sales_data!H4563</f>
        <v>Ноутбуки</v>
      </c>
      <c r="T752" t="str">
        <f>sales_data!I4563</f>
        <v>Notebook Ultra</v>
      </c>
      <c r="U752" t="str">
        <f>sales_data!J4563</f>
        <v>Опт</v>
      </c>
      <c r="V752">
        <f>sales_data!K4563</f>
        <v>30</v>
      </c>
      <c r="W752">
        <f>sales_data!L4563</f>
        <v>105500</v>
      </c>
      <c r="X752">
        <f>sales_data!M4563</f>
        <v>3165000</v>
      </c>
      <c r="Y752" t="str">
        <f>sales_data!N4563</f>
        <v>Интернет-магазин</v>
      </c>
      <c r="Z752" t="str">
        <f>sales_data!O4563</f>
        <v>Доставлен</v>
      </c>
    </row>
    <row r="753" spans="12:26" x14ac:dyDescent="0.25">
      <c r="L753">
        <f>sales_data!A4565</f>
        <v>2476</v>
      </c>
      <c r="M753">
        <f>sales_data!B4565</f>
        <v>45916</v>
      </c>
      <c r="N753">
        <f>sales_data!C4565</f>
        <v>16</v>
      </c>
      <c r="O753" t="str">
        <f>sales_data!D4565</f>
        <v>Сентябрь</v>
      </c>
      <c r="P753" t="str">
        <f>sales_data!E4565</f>
        <v>Елена</v>
      </c>
      <c r="Q753" t="str">
        <f>sales_data!F4565</f>
        <v>Самара</v>
      </c>
      <c r="R753" t="str">
        <f>sales_data!G4565</f>
        <v>Приволжский</v>
      </c>
      <c r="S753" t="str">
        <f>sales_data!H4565</f>
        <v>Ноутбуки</v>
      </c>
      <c r="T753" t="str">
        <f>sales_data!I4565</f>
        <v>Notebook Ultra</v>
      </c>
      <c r="U753" t="str">
        <f>sales_data!J4565</f>
        <v>Опт</v>
      </c>
      <c r="V753">
        <f>sales_data!K4565</f>
        <v>16</v>
      </c>
      <c r="W753">
        <f>sales_data!L4565</f>
        <v>105700</v>
      </c>
      <c r="X753">
        <f>sales_data!M4565</f>
        <v>1691200</v>
      </c>
      <c r="Y753" t="str">
        <f>sales_data!N4565</f>
        <v>Офлайн-точка</v>
      </c>
      <c r="Z753" t="str">
        <f>sales_data!O4565</f>
        <v>В пути</v>
      </c>
    </row>
    <row r="754" spans="12:26" x14ac:dyDescent="0.25">
      <c r="L754">
        <f>sales_data!A4566</f>
        <v>3667</v>
      </c>
      <c r="M754">
        <f>sales_data!B4566</f>
        <v>45987</v>
      </c>
      <c r="N754">
        <f>sales_data!C4566</f>
        <v>26</v>
      </c>
      <c r="O754" t="str">
        <f>sales_data!D4566</f>
        <v>Ноябрь</v>
      </c>
      <c r="P754" t="str">
        <f>sales_data!E4566</f>
        <v>Светлана</v>
      </c>
      <c r="Q754" t="str">
        <f>sales_data!F4566</f>
        <v>Челябинск</v>
      </c>
      <c r="R754" t="str">
        <f>sales_data!G4566</f>
        <v>Уральский</v>
      </c>
      <c r="S754" t="str">
        <f>sales_data!H4566</f>
        <v>Ноутбуки</v>
      </c>
      <c r="T754" t="str">
        <f>sales_data!I4566</f>
        <v>Notebook Ultra</v>
      </c>
      <c r="U754" t="str">
        <f>sales_data!J4566</f>
        <v>Опт</v>
      </c>
      <c r="V754">
        <f>sales_data!K4566</f>
        <v>43</v>
      </c>
      <c r="W754">
        <f>sales_data!L4566</f>
        <v>105700</v>
      </c>
      <c r="X754">
        <f>sales_data!M4566</f>
        <v>4545100</v>
      </c>
      <c r="Y754" t="str">
        <f>sales_data!N4566</f>
        <v>Интернет-магазин</v>
      </c>
      <c r="Z754" t="str">
        <f>sales_data!O4566</f>
        <v>В пути</v>
      </c>
    </row>
    <row r="755" spans="12:26" x14ac:dyDescent="0.25">
      <c r="L755">
        <f>sales_data!A4571</f>
        <v>4990</v>
      </c>
      <c r="M755">
        <f>sales_data!B4571</f>
        <v>45996</v>
      </c>
      <c r="N755">
        <f>sales_data!C4571</f>
        <v>5</v>
      </c>
      <c r="O755" t="str">
        <f>sales_data!D4571</f>
        <v>Декабрь</v>
      </c>
      <c r="P755" t="str">
        <f>sales_data!E4571</f>
        <v>Павел</v>
      </c>
      <c r="Q755" t="str">
        <f>sales_data!F4571</f>
        <v>Казань</v>
      </c>
      <c r="R755" t="str">
        <f>sales_data!G4571</f>
        <v>Приволжский</v>
      </c>
      <c r="S755" t="str">
        <f>sales_data!H4571</f>
        <v>Ноутбуки</v>
      </c>
      <c r="T755" t="str">
        <f>sales_data!I4571</f>
        <v>Notebook Pro</v>
      </c>
      <c r="U755" t="str">
        <f>sales_data!J4571</f>
        <v>Розница</v>
      </c>
      <c r="V755">
        <f>sales_data!K4571</f>
        <v>6</v>
      </c>
      <c r="W755">
        <f>sales_data!L4571</f>
        <v>106400</v>
      </c>
      <c r="X755">
        <f>sales_data!M4571</f>
        <v>638400</v>
      </c>
      <c r="Y755" t="str">
        <f>sales_data!N4571</f>
        <v>Интернет-магазин</v>
      </c>
      <c r="Z755" t="str">
        <f>sales_data!O4571</f>
        <v>Отменён</v>
      </c>
    </row>
    <row r="756" spans="12:26" x14ac:dyDescent="0.25">
      <c r="L756">
        <f>sales_data!A4589</f>
        <v>2666</v>
      </c>
      <c r="M756">
        <f>sales_data!B4589</f>
        <v>45888</v>
      </c>
      <c r="N756">
        <f>sales_data!C4589</f>
        <v>19</v>
      </c>
      <c r="O756" t="str">
        <f>sales_data!D4589</f>
        <v>Август</v>
      </c>
      <c r="P756" t="str">
        <f>sales_data!E4589</f>
        <v>Ксения</v>
      </c>
      <c r="Q756" t="str">
        <f>sales_data!F4589</f>
        <v>Екатеринбург</v>
      </c>
      <c r="R756" t="str">
        <f>sales_data!G4589</f>
        <v>Уральский</v>
      </c>
      <c r="S756" t="str">
        <f>sales_data!H4589</f>
        <v>Ноутбуки</v>
      </c>
      <c r="T756" t="str">
        <f>sales_data!I4589</f>
        <v>Notebook Ultra</v>
      </c>
      <c r="U756" t="str">
        <f>sales_data!J4589</f>
        <v>Розница</v>
      </c>
      <c r="V756">
        <f>sales_data!K4589</f>
        <v>7</v>
      </c>
      <c r="W756">
        <f>sales_data!L4589</f>
        <v>111800</v>
      </c>
      <c r="X756">
        <f>sales_data!M4589</f>
        <v>782600</v>
      </c>
      <c r="Y756" t="str">
        <f>sales_data!N4589</f>
        <v>Офлайн-точка</v>
      </c>
      <c r="Z756" t="str">
        <f>sales_data!O4589</f>
        <v>В пути</v>
      </c>
    </row>
    <row r="757" spans="12:26" x14ac:dyDescent="0.25">
      <c r="L757">
        <f>sales_data!A4592</f>
        <v>3660</v>
      </c>
      <c r="M757">
        <f>sales_data!B4592</f>
        <v>45809</v>
      </c>
      <c r="N757">
        <f>sales_data!C4592</f>
        <v>1</v>
      </c>
      <c r="O757" t="str">
        <f>sales_data!D4592</f>
        <v>Июнь</v>
      </c>
      <c r="P757" t="str">
        <f>sales_data!E4592</f>
        <v>Татьяна</v>
      </c>
      <c r="Q757" t="str">
        <f>sales_data!F4592</f>
        <v>Санкт-Петербург</v>
      </c>
      <c r="R757" t="str">
        <f>sales_data!G4592</f>
        <v>Северо-Западный</v>
      </c>
      <c r="S757" t="str">
        <f>sales_data!H4592</f>
        <v>Ноутбуки</v>
      </c>
      <c r="T757" t="str">
        <f>sales_data!I4592</f>
        <v>Notebook Ultra</v>
      </c>
      <c r="U757" t="str">
        <f>sales_data!J4592</f>
        <v>Опт</v>
      </c>
      <c r="V757">
        <f>sales_data!K4592</f>
        <v>11</v>
      </c>
      <c r="W757">
        <f>sales_data!L4592</f>
        <v>113300</v>
      </c>
      <c r="X757">
        <f>sales_data!M4592</f>
        <v>1246300</v>
      </c>
      <c r="Y757" t="str">
        <f>sales_data!N4592</f>
        <v>Офлайн-точка</v>
      </c>
      <c r="Z757" t="str">
        <f>sales_data!O4592</f>
        <v>Доставлен</v>
      </c>
    </row>
    <row r="758" spans="12:26" x14ac:dyDescent="0.25">
      <c r="L758">
        <f>sales_data!A4593</f>
        <v>228</v>
      </c>
      <c r="M758">
        <f>sales_data!B4593</f>
        <v>45720</v>
      </c>
      <c r="N758">
        <f>sales_data!C4593</f>
        <v>4</v>
      </c>
      <c r="O758" t="str">
        <f>sales_data!D4593</f>
        <v>Март</v>
      </c>
      <c r="P758" t="str">
        <f>sales_data!E4593</f>
        <v>Светлана</v>
      </c>
      <c r="Q758" t="str">
        <f>sales_data!F4593</f>
        <v>Пермь</v>
      </c>
      <c r="R758" t="str">
        <f>sales_data!G4593</f>
        <v>Приволжский</v>
      </c>
      <c r="S758" t="str">
        <f>sales_data!H4593</f>
        <v>Ноутбуки</v>
      </c>
      <c r="T758" t="str">
        <f>sales_data!I4593</f>
        <v>Notebook Ultra</v>
      </c>
      <c r="U758" t="str">
        <f>sales_data!J4593</f>
        <v>Розница</v>
      </c>
      <c r="V758">
        <f>sales_data!K4593</f>
        <v>8</v>
      </c>
      <c r="W758">
        <f>sales_data!L4593</f>
        <v>113500</v>
      </c>
      <c r="X758">
        <f>sales_data!M4593</f>
        <v>908000</v>
      </c>
      <c r="Y758" t="str">
        <f>sales_data!N4593</f>
        <v>Интернет-магазин</v>
      </c>
      <c r="Z758" t="str">
        <f>sales_data!O4593</f>
        <v>Отменён</v>
      </c>
    </row>
    <row r="759" spans="12:26" x14ac:dyDescent="0.25">
      <c r="L759">
        <f>sales_data!A4598</f>
        <v>3986</v>
      </c>
      <c r="M759">
        <f>sales_data!B4598</f>
        <v>45896</v>
      </c>
      <c r="N759">
        <f>sales_data!C4598</f>
        <v>27</v>
      </c>
      <c r="O759" t="str">
        <f>sales_data!D4598</f>
        <v>Август</v>
      </c>
      <c r="P759" t="str">
        <f>sales_data!E4598</f>
        <v>Дмитрий</v>
      </c>
      <c r="Q759" t="str">
        <f>sales_data!F4598</f>
        <v>Санкт-Петербург</v>
      </c>
      <c r="R759" t="str">
        <f>sales_data!G4598</f>
        <v>Северо-Западный</v>
      </c>
      <c r="S759" t="str">
        <f>sales_data!H4598</f>
        <v>Серверы</v>
      </c>
      <c r="T759" t="str">
        <f>sales_data!I4598</f>
        <v>Server Rack</v>
      </c>
      <c r="U759" t="str">
        <f>sales_data!J4598</f>
        <v>Опт</v>
      </c>
      <c r="V759">
        <f>sales_data!K4598</f>
        <v>16</v>
      </c>
      <c r="W759">
        <f>sales_data!L4598</f>
        <v>114200</v>
      </c>
      <c r="X759">
        <f>sales_data!M4598</f>
        <v>1827200</v>
      </c>
      <c r="Y759" t="str">
        <f>sales_data!N4598</f>
        <v>Интернет-магазин</v>
      </c>
      <c r="Z759" t="str">
        <f>sales_data!O4598</f>
        <v>В пути</v>
      </c>
    </row>
    <row r="760" spans="12:26" x14ac:dyDescent="0.25">
      <c r="L760">
        <f>sales_data!A4620</f>
        <v>131</v>
      </c>
      <c r="M760">
        <f>sales_data!B4620</f>
        <v>45788</v>
      </c>
      <c r="N760">
        <f>sales_data!C4620</f>
        <v>11</v>
      </c>
      <c r="O760" t="str">
        <f>sales_data!D4620</f>
        <v>Май</v>
      </c>
      <c r="P760" t="str">
        <f>sales_data!E4620</f>
        <v>Павел</v>
      </c>
      <c r="Q760" t="str">
        <f>sales_data!F4620</f>
        <v>Екатеринбург</v>
      </c>
      <c r="R760" t="str">
        <f>sales_data!G4620</f>
        <v>Уральский</v>
      </c>
      <c r="S760" t="str">
        <f>sales_data!H4620</f>
        <v>Серверы</v>
      </c>
      <c r="T760" t="str">
        <f>sales_data!I4620</f>
        <v>Server Rack</v>
      </c>
      <c r="U760" t="str">
        <f>sales_data!J4620</f>
        <v>Опт</v>
      </c>
      <c r="V760">
        <f>sales_data!K4620</f>
        <v>23</v>
      </c>
      <c r="W760">
        <f>sales_data!L4620</f>
        <v>117600</v>
      </c>
      <c r="X760">
        <f>sales_data!M4620</f>
        <v>2704800</v>
      </c>
      <c r="Y760" t="str">
        <f>sales_data!N4620</f>
        <v>Интернет-магазин</v>
      </c>
      <c r="Z760" t="str">
        <f>sales_data!O4620</f>
        <v>Доставлен</v>
      </c>
    </row>
    <row r="761" spans="12:26" x14ac:dyDescent="0.25">
      <c r="L761">
        <f>sales_data!A4627</f>
        <v>6</v>
      </c>
      <c r="M761">
        <f>sales_data!B4627</f>
        <v>45967</v>
      </c>
      <c r="N761">
        <f>sales_data!C4627</f>
        <v>6</v>
      </c>
      <c r="O761" t="str">
        <f>sales_data!D4627</f>
        <v>Ноябрь</v>
      </c>
      <c r="P761" t="str">
        <f>sales_data!E4627</f>
        <v>Елена</v>
      </c>
      <c r="Q761" t="str">
        <f>sales_data!F4627</f>
        <v>Красноярск</v>
      </c>
      <c r="R761" t="str">
        <f>sales_data!G4627</f>
        <v>Сибирский</v>
      </c>
      <c r="S761" t="str">
        <f>sales_data!H4627</f>
        <v>Ноутбуки</v>
      </c>
      <c r="T761" t="str">
        <f>sales_data!I4627</f>
        <v>Notebook Ultra</v>
      </c>
      <c r="U761" t="str">
        <f>sales_data!J4627</f>
        <v>Розница</v>
      </c>
      <c r="V761">
        <f>sales_data!K4627</f>
        <v>7</v>
      </c>
      <c r="W761">
        <f>sales_data!L4627</f>
        <v>118600</v>
      </c>
      <c r="X761">
        <f>sales_data!M4627</f>
        <v>830200</v>
      </c>
      <c r="Y761" t="str">
        <f>sales_data!N4627</f>
        <v>Интернет-магазин</v>
      </c>
      <c r="Z761" t="str">
        <f>sales_data!O4627</f>
        <v>Отменён</v>
      </c>
    </row>
    <row r="762" spans="12:26" x14ac:dyDescent="0.25">
      <c r="L762">
        <f>sales_data!A4632</f>
        <v>2270</v>
      </c>
      <c r="M762">
        <f>sales_data!B4632</f>
        <v>45834</v>
      </c>
      <c r="N762">
        <f>sales_data!C4632</f>
        <v>26</v>
      </c>
      <c r="O762" t="str">
        <f>sales_data!D4632</f>
        <v>Июнь</v>
      </c>
      <c r="P762" t="str">
        <f>sales_data!E4632</f>
        <v>Ксения</v>
      </c>
      <c r="Q762" t="str">
        <f>sales_data!F4632</f>
        <v>Нижний Новгород</v>
      </c>
      <c r="R762" t="str">
        <f>sales_data!G4632</f>
        <v>Приволжский</v>
      </c>
      <c r="S762" t="str">
        <f>sales_data!H4632</f>
        <v>Ноутбуки</v>
      </c>
      <c r="T762" t="str">
        <f>sales_data!I4632</f>
        <v>Notebook Ultra</v>
      </c>
      <c r="U762" t="str">
        <f>sales_data!J4632</f>
        <v>Розница</v>
      </c>
      <c r="V762">
        <f>sales_data!K4632</f>
        <v>8</v>
      </c>
      <c r="W762">
        <f>sales_data!L4632</f>
        <v>119500</v>
      </c>
      <c r="X762">
        <f>sales_data!M4632</f>
        <v>956000</v>
      </c>
      <c r="Y762" t="str">
        <f>sales_data!N4632</f>
        <v>Интернет-магазин</v>
      </c>
      <c r="Z762" t="str">
        <f>sales_data!O4632</f>
        <v>Доставлен</v>
      </c>
    </row>
    <row r="763" spans="12:26" x14ac:dyDescent="0.25">
      <c r="L763">
        <f>sales_data!A4634</f>
        <v>4347</v>
      </c>
      <c r="M763">
        <f>sales_data!B4634</f>
        <v>46011</v>
      </c>
      <c r="N763">
        <f>sales_data!C4634</f>
        <v>20</v>
      </c>
      <c r="O763" t="str">
        <f>sales_data!D4634</f>
        <v>Декабрь</v>
      </c>
      <c r="P763" t="str">
        <f>sales_data!E4634</f>
        <v>Павел</v>
      </c>
      <c r="Q763" t="str">
        <f>sales_data!F4634</f>
        <v>Москва</v>
      </c>
      <c r="R763" t="str">
        <f>sales_data!G4634</f>
        <v>Центральный</v>
      </c>
      <c r="S763" t="str">
        <f>sales_data!H4634</f>
        <v>Ноутбуки</v>
      </c>
      <c r="T763" t="str">
        <f>sales_data!I4634</f>
        <v>Notebook Ultra</v>
      </c>
      <c r="U763" t="str">
        <f>sales_data!J4634</f>
        <v>Розница</v>
      </c>
      <c r="V763">
        <f>sales_data!K4634</f>
        <v>6</v>
      </c>
      <c r="W763">
        <f>sales_data!L4634</f>
        <v>119700</v>
      </c>
      <c r="X763">
        <f>sales_data!M4634</f>
        <v>718200</v>
      </c>
      <c r="Y763" t="str">
        <f>sales_data!N4634</f>
        <v>Интернет-магазин</v>
      </c>
      <c r="Z763" t="str">
        <f>sales_data!O4634</f>
        <v>Доставлен</v>
      </c>
    </row>
    <row r="764" spans="12:26" x14ac:dyDescent="0.25">
      <c r="L764">
        <f>sales_data!A4638</f>
        <v>2989</v>
      </c>
      <c r="M764">
        <f>sales_data!B4638</f>
        <v>45684</v>
      </c>
      <c r="N764">
        <f>sales_data!C4638</f>
        <v>27</v>
      </c>
      <c r="O764" t="str">
        <f>sales_data!D4638</f>
        <v>Январь</v>
      </c>
      <c r="P764" t="str">
        <f>sales_data!E4638</f>
        <v>Ольга</v>
      </c>
      <c r="Q764" t="str">
        <f>sales_data!F4638</f>
        <v>Воронеж</v>
      </c>
      <c r="R764" t="str">
        <f>sales_data!G4638</f>
        <v>Центральный</v>
      </c>
      <c r="S764" t="str">
        <f>sales_data!H4638</f>
        <v>Серверы</v>
      </c>
      <c r="T764" t="str">
        <f>sales_data!I4638</f>
        <v>Server Rack</v>
      </c>
      <c r="U764" t="str">
        <f>sales_data!J4638</f>
        <v>Опт</v>
      </c>
      <c r="V764">
        <f>sales_data!K4638</f>
        <v>38</v>
      </c>
      <c r="W764">
        <f>sales_data!L4638</f>
        <v>120300</v>
      </c>
      <c r="X764">
        <f>sales_data!M4638</f>
        <v>4571400</v>
      </c>
      <c r="Y764" t="str">
        <f>sales_data!N4638</f>
        <v>Офлайн-точка</v>
      </c>
      <c r="Z764" t="str">
        <f>sales_data!O4638</f>
        <v>Отменён</v>
      </c>
    </row>
    <row r="765" spans="12:26" x14ac:dyDescent="0.25">
      <c r="L765">
        <f>sales_data!A4650</f>
        <v>4094</v>
      </c>
      <c r="M765">
        <f>sales_data!B4650</f>
        <v>45844</v>
      </c>
      <c r="N765">
        <f>sales_data!C4650</f>
        <v>6</v>
      </c>
      <c r="O765" t="str">
        <f>sales_data!D4650</f>
        <v>Июль</v>
      </c>
      <c r="P765" t="str">
        <f>sales_data!E4650</f>
        <v>Мария</v>
      </c>
      <c r="Q765" t="str">
        <f>sales_data!F4650</f>
        <v>Ростов-на-Дону</v>
      </c>
      <c r="R765" t="str">
        <f>sales_data!G4650</f>
        <v>Южный</v>
      </c>
      <c r="S765" t="str">
        <f>sales_data!H4650</f>
        <v>Ноутбуки</v>
      </c>
      <c r="T765" t="str">
        <f>sales_data!I4650</f>
        <v>Notebook Ultra</v>
      </c>
      <c r="U765" t="str">
        <f>sales_data!J4650</f>
        <v>Розница</v>
      </c>
      <c r="V765">
        <f>sales_data!K4650</f>
        <v>6</v>
      </c>
      <c r="W765">
        <f>sales_data!L4650</f>
        <v>121300</v>
      </c>
      <c r="X765">
        <f>sales_data!M4650</f>
        <v>727800</v>
      </c>
      <c r="Y765" t="str">
        <f>sales_data!N4650</f>
        <v>Офлайн-точка</v>
      </c>
      <c r="Z765" t="str">
        <f>sales_data!O4650</f>
        <v>Отменён</v>
      </c>
    </row>
    <row r="766" spans="12:26" x14ac:dyDescent="0.25">
      <c r="L766">
        <f>sales_data!A4658</f>
        <v>3541</v>
      </c>
      <c r="M766">
        <f>sales_data!B4658</f>
        <v>46017</v>
      </c>
      <c r="N766">
        <f>sales_data!C4658</f>
        <v>26</v>
      </c>
      <c r="O766" t="str">
        <f>sales_data!D4658</f>
        <v>Декабрь</v>
      </c>
      <c r="P766" t="str">
        <f>sales_data!E4658</f>
        <v>Борис</v>
      </c>
      <c r="Q766" t="str">
        <f>sales_data!F4658</f>
        <v>Москва</v>
      </c>
      <c r="R766" t="str">
        <f>sales_data!G4658</f>
        <v>Центральный</v>
      </c>
      <c r="S766" t="str">
        <f>sales_data!H4658</f>
        <v>Ноутбуки</v>
      </c>
      <c r="T766" t="str">
        <f>sales_data!I4658</f>
        <v>Notebook Ultra</v>
      </c>
      <c r="U766" t="str">
        <f>sales_data!J4658</f>
        <v>Розница</v>
      </c>
      <c r="V766">
        <f>sales_data!K4658</f>
        <v>7</v>
      </c>
      <c r="W766">
        <f>sales_data!L4658</f>
        <v>122000</v>
      </c>
      <c r="X766">
        <f>sales_data!M4658</f>
        <v>854000</v>
      </c>
      <c r="Y766" t="str">
        <f>sales_data!N4658</f>
        <v>Интернет-магазин</v>
      </c>
      <c r="Z766" t="str">
        <f>sales_data!O4658</f>
        <v>Доставлен</v>
      </c>
    </row>
    <row r="767" spans="12:26" x14ac:dyDescent="0.25">
      <c r="L767">
        <f>sales_data!A4659</f>
        <v>1464</v>
      </c>
      <c r="M767">
        <f>sales_data!B4659</f>
        <v>45859</v>
      </c>
      <c r="N767">
        <f>sales_data!C4659</f>
        <v>21</v>
      </c>
      <c r="O767" t="str">
        <f>sales_data!D4659</f>
        <v>Июль</v>
      </c>
      <c r="P767" t="str">
        <f>sales_data!E4659</f>
        <v>Светлана</v>
      </c>
      <c r="Q767" t="str">
        <f>sales_data!F4659</f>
        <v>Нижний Новгород</v>
      </c>
      <c r="R767" t="str">
        <f>sales_data!G4659</f>
        <v>Приволжский</v>
      </c>
      <c r="S767" t="str">
        <f>sales_data!H4659</f>
        <v>Серверы</v>
      </c>
      <c r="T767" t="str">
        <f>sales_data!I4659</f>
        <v>Server Rack</v>
      </c>
      <c r="U767" t="str">
        <f>sales_data!J4659</f>
        <v>Опт</v>
      </c>
      <c r="V767">
        <f>sales_data!K4659</f>
        <v>38</v>
      </c>
      <c r="W767">
        <f>sales_data!L4659</f>
        <v>122100</v>
      </c>
      <c r="X767">
        <f>sales_data!M4659</f>
        <v>4639800</v>
      </c>
      <c r="Y767" t="str">
        <f>sales_data!N4659</f>
        <v>Офлайн-точка</v>
      </c>
      <c r="Z767" t="str">
        <f>sales_data!O4659</f>
        <v>Доставлен</v>
      </c>
    </row>
    <row r="768" spans="12:26" x14ac:dyDescent="0.25">
      <c r="L768">
        <f>sales_data!A4667</f>
        <v>229</v>
      </c>
      <c r="M768">
        <f>sales_data!B4667</f>
        <v>45821</v>
      </c>
      <c r="N768">
        <f>sales_data!C4667</f>
        <v>13</v>
      </c>
      <c r="O768" t="str">
        <f>sales_data!D4667</f>
        <v>Июнь</v>
      </c>
      <c r="P768" t="str">
        <f>sales_data!E4667</f>
        <v>Татьяна</v>
      </c>
      <c r="Q768" t="str">
        <f>sales_data!F4667</f>
        <v>Краснодар</v>
      </c>
      <c r="R768" t="str">
        <f>sales_data!G4667</f>
        <v>Южный</v>
      </c>
      <c r="S768" t="str">
        <f>sales_data!H4667</f>
        <v>Серверы</v>
      </c>
      <c r="T768" t="str">
        <f>sales_data!I4667</f>
        <v>Server Rack</v>
      </c>
      <c r="U768" t="str">
        <f>sales_data!J4667</f>
        <v>Опт</v>
      </c>
      <c r="V768">
        <f>sales_data!K4667</f>
        <v>24</v>
      </c>
      <c r="W768">
        <f>sales_data!L4667</f>
        <v>122900</v>
      </c>
      <c r="X768">
        <f>sales_data!M4667</f>
        <v>2949600</v>
      </c>
      <c r="Y768" t="str">
        <f>sales_data!N4667</f>
        <v>Интернет-магазин</v>
      </c>
      <c r="Z768" t="str">
        <f>sales_data!O4667</f>
        <v>Отменён</v>
      </c>
    </row>
    <row r="769" spans="12:26" x14ac:dyDescent="0.25">
      <c r="L769">
        <f>sales_data!A4669</f>
        <v>1157</v>
      </c>
      <c r="M769">
        <f>sales_data!B4669</f>
        <v>45925</v>
      </c>
      <c r="N769">
        <f>sales_data!C4669</f>
        <v>25</v>
      </c>
      <c r="O769" t="str">
        <f>sales_data!D4669</f>
        <v>Сентябрь</v>
      </c>
      <c r="P769" t="str">
        <f>sales_data!E4669</f>
        <v>Татьяна</v>
      </c>
      <c r="Q769" t="str">
        <f>sales_data!F4669</f>
        <v>Ростов-на-Дону</v>
      </c>
      <c r="R769" t="str">
        <f>sales_data!G4669</f>
        <v>Южный</v>
      </c>
      <c r="S769" t="str">
        <f>sales_data!H4669</f>
        <v>Серверы</v>
      </c>
      <c r="T769" t="str">
        <f>sales_data!I4669</f>
        <v>Server Rack</v>
      </c>
      <c r="U769" t="str">
        <f>sales_data!J4669</f>
        <v>Опт</v>
      </c>
      <c r="V769">
        <f>sales_data!K4669</f>
        <v>49</v>
      </c>
      <c r="W769">
        <f>sales_data!L4669</f>
        <v>123100</v>
      </c>
      <c r="X769">
        <f>sales_data!M4669</f>
        <v>6031900</v>
      </c>
      <c r="Y769" t="str">
        <f>sales_data!N4669</f>
        <v>Офлайн-точка</v>
      </c>
      <c r="Z769" t="str">
        <f>sales_data!O4669</f>
        <v>В пути</v>
      </c>
    </row>
    <row r="770" spans="12:26" x14ac:dyDescent="0.25">
      <c r="L770">
        <f>sales_data!A4676</f>
        <v>1465</v>
      </c>
      <c r="M770">
        <f>sales_data!B4676</f>
        <v>45701</v>
      </c>
      <c r="N770">
        <f>sales_data!C4676</f>
        <v>13</v>
      </c>
      <c r="O770" t="str">
        <f>sales_data!D4676</f>
        <v>Февраль</v>
      </c>
      <c r="P770" t="str">
        <f>sales_data!E4676</f>
        <v>Анна</v>
      </c>
      <c r="Q770" t="str">
        <f>sales_data!F4676</f>
        <v>Екатеринбург</v>
      </c>
      <c r="R770" t="str">
        <f>sales_data!G4676</f>
        <v>Уральский</v>
      </c>
      <c r="S770" t="str">
        <f>sales_data!H4676</f>
        <v>Серверы</v>
      </c>
      <c r="T770" t="str">
        <f>sales_data!I4676</f>
        <v>Server Rack</v>
      </c>
      <c r="U770" t="str">
        <f>sales_data!J4676</f>
        <v>Опт</v>
      </c>
      <c r="V770">
        <f>sales_data!K4676</f>
        <v>43</v>
      </c>
      <c r="W770">
        <f>sales_data!L4676</f>
        <v>123800</v>
      </c>
      <c r="X770">
        <f>sales_data!M4676</f>
        <v>5323400</v>
      </c>
      <c r="Y770" t="str">
        <f>sales_data!N4676</f>
        <v>Интернет-магазин</v>
      </c>
      <c r="Z770" t="str">
        <f>sales_data!O4676</f>
        <v>В пути</v>
      </c>
    </row>
    <row r="771" spans="12:26" x14ac:dyDescent="0.25">
      <c r="L771">
        <f>sales_data!A4701</f>
        <v>4133</v>
      </c>
      <c r="M771">
        <f>sales_data!B4701</f>
        <v>45745</v>
      </c>
      <c r="N771">
        <f>sales_data!C4701</f>
        <v>29</v>
      </c>
      <c r="O771" t="str">
        <f>sales_data!D4701</f>
        <v>Март</v>
      </c>
      <c r="P771" t="str">
        <f>sales_data!E4701</f>
        <v>Наталья</v>
      </c>
      <c r="Q771" t="str">
        <f>sales_data!F4701</f>
        <v>Санкт-Петербург</v>
      </c>
      <c r="R771" t="str">
        <f>sales_data!G4701</f>
        <v>Северо-Западный</v>
      </c>
      <c r="S771" t="str">
        <f>sales_data!H4701</f>
        <v>Ноутбуки</v>
      </c>
      <c r="T771" t="str">
        <f>sales_data!I4701</f>
        <v>Notebook Ultra</v>
      </c>
      <c r="U771" t="str">
        <f>sales_data!J4701</f>
        <v>Розница</v>
      </c>
      <c r="V771">
        <f>sales_data!K4701</f>
        <v>2</v>
      </c>
      <c r="W771">
        <f>sales_data!L4701</f>
        <v>126400</v>
      </c>
      <c r="X771">
        <f>sales_data!M4701</f>
        <v>252800</v>
      </c>
      <c r="Y771" t="str">
        <f>sales_data!N4701</f>
        <v>Интернет-магазин</v>
      </c>
      <c r="Z771" t="str">
        <f>sales_data!O4701</f>
        <v>Отменён</v>
      </c>
    </row>
    <row r="772" spans="12:26" x14ac:dyDescent="0.25">
      <c r="L772">
        <f>sales_data!A4706</f>
        <v>1260</v>
      </c>
      <c r="M772">
        <f>sales_data!B4706</f>
        <v>45755</v>
      </c>
      <c r="N772">
        <f>sales_data!C4706</f>
        <v>8</v>
      </c>
      <c r="O772" t="str">
        <f>sales_data!D4706</f>
        <v>Апрель</v>
      </c>
      <c r="P772" t="str">
        <f>sales_data!E4706</f>
        <v>Ксения</v>
      </c>
      <c r="Q772" t="str">
        <f>sales_data!F4706</f>
        <v>Пермь</v>
      </c>
      <c r="R772" t="str">
        <f>sales_data!G4706</f>
        <v>Приволжский</v>
      </c>
      <c r="S772" t="str">
        <f>sales_data!H4706</f>
        <v>Серверы</v>
      </c>
      <c r="T772" t="str">
        <f>sales_data!I4706</f>
        <v>Server Rack</v>
      </c>
      <c r="U772" t="str">
        <f>sales_data!J4706</f>
        <v>Опт</v>
      </c>
      <c r="V772">
        <f>sales_data!K4706</f>
        <v>49</v>
      </c>
      <c r="W772">
        <f>sales_data!L4706</f>
        <v>127100</v>
      </c>
      <c r="X772">
        <f>sales_data!M4706</f>
        <v>6227900</v>
      </c>
      <c r="Y772" t="str">
        <f>sales_data!N4706</f>
        <v>Офлайн-точка</v>
      </c>
      <c r="Z772" t="str">
        <f>sales_data!O4706</f>
        <v>Доставлен</v>
      </c>
    </row>
    <row r="773" spans="12:26" x14ac:dyDescent="0.25">
      <c r="L773">
        <f>sales_data!A4718</f>
        <v>4640</v>
      </c>
      <c r="M773">
        <f>sales_data!B4718</f>
        <v>45750</v>
      </c>
      <c r="N773">
        <f>sales_data!C4718</f>
        <v>3</v>
      </c>
      <c r="O773" t="str">
        <f>sales_data!D4718</f>
        <v>Апрель</v>
      </c>
      <c r="P773" t="str">
        <f>sales_data!E4718</f>
        <v>Игорь</v>
      </c>
      <c r="Q773" t="str">
        <f>sales_data!F4718</f>
        <v>Екатеринбург</v>
      </c>
      <c r="R773" t="str">
        <f>sales_data!G4718</f>
        <v>Уральский</v>
      </c>
      <c r="S773" t="str">
        <f>sales_data!H4718</f>
        <v>Серверы</v>
      </c>
      <c r="T773" t="str">
        <f>sales_data!I4718</f>
        <v>Server Rack</v>
      </c>
      <c r="U773" t="str">
        <f>sales_data!J4718</f>
        <v>Розница</v>
      </c>
      <c r="V773">
        <f>sales_data!K4718</f>
        <v>4</v>
      </c>
      <c r="W773">
        <f>sales_data!L4718</f>
        <v>128800</v>
      </c>
      <c r="X773">
        <f>sales_data!M4718</f>
        <v>515200</v>
      </c>
      <c r="Y773" t="str">
        <f>sales_data!N4718</f>
        <v>Офлайн-точка</v>
      </c>
      <c r="Z773" t="str">
        <f>sales_data!O4718</f>
        <v>Доставлен</v>
      </c>
    </row>
    <row r="774" spans="12:26" x14ac:dyDescent="0.25">
      <c r="L774">
        <f>sales_data!A4719</f>
        <v>1112</v>
      </c>
      <c r="M774">
        <f>sales_data!B4719</f>
        <v>46004</v>
      </c>
      <c r="N774">
        <f>sales_data!C4719</f>
        <v>13</v>
      </c>
      <c r="O774" t="str">
        <f>sales_data!D4719</f>
        <v>Декабрь</v>
      </c>
      <c r="P774" t="str">
        <f>sales_data!E4719</f>
        <v>Светлана</v>
      </c>
      <c r="Q774" t="str">
        <f>sales_data!F4719</f>
        <v>Нижний Новгород</v>
      </c>
      <c r="R774" t="str">
        <f>sales_data!G4719</f>
        <v>Приволжский</v>
      </c>
      <c r="S774" t="str">
        <f>sales_data!H4719</f>
        <v>Серверы</v>
      </c>
      <c r="T774" t="str">
        <f>sales_data!I4719</f>
        <v>Server Rack</v>
      </c>
      <c r="U774" t="str">
        <f>sales_data!J4719</f>
        <v>Опт</v>
      </c>
      <c r="V774">
        <f>sales_data!K4719</f>
        <v>18</v>
      </c>
      <c r="W774">
        <f>sales_data!L4719</f>
        <v>128900</v>
      </c>
      <c r="X774">
        <f>sales_data!M4719</f>
        <v>2320200</v>
      </c>
      <c r="Y774" t="str">
        <f>sales_data!N4719</f>
        <v>Офлайн-точка</v>
      </c>
      <c r="Z774" t="str">
        <f>sales_data!O4719</f>
        <v>В пути</v>
      </c>
    </row>
    <row r="775" spans="12:26" x14ac:dyDescent="0.25">
      <c r="L775">
        <f>sales_data!A4722</f>
        <v>4878</v>
      </c>
      <c r="M775">
        <f>sales_data!B4722</f>
        <v>45730</v>
      </c>
      <c r="N775">
        <f>sales_data!C4722</f>
        <v>14</v>
      </c>
      <c r="O775" t="str">
        <f>sales_data!D4722</f>
        <v>Март</v>
      </c>
      <c r="P775" t="str">
        <f>sales_data!E4722</f>
        <v>Ольга</v>
      </c>
      <c r="Q775" t="str">
        <f>sales_data!F4722</f>
        <v>Красноярск</v>
      </c>
      <c r="R775" t="str">
        <f>sales_data!G4722</f>
        <v>Сибирский</v>
      </c>
      <c r="S775" t="str">
        <f>sales_data!H4722</f>
        <v>Серверы</v>
      </c>
      <c r="T775" t="str">
        <f>sales_data!I4722</f>
        <v>Server Rack</v>
      </c>
      <c r="U775" t="str">
        <f>sales_data!J4722</f>
        <v>Опт</v>
      </c>
      <c r="V775">
        <f>sales_data!K4722</f>
        <v>26</v>
      </c>
      <c r="W775">
        <f>sales_data!L4722</f>
        <v>130300</v>
      </c>
      <c r="X775">
        <f>sales_data!M4722</f>
        <v>3387800</v>
      </c>
      <c r="Y775" t="str">
        <f>sales_data!N4722</f>
        <v>Офлайн-точка</v>
      </c>
      <c r="Z775" t="str">
        <f>sales_data!O4722</f>
        <v>Доставлен</v>
      </c>
    </row>
    <row r="776" spans="12:26" x14ac:dyDescent="0.25">
      <c r="L776">
        <f>sales_data!A4725</f>
        <v>4846</v>
      </c>
      <c r="M776">
        <f>sales_data!B4725</f>
        <v>46004</v>
      </c>
      <c r="N776">
        <f>sales_data!C4725</f>
        <v>13</v>
      </c>
      <c r="O776" t="str">
        <f>sales_data!D4725</f>
        <v>Декабрь</v>
      </c>
      <c r="P776" t="str">
        <f>sales_data!E4725</f>
        <v>Анна</v>
      </c>
      <c r="Q776" t="str">
        <f>sales_data!F4725</f>
        <v>Новосибирск</v>
      </c>
      <c r="R776" t="str">
        <f>sales_data!G4725</f>
        <v>Сибирский</v>
      </c>
      <c r="S776" t="str">
        <f>sales_data!H4725</f>
        <v>Серверы</v>
      </c>
      <c r="T776" t="str">
        <f>sales_data!I4725</f>
        <v>Server Rack</v>
      </c>
      <c r="U776" t="str">
        <f>sales_data!J4725</f>
        <v>Опт</v>
      </c>
      <c r="V776">
        <f>sales_data!K4725</f>
        <v>36</v>
      </c>
      <c r="W776">
        <f>sales_data!L4725</f>
        <v>130900</v>
      </c>
      <c r="X776">
        <f>sales_data!M4725</f>
        <v>4712400</v>
      </c>
      <c r="Y776" t="str">
        <f>sales_data!N4725</f>
        <v>Офлайн-точка</v>
      </c>
      <c r="Z776" t="str">
        <f>sales_data!O4725</f>
        <v>Отменён</v>
      </c>
    </row>
    <row r="777" spans="12:26" x14ac:dyDescent="0.25">
      <c r="L777">
        <f>sales_data!A4731</f>
        <v>2179</v>
      </c>
      <c r="M777">
        <f>sales_data!B4731</f>
        <v>45695</v>
      </c>
      <c r="N777">
        <f>sales_data!C4731</f>
        <v>7</v>
      </c>
      <c r="O777" t="str">
        <f>sales_data!D4731</f>
        <v>Февраль</v>
      </c>
      <c r="P777" t="str">
        <f>sales_data!E4731</f>
        <v>Светлана</v>
      </c>
      <c r="Q777" t="str">
        <f>sales_data!F4731</f>
        <v>Нижний Новгород</v>
      </c>
      <c r="R777" t="str">
        <f>sales_data!G4731</f>
        <v>Приволжский</v>
      </c>
      <c r="S777" t="str">
        <f>sales_data!H4731</f>
        <v>Ноутбуки</v>
      </c>
      <c r="T777" t="str">
        <f>sales_data!I4731</f>
        <v>Notebook Ultra</v>
      </c>
      <c r="U777" t="str">
        <f>sales_data!J4731</f>
        <v>Розница</v>
      </c>
      <c r="V777">
        <f>sales_data!K4731</f>
        <v>3</v>
      </c>
      <c r="W777">
        <f>sales_data!L4731</f>
        <v>132100</v>
      </c>
      <c r="X777">
        <f>sales_data!M4731</f>
        <v>396300</v>
      </c>
      <c r="Y777" t="str">
        <f>sales_data!N4731</f>
        <v>Офлайн-точка</v>
      </c>
      <c r="Z777" t="str">
        <f>sales_data!O4731</f>
        <v>Отменён</v>
      </c>
    </row>
    <row r="778" spans="12:26" x14ac:dyDescent="0.25">
      <c r="L778">
        <f>sales_data!A4736</f>
        <v>2409</v>
      </c>
      <c r="M778">
        <f>sales_data!B4736</f>
        <v>45739</v>
      </c>
      <c r="N778">
        <f>sales_data!C4736</f>
        <v>23</v>
      </c>
      <c r="O778" t="str">
        <f>sales_data!D4736</f>
        <v>Март</v>
      </c>
      <c r="P778" t="str">
        <f>sales_data!E4736</f>
        <v>Татьяна</v>
      </c>
      <c r="Q778" t="str">
        <f>sales_data!F4736</f>
        <v>Ростов-на-Дону</v>
      </c>
      <c r="R778" t="str">
        <f>sales_data!G4736</f>
        <v>Южный</v>
      </c>
      <c r="S778" t="str">
        <f>sales_data!H4736</f>
        <v>Серверы</v>
      </c>
      <c r="T778" t="str">
        <f>sales_data!I4736</f>
        <v>Server Rack</v>
      </c>
      <c r="U778" t="str">
        <f>sales_data!J4736</f>
        <v>Опт</v>
      </c>
      <c r="V778">
        <f>sales_data!K4736</f>
        <v>11</v>
      </c>
      <c r="W778">
        <f>sales_data!L4736</f>
        <v>132700</v>
      </c>
      <c r="X778">
        <f>sales_data!M4736</f>
        <v>1459700</v>
      </c>
      <c r="Y778" t="str">
        <f>sales_data!N4736</f>
        <v>Интернет-магазин</v>
      </c>
      <c r="Z778" t="str">
        <f>sales_data!O4736</f>
        <v>Доставлен</v>
      </c>
    </row>
    <row r="779" spans="12:26" x14ac:dyDescent="0.25">
      <c r="L779">
        <f>sales_data!A4758</f>
        <v>2627</v>
      </c>
      <c r="M779">
        <f>sales_data!B4758</f>
        <v>45861</v>
      </c>
      <c r="N779">
        <f>sales_data!C4758</f>
        <v>23</v>
      </c>
      <c r="O779" t="str">
        <f>sales_data!D4758</f>
        <v>Июль</v>
      </c>
      <c r="P779" t="str">
        <f>sales_data!E4758</f>
        <v>Мария</v>
      </c>
      <c r="Q779" t="str">
        <f>sales_data!F4758</f>
        <v>Красноярск</v>
      </c>
      <c r="R779" t="str">
        <f>sales_data!G4758</f>
        <v>Сибирский</v>
      </c>
      <c r="S779" t="str">
        <f>sales_data!H4758</f>
        <v>Серверы</v>
      </c>
      <c r="T779" t="str">
        <f>sales_data!I4758</f>
        <v>Server Rack</v>
      </c>
      <c r="U779" t="str">
        <f>sales_data!J4758</f>
        <v>Опт</v>
      </c>
      <c r="V779">
        <f>sales_data!K4758</f>
        <v>15</v>
      </c>
      <c r="W779">
        <f>sales_data!L4758</f>
        <v>136400</v>
      </c>
      <c r="X779">
        <f>sales_data!M4758</f>
        <v>2046000</v>
      </c>
      <c r="Y779" t="str">
        <f>sales_data!N4758</f>
        <v>Интернет-магазин</v>
      </c>
      <c r="Z779" t="str">
        <f>sales_data!O4758</f>
        <v>Доставлен</v>
      </c>
    </row>
    <row r="780" spans="12:26" x14ac:dyDescent="0.25">
      <c r="L780">
        <f>sales_data!A4768</f>
        <v>768</v>
      </c>
      <c r="M780">
        <f>sales_data!B4768</f>
        <v>45712</v>
      </c>
      <c r="N780">
        <f>sales_data!C4768</f>
        <v>24</v>
      </c>
      <c r="O780" t="str">
        <f>sales_data!D4768</f>
        <v>Февраль</v>
      </c>
      <c r="P780" t="str">
        <f>sales_data!E4768</f>
        <v>Игорь</v>
      </c>
      <c r="Q780" t="str">
        <f>sales_data!F4768</f>
        <v>Самара</v>
      </c>
      <c r="R780" t="str">
        <f>sales_data!G4768</f>
        <v>Приволжский</v>
      </c>
      <c r="S780" t="str">
        <f>sales_data!H4768</f>
        <v>Серверы</v>
      </c>
      <c r="T780" t="str">
        <f>sales_data!I4768</f>
        <v>Server Rack</v>
      </c>
      <c r="U780" t="str">
        <f>sales_data!J4768</f>
        <v>Опт</v>
      </c>
      <c r="V780">
        <f>sales_data!K4768</f>
        <v>39</v>
      </c>
      <c r="W780">
        <f>sales_data!L4768</f>
        <v>138800</v>
      </c>
      <c r="X780">
        <f>sales_data!M4768</f>
        <v>5413200</v>
      </c>
      <c r="Y780" t="str">
        <f>sales_data!N4768</f>
        <v>Офлайн-точка</v>
      </c>
      <c r="Z780" t="str">
        <f>sales_data!O4768</f>
        <v>В пути</v>
      </c>
    </row>
    <row r="781" spans="12:26" x14ac:dyDescent="0.25">
      <c r="L781">
        <f>sales_data!A4769</f>
        <v>1346</v>
      </c>
      <c r="M781">
        <f>sales_data!B4769</f>
        <v>46007</v>
      </c>
      <c r="N781">
        <f>sales_data!C4769</f>
        <v>16</v>
      </c>
      <c r="O781" t="str">
        <f>sales_data!D4769</f>
        <v>Декабрь</v>
      </c>
      <c r="P781" t="str">
        <f>sales_data!E4769</f>
        <v>Павел</v>
      </c>
      <c r="Q781" t="str">
        <f>sales_data!F4769</f>
        <v>Санкт-Петербург</v>
      </c>
      <c r="R781" t="str">
        <f>sales_data!G4769</f>
        <v>Северо-Западный</v>
      </c>
      <c r="S781" t="str">
        <f>sales_data!H4769</f>
        <v>Серверы</v>
      </c>
      <c r="T781" t="str">
        <f>sales_data!I4769</f>
        <v>Server Rack</v>
      </c>
      <c r="U781" t="str">
        <f>sales_data!J4769</f>
        <v>Розница</v>
      </c>
      <c r="V781">
        <f>sales_data!K4769</f>
        <v>4</v>
      </c>
      <c r="W781">
        <f>sales_data!L4769</f>
        <v>138900</v>
      </c>
      <c r="X781">
        <f>sales_data!M4769</f>
        <v>555600</v>
      </c>
      <c r="Y781" t="str">
        <f>sales_data!N4769</f>
        <v>Интернет-магазин</v>
      </c>
      <c r="Z781" t="str">
        <f>sales_data!O4769</f>
        <v>Отменён</v>
      </c>
    </row>
    <row r="782" spans="12:26" x14ac:dyDescent="0.25">
      <c r="L782">
        <f>sales_data!A4775</f>
        <v>1776</v>
      </c>
      <c r="M782">
        <f>sales_data!B4775</f>
        <v>45751</v>
      </c>
      <c r="N782">
        <f>sales_data!C4775</f>
        <v>4</v>
      </c>
      <c r="O782" t="str">
        <f>sales_data!D4775</f>
        <v>Апрель</v>
      </c>
      <c r="P782" t="str">
        <f>sales_data!E4775</f>
        <v>Анна</v>
      </c>
      <c r="Q782" t="str">
        <f>sales_data!F4775</f>
        <v>Казань</v>
      </c>
      <c r="R782" t="str">
        <f>sales_data!G4775</f>
        <v>Приволжский</v>
      </c>
      <c r="S782" t="str">
        <f>sales_data!H4775</f>
        <v>Серверы</v>
      </c>
      <c r="T782" t="str">
        <f>sales_data!I4775</f>
        <v>Server Rack</v>
      </c>
      <c r="U782" t="str">
        <f>sales_data!J4775</f>
        <v>Розница</v>
      </c>
      <c r="V782">
        <f>sales_data!K4775</f>
        <v>3</v>
      </c>
      <c r="W782">
        <f>sales_data!L4775</f>
        <v>140100</v>
      </c>
      <c r="X782">
        <f>sales_data!M4775</f>
        <v>420300</v>
      </c>
      <c r="Y782" t="str">
        <f>sales_data!N4775</f>
        <v>Офлайн-точка</v>
      </c>
      <c r="Z782" t="str">
        <f>sales_data!O4775</f>
        <v>В пути</v>
      </c>
    </row>
    <row r="783" spans="12:26" x14ac:dyDescent="0.25">
      <c r="L783">
        <f>sales_data!A4783</f>
        <v>456</v>
      </c>
      <c r="M783">
        <f>sales_data!B4783</f>
        <v>45860</v>
      </c>
      <c r="N783">
        <f>sales_data!C4783</f>
        <v>22</v>
      </c>
      <c r="O783" t="str">
        <f>sales_data!D4783</f>
        <v>Июль</v>
      </c>
      <c r="P783" t="str">
        <f>sales_data!E4783</f>
        <v>Ксения</v>
      </c>
      <c r="Q783" t="str">
        <f>sales_data!F4783</f>
        <v>Пермь</v>
      </c>
      <c r="R783" t="str">
        <f>sales_data!G4783</f>
        <v>Приволжский</v>
      </c>
      <c r="S783" t="str">
        <f>sales_data!H4783</f>
        <v>Серверы</v>
      </c>
      <c r="T783" t="str">
        <f>sales_data!I4783</f>
        <v>Server Rack</v>
      </c>
      <c r="U783" t="str">
        <f>sales_data!J4783</f>
        <v>Розница</v>
      </c>
      <c r="V783">
        <f>sales_data!K4783</f>
        <v>2</v>
      </c>
      <c r="W783">
        <f>sales_data!L4783</f>
        <v>144100</v>
      </c>
      <c r="X783">
        <f>sales_data!M4783</f>
        <v>288200</v>
      </c>
      <c r="Y783" t="str">
        <f>sales_data!N4783</f>
        <v>Офлайн-точка</v>
      </c>
      <c r="Z783" t="str">
        <f>sales_data!O4783</f>
        <v>Доставлен</v>
      </c>
    </row>
    <row r="784" spans="12:26" x14ac:dyDescent="0.25">
      <c r="L784">
        <f>sales_data!A4787</f>
        <v>4383</v>
      </c>
      <c r="M784">
        <f>sales_data!B4787</f>
        <v>45921</v>
      </c>
      <c r="N784">
        <f>sales_data!C4787</f>
        <v>21</v>
      </c>
      <c r="O784" t="str">
        <f>sales_data!D4787</f>
        <v>Сентябрь</v>
      </c>
      <c r="P784" t="str">
        <f>sales_data!E4787</f>
        <v>Сергей</v>
      </c>
      <c r="Q784" t="str">
        <f>sales_data!F4787</f>
        <v>Челябинск</v>
      </c>
      <c r="R784" t="str">
        <f>sales_data!G4787</f>
        <v>Уральский</v>
      </c>
      <c r="S784" t="str">
        <f>sales_data!H4787</f>
        <v>Серверы</v>
      </c>
      <c r="T784" t="str">
        <f>sales_data!I4787</f>
        <v>Server Rack</v>
      </c>
      <c r="U784" t="str">
        <f>sales_data!J4787</f>
        <v>Розница</v>
      </c>
      <c r="V784">
        <f>sales_data!K4787</f>
        <v>1</v>
      </c>
      <c r="W784">
        <f>sales_data!L4787</f>
        <v>145000</v>
      </c>
      <c r="X784">
        <f>sales_data!M4787</f>
        <v>145000</v>
      </c>
      <c r="Y784" t="str">
        <f>sales_data!N4787</f>
        <v>Интернет-магазин</v>
      </c>
      <c r="Z784" t="str">
        <f>sales_data!O4787</f>
        <v>В пути</v>
      </c>
    </row>
    <row r="785" spans="12:26" x14ac:dyDescent="0.25">
      <c r="L785">
        <f>sales_data!A4792</f>
        <v>1078</v>
      </c>
      <c r="M785">
        <f>sales_data!B4792</f>
        <v>45841</v>
      </c>
      <c r="N785">
        <f>sales_data!C4792</f>
        <v>3</v>
      </c>
      <c r="O785" t="str">
        <f>sales_data!D4792</f>
        <v>Июль</v>
      </c>
      <c r="P785" t="str">
        <f>sales_data!E4792</f>
        <v>Ольга</v>
      </c>
      <c r="Q785" t="str">
        <f>sales_data!F4792</f>
        <v>Казань</v>
      </c>
      <c r="R785" t="str">
        <f>sales_data!G4792</f>
        <v>Приволжский</v>
      </c>
      <c r="S785" t="str">
        <f>sales_data!H4792</f>
        <v>Серверы</v>
      </c>
      <c r="T785" t="str">
        <f>sales_data!I4792</f>
        <v>Server Rack</v>
      </c>
      <c r="U785" t="str">
        <f>sales_data!J4792</f>
        <v>Розница</v>
      </c>
      <c r="V785">
        <f>sales_data!K4792</f>
        <v>8</v>
      </c>
      <c r="W785">
        <f>sales_data!L4792</f>
        <v>146800</v>
      </c>
      <c r="X785">
        <f>sales_data!M4792</f>
        <v>1174400</v>
      </c>
      <c r="Y785" t="str">
        <f>sales_data!N4792</f>
        <v>Офлайн-точка</v>
      </c>
      <c r="Z785" t="str">
        <f>sales_data!O4792</f>
        <v>Доставлен</v>
      </c>
    </row>
    <row r="786" spans="12:26" x14ac:dyDescent="0.25">
      <c r="L786">
        <f>sales_data!A4795</f>
        <v>696</v>
      </c>
      <c r="M786">
        <f>sales_data!B4795</f>
        <v>46008</v>
      </c>
      <c r="N786">
        <f>sales_data!C4795</f>
        <v>17</v>
      </c>
      <c r="O786" t="str">
        <f>sales_data!D4795</f>
        <v>Декабрь</v>
      </c>
      <c r="P786" t="str">
        <f>sales_data!E4795</f>
        <v>Игорь</v>
      </c>
      <c r="Q786" t="str">
        <f>sales_data!F4795</f>
        <v>Казань</v>
      </c>
      <c r="R786" t="str">
        <f>sales_data!G4795</f>
        <v>Приволжский</v>
      </c>
      <c r="S786" t="str">
        <f>sales_data!H4795</f>
        <v>Серверы</v>
      </c>
      <c r="T786" t="str">
        <f>sales_data!I4795</f>
        <v>Server Rack</v>
      </c>
      <c r="U786" t="str">
        <f>sales_data!J4795</f>
        <v>Розница</v>
      </c>
      <c r="V786">
        <f>sales_data!K4795</f>
        <v>1</v>
      </c>
      <c r="W786">
        <f>sales_data!L4795</f>
        <v>147700</v>
      </c>
      <c r="X786">
        <f>sales_data!M4795</f>
        <v>147700</v>
      </c>
      <c r="Y786" t="str">
        <f>sales_data!N4795</f>
        <v>Интернет-магазин</v>
      </c>
      <c r="Z786" t="str">
        <f>sales_data!O4795</f>
        <v>Отменён</v>
      </c>
    </row>
    <row r="787" spans="12:26" x14ac:dyDescent="0.25">
      <c r="L787">
        <f>sales_data!A4820</f>
        <v>4234</v>
      </c>
      <c r="M787">
        <f>sales_data!B4820</f>
        <v>45678</v>
      </c>
      <c r="N787">
        <f>sales_data!C4820</f>
        <v>21</v>
      </c>
      <c r="O787" t="str">
        <f>sales_data!D4820</f>
        <v>Январь</v>
      </c>
      <c r="P787" t="str">
        <f>sales_data!E4820</f>
        <v>Павел</v>
      </c>
      <c r="Q787" t="str">
        <f>sales_data!F4820</f>
        <v>Челябинск</v>
      </c>
      <c r="R787" t="str">
        <f>sales_data!G4820</f>
        <v>Уральский</v>
      </c>
      <c r="S787" t="str">
        <f>sales_data!H4820</f>
        <v>Серверы</v>
      </c>
      <c r="T787" t="str">
        <f>sales_data!I4820</f>
        <v>Server Rack</v>
      </c>
      <c r="U787" t="str">
        <f>sales_data!J4820</f>
        <v>Розница</v>
      </c>
      <c r="V787">
        <f>sales_data!K4820</f>
        <v>8</v>
      </c>
      <c r="W787">
        <f>sales_data!L4820</f>
        <v>153800</v>
      </c>
      <c r="X787">
        <f>sales_data!M4820</f>
        <v>1230400</v>
      </c>
      <c r="Y787" t="str">
        <f>sales_data!N4820</f>
        <v>Офлайн-точка</v>
      </c>
      <c r="Z787" t="str">
        <f>sales_data!O4820</f>
        <v>Доставлен</v>
      </c>
    </row>
    <row r="788" spans="12:26" x14ac:dyDescent="0.25">
      <c r="L788">
        <f>sales_data!A4823</f>
        <v>2528</v>
      </c>
      <c r="M788">
        <f>sales_data!B4823</f>
        <v>45933</v>
      </c>
      <c r="N788">
        <f>sales_data!C4823</f>
        <v>3</v>
      </c>
      <c r="O788" t="str">
        <f>sales_data!D4823</f>
        <v>Октябрь</v>
      </c>
      <c r="P788" t="str">
        <f>sales_data!E4823</f>
        <v>Борис</v>
      </c>
      <c r="Q788" t="str">
        <f>sales_data!F4823</f>
        <v>Новосибирск</v>
      </c>
      <c r="R788" t="str">
        <f>sales_data!G4823</f>
        <v>Сибирский</v>
      </c>
      <c r="S788" t="str">
        <f>sales_data!H4823</f>
        <v>Серверы</v>
      </c>
      <c r="T788" t="str">
        <f>sales_data!I4823</f>
        <v>Server Rack</v>
      </c>
      <c r="U788" t="str">
        <f>sales_data!J4823</f>
        <v>Розница</v>
      </c>
      <c r="V788">
        <f>sales_data!K4823</f>
        <v>5</v>
      </c>
      <c r="W788">
        <f>sales_data!L4823</f>
        <v>154600</v>
      </c>
      <c r="X788">
        <f>sales_data!M4823</f>
        <v>773000</v>
      </c>
      <c r="Y788" t="str">
        <f>sales_data!N4823</f>
        <v>Офлайн-точка</v>
      </c>
      <c r="Z788" t="str">
        <f>sales_data!O4823</f>
        <v>Доставлен</v>
      </c>
    </row>
    <row r="789" spans="12:26" x14ac:dyDescent="0.25">
      <c r="L789">
        <f>sales_data!A4830</f>
        <v>294</v>
      </c>
      <c r="M789">
        <f>sales_data!B4830</f>
        <v>45737</v>
      </c>
      <c r="N789">
        <f>sales_data!C4830</f>
        <v>21</v>
      </c>
      <c r="O789" t="str">
        <f>sales_data!D4830</f>
        <v>Март</v>
      </c>
      <c r="P789" t="str">
        <f>sales_data!E4830</f>
        <v>Елена</v>
      </c>
      <c r="Q789" t="str">
        <f>sales_data!F4830</f>
        <v>Новосибирск</v>
      </c>
      <c r="R789" t="str">
        <f>sales_data!G4830</f>
        <v>Сибирский</v>
      </c>
      <c r="S789" t="str">
        <f>sales_data!H4830</f>
        <v>Серверы</v>
      </c>
      <c r="T789" t="str">
        <f>sales_data!I4830</f>
        <v>Server Rack</v>
      </c>
      <c r="U789" t="str">
        <f>sales_data!J4830</f>
        <v>Розница</v>
      </c>
      <c r="V789">
        <f>sales_data!K4830</f>
        <v>7</v>
      </c>
      <c r="W789">
        <f>sales_data!L4830</f>
        <v>156400</v>
      </c>
      <c r="X789">
        <f>sales_data!M4830</f>
        <v>1094800</v>
      </c>
      <c r="Y789" t="str">
        <f>sales_data!N4830</f>
        <v>Интернет-магазин</v>
      </c>
      <c r="Z789" t="str">
        <f>sales_data!O4830</f>
        <v>Доставлен</v>
      </c>
    </row>
    <row r="790" spans="12:26" x14ac:dyDescent="0.25">
      <c r="L790">
        <f>sales_data!A4834</f>
        <v>2538</v>
      </c>
      <c r="M790">
        <f>sales_data!B4834</f>
        <v>45980</v>
      </c>
      <c r="N790">
        <f>sales_data!C4834</f>
        <v>19</v>
      </c>
      <c r="O790" t="str">
        <f>sales_data!D4834</f>
        <v>Ноябрь</v>
      </c>
      <c r="P790" t="str">
        <f>sales_data!E4834</f>
        <v>Алексей</v>
      </c>
      <c r="Q790" t="str">
        <f>sales_data!F4834</f>
        <v>Екатеринбург</v>
      </c>
      <c r="R790" t="str">
        <f>sales_data!G4834</f>
        <v>Уральский</v>
      </c>
      <c r="S790" t="str">
        <f>sales_data!H4834</f>
        <v>Серверы</v>
      </c>
      <c r="T790" t="str">
        <f>sales_data!I4834</f>
        <v>Server Rack</v>
      </c>
      <c r="U790" t="str">
        <f>sales_data!J4834</f>
        <v>Розница</v>
      </c>
      <c r="V790">
        <f>sales_data!K4834</f>
        <v>4</v>
      </c>
      <c r="W790">
        <f>sales_data!L4834</f>
        <v>156900</v>
      </c>
      <c r="X790">
        <f>sales_data!M4834</f>
        <v>627600</v>
      </c>
      <c r="Y790" t="str">
        <f>sales_data!N4834</f>
        <v>Интернет-магазин</v>
      </c>
      <c r="Z790" t="str">
        <f>sales_data!O4834</f>
        <v>Доставлен</v>
      </c>
    </row>
    <row r="791" spans="12:26" x14ac:dyDescent="0.25">
      <c r="L791">
        <f>sales_data!A4837</f>
        <v>2578</v>
      </c>
      <c r="M791">
        <f>sales_data!B4837</f>
        <v>45817</v>
      </c>
      <c r="N791">
        <f>sales_data!C4837</f>
        <v>9</v>
      </c>
      <c r="O791" t="str">
        <f>sales_data!D4837</f>
        <v>Июнь</v>
      </c>
      <c r="P791" t="str">
        <f>sales_data!E4837</f>
        <v>Владимир</v>
      </c>
      <c r="Q791" t="str">
        <f>sales_data!F4837</f>
        <v>Москва</v>
      </c>
      <c r="R791" t="str">
        <f>sales_data!G4837</f>
        <v>Центральный</v>
      </c>
      <c r="S791" t="str">
        <f>sales_data!H4837</f>
        <v>Серверы</v>
      </c>
      <c r="T791" t="str">
        <f>sales_data!I4837</f>
        <v>Server Rack</v>
      </c>
      <c r="U791" t="str">
        <f>sales_data!J4837</f>
        <v>Розница</v>
      </c>
      <c r="V791">
        <f>sales_data!K4837</f>
        <v>3</v>
      </c>
      <c r="W791">
        <f>sales_data!L4837</f>
        <v>157500</v>
      </c>
      <c r="X791">
        <f>sales_data!M4837</f>
        <v>472500</v>
      </c>
      <c r="Y791" t="str">
        <f>sales_data!N4837</f>
        <v>Офлайн-точка</v>
      </c>
      <c r="Z791" t="str">
        <f>sales_data!O4837</f>
        <v>Доставлен</v>
      </c>
    </row>
    <row r="792" spans="12:26" x14ac:dyDescent="0.25">
      <c r="L792">
        <f>sales_data!A4845</f>
        <v>580</v>
      </c>
      <c r="M792">
        <f>sales_data!B4845</f>
        <v>45738</v>
      </c>
      <c r="N792">
        <f>sales_data!C4845</f>
        <v>22</v>
      </c>
      <c r="O792" t="str">
        <f>sales_data!D4845</f>
        <v>Март</v>
      </c>
      <c r="P792" t="str">
        <f>sales_data!E4845</f>
        <v>Игорь</v>
      </c>
      <c r="Q792" t="str">
        <f>sales_data!F4845</f>
        <v>Омск</v>
      </c>
      <c r="R792" t="str">
        <f>sales_data!G4845</f>
        <v>Сибирский</v>
      </c>
      <c r="S792" t="str">
        <f>sales_data!H4845</f>
        <v>Серверы</v>
      </c>
      <c r="T792" t="str">
        <f>sales_data!I4845</f>
        <v>Server Rack</v>
      </c>
      <c r="U792" t="str">
        <f>sales_data!J4845</f>
        <v>Розница</v>
      </c>
      <c r="V792">
        <f>sales_data!K4845</f>
        <v>7</v>
      </c>
      <c r="W792">
        <f>sales_data!L4845</f>
        <v>158600</v>
      </c>
      <c r="X792">
        <f>sales_data!M4845</f>
        <v>1110200</v>
      </c>
      <c r="Y792" t="str">
        <f>sales_data!N4845</f>
        <v>Офлайн-точка</v>
      </c>
      <c r="Z792" t="str">
        <f>sales_data!O4845</f>
        <v>Отменён</v>
      </c>
    </row>
    <row r="793" spans="12:26" x14ac:dyDescent="0.25">
      <c r="L793">
        <f>sales_data!A4855</f>
        <v>3932</v>
      </c>
      <c r="M793">
        <f>sales_data!B4855</f>
        <v>45917</v>
      </c>
      <c r="N793">
        <f>sales_data!C4855</f>
        <v>17</v>
      </c>
      <c r="O793" t="str">
        <f>sales_data!D4855</f>
        <v>Сентябрь</v>
      </c>
      <c r="P793" t="str">
        <f>sales_data!E4855</f>
        <v>Игорь</v>
      </c>
      <c r="Q793" t="str">
        <f>sales_data!F4855</f>
        <v>Екатеринбург</v>
      </c>
      <c r="R793" t="str">
        <f>sales_data!G4855</f>
        <v>Уральский</v>
      </c>
      <c r="S793" t="str">
        <f>sales_data!H4855</f>
        <v>Серверы</v>
      </c>
      <c r="T793" t="str">
        <f>sales_data!I4855</f>
        <v>Server Rack</v>
      </c>
      <c r="U793" t="str">
        <f>sales_data!J4855</f>
        <v>Розница</v>
      </c>
      <c r="V793">
        <f>sales_data!K4855</f>
        <v>10</v>
      </c>
      <c r="W793">
        <f>sales_data!L4855</f>
        <v>161500</v>
      </c>
      <c r="X793">
        <f>sales_data!M4855</f>
        <v>1615000</v>
      </c>
      <c r="Y793" t="str">
        <f>sales_data!N4855</f>
        <v>Интернет-магазин</v>
      </c>
      <c r="Z793" t="str">
        <f>sales_data!O4855</f>
        <v>Отменён</v>
      </c>
    </row>
    <row r="794" spans="12:26" x14ac:dyDescent="0.25">
      <c r="L794">
        <f>sales_data!A4863</f>
        <v>3579</v>
      </c>
      <c r="M794">
        <f>sales_data!B4863</f>
        <v>45796</v>
      </c>
      <c r="N794">
        <f>sales_data!C4863</f>
        <v>19</v>
      </c>
      <c r="O794" t="str">
        <f>sales_data!D4863</f>
        <v>Май</v>
      </c>
      <c r="P794" t="str">
        <f>sales_data!E4863</f>
        <v>Сергей</v>
      </c>
      <c r="Q794" t="str">
        <f>sales_data!F4863</f>
        <v>Уфа</v>
      </c>
      <c r="R794" t="str">
        <f>sales_data!G4863</f>
        <v>Приволжский</v>
      </c>
      <c r="S794" t="str">
        <f>sales_data!H4863</f>
        <v>Серверы</v>
      </c>
      <c r="T794" t="str">
        <f>sales_data!I4863</f>
        <v>Server Blade</v>
      </c>
      <c r="U794" t="str">
        <f>sales_data!J4863</f>
        <v>Опт</v>
      </c>
      <c r="V794">
        <f>sales_data!K4863</f>
        <v>40</v>
      </c>
      <c r="W794">
        <f>sales_data!L4863</f>
        <v>163100</v>
      </c>
      <c r="X794">
        <f>sales_data!M4863</f>
        <v>6524000</v>
      </c>
      <c r="Y794" t="str">
        <f>sales_data!N4863</f>
        <v>Офлайн-точка</v>
      </c>
      <c r="Z794" t="str">
        <f>sales_data!O4863</f>
        <v>В пути</v>
      </c>
    </row>
    <row r="795" spans="12:26" x14ac:dyDescent="0.25">
      <c r="L795">
        <f>sales_data!A4868</f>
        <v>3386</v>
      </c>
      <c r="M795">
        <f>sales_data!B4868</f>
        <v>45672</v>
      </c>
      <c r="N795">
        <f>sales_data!C4868</f>
        <v>15</v>
      </c>
      <c r="O795" t="str">
        <f>sales_data!D4868</f>
        <v>Январь</v>
      </c>
      <c r="P795" t="str">
        <f>sales_data!E4868</f>
        <v>Борис</v>
      </c>
      <c r="Q795" t="str">
        <f>sales_data!F4868</f>
        <v>Нижний Новгород</v>
      </c>
      <c r="R795" t="str">
        <f>sales_data!G4868</f>
        <v>Приволжский</v>
      </c>
      <c r="S795" t="str">
        <f>sales_data!H4868</f>
        <v>Серверы</v>
      </c>
      <c r="T795" t="str">
        <f>sales_data!I4868</f>
        <v>Server Blade</v>
      </c>
      <c r="U795" t="str">
        <f>sales_data!J4868</f>
        <v>Опт</v>
      </c>
      <c r="V795">
        <f>sales_data!K4868</f>
        <v>42</v>
      </c>
      <c r="W795">
        <f>sales_data!L4868</f>
        <v>165200</v>
      </c>
      <c r="X795">
        <f>sales_data!M4868</f>
        <v>6938400</v>
      </c>
      <c r="Y795" t="str">
        <f>sales_data!N4868</f>
        <v>Интернет-магазин</v>
      </c>
      <c r="Z795" t="str">
        <f>sales_data!O4868</f>
        <v>Доставлен</v>
      </c>
    </row>
    <row r="796" spans="12:26" x14ac:dyDescent="0.25">
      <c r="L796">
        <f>sales_data!A4875</f>
        <v>1944</v>
      </c>
      <c r="M796">
        <f>sales_data!B4875</f>
        <v>45686</v>
      </c>
      <c r="N796">
        <f>sales_data!C4875</f>
        <v>29</v>
      </c>
      <c r="O796" t="str">
        <f>sales_data!D4875</f>
        <v>Январь</v>
      </c>
      <c r="P796" t="str">
        <f>sales_data!E4875</f>
        <v>Алексей</v>
      </c>
      <c r="Q796" t="str">
        <f>sales_data!F4875</f>
        <v>Уфа</v>
      </c>
      <c r="R796" t="str">
        <f>sales_data!G4875</f>
        <v>Приволжский</v>
      </c>
      <c r="S796" t="str">
        <f>sales_data!H4875</f>
        <v>Серверы</v>
      </c>
      <c r="T796" t="str">
        <f>sales_data!I4875</f>
        <v>Server Blade</v>
      </c>
      <c r="U796" t="str">
        <f>sales_data!J4875</f>
        <v>Опт</v>
      </c>
      <c r="V796">
        <f>sales_data!K4875</f>
        <v>9</v>
      </c>
      <c r="W796">
        <f>sales_data!L4875</f>
        <v>167100</v>
      </c>
      <c r="X796">
        <f>sales_data!M4875</f>
        <v>1503900</v>
      </c>
      <c r="Y796" t="str">
        <f>sales_data!N4875</f>
        <v>Интернет-магазин</v>
      </c>
      <c r="Z796" t="str">
        <f>sales_data!O4875</f>
        <v>Доставлен</v>
      </c>
    </row>
    <row r="797" spans="12:26" x14ac:dyDescent="0.25">
      <c r="L797">
        <f>sales_data!A4882</f>
        <v>1174</v>
      </c>
      <c r="M797">
        <f>sales_data!B4882</f>
        <v>45785</v>
      </c>
      <c r="N797">
        <f>sales_data!C4882</f>
        <v>8</v>
      </c>
      <c r="O797" t="str">
        <f>sales_data!D4882</f>
        <v>Май</v>
      </c>
      <c r="P797" t="str">
        <f>sales_data!E4882</f>
        <v>Наталья</v>
      </c>
      <c r="Q797" t="str">
        <f>sales_data!F4882</f>
        <v>Ростов-на-Дону</v>
      </c>
      <c r="R797" t="str">
        <f>sales_data!G4882</f>
        <v>Южный</v>
      </c>
      <c r="S797" t="str">
        <f>sales_data!H4882</f>
        <v>Серверы</v>
      </c>
      <c r="T797" t="str">
        <f>sales_data!I4882</f>
        <v>Server Blade</v>
      </c>
      <c r="U797" t="str">
        <f>sales_data!J4882</f>
        <v>Опт</v>
      </c>
      <c r="V797">
        <f>sales_data!K4882</f>
        <v>38</v>
      </c>
      <c r="W797">
        <f>sales_data!L4882</f>
        <v>169500</v>
      </c>
      <c r="X797">
        <f>sales_data!M4882</f>
        <v>6441000</v>
      </c>
      <c r="Y797" t="str">
        <f>sales_data!N4882</f>
        <v>Офлайн-точка</v>
      </c>
      <c r="Z797" t="str">
        <f>sales_data!O4882</f>
        <v>Доставлен</v>
      </c>
    </row>
    <row r="798" spans="12:26" x14ac:dyDescent="0.25">
      <c r="L798">
        <f>sales_data!A4885</f>
        <v>4352</v>
      </c>
      <c r="M798">
        <f>sales_data!B4885</f>
        <v>45824</v>
      </c>
      <c r="N798">
        <f>sales_data!C4885</f>
        <v>16</v>
      </c>
      <c r="O798" t="str">
        <f>sales_data!D4885</f>
        <v>Июнь</v>
      </c>
      <c r="P798" t="str">
        <f>sales_data!E4885</f>
        <v>Ксения</v>
      </c>
      <c r="Q798" t="str">
        <f>sales_data!F4885</f>
        <v>Самара</v>
      </c>
      <c r="R798" t="str">
        <f>sales_data!G4885</f>
        <v>Приволжский</v>
      </c>
      <c r="S798" t="str">
        <f>sales_data!H4885</f>
        <v>Серверы</v>
      </c>
      <c r="T798" t="str">
        <f>sales_data!I4885</f>
        <v>Server Blade</v>
      </c>
      <c r="U798" t="str">
        <f>sales_data!J4885</f>
        <v>Опт</v>
      </c>
      <c r="V798">
        <f>sales_data!K4885</f>
        <v>40</v>
      </c>
      <c r="W798">
        <f>sales_data!L4885</f>
        <v>170400</v>
      </c>
      <c r="X798">
        <f>sales_data!M4885</f>
        <v>6816000</v>
      </c>
      <c r="Y798" t="str">
        <f>sales_data!N4885</f>
        <v>Офлайн-точка</v>
      </c>
      <c r="Z798" t="str">
        <f>sales_data!O4885</f>
        <v>Отменён</v>
      </c>
    </row>
    <row r="799" spans="12:26" x14ac:dyDescent="0.25">
      <c r="L799">
        <f>sales_data!A4889</f>
        <v>4592</v>
      </c>
      <c r="M799">
        <f>sales_data!B4889</f>
        <v>45818</v>
      </c>
      <c r="N799">
        <f>sales_data!C4889</f>
        <v>10</v>
      </c>
      <c r="O799" t="str">
        <f>sales_data!D4889</f>
        <v>Июнь</v>
      </c>
      <c r="P799" t="str">
        <f>sales_data!E4889</f>
        <v>Борис</v>
      </c>
      <c r="Q799" t="str">
        <f>sales_data!F4889</f>
        <v>Москва</v>
      </c>
      <c r="R799" t="str">
        <f>sales_data!G4889</f>
        <v>Центральный</v>
      </c>
      <c r="S799" t="str">
        <f>sales_data!H4889</f>
        <v>Серверы</v>
      </c>
      <c r="T799" t="str">
        <f>sales_data!I4889</f>
        <v>Server Blade</v>
      </c>
      <c r="U799" t="str">
        <f>sales_data!J4889</f>
        <v>Опт</v>
      </c>
      <c r="V799">
        <f>sales_data!K4889</f>
        <v>28</v>
      </c>
      <c r="W799">
        <f>sales_data!L4889</f>
        <v>171700</v>
      </c>
      <c r="X799">
        <f>sales_data!M4889</f>
        <v>4807600</v>
      </c>
      <c r="Y799" t="str">
        <f>sales_data!N4889</f>
        <v>Интернет-магазин</v>
      </c>
      <c r="Z799" t="str">
        <f>sales_data!O4889</f>
        <v>Отменён</v>
      </c>
    </row>
    <row r="800" spans="12:26" x14ac:dyDescent="0.25">
      <c r="L800">
        <f>sales_data!A4897</f>
        <v>1755</v>
      </c>
      <c r="M800">
        <f>sales_data!B4897</f>
        <v>45850</v>
      </c>
      <c r="N800">
        <f>sales_data!C4897</f>
        <v>12</v>
      </c>
      <c r="O800" t="str">
        <f>sales_data!D4897</f>
        <v>Июль</v>
      </c>
      <c r="P800" t="str">
        <f>sales_data!E4897</f>
        <v>Анна</v>
      </c>
      <c r="Q800" t="str">
        <f>sales_data!F4897</f>
        <v>Челябинск</v>
      </c>
      <c r="R800" t="str">
        <f>sales_data!G4897</f>
        <v>Уральский</v>
      </c>
      <c r="S800" t="str">
        <f>sales_data!H4897</f>
        <v>Серверы</v>
      </c>
      <c r="T800" t="str">
        <f>sales_data!I4897</f>
        <v>Server Blade</v>
      </c>
      <c r="U800" t="str">
        <f>sales_data!J4897</f>
        <v>Опт</v>
      </c>
      <c r="V800">
        <f>sales_data!K4897</f>
        <v>8</v>
      </c>
      <c r="W800">
        <f>sales_data!L4897</f>
        <v>174300</v>
      </c>
      <c r="X800">
        <f>sales_data!M4897</f>
        <v>1394400</v>
      </c>
      <c r="Y800" t="str">
        <f>sales_data!N4897</f>
        <v>Офлайн-точка</v>
      </c>
      <c r="Z800" t="str">
        <f>sales_data!O4897</f>
        <v>В пути</v>
      </c>
    </row>
    <row r="801" spans="12:26" x14ac:dyDescent="0.25">
      <c r="L801">
        <f>sales_data!A4907</f>
        <v>2389</v>
      </c>
      <c r="M801">
        <f>sales_data!B4907</f>
        <v>45784</v>
      </c>
      <c r="N801">
        <f>sales_data!C4907</f>
        <v>7</v>
      </c>
      <c r="O801" t="str">
        <f>sales_data!D4907</f>
        <v>Май</v>
      </c>
      <c r="P801" t="str">
        <f>sales_data!E4907</f>
        <v>Анна</v>
      </c>
      <c r="Q801" t="str">
        <f>sales_data!F4907</f>
        <v>Челябинск</v>
      </c>
      <c r="R801" t="str">
        <f>sales_data!G4907</f>
        <v>Уральский</v>
      </c>
      <c r="S801" t="str">
        <f>sales_data!H4907</f>
        <v>Серверы</v>
      </c>
      <c r="T801" t="str">
        <f>sales_data!I4907</f>
        <v>Server Blade</v>
      </c>
      <c r="U801" t="str">
        <f>sales_data!J4907</f>
        <v>Опт</v>
      </c>
      <c r="V801">
        <f>sales_data!K4907</f>
        <v>10</v>
      </c>
      <c r="W801">
        <f>sales_data!L4907</f>
        <v>177600</v>
      </c>
      <c r="X801">
        <f>sales_data!M4907</f>
        <v>1776000</v>
      </c>
      <c r="Y801" t="str">
        <f>sales_data!N4907</f>
        <v>Интернет-магазин</v>
      </c>
      <c r="Z801" t="str">
        <f>sales_data!O4907</f>
        <v>В пути</v>
      </c>
    </row>
    <row r="802" spans="12:26" x14ac:dyDescent="0.25">
      <c r="L802">
        <f>sales_data!A4912</f>
        <v>2930</v>
      </c>
      <c r="M802">
        <f>sales_data!B4912</f>
        <v>45820</v>
      </c>
      <c r="N802">
        <f>sales_data!C4912</f>
        <v>12</v>
      </c>
      <c r="O802" t="str">
        <f>sales_data!D4912</f>
        <v>Июнь</v>
      </c>
      <c r="P802" t="str">
        <f>sales_data!E4912</f>
        <v>Наталья</v>
      </c>
      <c r="Q802" t="str">
        <f>sales_data!F4912</f>
        <v>Санкт-Петербург</v>
      </c>
      <c r="R802" t="str">
        <f>sales_data!G4912</f>
        <v>Северо-Западный</v>
      </c>
      <c r="S802" t="str">
        <f>sales_data!H4912</f>
        <v>Серверы</v>
      </c>
      <c r="T802" t="str">
        <f>sales_data!I4912</f>
        <v>Server Blade</v>
      </c>
      <c r="U802" t="str">
        <f>sales_data!J4912</f>
        <v>Опт</v>
      </c>
      <c r="V802">
        <f>sales_data!K4912</f>
        <v>47</v>
      </c>
      <c r="W802">
        <f>sales_data!L4912</f>
        <v>178400</v>
      </c>
      <c r="X802">
        <f>sales_data!M4912</f>
        <v>8384800</v>
      </c>
      <c r="Y802" t="str">
        <f>sales_data!N4912</f>
        <v>Интернет-магазин</v>
      </c>
      <c r="Z802" t="str">
        <f>sales_data!O4912</f>
        <v>В пути</v>
      </c>
    </row>
    <row r="803" spans="12:26" x14ac:dyDescent="0.25">
      <c r="L803">
        <f>sales_data!A4914</f>
        <v>3119</v>
      </c>
      <c r="M803">
        <f>sales_data!B4914</f>
        <v>45809</v>
      </c>
      <c r="N803">
        <f>sales_data!C4914</f>
        <v>1</v>
      </c>
      <c r="O803" t="str">
        <f>sales_data!D4914</f>
        <v>Июнь</v>
      </c>
      <c r="P803" t="str">
        <f>sales_data!E4914</f>
        <v>Наталья</v>
      </c>
      <c r="Q803" t="str">
        <f>sales_data!F4914</f>
        <v>Ростов-на-Дону</v>
      </c>
      <c r="R803" t="str">
        <f>sales_data!G4914</f>
        <v>Южный</v>
      </c>
      <c r="S803" t="str">
        <f>sales_data!H4914</f>
        <v>Серверы</v>
      </c>
      <c r="T803" t="str">
        <f>sales_data!I4914</f>
        <v>Server Blade</v>
      </c>
      <c r="U803" t="str">
        <f>sales_data!J4914</f>
        <v>Опт</v>
      </c>
      <c r="V803">
        <f>sales_data!K4914</f>
        <v>15</v>
      </c>
      <c r="W803">
        <f>sales_data!L4914</f>
        <v>178900</v>
      </c>
      <c r="X803">
        <f>sales_data!M4914</f>
        <v>2683500</v>
      </c>
      <c r="Y803" t="str">
        <f>sales_data!N4914</f>
        <v>Офлайн-точка</v>
      </c>
      <c r="Z803" t="str">
        <f>sales_data!O4914</f>
        <v>Доставлен</v>
      </c>
    </row>
    <row r="804" spans="12:26" x14ac:dyDescent="0.25">
      <c r="L804">
        <f>sales_data!A4915</f>
        <v>1711</v>
      </c>
      <c r="M804">
        <f>sales_data!B4915</f>
        <v>45926</v>
      </c>
      <c r="N804">
        <f>sales_data!C4915</f>
        <v>26</v>
      </c>
      <c r="O804" t="str">
        <f>sales_data!D4915</f>
        <v>Сентябрь</v>
      </c>
      <c r="P804" t="str">
        <f>sales_data!E4915</f>
        <v>Ксения</v>
      </c>
      <c r="Q804" t="str">
        <f>sales_data!F4915</f>
        <v>Новосибирск</v>
      </c>
      <c r="R804" t="str">
        <f>sales_data!G4915</f>
        <v>Сибирский</v>
      </c>
      <c r="S804" t="str">
        <f>sales_data!H4915</f>
        <v>Серверы</v>
      </c>
      <c r="T804" t="str">
        <f>sales_data!I4915</f>
        <v>Server Blade</v>
      </c>
      <c r="U804" t="str">
        <f>sales_data!J4915</f>
        <v>Опт</v>
      </c>
      <c r="V804">
        <f>sales_data!K4915</f>
        <v>47</v>
      </c>
      <c r="W804">
        <f>sales_data!L4915</f>
        <v>179400</v>
      </c>
      <c r="X804">
        <f>sales_data!M4915</f>
        <v>8431800</v>
      </c>
      <c r="Y804" t="str">
        <f>sales_data!N4915</f>
        <v>Интернет-магазин</v>
      </c>
      <c r="Z804" t="str">
        <f>sales_data!O4915</f>
        <v>В пути</v>
      </c>
    </row>
    <row r="805" spans="12:26" x14ac:dyDescent="0.25">
      <c r="L805">
        <f>sales_data!A4920</f>
        <v>1388</v>
      </c>
      <c r="M805">
        <f>sales_data!B4920</f>
        <v>45853</v>
      </c>
      <c r="N805">
        <f>sales_data!C4920</f>
        <v>15</v>
      </c>
      <c r="O805" t="str">
        <f>sales_data!D4920</f>
        <v>Июль</v>
      </c>
      <c r="P805" t="str">
        <f>sales_data!E4920</f>
        <v>Анна</v>
      </c>
      <c r="Q805" t="str">
        <f>sales_data!F4920</f>
        <v>Уфа</v>
      </c>
      <c r="R805" t="str">
        <f>sales_data!G4920</f>
        <v>Приволжский</v>
      </c>
      <c r="S805" t="str">
        <f>sales_data!H4920</f>
        <v>Серверы</v>
      </c>
      <c r="T805" t="str">
        <f>sales_data!I4920</f>
        <v>Server Blade</v>
      </c>
      <c r="U805" t="str">
        <f>sales_data!J4920</f>
        <v>Опт</v>
      </c>
      <c r="V805">
        <f>sales_data!K4920</f>
        <v>45</v>
      </c>
      <c r="W805">
        <f>sales_data!L4920</f>
        <v>183300</v>
      </c>
      <c r="X805">
        <f>sales_data!M4920</f>
        <v>8248500</v>
      </c>
      <c r="Y805" t="str">
        <f>sales_data!N4920</f>
        <v>Офлайн-точка</v>
      </c>
      <c r="Z805" t="str">
        <f>sales_data!O4920</f>
        <v>Доставлен</v>
      </c>
    </row>
    <row r="806" spans="12:26" x14ac:dyDescent="0.25">
      <c r="L806">
        <f>sales_data!A4927</f>
        <v>124</v>
      </c>
      <c r="M806">
        <f>sales_data!B4927</f>
        <v>45731</v>
      </c>
      <c r="N806">
        <f>sales_data!C4927</f>
        <v>15</v>
      </c>
      <c r="O806" t="str">
        <f>sales_data!D4927</f>
        <v>Март</v>
      </c>
      <c r="P806" t="str">
        <f>sales_data!E4927</f>
        <v>Ольга</v>
      </c>
      <c r="Q806" t="str">
        <f>sales_data!F4927</f>
        <v>Пермь</v>
      </c>
      <c r="R806" t="str">
        <f>sales_data!G4927</f>
        <v>Приволжский</v>
      </c>
      <c r="S806" t="str">
        <f>sales_data!H4927</f>
        <v>Серверы</v>
      </c>
      <c r="T806" t="str">
        <f>sales_data!I4927</f>
        <v>Server Blade</v>
      </c>
      <c r="U806" t="str">
        <f>sales_data!J4927</f>
        <v>Розница</v>
      </c>
      <c r="V806">
        <f>sales_data!K4927</f>
        <v>8</v>
      </c>
      <c r="W806">
        <f>sales_data!L4927</f>
        <v>186000</v>
      </c>
      <c r="X806">
        <f>sales_data!M4927</f>
        <v>1488000</v>
      </c>
      <c r="Y806" t="str">
        <f>sales_data!N4927</f>
        <v>Офлайн-точка</v>
      </c>
      <c r="Z806" t="str">
        <f>sales_data!O4927</f>
        <v>В пути</v>
      </c>
    </row>
    <row r="807" spans="12:26" x14ac:dyDescent="0.25">
      <c r="L807">
        <f>sales_data!A4929</f>
        <v>4948</v>
      </c>
      <c r="M807">
        <f>sales_data!B4929</f>
        <v>45992</v>
      </c>
      <c r="N807">
        <f>sales_data!C4929</f>
        <v>1</v>
      </c>
      <c r="O807" t="str">
        <f>sales_data!D4929</f>
        <v>Декабрь</v>
      </c>
      <c r="P807" t="str">
        <f>sales_data!E4929</f>
        <v>Сергей</v>
      </c>
      <c r="Q807" t="str">
        <f>sales_data!F4929</f>
        <v>Москва</v>
      </c>
      <c r="R807" t="str">
        <f>sales_data!G4929</f>
        <v>Центральный</v>
      </c>
      <c r="S807" t="str">
        <f>sales_data!H4929</f>
        <v>Серверы</v>
      </c>
      <c r="T807" t="str">
        <f>sales_data!I4929</f>
        <v>Server Blade</v>
      </c>
      <c r="U807" t="str">
        <f>sales_data!J4929</f>
        <v>Розница</v>
      </c>
      <c r="V807">
        <f>sales_data!K4929</f>
        <v>4</v>
      </c>
      <c r="W807">
        <f>sales_data!L4929</f>
        <v>186700</v>
      </c>
      <c r="X807">
        <f>sales_data!M4929</f>
        <v>746800</v>
      </c>
      <c r="Y807" t="str">
        <f>sales_data!N4929</f>
        <v>Офлайн-точка</v>
      </c>
      <c r="Z807" t="str">
        <f>sales_data!O4929</f>
        <v>Доставлен</v>
      </c>
    </row>
    <row r="808" spans="12:26" x14ac:dyDescent="0.25">
      <c r="L808">
        <f>sales_data!A4937</f>
        <v>3376</v>
      </c>
      <c r="M808">
        <f>sales_data!B4937</f>
        <v>45852</v>
      </c>
      <c r="N808">
        <f>sales_data!C4937</f>
        <v>14</v>
      </c>
      <c r="O808" t="str">
        <f>sales_data!D4937</f>
        <v>Июль</v>
      </c>
      <c r="P808" t="str">
        <f>sales_data!E4937</f>
        <v>Анна</v>
      </c>
      <c r="Q808" t="str">
        <f>sales_data!F4937</f>
        <v>Челябинск</v>
      </c>
      <c r="R808" t="str">
        <f>sales_data!G4937</f>
        <v>Уральский</v>
      </c>
      <c r="S808" t="str">
        <f>sales_data!H4937</f>
        <v>Серверы</v>
      </c>
      <c r="T808" t="str">
        <f>sales_data!I4937</f>
        <v>Server Blade</v>
      </c>
      <c r="U808" t="str">
        <f>sales_data!J4937</f>
        <v>Розница</v>
      </c>
      <c r="V808">
        <f>sales_data!K4937</f>
        <v>2</v>
      </c>
      <c r="W808">
        <f>sales_data!L4937</f>
        <v>189800</v>
      </c>
      <c r="X808">
        <f>sales_data!M4937</f>
        <v>379600</v>
      </c>
      <c r="Y808" t="str">
        <f>sales_data!N4937</f>
        <v>Офлайн-точка</v>
      </c>
      <c r="Z808" t="str">
        <f>sales_data!O4937</f>
        <v>Отменён</v>
      </c>
    </row>
    <row r="809" spans="12:26" x14ac:dyDescent="0.25">
      <c r="L809">
        <f>sales_data!A4942</f>
        <v>4325</v>
      </c>
      <c r="M809">
        <f>sales_data!B4942</f>
        <v>45727</v>
      </c>
      <c r="N809">
        <f>sales_data!C4942</f>
        <v>11</v>
      </c>
      <c r="O809" t="str">
        <f>sales_data!D4942</f>
        <v>Март</v>
      </c>
      <c r="P809" t="str">
        <f>sales_data!E4942</f>
        <v>Наталья</v>
      </c>
      <c r="Q809" t="str">
        <f>sales_data!F4942</f>
        <v>Воронеж</v>
      </c>
      <c r="R809" t="str">
        <f>sales_data!G4942</f>
        <v>Центральный</v>
      </c>
      <c r="S809" t="str">
        <f>sales_data!H4942</f>
        <v>Серверы</v>
      </c>
      <c r="T809" t="str">
        <f>sales_data!I4942</f>
        <v>Server Blade</v>
      </c>
      <c r="U809" t="str">
        <f>sales_data!J4942</f>
        <v>Розница</v>
      </c>
      <c r="V809">
        <f>sales_data!K4942</f>
        <v>6</v>
      </c>
      <c r="W809">
        <f>sales_data!L4942</f>
        <v>192400</v>
      </c>
      <c r="X809">
        <f>sales_data!M4942</f>
        <v>1154400</v>
      </c>
      <c r="Y809" t="str">
        <f>sales_data!N4942</f>
        <v>Офлайн-точка</v>
      </c>
      <c r="Z809" t="str">
        <f>sales_data!O4942</f>
        <v>В пути</v>
      </c>
    </row>
    <row r="810" spans="12:26" x14ac:dyDescent="0.25">
      <c r="L810">
        <f>sales_data!A4945</f>
        <v>1920</v>
      </c>
      <c r="M810">
        <f>sales_data!B4945</f>
        <v>45880</v>
      </c>
      <c r="N810">
        <f>sales_data!C4945</f>
        <v>11</v>
      </c>
      <c r="O810" t="str">
        <f>sales_data!D4945</f>
        <v>Август</v>
      </c>
      <c r="P810" t="str">
        <f>sales_data!E4945</f>
        <v>Наталья</v>
      </c>
      <c r="Q810" t="str">
        <f>sales_data!F4945</f>
        <v>Пермь</v>
      </c>
      <c r="R810" t="str">
        <f>sales_data!G4945</f>
        <v>Приволжский</v>
      </c>
      <c r="S810" t="str">
        <f>sales_data!H4945</f>
        <v>Серверы</v>
      </c>
      <c r="T810" t="str">
        <f>sales_data!I4945</f>
        <v>Server Blade</v>
      </c>
      <c r="U810" t="str">
        <f>sales_data!J4945</f>
        <v>Розница</v>
      </c>
      <c r="V810">
        <f>sales_data!K4945</f>
        <v>10</v>
      </c>
      <c r="W810">
        <f>sales_data!L4945</f>
        <v>195300</v>
      </c>
      <c r="X810">
        <f>sales_data!M4945</f>
        <v>1953000</v>
      </c>
      <c r="Y810" t="str">
        <f>sales_data!N4945</f>
        <v>Интернет-магазин</v>
      </c>
      <c r="Z810" t="str">
        <f>sales_data!O4945</f>
        <v>Доставлен</v>
      </c>
    </row>
    <row r="811" spans="12:26" x14ac:dyDescent="0.25">
      <c r="L811">
        <f>sales_data!A4949</f>
        <v>1484</v>
      </c>
      <c r="M811">
        <f>sales_data!B4949</f>
        <v>45776</v>
      </c>
      <c r="N811">
        <f>sales_data!C4949</f>
        <v>29</v>
      </c>
      <c r="O811" t="str">
        <f>sales_data!D4949</f>
        <v>Апрель</v>
      </c>
      <c r="P811" t="str">
        <f>sales_data!E4949</f>
        <v>Наталья</v>
      </c>
      <c r="Q811" t="str">
        <f>sales_data!F4949</f>
        <v>Красноярск</v>
      </c>
      <c r="R811" t="str">
        <f>sales_data!G4949</f>
        <v>Сибирский</v>
      </c>
      <c r="S811" t="str">
        <f>sales_data!H4949</f>
        <v>Серверы</v>
      </c>
      <c r="T811" t="str">
        <f>sales_data!I4949</f>
        <v>Server Blade</v>
      </c>
      <c r="U811" t="str">
        <f>sales_data!J4949</f>
        <v>Розница</v>
      </c>
      <c r="V811">
        <f>sales_data!K4949</f>
        <v>3</v>
      </c>
      <c r="W811">
        <f>sales_data!L4949</f>
        <v>196000</v>
      </c>
      <c r="X811">
        <f>sales_data!M4949</f>
        <v>588000</v>
      </c>
      <c r="Y811" t="str">
        <f>sales_data!N4949</f>
        <v>Офлайн-точка</v>
      </c>
      <c r="Z811" t="str">
        <f>sales_data!O4949</f>
        <v>В пути</v>
      </c>
    </row>
    <row r="812" spans="12:26" x14ac:dyDescent="0.25">
      <c r="L812">
        <f>sales_data!A4973</f>
        <v>4153</v>
      </c>
      <c r="M812">
        <f>sales_data!B4973</f>
        <v>45827</v>
      </c>
      <c r="N812">
        <f>sales_data!C4973</f>
        <v>19</v>
      </c>
      <c r="O812" t="str">
        <f>sales_data!D4973</f>
        <v>Июнь</v>
      </c>
      <c r="P812" t="str">
        <f>sales_data!E4973</f>
        <v>Игорь</v>
      </c>
      <c r="Q812" t="str">
        <f>sales_data!F4973</f>
        <v>Казань</v>
      </c>
      <c r="R812" t="str">
        <f>sales_data!G4973</f>
        <v>Приволжский</v>
      </c>
      <c r="S812" t="str">
        <f>sales_data!H4973</f>
        <v>Серверы</v>
      </c>
      <c r="T812" t="str">
        <f>sales_data!I4973</f>
        <v>Server Blade</v>
      </c>
      <c r="U812" t="str">
        <f>sales_data!J4973</f>
        <v>Розница</v>
      </c>
      <c r="V812">
        <f>sales_data!K4973</f>
        <v>3</v>
      </c>
      <c r="W812">
        <f>sales_data!L4973</f>
        <v>200900</v>
      </c>
      <c r="X812">
        <f>sales_data!M4973</f>
        <v>602700</v>
      </c>
      <c r="Y812" t="str">
        <f>sales_data!N4973</f>
        <v>Интернет-магазин</v>
      </c>
      <c r="Z812" t="str">
        <f>sales_data!O4973</f>
        <v>В пути</v>
      </c>
    </row>
    <row r="813" spans="12:26" x14ac:dyDescent="0.25">
      <c r="L813">
        <f>sales_data!A4982</f>
        <v>4546</v>
      </c>
      <c r="M813">
        <f>sales_data!B4982</f>
        <v>46002</v>
      </c>
      <c r="N813">
        <f>sales_data!C4982</f>
        <v>11</v>
      </c>
      <c r="O813" t="str">
        <f>sales_data!D4982</f>
        <v>Декабрь</v>
      </c>
      <c r="P813" t="str">
        <f>sales_data!E4982</f>
        <v>Павел</v>
      </c>
      <c r="Q813" t="str">
        <f>sales_data!F4982</f>
        <v>Нижний Новгород</v>
      </c>
      <c r="R813" t="str">
        <f>sales_data!G4982</f>
        <v>Приволжский</v>
      </c>
      <c r="S813" t="str">
        <f>sales_data!H4982</f>
        <v>Серверы</v>
      </c>
      <c r="T813" t="str">
        <f>sales_data!I4982</f>
        <v>Server Blade</v>
      </c>
      <c r="U813" t="str">
        <f>sales_data!J4982</f>
        <v>Розница</v>
      </c>
      <c r="V813">
        <f>sales_data!K4982</f>
        <v>9</v>
      </c>
      <c r="W813">
        <f>sales_data!L4982</f>
        <v>205800</v>
      </c>
      <c r="X813">
        <f>sales_data!M4982</f>
        <v>1852200</v>
      </c>
      <c r="Y813" t="str">
        <f>sales_data!N4982</f>
        <v>Интернет-магазин</v>
      </c>
      <c r="Z813" t="str">
        <f>sales_data!O4982</f>
        <v>Доставлен</v>
      </c>
    </row>
    <row r="814" spans="12:26" x14ac:dyDescent="0.25">
      <c r="L814">
        <f>sales_data!A4990</f>
        <v>2471</v>
      </c>
      <c r="M814">
        <f>sales_data!B4990</f>
        <v>45942</v>
      </c>
      <c r="N814">
        <f>sales_data!C4990</f>
        <v>12</v>
      </c>
      <c r="O814" t="str">
        <f>sales_data!D4990</f>
        <v>Октябрь</v>
      </c>
      <c r="P814" t="str">
        <f>sales_data!E4990</f>
        <v>Мария</v>
      </c>
      <c r="Q814" t="str">
        <f>sales_data!F4990</f>
        <v>Нижний Новгород</v>
      </c>
      <c r="R814" t="str">
        <f>sales_data!G4990</f>
        <v>Приволжский</v>
      </c>
      <c r="S814" t="str">
        <f>sales_data!H4990</f>
        <v>Серверы</v>
      </c>
      <c r="T814" t="str">
        <f>sales_data!I4990</f>
        <v>Server Blade</v>
      </c>
      <c r="U814" t="str">
        <f>sales_data!J4990</f>
        <v>Розница</v>
      </c>
      <c r="V814">
        <f>sales_data!K4990</f>
        <v>8</v>
      </c>
      <c r="W814">
        <f>sales_data!L4990</f>
        <v>210700</v>
      </c>
      <c r="X814">
        <f>sales_data!M4990</f>
        <v>1685600</v>
      </c>
      <c r="Y814" t="str">
        <f>sales_data!N4990</f>
        <v>Офлайн-точка</v>
      </c>
      <c r="Z814" t="str">
        <f>sales_data!O4990</f>
        <v>Отменён</v>
      </c>
    </row>
    <row r="815" spans="12:26" x14ac:dyDescent="0.25">
      <c r="L815">
        <f>sales_data!A4992</f>
        <v>1704</v>
      </c>
      <c r="M815">
        <f>sales_data!B4992</f>
        <v>45808</v>
      </c>
      <c r="N815">
        <f>sales_data!C4992</f>
        <v>31</v>
      </c>
      <c r="O815" t="str">
        <f>sales_data!D4992</f>
        <v>Май</v>
      </c>
      <c r="P815" t="str">
        <f>sales_data!E4992</f>
        <v>Светлана</v>
      </c>
      <c r="Q815" t="str">
        <f>sales_data!F4992</f>
        <v>Уфа</v>
      </c>
      <c r="R815" t="str">
        <f>sales_data!G4992</f>
        <v>Приволжский</v>
      </c>
      <c r="S815" t="str">
        <f>sales_data!H4992</f>
        <v>Серверы</v>
      </c>
      <c r="T815" t="str">
        <f>sales_data!I4992</f>
        <v>Server Blade</v>
      </c>
      <c r="U815" t="str">
        <f>sales_data!J4992</f>
        <v>Розница</v>
      </c>
      <c r="V815">
        <f>sales_data!K4992</f>
        <v>10</v>
      </c>
      <c r="W815">
        <f>sales_data!L4992</f>
        <v>211100</v>
      </c>
      <c r="X815">
        <f>sales_data!M4992</f>
        <v>2111000</v>
      </c>
      <c r="Y815" t="str">
        <f>sales_data!N4992</f>
        <v>Офлайн-точка</v>
      </c>
      <c r="Z815" t="str">
        <f>sales_data!O4992</f>
        <v>В пути</v>
      </c>
    </row>
    <row r="816" spans="12:26" x14ac:dyDescent="0.25">
      <c r="L816">
        <f>sales_data!A4994</f>
        <v>4872</v>
      </c>
      <c r="M816">
        <f>sales_data!B4994</f>
        <v>45704</v>
      </c>
      <c r="N816">
        <f>sales_data!C4994</f>
        <v>16</v>
      </c>
      <c r="O816" t="str">
        <f>sales_data!D4994</f>
        <v>Февраль</v>
      </c>
      <c r="P816" t="str">
        <f>sales_data!E4994</f>
        <v>Ксения</v>
      </c>
      <c r="Q816" t="str">
        <f>sales_data!F4994</f>
        <v>Ростов-на-Дону</v>
      </c>
      <c r="R816" t="str">
        <f>sales_data!G4994</f>
        <v>Южный</v>
      </c>
      <c r="S816" t="str">
        <f>sales_data!H4994</f>
        <v>Серверы</v>
      </c>
      <c r="T816" t="str">
        <f>sales_data!I4994</f>
        <v>Server Blade</v>
      </c>
      <c r="U816" t="str">
        <f>sales_data!J4994</f>
        <v>Розница</v>
      </c>
      <c r="V816">
        <f>sales_data!K4994</f>
        <v>2</v>
      </c>
      <c r="W816">
        <f>sales_data!L4994</f>
        <v>213600</v>
      </c>
      <c r="X816">
        <f>sales_data!M4994</f>
        <v>427200</v>
      </c>
      <c r="Y816" t="str">
        <f>sales_data!N4994</f>
        <v>Интернет-магазин</v>
      </c>
      <c r="Z816" t="str">
        <f>sales_data!O4994</f>
        <v>В пути</v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9"/>
  <sheetViews>
    <sheetView topLeftCell="D120" workbookViewId="0">
      <selection activeCell="L4" sqref="L4:L159"/>
    </sheetView>
  </sheetViews>
  <sheetFormatPr defaultRowHeight="15" x14ac:dyDescent="0.25"/>
  <cols>
    <col min="1" max="1" width="10" customWidth="1"/>
    <col min="2" max="2" width="18" customWidth="1"/>
    <col min="3" max="3" width="17" customWidth="1"/>
    <col min="4" max="4" width="14" customWidth="1"/>
    <col min="5" max="5" width="18" customWidth="1"/>
    <col min="6" max="6" width="10" customWidth="1"/>
    <col min="7" max="7" width="11" customWidth="1"/>
    <col min="8" max="8" width="12" customWidth="1"/>
    <col min="9" max="9" width="14" customWidth="1"/>
    <col min="10" max="10" width="18" customWidth="1"/>
    <col min="11" max="11" width="3" customWidth="1"/>
    <col min="12" max="12" width="12" customWidth="1"/>
    <col min="13" max="13" width="18" customWidth="1"/>
    <col min="14" max="14" width="17" customWidth="1"/>
    <col min="15" max="15" width="14" customWidth="1"/>
    <col min="16" max="16" width="18" customWidth="1"/>
    <col min="17" max="17" width="10" customWidth="1"/>
    <col min="18" max="18" width="11" customWidth="1"/>
    <col min="19" max="19" width="12" customWidth="1"/>
    <col min="20" max="20" width="14" customWidth="1"/>
  </cols>
  <sheetData>
    <row r="1" spans="1:26" ht="26.1" customHeight="1" x14ac:dyDescent="0.25">
      <c r="A1" s="23" t="s">
        <v>61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26" ht="21.95" customHeight="1" x14ac:dyDescent="0.25"/>
    <row r="3" spans="1:26" ht="24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62</v>
      </c>
      <c r="L3" s="11" t="s">
        <v>12</v>
      </c>
      <c r="M3" s="12" t="s">
        <v>83</v>
      </c>
      <c r="N3" s="12" t="s">
        <v>84</v>
      </c>
      <c r="O3" s="12" t="s">
        <v>85</v>
      </c>
      <c r="P3" s="12" t="s">
        <v>19</v>
      </c>
      <c r="Q3" s="12" t="s">
        <v>14</v>
      </c>
      <c r="R3" s="12" t="s">
        <v>86</v>
      </c>
      <c r="S3" s="12" t="s">
        <v>15</v>
      </c>
      <c r="T3" s="12" t="s">
        <v>16</v>
      </c>
      <c r="U3" s="12" t="s">
        <v>87</v>
      </c>
      <c r="V3" s="12" t="s">
        <v>17</v>
      </c>
      <c r="W3" s="12" t="s">
        <v>88</v>
      </c>
      <c r="X3" s="12" t="s">
        <v>66</v>
      </c>
      <c r="Y3" s="12" t="s">
        <v>20</v>
      </c>
      <c r="Z3" s="13" t="s">
        <v>89</v>
      </c>
    </row>
    <row r="4" spans="1:26" ht="21.95" customHeight="1" x14ac:dyDescent="0.25">
      <c r="A4" s="4">
        <v>201</v>
      </c>
      <c r="B4" s="5" t="s">
        <v>21</v>
      </c>
      <c r="C4" s="5" t="s">
        <v>22</v>
      </c>
      <c r="D4" s="5" t="s">
        <v>23</v>
      </c>
      <c r="E4" s="5" t="s">
        <v>24</v>
      </c>
      <c r="F4" s="4">
        <v>2</v>
      </c>
      <c r="G4" s="6">
        <v>55000</v>
      </c>
      <c r="H4" s="5" t="s">
        <v>25</v>
      </c>
      <c r="I4" s="5" t="s">
        <v>26</v>
      </c>
      <c r="J4" s="4" t="str">
        <f t="shared" ref="J4:J12" si="0">IF(AND(C4="Москва",I4="Онлайн"),"Да","Нет")</f>
        <v>Да</v>
      </c>
      <c r="L4" s="14">
        <f>sales_data!A3</f>
        <v>85</v>
      </c>
      <c r="M4" s="14">
        <f>sales_data!B3</f>
        <v>45881</v>
      </c>
      <c r="N4" s="14">
        <f>sales_data!C3</f>
        <v>12</v>
      </c>
      <c r="O4" s="14" t="str">
        <f>sales_data!D3</f>
        <v>Август</v>
      </c>
      <c r="P4" s="14" t="str">
        <f>sales_data!E3</f>
        <v>Владимир</v>
      </c>
      <c r="Q4" s="14" t="str">
        <f>sales_data!F3</f>
        <v>Уфа</v>
      </c>
      <c r="R4" s="14" t="str">
        <f>sales_data!G3</f>
        <v>Приволжский</v>
      </c>
      <c r="S4" s="14" t="str">
        <f>sales_data!H3</f>
        <v>Аксессуары</v>
      </c>
      <c r="T4" s="14" t="str">
        <f>sales_data!I3</f>
        <v>Screen Protector</v>
      </c>
      <c r="U4" t="str">
        <f>sales_data!J3</f>
        <v>Опт</v>
      </c>
      <c r="V4">
        <f>sales_data!K3</f>
        <v>20</v>
      </c>
      <c r="W4">
        <f>sales_data!L3</f>
        <v>800</v>
      </c>
      <c r="X4">
        <f>sales_data!M3</f>
        <v>16000</v>
      </c>
      <c r="Y4" t="str">
        <f>sales_data!N3</f>
        <v>Интернет-магазин</v>
      </c>
      <c r="Z4" t="str">
        <f>sales_data!O3</f>
        <v>В пути</v>
      </c>
    </row>
    <row r="5" spans="1:26" ht="21.95" customHeight="1" x14ac:dyDescent="0.25">
      <c r="A5" s="4">
        <v>202</v>
      </c>
      <c r="B5" s="5" t="s">
        <v>27</v>
      </c>
      <c r="C5" s="5" t="s">
        <v>28</v>
      </c>
      <c r="D5" s="5" t="s">
        <v>29</v>
      </c>
      <c r="E5" s="5" t="s">
        <v>30</v>
      </c>
      <c r="F5" s="4">
        <v>1</v>
      </c>
      <c r="G5" s="6">
        <v>23000</v>
      </c>
      <c r="H5" s="5" t="s">
        <v>31</v>
      </c>
      <c r="I5" s="5" t="s">
        <v>32</v>
      </c>
      <c r="J5" s="4" t="str">
        <f t="shared" si="0"/>
        <v>Нет</v>
      </c>
      <c r="L5" s="4">
        <f>sales_data!A73</f>
        <v>2784</v>
      </c>
      <c r="M5" s="5">
        <f>sales_data!B73</f>
        <v>45961</v>
      </c>
      <c r="N5" s="5">
        <f>sales_data!C73</f>
        <v>31</v>
      </c>
      <c r="O5" s="5" t="str">
        <f>sales_data!D73</f>
        <v>Октябрь</v>
      </c>
      <c r="P5" s="5" t="str">
        <f>sales_data!E73</f>
        <v>Ксения</v>
      </c>
      <c r="Q5" s="4" t="str">
        <f>sales_data!F73</f>
        <v>Пермь</v>
      </c>
      <c r="R5" s="6" t="str">
        <f>sales_data!G73</f>
        <v>Приволжский</v>
      </c>
      <c r="S5" s="5" t="str">
        <f>sales_data!H73</f>
        <v>Аксессуары</v>
      </c>
      <c r="T5" s="5" t="str">
        <f>sales_data!I73</f>
        <v>Screen Protector</v>
      </c>
      <c r="U5" t="str">
        <f>sales_data!J73</f>
        <v>Розница</v>
      </c>
      <c r="V5">
        <f>sales_data!K73</f>
        <v>1</v>
      </c>
      <c r="W5">
        <f>sales_data!L73</f>
        <v>900</v>
      </c>
      <c r="X5">
        <f>sales_data!M73</f>
        <v>900</v>
      </c>
      <c r="Y5" t="str">
        <f>sales_data!N73</f>
        <v>Офлайн-точка</v>
      </c>
      <c r="Z5" t="str">
        <f>sales_data!O73</f>
        <v>В пути</v>
      </c>
    </row>
    <row r="6" spans="1:26" ht="21.95" customHeight="1" x14ac:dyDescent="0.25">
      <c r="A6" s="4">
        <v>203</v>
      </c>
      <c r="B6" s="5" t="s">
        <v>33</v>
      </c>
      <c r="C6" s="5" t="s">
        <v>22</v>
      </c>
      <c r="D6" s="5" t="s">
        <v>23</v>
      </c>
      <c r="E6" s="5" t="s">
        <v>34</v>
      </c>
      <c r="F6" s="4">
        <v>3</v>
      </c>
      <c r="G6" s="6">
        <v>72000</v>
      </c>
      <c r="H6" s="5" t="s">
        <v>25</v>
      </c>
      <c r="I6" s="5" t="s">
        <v>26</v>
      </c>
      <c r="J6" s="4" t="str">
        <f t="shared" si="0"/>
        <v>Да</v>
      </c>
      <c r="L6" s="4">
        <f>sales_data!A79</f>
        <v>3175</v>
      </c>
      <c r="M6" s="5">
        <f>sales_data!B79</f>
        <v>45829</v>
      </c>
      <c r="N6" s="5">
        <f>sales_data!C79</f>
        <v>21</v>
      </c>
      <c r="O6" s="5" t="str">
        <f>sales_data!D79</f>
        <v>Июнь</v>
      </c>
      <c r="P6" s="5" t="str">
        <f>sales_data!E79</f>
        <v>Мария</v>
      </c>
      <c r="Q6" s="4" t="str">
        <f>sales_data!F79</f>
        <v>Екатеринбург</v>
      </c>
      <c r="R6" s="6" t="str">
        <f>sales_data!G79</f>
        <v>Уральский</v>
      </c>
      <c r="S6" s="5" t="str">
        <f>sales_data!H79</f>
        <v>Аксессуары</v>
      </c>
      <c r="T6" s="5" t="str">
        <f>sales_data!I79</f>
        <v>Screen Protector</v>
      </c>
      <c r="U6" t="str">
        <f>sales_data!J79</f>
        <v>Розница</v>
      </c>
      <c r="V6">
        <f>sales_data!K79</f>
        <v>6</v>
      </c>
      <c r="W6">
        <f>sales_data!L79</f>
        <v>900</v>
      </c>
      <c r="X6">
        <f>sales_data!M79</f>
        <v>5400</v>
      </c>
      <c r="Y6" t="str">
        <f>sales_data!N79</f>
        <v>Интернет-магазин</v>
      </c>
      <c r="Z6" t="str">
        <f>sales_data!O79</f>
        <v>В пути</v>
      </c>
    </row>
    <row r="7" spans="1:26" ht="21.95" customHeight="1" x14ac:dyDescent="0.25">
      <c r="A7" s="4">
        <v>204</v>
      </c>
      <c r="B7" s="5" t="s">
        <v>35</v>
      </c>
      <c r="C7" s="5" t="s">
        <v>36</v>
      </c>
      <c r="D7" s="5" t="s">
        <v>37</v>
      </c>
      <c r="E7" s="5" t="s">
        <v>38</v>
      </c>
      <c r="F7" s="4">
        <v>5</v>
      </c>
      <c r="G7" s="6">
        <v>2500</v>
      </c>
      <c r="H7" s="5" t="s">
        <v>39</v>
      </c>
      <c r="I7" s="5" t="s">
        <v>40</v>
      </c>
      <c r="J7" s="4" t="str">
        <f t="shared" si="0"/>
        <v>Нет</v>
      </c>
      <c r="L7" s="4">
        <f>sales_data!A103</f>
        <v>59</v>
      </c>
      <c r="M7" s="5">
        <f>sales_data!B103</f>
        <v>45804</v>
      </c>
      <c r="N7" s="5">
        <f>sales_data!C103</f>
        <v>27</v>
      </c>
      <c r="O7" s="5" t="str">
        <f>sales_data!D103</f>
        <v>Май</v>
      </c>
      <c r="P7" s="5" t="str">
        <f>sales_data!E103</f>
        <v>Дмитрий</v>
      </c>
      <c r="Q7" s="4" t="str">
        <f>sales_data!F103</f>
        <v>Нижний Новгород</v>
      </c>
      <c r="R7" s="6" t="str">
        <f>sales_data!G103</f>
        <v>Приволжский</v>
      </c>
      <c r="S7" s="5" t="str">
        <f>sales_data!H103</f>
        <v>Аксессуары</v>
      </c>
      <c r="T7" s="5" t="str">
        <f>sales_data!I103</f>
        <v>Cable Set</v>
      </c>
      <c r="U7" t="str">
        <f>sales_data!J103</f>
        <v>Опт</v>
      </c>
      <c r="V7">
        <f>sales_data!K103</f>
        <v>34</v>
      </c>
      <c r="W7">
        <f>sales_data!L103</f>
        <v>1000</v>
      </c>
      <c r="X7">
        <f>sales_data!M103</f>
        <v>34000</v>
      </c>
      <c r="Y7" t="str">
        <f>sales_data!N103</f>
        <v>Офлайн-точка</v>
      </c>
      <c r="Z7" t="str">
        <f>sales_data!O103</f>
        <v>В пути</v>
      </c>
    </row>
    <row r="8" spans="1:26" ht="21.95" customHeight="1" x14ac:dyDescent="0.25">
      <c r="A8" s="4">
        <v>205</v>
      </c>
      <c r="B8" s="5" t="s">
        <v>41</v>
      </c>
      <c r="C8" s="5" t="s">
        <v>22</v>
      </c>
      <c r="D8" s="5" t="s">
        <v>29</v>
      </c>
      <c r="E8" s="5" t="s">
        <v>42</v>
      </c>
      <c r="F8" s="4">
        <v>2</v>
      </c>
      <c r="G8" s="6">
        <v>18000</v>
      </c>
      <c r="H8" s="5" t="s">
        <v>25</v>
      </c>
      <c r="I8" s="5" t="s">
        <v>26</v>
      </c>
      <c r="J8" s="4" t="str">
        <f t="shared" si="0"/>
        <v>Да</v>
      </c>
      <c r="L8" s="4">
        <f>sales_data!A110</f>
        <v>248</v>
      </c>
      <c r="M8" s="5">
        <f>sales_data!B110</f>
        <v>45892</v>
      </c>
      <c r="N8" s="5">
        <f>sales_data!C110</f>
        <v>23</v>
      </c>
      <c r="O8" s="5" t="str">
        <f>sales_data!D110</f>
        <v>Август</v>
      </c>
      <c r="P8" s="5" t="str">
        <f>sales_data!E110</f>
        <v>Дмитрий</v>
      </c>
      <c r="Q8" s="4" t="str">
        <f>sales_data!F110</f>
        <v>Новосибирск</v>
      </c>
      <c r="R8" s="6" t="str">
        <f>sales_data!G110</f>
        <v>Сибирский</v>
      </c>
      <c r="S8" s="5" t="str">
        <f>sales_data!H110</f>
        <v>Аксессуары</v>
      </c>
      <c r="T8" s="5" t="str">
        <f>sales_data!I110</f>
        <v>Screen Protector</v>
      </c>
      <c r="U8" t="str">
        <f>sales_data!J110</f>
        <v>Розница</v>
      </c>
      <c r="V8">
        <f>sales_data!K110</f>
        <v>1</v>
      </c>
      <c r="W8">
        <f>sales_data!L110</f>
        <v>1000</v>
      </c>
      <c r="X8">
        <f>sales_data!M110</f>
        <v>1000</v>
      </c>
      <c r="Y8" t="str">
        <f>sales_data!N110</f>
        <v>Офлайн-точка</v>
      </c>
      <c r="Z8" t="str">
        <f>sales_data!O110</f>
        <v>В пути</v>
      </c>
    </row>
    <row r="9" spans="1:26" ht="21.95" customHeight="1" x14ac:dyDescent="0.25">
      <c r="A9" s="4">
        <v>206</v>
      </c>
      <c r="B9" s="5" t="s">
        <v>43</v>
      </c>
      <c r="C9" s="5" t="s">
        <v>44</v>
      </c>
      <c r="D9" s="5" t="s">
        <v>23</v>
      </c>
      <c r="E9" s="5" t="s">
        <v>45</v>
      </c>
      <c r="F9" s="4">
        <v>1</v>
      </c>
      <c r="G9" s="6">
        <v>49000</v>
      </c>
      <c r="H9" s="5" t="s">
        <v>31</v>
      </c>
      <c r="I9" s="5" t="s">
        <v>32</v>
      </c>
      <c r="J9" s="4" t="str">
        <f t="shared" si="0"/>
        <v>Нет</v>
      </c>
      <c r="L9" s="4">
        <f>sales_data!A146</f>
        <v>2192</v>
      </c>
      <c r="M9" s="5">
        <f>sales_data!B146</f>
        <v>45708</v>
      </c>
      <c r="N9" s="5">
        <f>sales_data!C146</f>
        <v>20</v>
      </c>
      <c r="O9" s="5" t="str">
        <f>sales_data!D146</f>
        <v>Февраль</v>
      </c>
      <c r="P9" s="5" t="str">
        <f>sales_data!E146</f>
        <v>Павел</v>
      </c>
      <c r="Q9" s="4" t="str">
        <f>sales_data!F146</f>
        <v>Красноярск</v>
      </c>
      <c r="R9" s="6" t="str">
        <f>sales_data!G146</f>
        <v>Сибирский</v>
      </c>
      <c r="S9" s="5" t="str">
        <f>sales_data!H146</f>
        <v>Аксессуары</v>
      </c>
      <c r="T9" s="5" t="str">
        <f>sales_data!I146</f>
        <v>Screen Protector</v>
      </c>
      <c r="U9" t="str">
        <f>sales_data!J146</f>
        <v>Розница</v>
      </c>
      <c r="V9">
        <f>sales_data!K146</f>
        <v>10</v>
      </c>
      <c r="W9">
        <f>sales_data!L146</f>
        <v>1000</v>
      </c>
      <c r="X9">
        <f>sales_data!M146</f>
        <v>10000</v>
      </c>
      <c r="Y9" t="str">
        <f>sales_data!N146</f>
        <v>Интернет-магазин</v>
      </c>
      <c r="Z9" t="str">
        <f>sales_data!O146</f>
        <v>Отменён</v>
      </c>
    </row>
    <row r="10" spans="1:26" ht="21.95" customHeight="1" x14ac:dyDescent="0.25">
      <c r="A10" s="4">
        <v>207</v>
      </c>
      <c r="B10" s="5" t="s">
        <v>46</v>
      </c>
      <c r="C10" s="5" t="s">
        <v>22</v>
      </c>
      <c r="D10" s="5" t="s">
        <v>37</v>
      </c>
      <c r="E10" s="5" t="s">
        <v>47</v>
      </c>
      <c r="F10" s="4">
        <v>4</v>
      </c>
      <c r="G10" s="6">
        <v>4000</v>
      </c>
      <c r="H10" s="5" t="s">
        <v>39</v>
      </c>
      <c r="I10" s="5" t="s">
        <v>26</v>
      </c>
      <c r="J10" s="4" t="str">
        <f t="shared" si="0"/>
        <v>Да</v>
      </c>
      <c r="L10" s="14">
        <f>sales_data!A157</f>
        <v>2757</v>
      </c>
      <c r="M10" s="4">
        <f>sales_data!B157</f>
        <v>45711</v>
      </c>
      <c r="N10">
        <f>sales_data!C157</f>
        <v>23</v>
      </c>
      <c r="O10" t="str">
        <f>sales_data!D157</f>
        <v>Февраль</v>
      </c>
      <c r="P10" t="str">
        <f>sales_data!E157</f>
        <v>Дмитрий</v>
      </c>
      <c r="Q10" t="str">
        <f>sales_data!F157</f>
        <v>Нижний Новгород</v>
      </c>
      <c r="R10" t="str">
        <f>sales_data!G157</f>
        <v>Приволжский</v>
      </c>
      <c r="S10" t="str">
        <f>sales_data!H157</f>
        <v>Аксессуары</v>
      </c>
      <c r="T10" t="str">
        <f>sales_data!I157</f>
        <v>Screen Protector</v>
      </c>
      <c r="U10" t="str">
        <f>sales_data!J157</f>
        <v>Розница</v>
      </c>
      <c r="V10">
        <f>sales_data!K157</f>
        <v>1</v>
      </c>
      <c r="W10">
        <f>sales_data!L157</f>
        <v>1000</v>
      </c>
      <c r="X10">
        <f>sales_data!M157</f>
        <v>1000</v>
      </c>
      <c r="Y10" t="str">
        <f>sales_data!N157</f>
        <v>Интернет-магазин</v>
      </c>
      <c r="Z10" t="str">
        <f>sales_data!O157</f>
        <v>Доставлен</v>
      </c>
    </row>
    <row r="11" spans="1:26" ht="21.95" customHeight="1" x14ac:dyDescent="0.25">
      <c r="A11" s="4">
        <v>208</v>
      </c>
      <c r="B11" s="5" t="s">
        <v>48</v>
      </c>
      <c r="C11" s="5" t="s">
        <v>49</v>
      </c>
      <c r="D11" s="5" t="s">
        <v>23</v>
      </c>
      <c r="E11" s="5" t="s">
        <v>24</v>
      </c>
      <c r="F11" s="4">
        <v>2</v>
      </c>
      <c r="G11" s="6">
        <v>55000</v>
      </c>
      <c r="H11" s="5" t="s">
        <v>25</v>
      </c>
      <c r="I11" s="5" t="s">
        <v>40</v>
      </c>
      <c r="J11" s="4" t="str">
        <f t="shared" si="0"/>
        <v>Нет</v>
      </c>
      <c r="L11">
        <f>sales_data!A209</f>
        <v>419</v>
      </c>
      <c r="M11">
        <f>sales_data!B209</f>
        <v>45980</v>
      </c>
      <c r="N11">
        <f>sales_data!C209</f>
        <v>19</v>
      </c>
      <c r="O11" t="str">
        <f>sales_data!D209</f>
        <v>Ноябрь</v>
      </c>
      <c r="P11" t="str">
        <f>sales_data!E209</f>
        <v>Татьяна</v>
      </c>
      <c r="Q11" t="str">
        <f>sales_data!F209</f>
        <v>Санкт-Петербург</v>
      </c>
      <c r="R11" t="str">
        <f>sales_data!G209</f>
        <v>Северо-Западный</v>
      </c>
      <c r="S11" t="str">
        <f>sales_data!H209</f>
        <v>Аксессуары</v>
      </c>
      <c r="T11" t="str">
        <f>sales_data!I209</f>
        <v>Cable Set</v>
      </c>
      <c r="U11" t="str">
        <f>sales_data!J209</f>
        <v>Опт</v>
      </c>
      <c r="V11">
        <f>sales_data!K209</f>
        <v>9</v>
      </c>
      <c r="W11">
        <f>sales_data!L209</f>
        <v>1100</v>
      </c>
      <c r="X11">
        <f>sales_data!M209</f>
        <v>9900</v>
      </c>
      <c r="Y11" t="str">
        <f>sales_data!N209</f>
        <v>Интернет-магазин</v>
      </c>
      <c r="Z11" t="str">
        <f>sales_data!O209</f>
        <v>Доставлен</v>
      </c>
    </row>
    <row r="12" spans="1:26" ht="21.95" customHeight="1" x14ac:dyDescent="0.25">
      <c r="A12" s="4">
        <v>209</v>
      </c>
      <c r="B12" s="5" t="s">
        <v>50</v>
      </c>
      <c r="C12" s="5" t="s">
        <v>22</v>
      </c>
      <c r="D12" s="5" t="s">
        <v>23</v>
      </c>
      <c r="E12" s="5" t="s">
        <v>51</v>
      </c>
      <c r="F12" s="4">
        <v>1</v>
      </c>
      <c r="G12" s="6">
        <v>43000</v>
      </c>
      <c r="H12" s="5" t="s">
        <v>31</v>
      </c>
      <c r="I12" s="5" t="s">
        <v>32</v>
      </c>
      <c r="J12" s="4" t="str">
        <f t="shared" si="0"/>
        <v>Нет</v>
      </c>
      <c r="L12">
        <f>sales_data!A260</f>
        <v>423</v>
      </c>
      <c r="M12">
        <f>sales_data!B260</f>
        <v>45734</v>
      </c>
      <c r="N12">
        <f>sales_data!C260</f>
        <v>18</v>
      </c>
      <c r="O12" t="str">
        <f>sales_data!D260</f>
        <v>Март</v>
      </c>
      <c r="P12" t="str">
        <f>sales_data!E260</f>
        <v>Анна</v>
      </c>
      <c r="Q12" t="str">
        <f>sales_data!F260</f>
        <v>Омск</v>
      </c>
      <c r="R12" t="str">
        <f>sales_data!G260</f>
        <v>Сибирский</v>
      </c>
      <c r="S12" t="str">
        <f>sales_data!H260</f>
        <v>Аксессуары</v>
      </c>
      <c r="T12" t="str">
        <f>sales_data!I260</f>
        <v>Cable Set</v>
      </c>
      <c r="U12" t="str">
        <f>sales_data!J260</f>
        <v>Розница</v>
      </c>
      <c r="V12">
        <f>sales_data!K260</f>
        <v>5</v>
      </c>
      <c r="W12">
        <f>sales_data!L260</f>
        <v>1200</v>
      </c>
      <c r="X12">
        <f>sales_data!M260</f>
        <v>6000</v>
      </c>
      <c r="Y12" t="str">
        <f>sales_data!N260</f>
        <v>Офлайн-точка</v>
      </c>
      <c r="Z12" t="str">
        <f>sales_data!O260</f>
        <v>В пути</v>
      </c>
    </row>
    <row r="13" spans="1:26" x14ac:dyDescent="0.25">
      <c r="L13">
        <f>sales_data!A332</f>
        <v>3847</v>
      </c>
      <c r="M13">
        <f>sales_data!B332</f>
        <v>45860</v>
      </c>
      <c r="N13">
        <f>sales_data!C332</f>
        <v>22</v>
      </c>
      <c r="O13" t="str">
        <f>sales_data!D332</f>
        <v>Июль</v>
      </c>
      <c r="P13" t="str">
        <f>sales_data!E332</f>
        <v>Анна</v>
      </c>
      <c r="Q13" t="str">
        <f>sales_data!F332</f>
        <v>Челябинск</v>
      </c>
      <c r="R13" t="str">
        <f>sales_data!G332</f>
        <v>Уральский</v>
      </c>
      <c r="S13" t="str">
        <f>sales_data!H332</f>
        <v>Аксессуары</v>
      </c>
      <c r="T13" t="str">
        <f>sales_data!I332</f>
        <v>Cable Set</v>
      </c>
      <c r="U13" t="str">
        <f>sales_data!J332</f>
        <v>Розница</v>
      </c>
      <c r="V13">
        <f>sales_data!K332</f>
        <v>8</v>
      </c>
      <c r="W13">
        <f>sales_data!L332</f>
        <v>1300</v>
      </c>
      <c r="X13">
        <f>sales_data!M332</f>
        <v>10400</v>
      </c>
      <c r="Y13" t="str">
        <f>sales_data!N332</f>
        <v>Офлайн-точка</v>
      </c>
      <c r="Z13" t="str">
        <f>sales_data!O332</f>
        <v>Доставлен</v>
      </c>
    </row>
    <row r="14" spans="1:26" x14ac:dyDescent="0.25">
      <c r="L14">
        <f>sales_data!A347</f>
        <v>3212</v>
      </c>
      <c r="M14">
        <f>sales_data!B347</f>
        <v>46007</v>
      </c>
      <c r="N14">
        <f>sales_data!C347</f>
        <v>16</v>
      </c>
      <c r="O14" t="str">
        <f>sales_data!D347</f>
        <v>Декабрь</v>
      </c>
      <c r="P14" t="str">
        <f>sales_data!E347</f>
        <v>Светлана</v>
      </c>
      <c r="Q14" t="str">
        <f>sales_data!F347</f>
        <v>Новосибирск</v>
      </c>
      <c r="R14" t="str">
        <f>sales_data!G347</f>
        <v>Сибирский</v>
      </c>
      <c r="S14" t="str">
        <f>sales_data!H347</f>
        <v>Аксессуары</v>
      </c>
      <c r="T14" t="str">
        <f>sales_data!I347</f>
        <v>Cooling Pad</v>
      </c>
      <c r="U14" t="str">
        <f>sales_data!J347</f>
        <v>Опт</v>
      </c>
      <c r="V14">
        <f>sales_data!K347</f>
        <v>21</v>
      </c>
      <c r="W14">
        <f>sales_data!L347</f>
        <v>1400</v>
      </c>
      <c r="X14">
        <f>sales_data!M347</f>
        <v>29400</v>
      </c>
      <c r="Y14" t="str">
        <f>sales_data!N347</f>
        <v>Интернет-магазин</v>
      </c>
      <c r="Z14" t="str">
        <f>sales_data!O347</f>
        <v>Доставлен</v>
      </c>
    </row>
    <row r="15" spans="1:26" x14ac:dyDescent="0.25">
      <c r="L15">
        <f>sales_data!A369</f>
        <v>1716</v>
      </c>
      <c r="M15">
        <f>sales_data!B369</f>
        <v>45782</v>
      </c>
      <c r="N15">
        <f>sales_data!C369</f>
        <v>5</v>
      </c>
      <c r="O15" t="str">
        <f>sales_data!D369</f>
        <v>Май</v>
      </c>
      <c r="P15" t="str">
        <f>sales_data!E369</f>
        <v>Сергей</v>
      </c>
      <c r="Q15" t="str">
        <f>sales_data!F369</f>
        <v>Красноярск</v>
      </c>
      <c r="R15" t="str">
        <f>sales_data!G369</f>
        <v>Сибирский</v>
      </c>
      <c r="S15" t="str">
        <f>sales_data!H369</f>
        <v>Аксессуары</v>
      </c>
      <c r="T15" t="str">
        <f>sales_data!I369</f>
        <v>Cooling Pad</v>
      </c>
      <c r="U15" t="str">
        <f>sales_data!J369</f>
        <v>Опт</v>
      </c>
      <c r="V15">
        <f>sales_data!K369</f>
        <v>11</v>
      </c>
      <c r="W15">
        <f>sales_data!L369</f>
        <v>1500</v>
      </c>
      <c r="X15">
        <f>sales_data!M369</f>
        <v>16500</v>
      </c>
      <c r="Y15" t="str">
        <f>sales_data!N369</f>
        <v>Интернет-магазин</v>
      </c>
      <c r="Z15" t="str">
        <f>sales_data!O369</f>
        <v>В пути</v>
      </c>
    </row>
    <row r="16" spans="1:26" x14ac:dyDescent="0.25">
      <c r="L16">
        <f>sales_data!A417</f>
        <v>2806</v>
      </c>
      <c r="M16">
        <f>sales_data!B417</f>
        <v>45955</v>
      </c>
      <c r="N16">
        <f>sales_data!C417</f>
        <v>25</v>
      </c>
      <c r="O16" t="str">
        <f>sales_data!D417</f>
        <v>Октябрь</v>
      </c>
      <c r="P16" t="str">
        <f>sales_data!E417</f>
        <v>Елена</v>
      </c>
      <c r="Q16" t="str">
        <f>sales_data!F417</f>
        <v>Уфа</v>
      </c>
      <c r="R16" t="str">
        <f>sales_data!G417</f>
        <v>Приволжский</v>
      </c>
      <c r="S16" t="str">
        <f>sales_data!H417</f>
        <v>Аксессуары</v>
      </c>
      <c r="T16" t="str">
        <f>sales_data!I417</f>
        <v>Cooling Pad</v>
      </c>
      <c r="U16" t="str">
        <f>sales_data!J417</f>
        <v>Розница</v>
      </c>
      <c r="V16">
        <f>sales_data!K417</f>
        <v>5</v>
      </c>
      <c r="W16">
        <f>sales_data!L417</f>
        <v>1600</v>
      </c>
      <c r="X16">
        <f>sales_data!M417</f>
        <v>8000</v>
      </c>
      <c r="Y16" t="str">
        <f>sales_data!N417</f>
        <v>Офлайн-точка</v>
      </c>
      <c r="Z16" t="str">
        <f>sales_data!O417</f>
        <v>Отменён</v>
      </c>
    </row>
    <row r="17" spans="12:26" x14ac:dyDescent="0.25">
      <c r="L17">
        <f>sales_data!A418</f>
        <v>2892</v>
      </c>
      <c r="M17">
        <f>sales_data!B418</f>
        <v>45877</v>
      </c>
      <c r="N17">
        <f>sales_data!C418</f>
        <v>8</v>
      </c>
      <c r="O17" t="str">
        <f>sales_data!D418</f>
        <v>Август</v>
      </c>
      <c r="P17" t="str">
        <f>sales_data!E418</f>
        <v>Наталья</v>
      </c>
      <c r="Q17" t="str">
        <f>sales_data!F418</f>
        <v>Воронеж</v>
      </c>
      <c r="R17" t="str">
        <f>sales_data!G418</f>
        <v>Центральный</v>
      </c>
      <c r="S17" t="str">
        <f>sales_data!H418</f>
        <v>Аксессуары</v>
      </c>
      <c r="T17" t="str">
        <f>sales_data!I418</f>
        <v>Cooling Pad</v>
      </c>
      <c r="U17" t="str">
        <f>sales_data!J418</f>
        <v>Розница</v>
      </c>
      <c r="V17">
        <f>sales_data!K418</f>
        <v>4</v>
      </c>
      <c r="W17">
        <f>sales_data!L418</f>
        <v>1600</v>
      </c>
      <c r="X17">
        <f>sales_data!M418</f>
        <v>6400</v>
      </c>
      <c r="Y17" t="str">
        <f>sales_data!N418</f>
        <v>Офлайн-точка</v>
      </c>
      <c r="Z17" t="str">
        <f>sales_data!O418</f>
        <v>В пути</v>
      </c>
    </row>
    <row r="18" spans="12:26" x14ac:dyDescent="0.25">
      <c r="L18">
        <f>sales_data!A440</f>
        <v>4941</v>
      </c>
      <c r="M18">
        <f>sales_data!B440</f>
        <v>45834</v>
      </c>
      <c r="N18">
        <f>sales_data!C440</f>
        <v>26</v>
      </c>
      <c r="O18" t="str">
        <f>sales_data!D440</f>
        <v>Июнь</v>
      </c>
      <c r="P18" t="str">
        <f>sales_data!E440</f>
        <v>Борис</v>
      </c>
      <c r="Q18" t="str">
        <f>sales_data!F440</f>
        <v>Красноярск</v>
      </c>
      <c r="R18" t="str">
        <f>sales_data!G440</f>
        <v>Сибирский</v>
      </c>
      <c r="S18" t="str">
        <f>sales_data!H440</f>
        <v>Аксессуары</v>
      </c>
      <c r="T18" t="str">
        <f>sales_data!I440</f>
        <v>Cooling Pad</v>
      </c>
      <c r="U18" t="str">
        <f>sales_data!J440</f>
        <v>Опт</v>
      </c>
      <c r="V18">
        <f>sales_data!K440</f>
        <v>30</v>
      </c>
      <c r="W18">
        <f>sales_data!L440</f>
        <v>1600</v>
      </c>
      <c r="X18">
        <f>sales_data!M440</f>
        <v>48000</v>
      </c>
      <c r="Y18" t="str">
        <f>sales_data!N440</f>
        <v>Интернет-магазин</v>
      </c>
      <c r="Z18" t="str">
        <f>sales_data!O440</f>
        <v>В пути</v>
      </c>
    </row>
    <row r="19" spans="12:26" x14ac:dyDescent="0.25">
      <c r="L19">
        <f>sales_data!A471</f>
        <v>1545</v>
      </c>
      <c r="M19">
        <f>sales_data!B471</f>
        <v>45719</v>
      </c>
      <c r="N19">
        <f>sales_data!C471</f>
        <v>3</v>
      </c>
      <c r="O19" t="str">
        <f>sales_data!D471</f>
        <v>Март</v>
      </c>
      <c r="P19" t="str">
        <f>sales_data!E471</f>
        <v>Ольга</v>
      </c>
      <c r="Q19" t="str">
        <f>sales_data!F471</f>
        <v>Екатеринбург</v>
      </c>
      <c r="R19" t="str">
        <f>sales_data!G471</f>
        <v>Уральский</v>
      </c>
      <c r="S19" t="str">
        <f>sales_data!H471</f>
        <v>Аксессуары</v>
      </c>
      <c r="T19" t="str">
        <f>sales_data!I471</f>
        <v>Cooling Pad</v>
      </c>
      <c r="U19" t="str">
        <f>sales_data!J471</f>
        <v>Розница</v>
      </c>
      <c r="V19">
        <f>sales_data!K471</f>
        <v>3</v>
      </c>
      <c r="W19">
        <f>sales_data!L471</f>
        <v>1700</v>
      </c>
      <c r="X19">
        <f>sales_data!M471</f>
        <v>5100</v>
      </c>
      <c r="Y19" t="str">
        <f>sales_data!N471</f>
        <v>Интернет-магазин</v>
      </c>
      <c r="Z19" t="str">
        <f>sales_data!O471</f>
        <v>В пути</v>
      </c>
    </row>
    <row r="20" spans="12:26" x14ac:dyDescent="0.25">
      <c r="L20">
        <f>sales_data!A483</f>
        <v>2282</v>
      </c>
      <c r="M20">
        <f>sales_data!B483</f>
        <v>45672</v>
      </c>
      <c r="N20">
        <f>sales_data!C483</f>
        <v>15</v>
      </c>
      <c r="O20" t="str">
        <f>sales_data!D483</f>
        <v>Январь</v>
      </c>
      <c r="P20" t="str">
        <f>sales_data!E483</f>
        <v>Игорь</v>
      </c>
      <c r="Q20" t="str">
        <f>sales_data!F483</f>
        <v>Новосибирск</v>
      </c>
      <c r="R20" t="str">
        <f>sales_data!G483</f>
        <v>Сибирский</v>
      </c>
      <c r="S20" t="str">
        <f>sales_data!H483</f>
        <v>Аксессуары</v>
      </c>
      <c r="T20" t="str">
        <f>sales_data!I483</f>
        <v>Cooling Pad</v>
      </c>
      <c r="U20" t="str">
        <f>sales_data!J483</f>
        <v>Розница</v>
      </c>
      <c r="V20">
        <f>sales_data!K483</f>
        <v>8</v>
      </c>
      <c r="W20">
        <f>sales_data!L483</f>
        <v>1700</v>
      </c>
      <c r="X20">
        <f>sales_data!M483</f>
        <v>13600</v>
      </c>
      <c r="Y20" t="str">
        <f>sales_data!N483</f>
        <v>Офлайн-точка</v>
      </c>
      <c r="Z20" t="str">
        <f>sales_data!O483</f>
        <v>В пути</v>
      </c>
    </row>
    <row r="21" spans="12:26" x14ac:dyDescent="0.25">
      <c r="L21">
        <f>sales_data!A499</f>
        <v>4017</v>
      </c>
      <c r="M21">
        <f>sales_data!B499</f>
        <v>45806</v>
      </c>
      <c r="N21">
        <f>sales_data!C499</f>
        <v>29</v>
      </c>
      <c r="O21" t="str">
        <f>sales_data!D499</f>
        <v>Май</v>
      </c>
      <c r="P21" t="str">
        <f>sales_data!E499</f>
        <v>Светлана</v>
      </c>
      <c r="Q21" t="str">
        <f>sales_data!F499</f>
        <v>Москва</v>
      </c>
      <c r="R21" t="str">
        <f>sales_data!G499</f>
        <v>Центральный</v>
      </c>
      <c r="S21" t="str">
        <f>sales_data!H499</f>
        <v>Периферия</v>
      </c>
      <c r="T21" t="str">
        <f>sales_data!I499</f>
        <v>USB Hub</v>
      </c>
      <c r="U21" t="str">
        <f>sales_data!J499</f>
        <v>Опт</v>
      </c>
      <c r="V21">
        <f>sales_data!K499</f>
        <v>37</v>
      </c>
      <c r="W21">
        <f>sales_data!L499</f>
        <v>1700</v>
      </c>
      <c r="X21">
        <f>sales_data!M499</f>
        <v>62900</v>
      </c>
      <c r="Y21" t="str">
        <f>sales_data!N499</f>
        <v>Офлайн-точка</v>
      </c>
      <c r="Z21" t="str">
        <f>sales_data!O499</f>
        <v>Отменён</v>
      </c>
    </row>
    <row r="22" spans="12:26" x14ac:dyDescent="0.25">
      <c r="L22">
        <f>sales_data!A521</f>
        <v>426</v>
      </c>
      <c r="M22">
        <f>sales_data!B521</f>
        <v>45936</v>
      </c>
      <c r="N22">
        <f>sales_data!C521</f>
        <v>6</v>
      </c>
      <c r="O22" t="str">
        <f>sales_data!D521</f>
        <v>Октябрь</v>
      </c>
      <c r="P22" t="str">
        <f>sales_data!E521</f>
        <v>Наталья</v>
      </c>
      <c r="Q22" t="str">
        <f>sales_data!F521</f>
        <v>Челябинск</v>
      </c>
      <c r="R22" t="str">
        <f>sales_data!G521</f>
        <v>Уральский</v>
      </c>
      <c r="S22" t="str">
        <f>sales_data!H521</f>
        <v>Периферия</v>
      </c>
      <c r="T22" t="str">
        <f>sales_data!I521</f>
        <v>USB Hub</v>
      </c>
      <c r="U22" t="str">
        <f>sales_data!J521</f>
        <v>Опт</v>
      </c>
      <c r="V22">
        <f>sales_data!K521</f>
        <v>29</v>
      </c>
      <c r="W22">
        <f>sales_data!L521</f>
        <v>1800</v>
      </c>
      <c r="X22">
        <f>sales_data!M521</f>
        <v>52200</v>
      </c>
      <c r="Y22" t="str">
        <f>sales_data!N521</f>
        <v>Офлайн-точка</v>
      </c>
      <c r="Z22" t="str">
        <f>sales_data!O521</f>
        <v>Доставлен</v>
      </c>
    </row>
    <row r="23" spans="12:26" x14ac:dyDescent="0.25">
      <c r="L23">
        <f>sales_data!A554</f>
        <v>2293</v>
      </c>
      <c r="M23">
        <f>sales_data!B554</f>
        <v>45889</v>
      </c>
      <c r="N23">
        <f>sales_data!C554</f>
        <v>20</v>
      </c>
      <c r="O23" t="str">
        <f>sales_data!D554</f>
        <v>Август</v>
      </c>
      <c r="P23" t="str">
        <f>sales_data!E554</f>
        <v>Татьяна</v>
      </c>
      <c r="Q23" t="str">
        <f>sales_data!F554</f>
        <v>Самара</v>
      </c>
      <c r="R23" t="str">
        <f>sales_data!G554</f>
        <v>Приволжский</v>
      </c>
      <c r="S23" t="str">
        <f>sales_data!H554</f>
        <v>Аксессуары</v>
      </c>
      <c r="T23" t="str">
        <f>sales_data!I554</f>
        <v>Cooling Pad</v>
      </c>
      <c r="U23" t="str">
        <f>sales_data!J554</f>
        <v>Розница</v>
      </c>
      <c r="V23">
        <f>sales_data!K554</f>
        <v>8</v>
      </c>
      <c r="W23">
        <f>sales_data!L554</f>
        <v>1800</v>
      </c>
      <c r="X23">
        <f>sales_data!M554</f>
        <v>14400</v>
      </c>
      <c r="Y23" t="str">
        <f>sales_data!N554</f>
        <v>Интернет-магазин</v>
      </c>
      <c r="Z23" t="str">
        <f>sales_data!O554</f>
        <v>В пути</v>
      </c>
    </row>
    <row r="24" spans="12:26" x14ac:dyDescent="0.25">
      <c r="L24">
        <f>sales_data!A572</f>
        <v>3461</v>
      </c>
      <c r="M24">
        <f>sales_data!B572</f>
        <v>45921</v>
      </c>
      <c r="N24">
        <f>sales_data!C572</f>
        <v>21</v>
      </c>
      <c r="O24" t="str">
        <f>sales_data!D572</f>
        <v>Сентябрь</v>
      </c>
      <c r="P24" t="str">
        <f>sales_data!E572</f>
        <v>Алексей</v>
      </c>
      <c r="Q24" t="str">
        <f>sales_data!F572</f>
        <v>Краснодар</v>
      </c>
      <c r="R24" t="str">
        <f>sales_data!G572</f>
        <v>Южный</v>
      </c>
      <c r="S24" t="str">
        <f>sales_data!H572</f>
        <v>Периферия</v>
      </c>
      <c r="T24" t="str">
        <f>sales_data!I572</f>
        <v>USB Hub</v>
      </c>
      <c r="U24" t="str">
        <f>sales_data!J572</f>
        <v>Опт</v>
      </c>
      <c r="V24">
        <f>sales_data!K572</f>
        <v>5</v>
      </c>
      <c r="W24">
        <f>sales_data!L572</f>
        <v>1800</v>
      </c>
      <c r="X24">
        <f>sales_data!M572</f>
        <v>9000</v>
      </c>
      <c r="Y24" t="str">
        <f>sales_data!N572</f>
        <v>Офлайн-точка</v>
      </c>
      <c r="Z24" t="str">
        <f>sales_data!O572</f>
        <v>Отменён</v>
      </c>
    </row>
    <row r="25" spans="12:26" x14ac:dyDescent="0.25">
      <c r="L25">
        <f>sales_data!A574</f>
        <v>3484</v>
      </c>
      <c r="M25">
        <f>sales_data!B574</f>
        <v>45883</v>
      </c>
      <c r="N25">
        <f>sales_data!C574</f>
        <v>14</v>
      </c>
      <c r="O25" t="str">
        <f>sales_data!D574</f>
        <v>Август</v>
      </c>
      <c r="P25" t="str">
        <f>sales_data!E574</f>
        <v>Мария</v>
      </c>
      <c r="Q25" t="str">
        <f>sales_data!F574</f>
        <v>Екатеринбург</v>
      </c>
      <c r="R25" t="str">
        <f>sales_data!G574</f>
        <v>Уральский</v>
      </c>
      <c r="S25" t="str">
        <f>sales_data!H574</f>
        <v>Аксессуары</v>
      </c>
      <c r="T25" t="str">
        <f>sales_data!I574</f>
        <v>Cooling Pad</v>
      </c>
      <c r="U25" t="str">
        <f>sales_data!J574</f>
        <v>Розница</v>
      </c>
      <c r="V25">
        <f>sales_data!K574</f>
        <v>3</v>
      </c>
      <c r="W25">
        <f>sales_data!L574</f>
        <v>1800</v>
      </c>
      <c r="X25">
        <f>sales_data!M574</f>
        <v>5400</v>
      </c>
      <c r="Y25" t="str">
        <f>sales_data!N574</f>
        <v>Офлайн-точка</v>
      </c>
      <c r="Z25" t="str">
        <f>sales_data!O574</f>
        <v>Отменён</v>
      </c>
    </row>
    <row r="26" spans="12:26" x14ac:dyDescent="0.25">
      <c r="L26">
        <f>sales_data!A609</f>
        <v>1064</v>
      </c>
      <c r="M26">
        <f>sales_data!B609</f>
        <v>45780</v>
      </c>
      <c r="N26">
        <f>sales_data!C609</f>
        <v>3</v>
      </c>
      <c r="O26" t="str">
        <f>sales_data!D609</f>
        <v>Май</v>
      </c>
      <c r="P26" t="str">
        <f>sales_data!E609</f>
        <v>Наталья</v>
      </c>
      <c r="Q26" t="str">
        <f>sales_data!F609</f>
        <v>Омск</v>
      </c>
      <c r="R26" t="str">
        <f>sales_data!G609</f>
        <v>Сибирский</v>
      </c>
      <c r="S26" t="str">
        <f>sales_data!H609</f>
        <v>Аксессуары</v>
      </c>
      <c r="T26" t="str">
        <f>sales_data!I609</f>
        <v>Bagpack</v>
      </c>
      <c r="U26" t="str">
        <f>sales_data!J609</f>
        <v>Опт</v>
      </c>
      <c r="V26">
        <f>sales_data!K609</f>
        <v>37</v>
      </c>
      <c r="W26">
        <f>sales_data!L609</f>
        <v>1900</v>
      </c>
      <c r="X26">
        <f>sales_data!M609</f>
        <v>70300</v>
      </c>
      <c r="Y26" t="str">
        <f>sales_data!N609</f>
        <v>Офлайн-точка</v>
      </c>
      <c r="Z26" t="str">
        <f>sales_data!O609</f>
        <v>Доставлен</v>
      </c>
    </row>
    <row r="27" spans="12:26" x14ac:dyDescent="0.25">
      <c r="L27">
        <f>sales_data!A651</f>
        <v>4800</v>
      </c>
      <c r="M27">
        <f>sales_data!B651</f>
        <v>46002</v>
      </c>
      <c r="N27">
        <f>sales_data!C651</f>
        <v>11</v>
      </c>
      <c r="O27" t="str">
        <f>sales_data!D651</f>
        <v>Декабрь</v>
      </c>
      <c r="P27" t="str">
        <f>sales_data!E651</f>
        <v>Владимир</v>
      </c>
      <c r="Q27" t="str">
        <f>sales_data!F651</f>
        <v>Красноярск</v>
      </c>
      <c r="R27" t="str">
        <f>sales_data!G651</f>
        <v>Сибирский</v>
      </c>
      <c r="S27" t="str">
        <f>sales_data!H651</f>
        <v>Аксессуары</v>
      </c>
      <c r="T27" t="str">
        <f>sales_data!I651</f>
        <v>Cooling Pad</v>
      </c>
      <c r="U27" t="str">
        <f>sales_data!J651</f>
        <v>Розница</v>
      </c>
      <c r="V27">
        <f>sales_data!K651</f>
        <v>5</v>
      </c>
      <c r="W27">
        <f>sales_data!L651</f>
        <v>1900</v>
      </c>
      <c r="X27">
        <f>sales_data!M651</f>
        <v>9500</v>
      </c>
      <c r="Y27" t="str">
        <f>sales_data!N651</f>
        <v>Офлайн-точка</v>
      </c>
      <c r="Z27" t="str">
        <f>sales_data!O651</f>
        <v>Доставлен</v>
      </c>
    </row>
    <row r="28" spans="12:26" x14ac:dyDescent="0.25">
      <c r="L28">
        <f>sales_data!A660</f>
        <v>687</v>
      </c>
      <c r="M28">
        <f>sales_data!B660</f>
        <v>45981</v>
      </c>
      <c r="N28">
        <f>sales_data!C660</f>
        <v>20</v>
      </c>
      <c r="O28" t="str">
        <f>sales_data!D660</f>
        <v>Ноябрь</v>
      </c>
      <c r="P28" t="str">
        <f>sales_data!E660</f>
        <v>Ольга</v>
      </c>
      <c r="Q28" t="str">
        <f>sales_data!F660</f>
        <v>Москва</v>
      </c>
      <c r="R28" t="str">
        <f>sales_data!G660</f>
        <v>Центральный</v>
      </c>
      <c r="S28" t="str">
        <f>sales_data!H660</f>
        <v>Периферия</v>
      </c>
      <c r="T28" t="str">
        <f>sales_data!I660</f>
        <v>USB Hub</v>
      </c>
      <c r="U28" t="str">
        <f>sales_data!J660</f>
        <v>Розница</v>
      </c>
      <c r="V28">
        <f>sales_data!K660</f>
        <v>6</v>
      </c>
      <c r="W28">
        <f>sales_data!L660</f>
        <v>2000</v>
      </c>
      <c r="X28">
        <f>sales_data!M660</f>
        <v>12000</v>
      </c>
      <c r="Y28" t="str">
        <f>sales_data!N660</f>
        <v>Интернет-магазин</v>
      </c>
      <c r="Z28" t="str">
        <f>sales_data!O660</f>
        <v>В пути</v>
      </c>
    </row>
    <row r="29" spans="12:26" x14ac:dyDescent="0.25">
      <c r="L29">
        <f>sales_data!A668</f>
        <v>1054</v>
      </c>
      <c r="M29">
        <f>sales_data!B668</f>
        <v>45777</v>
      </c>
      <c r="N29">
        <f>sales_data!C668</f>
        <v>30</v>
      </c>
      <c r="O29" t="str">
        <f>sales_data!D668</f>
        <v>Апрель</v>
      </c>
      <c r="P29" t="str">
        <f>sales_data!E668</f>
        <v>Ксения</v>
      </c>
      <c r="Q29" t="str">
        <f>sales_data!F668</f>
        <v>Нижний Новгород</v>
      </c>
      <c r="R29" t="str">
        <f>sales_data!G668</f>
        <v>Приволжский</v>
      </c>
      <c r="S29" t="str">
        <f>sales_data!H668</f>
        <v>Периферия</v>
      </c>
      <c r="T29" t="str">
        <f>sales_data!I668</f>
        <v>USB Hub</v>
      </c>
      <c r="U29" t="str">
        <f>sales_data!J668</f>
        <v>Розница</v>
      </c>
      <c r="V29">
        <f>sales_data!K668</f>
        <v>8</v>
      </c>
      <c r="W29">
        <f>sales_data!L668</f>
        <v>2000</v>
      </c>
      <c r="X29">
        <f>sales_data!M668</f>
        <v>16000</v>
      </c>
      <c r="Y29" t="str">
        <f>sales_data!N668</f>
        <v>Офлайн-точка</v>
      </c>
      <c r="Z29" t="str">
        <f>sales_data!O668</f>
        <v>Отменён</v>
      </c>
    </row>
    <row r="30" spans="12:26" x14ac:dyDescent="0.25">
      <c r="L30">
        <f>sales_data!A675</f>
        <v>1607</v>
      </c>
      <c r="M30">
        <f>sales_data!B675</f>
        <v>45768</v>
      </c>
      <c r="N30">
        <f>sales_data!C675</f>
        <v>21</v>
      </c>
      <c r="O30" t="str">
        <f>sales_data!D675</f>
        <v>Апрель</v>
      </c>
      <c r="P30" t="str">
        <f>sales_data!E675</f>
        <v>Елена</v>
      </c>
      <c r="Q30" t="str">
        <f>sales_data!F675</f>
        <v>Казань</v>
      </c>
      <c r="R30" t="str">
        <f>sales_data!G675</f>
        <v>Приволжский</v>
      </c>
      <c r="S30" t="str">
        <f>sales_data!H675</f>
        <v>Периферия</v>
      </c>
      <c r="T30" t="str">
        <f>sales_data!I675</f>
        <v>USB Hub</v>
      </c>
      <c r="U30" t="str">
        <f>sales_data!J675</f>
        <v>Розница</v>
      </c>
      <c r="V30">
        <f>sales_data!K675</f>
        <v>3</v>
      </c>
      <c r="W30">
        <f>sales_data!L675</f>
        <v>2000</v>
      </c>
      <c r="X30">
        <f>sales_data!M675</f>
        <v>6000</v>
      </c>
      <c r="Y30" t="str">
        <f>sales_data!N675</f>
        <v>Офлайн-точка</v>
      </c>
      <c r="Z30" t="str">
        <f>sales_data!O675</f>
        <v>В пути</v>
      </c>
    </row>
    <row r="31" spans="12:26" x14ac:dyDescent="0.25">
      <c r="L31">
        <f>sales_data!A682</f>
        <v>2198</v>
      </c>
      <c r="M31">
        <f>sales_data!B682</f>
        <v>45843</v>
      </c>
      <c r="N31">
        <f>sales_data!C682</f>
        <v>5</v>
      </c>
      <c r="O31" t="str">
        <f>sales_data!D682</f>
        <v>Июль</v>
      </c>
      <c r="P31" t="str">
        <f>sales_data!E682</f>
        <v>Алексей</v>
      </c>
      <c r="Q31" t="str">
        <f>sales_data!F682</f>
        <v>Самара</v>
      </c>
      <c r="R31" t="str">
        <f>sales_data!G682</f>
        <v>Приволжский</v>
      </c>
      <c r="S31" t="str">
        <f>sales_data!H682</f>
        <v>Периферия</v>
      </c>
      <c r="T31" t="str">
        <f>sales_data!I682</f>
        <v>USB Hub</v>
      </c>
      <c r="U31" t="str">
        <f>sales_data!J682</f>
        <v>Розница</v>
      </c>
      <c r="V31">
        <f>sales_data!K682</f>
        <v>7</v>
      </c>
      <c r="W31">
        <f>sales_data!L682</f>
        <v>2000</v>
      </c>
      <c r="X31">
        <f>sales_data!M682</f>
        <v>14000</v>
      </c>
      <c r="Y31" t="str">
        <f>sales_data!N682</f>
        <v>Офлайн-точка</v>
      </c>
      <c r="Z31" t="str">
        <f>sales_data!O682</f>
        <v>Отменён</v>
      </c>
    </row>
    <row r="32" spans="12:26" x14ac:dyDescent="0.25">
      <c r="L32">
        <f>sales_data!A687</f>
        <v>2759</v>
      </c>
      <c r="M32">
        <f>sales_data!B687</f>
        <v>46002</v>
      </c>
      <c r="N32">
        <f>sales_data!C687</f>
        <v>11</v>
      </c>
      <c r="O32" t="str">
        <f>sales_data!D687</f>
        <v>Декабрь</v>
      </c>
      <c r="P32" t="str">
        <f>sales_data!E687</f>
        <v>Мария</v>
      </c>
      <c r="Q32" t="str">
        <f>sales_data!F687</f>
        <v>Пермь</v>
      </c>
      <c r="R32" t="str">
        <f>sales_data!G687</f>
        <v>Приволжский</v>
      </c>
      <c r="S32" t="str">
        <f>sales_data!H687</f>
        <v>Аксессуары</v>
      </c>
      <c r="T32" t="str">
        <f>sales_data!I687</f>
        <v>Bagpack</v>
      </c>
      <c r="U32" t="str">
        <f>sales_data!J687</f>
        <v>Опт</v>
      </c>
      <c r="V32">
        <f>sales_data!K687</f>
        <v>16</v>
      </c>
      <c r="W32">
        <f>sales_data!L687</f>
        <v>2000</v>
      </c>
      <c r="X32">
        <f>sales_data!M687</f>
        <v>32000</v>
      </c>
      <c r="Y32" t="str">
        <f>sales_data!N687</f>
        <v>Офлайн-точка</v>
      </c>
      <c r="Z32" t="str">
        <f>sales_data!O687</f>
        <v>Отменён</v>
      </c>
    </row>
    <row r="33" spans="12:26" x14ac:dyDescent="0.25">
      <c r="L33">
        <f>sales_data!A689</f>
        <v>2785</v>
      </c>
      <c r="M33">
        <f>sales_data!B689</f>
        <v>45807</v>
      </c>
      <c r="N33">
        <f>sales_data!C689</f>
        <v>30</v>
      </c>
      <c r="O33" t="str">
        <f>sales_data!D689</f>
        <v>Май</v>
      </c>
      <c r="P33" t="str">
        <f>sales_data!E689</f>
        <v>Борис</v>
      </c>
      <c r="Q33" t="str">
        <f>sales_data!F689</f>
        <v>Самара</v>
      </c>
      <c r="R33" t="str">
        <f>sales_data!G689</f>
        <v>Приволжский</v>
      </c>
      <c r="S33" t="str">
        <f>sales_data!H689</f>
        <v>Периферия</v>
      </c>
      <c r="T33" t="str">
        <f>sales_data!I689</f>
        <v>USB Hub</v>
      </c>
      <c r="U33" t="str">
        <f>sales_data!J689</f>
        <v>Розница</v>
      </c>
      <c r="V33">
        <f>sales_data!K689</f>
        <v>8</v>
      </c>
      <c r="W33">
        <f>sales_data!L689</f>
        <v>2000</v>
      </c>
      <c r="X33">
        <f>sales_data!M689</f>
        <v>16000</v>
      </c>
      <c r="Y33" t="str">
        <f>sales_data!N689</f>
        <v>Офлайн-точка</v>
      </c>
      <c r="Z33" t="str">
        <f>sales_data!O689</f>
        <v>В пути</v>
      </c>
    </row>
    <row r="34" spans="12:26" x14ac:dyDescent="0.25">
      <c r="L34">
        <f>sales_data!A729</f>
        <v>1153</v>
      </c>
      <c r="M34">
        <f>sales_data!B729</f>
        <v>45894</v>
      </c>
      <c r="N34">
        <f>sales_data!C729</f>
        <v>25</v>
      </c>
      <c r="O34" t="str">
        <f>sales_data!D729</f>
        <v>Август</v>
      </c>
      <c r="P34" t="str">
        <f>sales_data!E729</f>
        <v>Борис</v>
      </c>
      <c r="Q34" t="str">
        <f>sales_data!F729</f>
        <v>Санкт-Петербург</v>
      </c>
      <c r="R34" t="str">
        <f>sales_data!G729</f>
        <v>Северо-Западный</v>
      </c>
      <c r="S34" t="str">
        <f>sales_data!H729</f>
        <v>Аксессуары</v>
      </c>
      <c r="T34" t="str">
        <f>sales_data!I729</f>
        <v>Bagpack</v>
      </c>
      <c r="U34" t="str">
        <f>sales_data!J729</f>
        <v>Опт</v>
      </c>
      <c r="V34">
        <f>sales_data!K729</f>
        <v>13</v>
      </c>
      <c r="W34">
        <f>sales_data!L729</f>
        <v>2100</v>
      </c>
      <c r="X34">
        <f>sales_data!M729</f>
        <v>27300</v>
      </c>
      <c r="Y34" t="str">
        <f>sales_data!N729</f>
        <v>Офлайн-точка</v>
      </c>
      <c r="Z34" t="str">
        <f>sales_data!O729</f>
        <v>В пути</v>
      </c>
    </row>
    <row r="35" spans="12:26" x14ac:dyDescent="0.25">
      <c r="L35">
        <f>sales_data!A793</f>
        <v>573</v>
      </c>
      <c r="M35">
        <f>sales_data!B793</f>
        <v>45739</v>
      </c>
      <c r="N35">
        <f>sales_data!C793</f>
        <v>23</v>
      </c>
      <c r="O35" t="str">
        <f>sales_data!D793</f>
        <v>Март</v>
      </c>
      <c r="P35" t="str">
        <f>sales_data!E793</f>
        <v>Светлана</v>
      </c>
      <c r="Q35" t="str">
        <f>sales_data!F793</f>
        <v>Омск</v>
      </c>
      <c r="R35" t="str">
        <f>sales_data!G793</f>
        <v>Сибирский</v>
      </c>
      <c r="S35" t="str">
        <f>sales_data!H793</f>
        <v>Аксессуары</v>
      </c>
      <c r="T35" t="str">
        <f>sales_data!I793</f>
        <v>Bagpack</v>
      </c>
      <c r="U35" t="str">
        <f>sales_data!J793</f>
        <v>Опт</v>
      </c>
      <c r="V35">
        <f>sales_data!K793</f>
        <v>27</v>
      </c>
      <c r="W35">
        <f>sales_data!L793</f>
        <v>2200</v>
      </c>
      <c r="X35">
        <f>sales_data!M793</f>
        <v>59400</v>
      </c>
      <c r="Y35" t="str">
        <f>sales_data!N793</f>
        <v>Интернет-магазин</v>
      </c>
      <c r="Z35" t="str">
        <f>sales_data!O793</f>
        <v>Доставлен</v>
      </c>
    </row>
    <row r="36" spans="12:26" x14ac:dyDescent="0.25">
      <c r="L36">
        <f>sales_data!A824</f>
        <v>2706</v>
      </c>
      <c r="M36">
        <f>sales_data!B824</f>
        <v>45996</v>
      </c>
      <c r="N36">
        <f>sales_data!C824</f>
        <v>5</v>
      </c>
      <c r="O36" t="str">
        <f>sales_data!D824</f>
        <v>Декабрь</v>
      </c>
      <c r="P36" t="str">
        <f>sales_data!E824</f>
        <v>Наталья</v>
      </c>
      <c r="Q36" t="str">
        <f>sales_data!F824</f>
        <v>Казань</v>
      </c>
      <c r="R36" t="str">
        <f>sales_data!G824</f>
        <v>Приволжский</v>
      </c>
      <c r="S36" t="str">
        <f>sales_data!H824</f>
        <v>Периферия</v>
      </c>
      <c r="T36" t="str">
        <f>sales_data!I824</f>
        <v>Mouse Pro</v>
      </c>
      <c r="U36" t="str">
        <f>sales_data!J824</f>
        <v>Опт</v>
      </c>
      <c r="V36">
        <f>sales_data!K824</f>
        <v>8</v>
      </c>
      <c r="W36">
        <f>sales_data!L824</f>
        <v>2200</v>
      </c>
      <c r="X36">
        <f>sales_data!M824</f>
        <v>17600</v>
      </c>
      <c r="Y36" t="str">
        <f>sales_data!N824</f>
        <v>Офлайн-точка</v>
      </c>
      <c r="Z36" t="str">
        <f>sales_data!O824</f>
        <v>Отменён</v>
      </c>
    </row>
    <row r="37" spans="12:26" x14ac:dyDescent="0.25">
      <c r="L37">
        <f>sales_data!A836</f>
        <v>3688</v>
      </c>
      <c r="M37">
        <f>sales_data!B836</f>
        <v>45797</v>
      </c>
      <c r="N37">
        <f>sales_data!C836</f>
        <v>20</v>
      </c>
      <c r="O37" t="str">
        <f>sales_data!D836</f>
        <v>Май</v>
      </c>
      <c r="P37" t="str">
        <f>sales_data!E836</f>
        <v>Борис</v>
      </c>
      <c r="Q37" t="str">
        <f>sales_data!F836</f>
        <v>Пермь</v>
      </c>
      <c r="R37" t="str">
        <f>sales_data!G836</f>
        <v>Приволжский</v>
      </c>
      <c r="S37" t="str">
        <f>sales_data!H836</f>
        <v>Аксессуары</v>
      </c>
      <c r="T37" t="str">
        <f>sales_data!I836</f>
        <v>Bagpack</v>
      </c>
      <c r="U37" t="str">
        <f>sales_data!J836</f>
        <v>Опт</v>
      </c>
      <c r="V37">
        <f>sales_data!K836</f>
        <v>40</v>
      </c>
      <c r="W37">
        <f>sales_data!L836</f>
        <v>2200</v>
      </c>
      <c r="X37">
        <f>sales_data!M836</f>
        <v>88000</v>
      </c>
      <c r="Y37" t="str">
        <f>sales_data!N836</f>
        <v>Интернет-магазин</v>
      </c>
      <c r="Z37" t="str">
        <f>sales_data!O836</f>
        <v>Отменён</v>
      </c>
    </row>
    <row r="38" spans="12:26" x14ac:dyDescent="0.25">
      <c r="L38">
        <f>sales_data!A858</f>
        <v>1084</v>
      </c>
      <c r="M38">
        <f>sales_data!B858</f>
        <v>45691</v>
      </c>
      <c r="N38">
        <f>sales_data!C858</f>
        <v>3</v>
      </c>
      <c r="O38" t="str">
        <f>sales_data!D858</f>
        <v>Февраль</v>
      </c>
      <c r="P38" t="str">
        <f>sales_data!E858</f>
        <v>Светлана</v>
      </c>
      <c r="Q38" t="str">
        <f>sales_data!F858</f>
        <v>Екатеринбург</v>
      </c>
      <c r="R38" t="str">
        <f>sales_data!G858</f>
        <v>Уральский</v>
      </c>
      <c r="S38" t="str">
        <f>sales_data!H858</f>
        <v>Аксессуары</v>
      </c>
      <c r="T38" t="str">
        <f>sales_data!I858</f>
        <v>Bagpack</v>
      </c>
      <c r="U38" t="str">
        <f>sales_data!J858</f>
        <v>Опт</v>
      </c>
      <c r="V38">
        <f>sales_data!K858</f>
        <v>17</v>
      </c>
      <c r="W38">
        <f>sales_data!L858</f>
        <v>2300</v>
      </c>
      <c r="X38">
        <f>sales_data!M858</f>
        <v>39100</v>
      </c>
      <c r="Y38" t="str">
        <f>sales_data!N858</f>
        <v>Интернет-магазин</v>
      </c>
      <c r="Z38" t="str">
        <f>sales_data!O858</f>
        <v>Отменён</v>
      </c>
    </row>
    <row r="39" spans="12:26" x14ac:dyDescent="0.25">
      <c r="L39">
        <f>sales_data!A879</f>
        <v>3749</v>
      </c>
      <c r="M39">
        <f>sales_data!B879</f>
        <v>45858</v>
      </c>
      <c r="N39">
        <f>sales_data!C879</f>
        <v>20</v>
      </c>
      <c r="O39" t="str">
        <f>sales_data!D879</f>
        <v>Июль</v>
      </c>
      <c r="P39" t="str">
        <f>sales_data!E879</f>
        <v>Павел</v>
      </c>
      <c r="Q39" t="str">
        <f>sales_data!F879</f>
        <v>Самара</v>
      </c>
      <c r="R39" t="str">
        <f>sales_data!G879</f>
        <v>Приволжский</v>
      </c>
      <c r="S39" t="str">
        <f>sales_data!H879</f>
        <v>Периферия</v>
      </c>
      <c r="T39" t="str">
        <f>sales_data!I879</f>
        <v>Mouse Pro</v>
      </c>
      <c r="U39" t="str">
        <f>sales_data!J879</f>
        <v>Опт</v>
      </c>
      <c r="V39">
        <f>sales_data!K879</f>
        <v>36</v>
      </c>
      <c r="W39">
        <f>sales_data!L879</f>
        <v>2300</v>
      </c>
      <c r="X39">
        <f>sales_data!M879</f>
        <v>82800</v>
      </c>
      <c r="Y39" t="str">
        <f>sales_data!N879</f>
        <v>Офлайн-точка</v>
      </c>
      <c r="Z39" t="str">
        <f>sales_data!O879</f>
        <v>В пути</v>
      </c>
    </row>
    <row r="40" spans="12:26" x14ac:dyDescent="0.25">
      <c r="L40">
        <f>sales_data!A895</f>
        <v>1234</v>
      </c>
      <c r="M40">
        <f>sales_data!B895</f>
        <v>46013</v>
      </c>
      <c r="N40">
        <f>sales_data!C895</f>
        <v>22</v>
      </c>
      <c r="O40" t="str">
        <f>sales_data!D895</f>
        <v>Декабрь</v>
      </c>
      <c r="P40" t="str">
        <f>sales_data!E895</f>
        <v>Алексей</v>
      </c>
      <c r="Q40" t="str">
        <f>sales_data!F895</f>
        <v>Санкт-Петербург</v>
      </c>
      <c r="R40" t="str">
        <f>sales_data!G895</f>
        <v>Северо-Западный</v>
      </c>
      <c r="S40" t="str">
        <f>sales_data!H895</f>
        <v>Аксессуары</v>
      </c>
      <c r="T40" t="str">
        <f>sales_data!I895</f>
        <v>Bagpack</v>
      </c>
      <c r="U40" t="str">
        <f>sales_data!J895</f>
        <v>Опт</v>
      </c>
      <c r="V40">
        <f>sales_data!K895</f>
        <v>35</v>
      </c>
      <c r="W40">
        <f>sales_data!L895</f>
        <v>2400</v>
      </c>
      <c r="X40">
        <f>sales_data!M895</f>
        <v>84000</v>
      </c>
      <c r="Y40" t="str">
        <f>sales_data!N895</f>
        <v>Офлайн-точка</v>
      </c>
      <c r="Z40" t="str">
        <f>sales_data!O895</f>
        <v>В пути</v>
      </c>
    </row>
    <row r="41" spans="12:26" x14ac:dyDescent="0.25">
      <c r="L41">
        <f>sales_data!A910</f>
        <v>2398</v>
      </c>
      <c r="M41">
        <f>sales_data!B910</f>
        <v>45897</v>
      </c>
      <c r="N41">
        <f>sales_data!C910</f>
        <v>28</v>
      </c>
      <c r="O41" t="str">
        <f>sales_data!D910</f>
        <v>Август</v>
      </c>
      <c r="P41" t="str">
        <f>sales_data!E910</f>
        <v>Борис</v>
      </c>
      <c r="Q41" t="str">
        <f>sales_data!F910</f>
        <v>Воронеж</v>
      </c>
      <c r="R41" t="str">
        <f>sales_data!G910</f>
        <v>Центральный</v>
      </c>
      <c r="S41" t="str">
        <f>sales_data!H910</f>
        <v>Периферия</v>
      </c>
      <c r="T41" t="str">
        <f>sales_data!I910</f>
        <v>Mouse Pro</v>
      </c>
      <c r="U41" t="str">
        <f>sales_data!J910</f>
        <v>Розница</v>
      </c>
      <c r="V41">
        <f>sales_data!K910</f>
        <v>5</v>
      </c>
      <c r="W41">
        <f>sales_data!L910</f>
        <v>2400</v>
      </c>
      <c r="X41">
        <f>sales_data!M910</f>
        <v>12000</v>
      </c>
      <c r="Y41" t="str">
        <f>sales_data!N910</f>
        <v>Интернет-магазин</v>
      </c>
      <c r="Z41" t="str">
        <f>sales_data!O910</f>
        <v>Отменён</v>
      </c>
    </row>
    <row r="42" spans="12:26" x14ac:dyDescent="0.25">
      <c r="L42">
        <f>sales_data!A949</f>
        <v>42</v>
      </c>
      <c r="M42">
        <f>sales_data!B949</f>
        <v>45711</v>
      </c>
      <c r="N42">
        <f>sales_data!C949</f>
        <v>23</v>
      </c>
      <c r="O42" t="str">
        <f>sales_data!D949</f>
        <v>Февраль</v>
      </c>
      <c r="P42" t="str">
        <f>sales_data!E949</f>
        <v>Ксения</v>
      </c>
      <c r="Q42" t="str">
        <f>sales_data!F949</f>
        <v>Казань</v>
      </c>
      <c r="R42" t="str">
        <f>sales_data!G949</f>
        <v>Приволжский</v>
      </c>
      <c r="S42" t="str">
        <f>sales_data!H949</f>
        <v>Периферия</v>
      </c>
      <c r="T42" t="str">
        <f>sales_data!I949</f>
        <v>Mouse Pro</v>
      </c>
      <c r="U42" t="str">
        <f>sales_data!J949</f>
        <v>Розница</v>
      </c>
      <c r="V42">
        <f>sales_data!K949</f>
        <v>9</v>
      </c>
      <c r="W42">
        <f>sales_data!L949</f>
        <v>2500</v>
      </c>
      <c r="X42">
        <f>sales_data!M949</f>
        <v>22500</v>
      </c>
      <c r="Y42" t="str">
        <f>sales_data!N949</f>
        <v>Интернет-магазин</v>
      </c>
      <c r="Z42" t="str">
        <f>sales_data!O949</f>
        <v>В пути</v>
      </c>
    </row>
    <row r="43" spans="12:26" x14ac:dyDescent="0.25">
      <c r="L43">
        <f>sales_data!A1088</f>
        <v>4390</v>
      </c>
      <c r="M43">
        <f>sales_data!B1088</f>
        <v>45700</v>
      </c>
      <c r="N43">
        <f>sales_data!C1088</f>
        <v>12</v>
      </c>
      <c r="O43" t="str">
        <f>sales_data!D1088</f>
        <v>Февраль</v>
      </c>
      <c r="P43" t="str">
        <f>sales_data!E1088</f>
        <v>Игорь</v>
      </c>
      <c r="Q43" t="str">
        <f>sales_data!F1088</f>
        <v>Самара</v>
      </c>
      <c r="R43" t="str">
        <f>sales_data!G1088</f>
        <v>Приволжский</v>
      </c>
      <c r="S43" t="str">
        <f>sales_data!H1088</f>
        <v>Аксессуары</v>
      </c>
      <c r="T43" t="str">
        <f>sales_data!I1088</f>
        <v>Bagpack</v>
      </c>
      <c r="U43" t="str">
        <f>sales_data!J1088</f>
        <v>Розница</v>
      </c>
      <c r="V43">
        <f>sales_data!K1088</f>
        <v>9</v>
      </c>
      <c r="W43">
        <f>sales_data!L1088</f>
        <v>2600</v>
      </c>
      <c r="X43">
        <f>sales_data!M1088</f>
        <v>23400</v>
      </c>
      <c r="Y43" t="str">
        <f>sales_data!N1088</f>
        <v>Офлайн-точка</v>
      </c>
      <c r="Z43" t="str">
        <f>sales_data!O1088</f>
        <v>Доставлен</v>
      </c>
    </row>
    <row r="44" spans="12:26" x14ac:dyDescent="0.25">
      <c r="L44">
        <f>sales_data!A1091</f>
        <v>4608</v>
      </c>
      <c r="M44">
        <f>sales_data!B1091</f>
        <v>45829</v>
      </c>
      <c r="N44">
        <f>sales_data!C1091</f>
        <v>21</v>
      </c>
      <c r="O44" t="str">
        <f>sales_data!D1091</f>
        <v>Июнь</v>
      </c>
      <c r="P44" t="str">
        <f>sales_data!E1091</f>
        <v>Ксения</v>
      </c>
      <c r="Q44" t="str">
        <f>sales_data!F1091</f>
        <v>Уфа</v>
      </c>
      <c r="R44" t="str">
        <f>sales_data!G1091</f>
        <v>Приволжский</v>
      </c>
      <c r="S44" t="str">
        <f>sales_data!H1091</f>
        <v>Аксессуары</v>
      </c>
      <c r="T44" t="str">
        <f>sales_data!I1091</f>
        <v>Power Bank</v>
      </c>
      <c r="U44" t="str">
        <f>sales_data!J1091</f>
        <v>Опт</v>
      </c>
      <c r="V44">
        <f>sales_data!K1091</f>
        <v>42</v>
      </c>
      <c r="W44">
        <f>sales_data!L1091</f>
        <v>2600</v>
      </c>
      <c r="X44">
        <f>sales_data!M1091</f>
        <v>109200</v>
      </c>
      <c r="Y44" t="str">
        <f>sales_data!N1091</f>
        <v>Интернет-магазин</v>
      </c>
      <c r="Z44" t="str">
        <f>sales_data!O1091</f>
        <v>Доставлен</v>
      </c>
    </row>
    <row r="45" spans="12:26" x14ac:dyDescent="0.25">
      <c r="L45">
        <f>sales_data!A1161</f>
        <v>1745</v>
      </c>
      <c r="M45">
        <f>sales_data!B1161</f>
        <v>45692</v>
      </c>
      <c r="N45">
        <f>sales_data!C1161</f>
        <v>4</v>
      </c>
      <c r="O45" t="str">
        <f>sales_data!D1161</f>
        <v>Февраль</v>
      </c>
      <c r="P45" t="str">
        <f>sales_data!E1161</f>
        <v>Алексей</v>
      </c>
      <c r="Q45" t="str">
        <f>sales_data!F1161</f>
        <v>Санкт-Петербург</v>
      </c>
      <c r="R45" t="str">
        <f>sales_data!G1161</f>
        <v>Северо-Западный</v>
      </c>
      <c r="S45" t="str">
        <f>sales_data!H1161</f>
        <v>Аксессуары</v>
      </c>
      <c r="T45" t="str">
        <f>sales_data!I1161</f>
        <v>Power Bank</v>
      </c>
      <c r="U45" t="str">
        <f>sales_data!J1161</f>
        <v>Розница</v>
      </c>
      <c r="V45">
        <f>sales_data!K1161</f>
        <v>9</v>
      </c>
      <c r="W45">
        <f>sales_data!L1161</f>
        <v>2900</v>
      </c>
      <c r="X45">
        <f>sales_data!M1161</f>
        <v>26100</v>
      </c>
      <c r="Y45" t="str">
        <f>sales_data!N1161</f>
        <v>Интернет-магазин</v>
      </c>
      <c r="Z45" t="str">
        <f>sales_data!O1161</f>
        <v>Отменён</v>
      </c>
    </row>
    <row r="46" spans="12:26" x14ac:dyDescent="0.25">
      <c r="L46">
        <f>sales_data!A1177</f>
        <v>2902</v>
      </c>
      <c r="M46">
        <f>sales_data!B1177</f>
        <v>45864</v>
      </c>
      <c r="N46">
        <f>sales_data!C1177</f>
        <v>26</v>
      </c>
      <c r="O46" t="str">
        <f>sales_data!D1177</f>
        <v>Июль</v>
      </c>
      <c r="P46" t="str">
        <f>sales_data!E1177</f>
        <v>Павел</v>
      </c>
      <c r="Q46" t="str">
        <f>sales_data!F1177</f>
        <v>Новосибирск</v>
      </c>
      <c r="R46" t="str">
        <f>sales_data!G1177</f>
        <v>Сибирский</v>
      </c>
      <c r="S46" t="str">
        <f>sales_data!H1177</f>
        <v>Аксессуары</v>
      </c>
      <c r="T46" t="str">
        <f>sales_data!I1177</f>
        <v>Power Bank</v>
      </c>
      <c r="U46" t="str">
        <f>sales_data!J1177</f>
        <v>Розница</v>
      </c>
      <c r="V46">
        <f>sales_data!K1177</f>
        <v>1</v>
      </c>
      <c r="W46">
        <f>sales_data!L1177</f>
        <v>2900</v>
      </c>
      <c r="X46">
        <f>sales_data!M1177</f>
        <v>2900</v>
      </c>
      <c r="Y46" t="str">
        <f>sales_data!N1177</f>
        <v>Интернет-магазин</v>
      </c>
      <c r="Z46" t="str">
        <f>sales_data!O1177</f>
        <v>Доставлен</v>
      </c>
    </row>
    <row r="47" spans="12:26" x14ac:dyDescent="0.25">
      <c r="L47">
        <f>sales_data!A1249</f>
        <v>3237</v>
      </c>
      <c r="M47">
        <f>sales_data!B1249</f>
        <v>45805</v>
      </c>
      <c r="N47">
        <f>sales_data!C1249</f>
        <v>28</v>
      </c>
      <c r="O47" t="str">
        <f>sales_data!D1249</f>
        <v>Май</v>
      </c>
      <c r="P47" t="str">
        <f>sales_data!E1249</f>
        <v>Мария</v>
      </c>
      <c r="Q47" t="str">
        <f>sales_data!F1249</f>
        <v>Воронеж</v>
      </c>
      <c r="R47" t="str">
        <f>sales_data!G1249</f>
        <v>Центральный</v>
      </c>
      <c r="S47" t="str">
        <f>sales_data!H1249</f>
        <v>Периферия</v>
      </c>
      <c r="T47" t="str">
        <f>sales_data!I1249</f>
        <v>Keyboard</v>
      </c>
      <c r="U47" t="str">
        <f>sales_data!J1249</f>
        <v>Опт</v>
      </c>
      <c r="V47">
        <f>sales_data!K1249</f>
        <v>6</v>
      </c>
      <c r="W47">
        <f>sales_data!L1249</f>
        <v>3100</v>
      </c>
      <c r="X47">
        <f>sales_data!M1249</f>
        <v>18600</v>
      </c>
      <c r="Y47" t="str">
        <f>sales_data!N1249</f>
        <v>Интернет-магазин</v>
      </c>
      <c r="Z47" t="str">
        <f>sales_data!O1249</f>
        <v>Отменён</v>
      </c>
    </row>
    <row r="48" spans="12:26" x14ac:dyDescent="0.25">
      <c r="L48">
        <f>sales_data!A1275</f>
        <v>3276</v>
      </c>
      <c r="M48">
        <f>sales_data!B1275</f>
        <v>45934</v>
      </c>
      <c r="N48">
        <f>sales_data!C1275</f>
        <v>4</v>
      </c>
      <c r="O48" t="str">
        <f>sales_data!D1275</f>
        <v>Октябрь</v>
      </c>
      <c r="P48" t="str">
        <f>sales_data!E1275</f>
        <v>Мария</v>
      </c>
      <c r="Q48" t="str">
        <f>sales_data!F1275</f>
        <v>Казань</v>
      </c>
      <c r="R48" t="str">
        <f>sales_data!G1275</f>
        <v>Приволжский</v>
      </c>
      <c r="S48" t="str">
        <f>sales_data!H1275</f>
        <v>Периферия</v>
      </c>
      <c r="T48" t="str">
        <f>sales_data!I1275</f>
        <v>Keyboard</v>
      </c>
      <c r="U48" t="str">
        <f>sales_data!J1275</f>
        <v>Опт</v>
      </c>
      <c r="V48">
        <f>sales_data!K1275</f>
        <v>28</v>
      </c>
      <c r="W48">
        <f>sales_data!L1275</f>
        <v>3200</v>
      </c>
      <c r="X48">
        <f>sales_data!M1275</f>
        <v>89600</v>
      </c>
      <c r="Y48" t="str">
        <f>sales_data!N1275</f>
        <v>Офлайн-точка</v>
      </c>
      <c r="Z48" t="str">
        <f>sales_data!O1275</f>
        <v>Отменён</v>
      </c>
    </row>
    <row r="49" spans="12:26" x14ac:dyDescent="0.25">
      <c r="L49">
        <f>sales_data!A1296</f>
        <v>1787</v>
      </c>
      <c r="M49">
        <f>sales_data!B1296</f>
        <v>45800</v>
      </c>
      <c r="N49">
        <f>sales_data!C1296</f>
        <v>23</v>
      </c>
      <c r="O49" t="str">
        <f>sales_data!D1296</f>
        <v>Май</v>
      </c>
      <c r="P49" t="str">
        <f>sales_data!E1296</f>
        <v>Анна</v>
      </c>
      <c r="Q49" t="str">
        <f>sales_data!F1296</f>
        <v>Нижний Новгород</v>
      </c>
      <c r="R49" t="str">
        <f>sales_data!G1296</f>
        <v>Приволжский</v>
      </c>
      <c r="S49" t="str">
        <f>sales_data!H1296</f>
        <v>Периферия</v>
      </c>
      <c r="T49" t="str">
        <f>sales_data!I1296</f>
        <v>Webcam</v>
      </c>
      <c r="U49" t="str">
        <f>sales_data!J1296</f>
        <v>Опт</v>
      </c>
      <c r="V49">
        <f>sales_data!K1296</f>
        <v>35</v>
      </c>
      <c r="W49">
        <f>sales_data!L1296</f>
        <v>3300</v>
      </c>
      <c r="X49">
        <f>sales_data!M1296</f>
        <v>115500</v>
      </c>
      <c r="Y49" t="str">
        <f>sales_data!N1296</f>
        <v>Офлайн-точка</v>
      </c>
      <c r="Z49" t="str">
        <f>sales_data!O1296</f>
        <v>В пути</v>
      </c>
    </row>
    <row r="50" spans="12:26" x14ac:dyDescent="0.25">
      <c r="L50">
        <f>sales_data!A1329</f>
        <v>234</v>
      </c>
      <c r="M50">
        <f>sales_data!B1329</f>
        <v>45896</v>
      </c>
      <c r="N50">
        <f>sales_data!C1329</f>
        <v>27</v>
      </c>
      <c r="O50" t="str">
        <f>sales_data!D1329</f>
        <v>Август</v>
      </c>
      <c r="P50" t="str">
        <f>sales_data!E1329</f>
        <v>Татьяна</v>
      </c>
      <c r="Q50" t="str">
        <f>sales_data!F1329</f>
        <v>Самара</v>
      </c>
      <c r="R50" t="str">
        <f>sales_data!G1329</f>
        <v>Приволжский</v>
      </c>
      <c r="S50" t="str">
        <f>sales_data!H1329</f>
        <v>Периферия</v>
      </c>
      <c r="T50" t="str">
        <f>sales_data!I1329</f>
        <v>Keyboard</v>
      </c>
      <c r="U50" t="str">
        <f>sales_data!J1329</f>
        <v>Розница</v>
      </c>
      <c r="V50">
        <f>sales_data!K1329</f>
        <v>3</v>
      </c>
      <c r="W50">
        <f>sales_data!L1329</f>
        <v>3400</v>
      </c>
      <c r="X50">
        <f>sales_data!M1329</f>
        <v>10200</v>
      </c>
      <c r="Y50" t="str">
        <f>sales_data!N1329</f>
        <v>Офлайн-точка</v>
      </c>
      <c r="Z50" t="str">
        <f>sales_data!O1329</f>
        <v>Отменён</v>
      </c>
    </row>
    <row r="51" spans="12:26" x14ac:dyDescent="0.25">
      <c r="L51">
        <f>sales_data!A1336</f>
        <v>1366</v>
      </c>
      <c r="M51">
        <f>sales_data!B1336</f>
        <v>45810</v>
      </c>
      <c r="N51">
        <f>sales_data!C1336</f>
        <v>2</v>
      </c>
      <c r="O51" t="str">
        <f>sales_data!D1336</f>
        <v>Июнь</v>
      </c>
      <c r="P51" t="str">
        <f>sales_data!E1336</f>
        <v>Светлана</v>
      </c>
      <c r="Q51" t="str">
        <f>sales_data!F1336</f>
        <v>Новосибирск</v>
      </c>
      <c r="R51" t="str">
        <f>sales_data!G1336</f>
        <v>Сибирский</v>
      </c>
      <c r="S51" t="str">
        <f>sales_data!H1336</f>
        <v>Периферия</v>
      </c>
      <c r="T51" t="str">
        <f>sales_data!I1336</f>
        <v>Webcam</v>
      </c>
      <c r="U51" t="str">
        <f>sales_data!J1336</f>
        <v>Опт</v>
      </c>
      <c r="V51">
        <f>sales_data!K1336</f>
        <v>35</v>
      </c>
      <c r="W51">
        <f>sales_data!L1336</f>
        <v>3400</v>
      </c>
      <c r="X51">
        <f>sales_data!M1336</f>
        <v>119000</v>
      </c>
      <c r="Y51" t="str">
        <f>sales_data!N1336</f>
        <v>Интернет-магазин</v>
      </c>
      <c r="Z51" t="str">
        <f>sales_data!O1336</f>
        <v>Отменён</v>
      </c>
    </row>
    <row r="52" spans="12:26" x14ac:dyDescent="0.25">
      <c r="L52">
        <f>sales_data!A1345</f>
        <v>2454</v>
      </c>
      <c r="M52">
        <f>sales_data!B1345</f>
        <v>45829</v>
      </c>
      <c r="N52">
        <f>sales_data!C1345</f>
        <v>21</v>
      </c>
      <c r="O52" t="str">
        <f>sales_data!D1345</f>
        <v>Июнь</v>
      </c>
      <c r="P52" t="str">
        <f>sales_data!E1345</f>
        <v>Сергей</v>
      </c>
      <c r="Q52" t="str">
        <f>sales_data!F1345</f>
        <v>Омск</v>
      </c>
      <c r="R52" t="str">
        <f>sales_data!G1345</f>
        <v>Сибирский</v>
      </c>
      <c r="S52" t="str">
        <f>sales_data!H1345</f>
        <v>Периферия</v>
      </c>
      <c r="T52" t="str">
        <f>sales_data!I1345</f>
        <v>Keyboard</v>
      </c>
      <c r="U52" t="str">
        <f>sales_data!J1345</f>
        <v>Розница</v>
      </c>
      <c r="V52">
        <f>sales_data!K1345</f>
        <v>1</v>
      </c>
      <c r="W52">
        <f>sales_data!L1345</f>
        <v>3400</v>
      </c>
      <c r="X52">
        <f>sales_data!M1345</f>
        <v>3400</v>
      </c>
      <c r="Y52" t="str">
        <f>sales_data!N1345</f>
        <v>Офлайн-точка</v>
      </c>
      <c r="Z52" t="str">
        <f>sales_data!O1345</f>
        <v>Доставлен</v>
      </c>
    </row>
    <row r="53" spans="12:26" x14ac:dyDescent="0.25">
      <c r="L53">
        <f>sales_data!A1504</f>
        <v>3244</v>
      </c>
      <c r="M53">
        <f>sales_data!B1504</f>
        <v>45952</v>
      </c>
      <c r="N53">
        <f>sales_data!C1504</f>
        <v>22</v>
      </c>
      <c r="O53" t="str">
        <f>sales_data!D1504</f>
        <v>Октябрь</v>
      </c>
      <c r="P53" t="str">
        <f>sales_data!E1504</f>
        <v>Сергей</v>
      </c>
      <c r="Q53" t="str">
        <f>sales_data!F1504</f>
        <v>Самара</v>
      </c>
      <c r="R53" t="str">
        <f>sales_data!G1504</f>
        <v>Приволжский</v>
      </c>
      <c r="S53" t="str">
        <f>sales_data!H1504</f>
        <v>Периферия</v>
      </c>
      <c r="T53" t="str">
        <f>sales_data!I1504</f>
        <v>Webcam</v>
      </c>
      <c r="U53" t="str">
        <f>sales_data!J1504</f>
        <v>Розница</v>
      </c>
      <c r="V53">
        <f>sales_data!K1504</f>
        <v>6</v>
      </c>
      <c r="W53">
        <f>sales_data!L1504</f>
        <v>4200</v>
      </c>
      <c r="X53">
        <f>sales_data!M1504</f>
        <v>25200</v>
      </c>
      <c r="Y53" t="str">
        <f>sales_data!N1504</f>
        <v>Офлайн-точка</v>
      </c>
      <c r="Z53" t="str">
        <f>sales_data!O1504</f>
        <v>Отменён</v>
      </c>
    </row>
    <row r="54" spans="12:26" x14ac:dyDescent="0.25">
      <c r="L54">
        <f>sales_data!A1507</f>
        <v>4424</v>
      </c>
      <c r="M54">
        <f>sales_data!B1507</f>
        <v>45978</v>
      </c>
      <c r="N54">
        <f>sales_data!C1507</f>
        <v>17</v>
      </c>
      <c r="O54" t="str">
        <f>sales_data!D1507</f>
        <v>Ноябрь</v>
      </c>
      <c r="P54" t="str">
        <f>sales_data!E1507</f>
        <v>Ксения</v>
      </c>
      <c r="Q54" t="str">
        <f>sales_data!F1507</f>
        <v>Москва</v>
      </c>
      <c r="R54" t="str">
        <f>sales_data!G1507</f>
        <v>Центральный</v>
      </c>
      <c r="S54" t="str">
        <f>sales_data!H1507</f>
        <v>Периферия</v>
      </c>
      <c r="T54" t="str">
        <f>sales_data!I1507</f>
        <v>Webcam</v>
      </c>
      <c r="U54" t="str">
        <f>sales_data!J1507</f>
        <v>Розница</v>
      </c>
      <c r="V54">
        <f>sales_data!K1507</f>
        <v>8</v>
      </c>
      <c r="W54">
        <f>sales_data!L1507</f>
        <v>4200</v>
      </c>
      <c r="X54">
        <f>sales_data!M1507</f>
        <v>33600</v>
      </c>
      <c r="Y54" t="str">
        <f>sales_data!N1507</f>
        <v>Интернет-магазин</v>
      </c>
      <c r="Z54" t="str">
        <f>sales_data!O1507</f>
        <v>Отменён</v>
      </c>
    </row>
    <row r="55" spans="12:26" x14ac:dyDescent="0.25">
      <c r="L55">
        <f>sales_data!A1520</f>
        <v>1879</v>
      </c>
      <c r="M55">
        <f>sales_data!B1520</f>
        <v>45987</v>
      </c>
      <c r="N55">
        <f>sales_data!C1520</f>
        <v>26</v>
      </c>
      <c r="O55" t="str">
        <f>sales_data!D1520</f>
        <v>Ноябрь</v>
      </c>
      <c r="P55" t="str">
        <f>sales_data!E1520</f>
        <v>Елена</v>
      </c>
      <c r="Q55" t="str">
        <f>sales_data!F1520</f>
        <v>Новосибирск</v>
      </c>
      <c r="R55" t="str">
        <f>sales_data!G1520</f>
        <v>Сибирский</v>
      </c>
      <c r="S55" t="str">
        <f>sales_data!H1520</f>
        <v>Принтеры</v>
      </c>
      <c r="T55" t="str">
        <f>sales_data!I1520</f>
        <v>Printer Ink</v>
      </c>
      <c r="U55" t="str">
        <f>sales_data!J1520</f>
        <v>Опт</v>
      </c>
      <c r="V55">
        <f>sales_data!K1520</f>
        <v>11</v>
      </c>
      <c r="W55">
        <f>sales_data!L1520</f>
        <v>5400</v>
      </c>
      <c r="X55">
        <f>sales_data!M1520</f>
        <v>59400</v>
      </c>
      <c r="Y55" t="str">
        <f>sales_data!N1520</f>
        <v>Офлайн-точка</v>
      </c>
      <c r="Z55" t="str">
        <f>sales_data!O1520</f>
        <v>В пути</v>
      </c>
    </row>
    <row r="56" spans="12:26" x14ac:dyDescent="0.25">
      <c r="L56">
        <f>sales_data!A1527</f>
        <v>3006</v>
      </c>
      <c r="M56">
        <f>sales_data!B1527</f>
        <v>45752</v>
      </c>
      <c r="N56">
        <f>sales_data!C1527</f>
        <v>5</v>
      </c>
      <c r="O56" t="str">
        <f>sales_data!D1527</f>
        <v>Апрель</v>
      </c>
      <c r="P56" t="str">
        <f>sales_data!E1527</f>
        <v>Ольга</v>
      </c>
      <c r="Q56" t="str">
        <f>sales_data!F1527</f>
        <v>Пермь</v>
      </c>
      <c r="R56" t="str">
        <f>sales_data!G1527</f>
        <v>Приволжский</v>
      </c>
      <c r="S56" t="str">
        <f>sales_data!H1527</f>
        <v>Принтеры</v>
      </c>
      <c r="T56" t="str">
        <f>sales_data!I1527</f>
        <v>Printer Ink</v>
      </c>
      <c r="U56" t="str">
        <f>sales_data!J1527</f>
        <v>Опт</v>
      </c>
      <c r="V56">
        <f>sales_data!K1527</f>
        <v>22</v>
      </c>
      <c r="W56">
        <f>sales_data!L1527</f>
        <v>5600</v>
      </c>
      <c r="X56">
        <f>sales_data!M1527</f>
        <v>123200</v>
      </c>
      <c r="Y56" t="str">
        <f>sales_data!N1527</f>
        <v>Офлайн-точка</v>
      </c>
      <c r="Z56" t="str">
        <f>sales_data!O1527</f>
        <v>Отменён</v>
      </c>
    </row>
    <row r="57" spans="12:26" x14ac:dyDescent="0.25">
      <c r="L57">
        <f>sales_data!A1532</f>
        <v>3411</v>
      </c>
      <c r="M57">
        <f>sales_data!B1532</f>
        <v>45889</v>
      </c>
      <c r="N57">
        <f>sales_data!C1532</f>
        <v>20</v>
      </c>
      <c r="O57" t="str">
        <f>sales_data!D1532</f>
        <v>Август</v>
      </c>
      <c r="P57" t="str">
        <f>sales_data!E1532</f>
        <v>Игорь</v>
      </c>
      <c r="Q57" t="str">
        <f>sales_data!F1532</f>
        <v>Ростов-на-Дону</v>
      </c>
      <c r="R57" t="str">
        <f>sales_data!G1532</f>
        <v>Южный</v>
      </c>
      <c r="S57" t="str">
        <f>sales_data!H1532</f>
        <v>Принтеры</v>
      </c>
      <c r="T57" t="str">
        <f>sales_data!I1532</f>
        <v>Printer Ink</v>
      </c>
      <c r="U57" t="str">
        <f>sales_data!J1532</f>
        <v>Опт</v>
      </c>
      <c r="V57">
        <f>sales_data!K1532</f>
        <v>28</v>
      </c>
      <c r="W57">
        <f>sales_data!L1532</f>
        <v>5700</v>
      </c>
      <c r="X57">
        <f>sales_data!M1532</f>
        <v>159600</v>
      </c>
      <c r="Y57" t="str">
        <f>sales_data!N1532</f>
        <v>Офлайн-точка</v>
      </c>
      <c r="Z57" t="str">
        <f>sales_data!O1532</f>
        <v>Доставлен</v>
      </c>
    </row>
    <row r="58" spans="12:26" x14ac:dyDescent="0.25">
      <c r="L58">
        <f>sales_data!A1536</f>
        <v>4516</v>
      </c>
      <c r="M58">
        <f>sales_data!B1536</f>
        <v>45983</v>
      </c>
      <c r="N58">
        <f>sales_data!C1536</f>
        <v>22</v>
      </c>
      <c r="O58" t="str">
        <f>sales_data!D1536</f>
        <v>Ноябрь</v>
      </c>
      <c r="P58" t="str">
        <f>sales_data!E1536</f>
        <v>Павел</v>
      </c>
      <c r="Q58" t="str">
        <f>sales_data!F1536</f>
        <v>Воронеж</v>
      </c>
      <c r="R58" t="str">
        <f>sales_data!G1536</f>
        <v>Центральный</v>
      </c>
      <c r="S58" t="str">
        <f>sales_data!H1536</f>
        <v>Принтеры</v>
      </c>
      <c r="T58" t="str">
        <f>sales_data!I1536</f>
        <v>Printer Ink</v>
      </c>
      <c r="U58" t="str">
        <f>sales_data!J1536</f>
        <v>Опт</v>
      </c>
      <c r="V58">
        <f>sales_data!K1536</f>
        <v>7</v>
      </c>
      <c r="W58">
        <f>sales_data!L1536</f>
        <v>5700</v>
      </c>
      <c r="X58">
        <f>sales_data!M1536</f>
        <v>39900</v>
      </c>
      <c r="Y58" t="str">
        <f>sales_data!N1536</f>
        <v>Интернет-магазин</v>
      </c>
      <c r="Z58" t="str">
        <f>sales_data!O1536</f>
        <v>Доставлен</v>
      </c>
    </row>
    <row r="59" spans="12:26" x14ac:dyDescent="0.25">
      <c r="L59">
        <f>sales_data!A1617</f>
        <v>2843</v>
      </c>
      <c r="M59">
        <f>sales_data!B1617</f>
        <v>45850</v>
      </c>
      <c r="N59">
        <f>sales_data!C1617</f>
        <v>12</v>
      </c>
      <c r="O59" t="str">
        <f>sales_data!D1617</f>
        <v>Июль</v>
      </c>
      <c r="P59" t="str">
        <f>sales_data!E1617</f>
        <v>Дмитрий</v>
      </c>
      <c r="Q59" t="str">
        <f>sales_data!F1617</f>
        <v>Омск</v>
      </c>
      <c r="R59" t="str">
        <f>sales_data!G1617</f>
        <v>Сибирский</v>
      </c>
      <c r="S59" t="str">
        <f>sales_data!H1617</f>
        <v>Принтеры</v>
      </c>
      <c r="T59" t="str">
        <f>sales_data!I1617</f>
        <v>Printer Ink</v>
      </c>
      <c r="U59" t="str">
        <f>sales_data!J1617</f>
        <v>Опт</v>
      </c>
      <c r="V59">
        <f>sales_data!K1617</f>
        <v>27</v>
      </c>
      <c r="W59">
        <f>sales_data!L1617</f>
        <v>6400</v>
      </c>
      <c r="X59">
        <f>sales_data!M1617</f>
        <v>172800</v>
      </c>
      <c r="Y59" t="str">
        <f>sales_data!N1617</f>
        <v>Интернет-магазин</v>
      </c>
      <c r="Z59" t="str">
        <f>sales_data!O1617</f>
        <v>Доставлен</v>
      </c>
    </row>
    <row r="60" spans="12:26" x14ac:dyDescent="0.25">
      <c r="L60">
        <f>sales_data!A1621</f>
        <v>4164</v>
      </c>
      <c r="M60">
        <f>sales_data!B1621</f>
        <v>46006</v>
      </c>
      <c r="N60">
        <f>sales_data!C1621</f>
        <v>15</v>
      </c>
      <c r="O60" t="str">
        <f>sales_data!D1621</f>
        <v>Декабрь</v>
      </c>
      <c r="P60" t="str">
        <f>sales_data!E1621</f>
        <v>Дмитрий</v>
      </c>
      <c r="Q60" t="str">
        <f>sales_data!F1621</f>
        <v>Красноярск</v>
      </c>
      <c r="R60" t="str">
        <f>sales_data!G1621</f>
        <v>Сибирский</v>
      </c>
      <c r="S60" t="str">
        <f>sales_data!H1621</f>
        <v>Принтеры</v>
      </c>
      <c r="T60" t="str">
        <f>sales_data!I1621</f>
        <v>Printer Ink</v>
      </c>
      <c r="U60" t="str">
        <f>sales_data!J1621</f>
        <v>Розница</v>
      </c>
      <c r="V60">
        <f>sales_data!K1621</f>
        <v>5</v>
      </c>
      <c r="W60">
        <f>sales_data!L1621</f>
        <v>6400</v>
      </c>
      <c r="X60">
        <f>sales_data!M1621</f>
        <v>32000</v>
      </c>
      <c r="Y60" t="str">
        <f>sales_data!N1621</f>
        <v>Офлайн-точка</v>
      </c>
      <c r="Z60" t="str">
        <f>sales_data!O1621</f>
        <v>В пути</v>
      </c>
    </row>
    <row r="61" spans="12:26" x14ac:dyDescent="0.25">
      <c r="L61">
        <f>sales_data!A1625</f>
        <v>3072</v>
      </c>
      <c r="M61">
        <f>sales_data!B1625</f>
        <v>45847</v>
      </c>
      <c r="N61">
        <f>sales_data!C1625</f>
        <v>9</v>
      </c>
      <c r="O61" t="str">
        <f>sales_data!D1625</f>
        <v>Июль</v>
      </c>
      <c r="P61" t="str">
        <f>sales_data!E1625</f>
        <v>Алексей</v>
      </c>
      <c r="Q61" t="str">
        <f>sales_data!F1625</f>
        <v>Новосибирск</v>
      </c>
      <c r="R61" t="str">
        <f>sales_data!G1625</f>
        <v>Сибирский</v>
      </c>
      <c r="S61" t="str">
        <f>sales_data!H1625</f>
        <v>Принтеры</v>
      </c>
      <c r="T61" t="str">
        <f>sales_data!I1625</f>
        <v>Printer Ink</v>
      </c>
      <c r="U61" t="str">
        <f>sales_data!J1625</f>
        <v>Опт</v>
      </c>
      <c r="V61">
        <f>sales_data!K1625</f>
        <v>40</v>
      </c>
      <c r="W61">
        <f>sales_data!L1625</f>
        <v>6500</v>
      </c>
      <c r="X61">
        <f>sales_data!M1625</f>
        <v>260000</v>
      </c>
      <c r="Y61" t="str">
        <f>sales_data!N1625</f>
        <v>Интернет-магазин</v>
      </c>
      <c r="Z61" t="str">
        <f>sales_data!O1625</f>
        <v>В пути</v>
      </c>
    </row>
    <row r="62" spans="12:26" x14ac:dyDescent="0.25">
      <c r="L62">
        <f>sales_data!A1633</f>
        <v>2668</v>
      </c>
      <c r="M62">
        <f>sales_data!B1633</f>
        <v>45819</v>
      </c>
      <c r="N62">
        <f>sales_data!C1633</f>
        <v>11</v>
      </c>
      <c r="O62" t="str">
        <f>sales_data!D1633</f>
        <v>Июнь</v>
      </c>
      <c r="P62" t="str">
        <f>sales_data!E1633</f>
        <v>Алексей</v>
      </c>
      <c r="Q62" t="str">
        <f>sales_data!F1633</f>
        <v>Новосибирск</v>
      </c>
      <c r="R62" t="str">
        <f>sales_data!G1633</f>
        <v>Сибирский</v>
      </c>
      <c r="S62" t="str">
        <f>sales_data!H1633</f>
        <v>Принтеры</v>
      </c>
      <c r="T62" t="str">
        <f>sales_data!I1633</f>
        <v>Printer Ink</v>
      </c>
      <c r="U62" t="str">
        <f>sales_data!J1633</f>
        <v>Розница</v>
      </c>
      <c r="V62">
        <f>sales_data!K1633</f>
        <v>10</v>
      </c>
      <c r="W62">
        <f>sales_data!L1633</f>
        <v>6600</v>
      </c>
      <c r="X62">
        <f>sales_data!M1633</f>
        <v>66000</v>
      </c>
      <c r="Y62" t="str">
        <f>sales_data!N1633</f>
        <v>Офлайн-точка</v>
      </c>
      <c r="Z62" t="str">
        <f>sales_data!O1633</f>
        <v>В пути</v>
      </c>
    </row>
    <row r="63" spans="12:26" x14ac:dyDescent="0.25">
      <c r="L63">
        <f>sales_data!A1768</f>
        <v>105</v>
      </c>
      <c r="M63">
        <f>sales_data!B1768</f>
        <v>45949</v>
      </c>
      <c r="N63">
        <f>sales_data!C1768</f>
        <v>19</v>
      </c>
      <c r="O63" t="str">
        <f>sales_data!D1768</f>
        <v>Октябрь</v>
      </c>
      <c r="P63" t="str">
        <f>sales_data!E1768</f>
        <v>Ксения</v>
      </c>
      <c r="Q63" t="str">
        <f>sales_data!F1768</f>
        <v>Екатеринбург</v>
      </c>
      <c r="R63" t="str">
        <f>sales_data!G1768</f>
        <v>Уральский</v>
      </c>
      <c r="S63" t="str">
        <f>sales_data!H1768</f>
        <v>Принтеры</v>
      </c>
      <c r="T63" t="str">
        <f>sales_data!I1768</f>
        <v>Printer Laser</v>
      </c>
      <c r="U63" t="str">
        <f>sales_data!J1768</f>
        <v>Опт</v>
      </c>
      <c r="V63">
        <f>sales_data!K1768</f>
        <v>49</v>
      </c>
      <c r="W63">
        <f>sales_data!L1768</f>
        <v>7600</v>
      </c>
      <c r="X63">
        <f>sales_data!M1768</f>
        <v>372400</v>
      </c>
      <c r="Y63" t="str">
        <f>sales_data!N1768</f>
        <v>Офлайн-точка</v>
      </c>
      <c r="Z63" t="str">
        <f>sales_data!O1768</f>
        <v>Отменён</v>
      </c>
    </row>
    <row r="64" spans="12:26" x14ac:dyDescent="0.25">
      <c r="L64">
        <f>sales_data!A1808</f>
        <v>2879</v>
      </c>
      <c r="M64">
        <f>sales_data!B1808</f>
        <v>45762</v>
      </c>
      <c r="N64">
        <f>sales_data!C1808</f>
        <v>15</v>
      </c>
      <c r="O64" t="str">
        <f>sales_data!D1808</f>
        <v>Апрель</v>
      </c>
      <c r="P64" t="str">
        <f>sales_data!E1808</f>
        <v>Мария</v>
      </c>
      <c r="Q64" t="str">
        <f>sales_data!F1808</f>
        <v>Пермь</v>
      </c>
      <c r="R64" t="str">
        <f>sales_data!G1808</f>
        <v>Приволжский</v>
      </c>
      <c r="S64" t="str">
        <f>sales_data!H1808</f>
        <v>Принтеры</v>
      </c>
      <c r="T64" t="str">
        <f>sales_data!I1808</f>
        <v>Printer Laser</v>
      </c>
      <c r="U64" t="str">
        <f>sales_data!J1808</f>
        <v>Опт</v>
      </c>
      <c r="V64">
        <f>sales_data!K1808</f>
        <v>9</v>
      </c>
      <c r="W64">
        <f>sales_data!L1808</f>
        <v>7800</v>
      </c>
      <c r="X64">
        <f>sales_data!M1808</f>
        <v>70200</v>
      </c>
      <c r="Y64" t="str">
        <f>sales_data!N1808</f>
        <v>Офлайн-точка</v>
      </c>
      <c r="Z64" t="str">
        <f>sales_data!O1808</f>
        <v>В пути</v>
      </c>
    </row>
    <row r="65" spans="12:26" x14ac:dyDescent="0.25">
      <c r="L65">
        <f>sales_data!A1863</f>
        <v>4639</v>
      </c>
      <c r="M65">
        <f>sales_data!B1863</f>
        <v>45886</v>
      </c>
      <c r="N65">
        <f>sales_data!C1863</f>
        <v>17</v>
      </c>
      <c r="O65" t="str">
        <f>sales_data!D1863</f>
        <v>Август</v>
      </c>
      <c r="P65" t="str">
        <f>sales_data!E1863</f>
        <v>Наталья</v>
      </c>
      <c r="Q65" t="str">
        <f>sales_data!F1863</f>
        <v>Пермь</v>
      </c>
      <c r="R65" t="str">
        <f>sales_data!G1863</f>
        <v>Приволжский</v>
      </c>
      <c r="S65" t="str">
        <f>sales_data!H1863</f>
        <v>Принтеры</v>
      </c>
      <c r="T65" t="str">
        <f>sales_data!I1863</f>
        <v>Printer Photo</v>
      </c>
      <c r="U65" t="str">
        <f>sales_data!J1863</f>
        <v>Опт</v>
      </c>
      <c r="V65">
        <f>sales_data!K1863</f>
        <v>22</v>
      </c>
      <c r="W65">
        <f>sales_data!L1863</f>
        <v>8400</v>
      </c>
      <c r="X65">
        <f>sales_data!M1863</f>
        <v>184800</v>
      </c>
      <c r="Y65" t="str">
        <f>sales_data!N1863</f>
        <v>Офлайн-точка</v>
      </c>
      <c r="Z65" t="str">
        <f>sales_data!O1863</f>
        <v>Отменён</v>
      </c>
    </row>
    <row r="66" spans="12:26" x14ac:dyDescent="0.25">
      <c r="L66">
        <f>sales_data!A1882</f>
        <v>2396</v>
      </c>
      <c r="M66">
        <f>sales_data!B1882</f>
        <v>45674</v>
      </c>
      <c r="N66">
        <f>sales_data!C1882</f>
        <v>17</v>
      </c>
      <c r="O66" t="str">
        <f>sales_data!D1882</f>
        <v>Январь</v>
      </c>
      <c r="P66" t="str">
        <f>sales_data!E1882</f>
        <v>Анна</v>
      </c>
      <c r="Q66" t="str">
        <f>sales_data!F1882</f>
        <v>Екатеринбург</v>
      </c>
      <c r="R66" t="str">
        <f>sales_data!G1882</f>
        <v>Уральский</v>
      </c>
      <c r="S66" t="str">
        <f>sales_data!H1882</f>
        <v>Принтеры</v>
      </c>
      <c r="T66" t="str">
        <f>sales_data!I1882</f>
        <v>Printer Photo</v>
      </c>
      <c r="U66" t="str">
        <f>sales_data!J1882</f>
        <v>Опт</v>
      </c>
      <c r="V66">
        <f>sales_data!K1882</f>
        <v>11</v>
      </c>
      <c r="W66">
        <f>sales_data!L1882</f>
        <v>8700</v>
      </c>
      <c r="X66">
        <f>sales_data!M1882</f>
        <v>95700</v>
      </c>
      <c r="Y66" t="str">
        <f>sales_data!N1882</f>
        <v>Офлайн-точка</v>
      </c>
      <c r="Z66" t="str">
        <f>sales_data!O1882</f>
        <v>В пути</v>
      </c>
    </row>
    <row r="67" spans="12:26" x14ac:dyDescent="0.25">
      <c r="L67">
        <f>sales_data!A1911</f>
        <v>2570</v>
      </c>
      <c r="M67">
        <f>sales_data!B1911</f>
        <v>45963</v>
      </c>
      <c r="N67">
        <f>sales_data!C1911</f>
        <v>2</v>
      </c>
      <c r="O67" t="str">
        <f>sales_data!D1911</f>
        <v>Ноябрь</v>
      </c>
      <c r="P67" t="str">
        <f>sales_data!E1911</f>
        <v>Светлана</v>
      </c>
      <c r="Q67" t="str">
        <f>sales_data!F1911</f>
        <v>Москва</v>
      </c>
      <c r="R67" t="str">
        <f>sales_data!G1911</f>
        <v>Центральный</v>
      </c>
      <c r="S67" t="str">
        <f>sales_data!H1911</f>
        <v>Принтеры</v>
      </c>
      <c r="T67" t="str">
        <f>sales_data!I1911</f>
        <v>Printer Laser</v>
      </c>
      <c r="U67" t="str">
        <f>sales_data!J1911</f>
        <v>Розница</v>
      </c>
      <c r="V67">
        <f>sales_data!K1911</f>
        <v>6</v>
      </c>
      <c r="W67">
        <f>sales_data!L1911</f>
        <v>8900</v>
      </c>
      <c r="X67">
        <f>sales_data!M1911</f>
        <v>53400</v>
      </c>
      <c r="Y67" t="str">
        <f>sales_data!N1911</f>
        <v>Интернет-магазин</v>
      </c>
      <c r="Z67" t="str">
        <f>sales_data!O1911</f>
        <v>Доставлен</v>
      </c>
    </row>
    <row r="68" spans="12:26" x14ac:dyDescent="0.25">
      <c r="L68">
        <f>sales_data!A1936</f>
        <v>1531</v>
      </c>
      <c r="M68">
        <f>sales_data!B1936</f>
        <v>45713</v>
      </c>
      <c r="N68">
        <f>sales_data!C1936</f>
        <v>25</v>
      </c>
      <c r="O68" t="str">
        <f>sales_data!D1936</f>
        <v>Февраль</v>
      </c>
      <c r="P68" t="str">
        <f>sales_data!E1936</f>
        <v>Борис</v>
      </c>
      <c r="Q68" t="str">
        <f>sales_data!F1936</f>
        <v>Самара</v>
      </c>
      <c r="R68" t="str">
        <f>sales_data!G1936</f>
        <v>Приволжский</v>
      </c>
      <c r="S68" t="str">
        <f>sales_data!H1936</f>
        <v>Принтеры</v>
      </c>
      <c r="T68" t="str">
        <f>sales_data!I1936</f>
        <v>Printer Laser</v>
      </c>
      <c r="U68" t="str">
        <f>sales_data!J1936</f>
        <v>Розница</v>
      </c>
      <c r="V68">
        <f>sales_data!K1936</f>
        <v>4</v>
      </c>
      <c r="W68">
        <f>sales_data!L1936</f>
        <v>9100</v>
      </c>
      <c r="X68">
        <f>sales_data!M1936</f>
        <v>36400</v>
      </c>
      <c r="Y68" t="str">
        <f>sales_data!N1936</f>
        <v>Интернет-магазин</v>
      </c>
      <c r="Z68" t="str">
        <f>sales_data!O1936</f>
        <v>В пути</v>
      </c>
    </row>
    <row r="69" spans="12:26" x14ac:dyDescent="0.25">
      <c r="L69">
        <f>sales_data!A1965</f>
        <v>3623</v>
      </c>
      <c r="M69">
        <f>sales_data!B1965</f>
        <v>45788</v>
      </c>
      <c r="N69">
        <f>sales_data!C1965</f>
        <v>11</v>
      </c>
      <c r="O69" t="str">
        <f>sales_data!D1965</f>
        <v>Май</v>
      </c>
      <c r="P69" t="str">
        <f>sales_data!E1965</f>
        <v>Светлана</v>
      </c>
      <c r="Q69" t="str">
        <f>sales_data!F1965</f>
        <v>Челябинск</v>
      </c>
      <c r="R69" t="str">
        <f>sales_data!G1965</f>
        <v>Уральский</v>
      </c>
      <c r="S69" t="str">
        <f>sales_data!H1965</f>
        <v>Периферия</v>
      </c>
      <c r="T69" t="str">
        <f>sales_data!I1965</f>
        <v>Dock Station</v>
      </c>
      <c r="U69" t="str">
        <f>sales_data!J1965</f>
        <v>Опт</v>
      </c>
      <c r="V69">
        <f>sales_data!K1965</f>
        <v>29</v>
      </c>
      <c r="W69">
        <f>sales_data!L1965</f>
        <v>9200</v>
      </c>
      <c r="X69">
        <f>sales_data!M1965</f>
        <v>266800</v>
      </c>
      <c r="Y69" t="str">
        <f>sales_data!N1965</f>
        <v>Офлайн-точка</v>
      </c>
      <c r="Z69" t="str">
        <f>sales_data!O1965</f>
        <v>Доставлен</v>
      </c>
    </row>
    <row r="70" spans="12:26" x14ac:dyDescent="0.25">
      <c r="L70">
        <f>sales_data!A1967</f>
        <v>4404</v>
      </c>
      <c r="M70">
        <f>sales_data!B1967</f>
        <v>45773</v>
      </c>
      <c r="N70">
        <f>sales_data!C1967</f>
        <v>26</v>
      </c>
      <c r="O70" t="str">
        <f>sales_data!D1967</f>
        <v>Апрель</v>
      </c>
      <c r="P70" t="str">
        <f>sales_data!E1967</f>
        <v>Светлана</v>
      </c>
      <c r="Q70" t="str">
        <f>sales_data!F1967</f>
        <v>Москва</v>
      </c>
      <c r="R70" t="str">
        <f>sales_data!G1967</f>
        <v>Центральный</v>
      </c>
      <c r="S70" t="str">
        <f>sales_data!H1967</f>
        <v>Принтеры</v>
      </c>
      <c r="T70" t="str">
        <f>sales_data!I1967</f>
        <v>Printer Laser</v>
      </c>
      <c r="U70" t="str">
        <f>sales_data!J1967</f>
        <v>Розница</v>
      </c>
      <c r="V70">
        <f>sales_data!K1967</f>
        <v>5</v>
      </c>
      <c r="W70">
        <f>sales_data!L1967</f>
        <v>9200</v>
      </c>
      <c r="X70">
        <f>sales_data!M1967</f>
        <v>46000</v>
      </c>
      <c r="Y70" t="str">
        <f>sales_data!N1967</f>
        <v>Офлайн-точка</v>
      </c>
      <c r="Z70" t="str">
        <f>sales_data!O1967</f>
        <v>Отменён</v>
      </c>
    </row>
    <row r="71" spans="12:26" x14ac:dyDescent="0.25">
      <c r="L71">
        <f>sales_data!A1971</f>
        <v>242</v>
      </c>
      <c r="M71">
        <f>sales_data!B1971</f>
        <v>45688</v>
      </c>
      <c r="N71">
        <f>sales_data!C1971</f>
        <v>31</v>
      </c>
      <c r="O71" t="str">
        <f>sales_data!D1971</f>
        <v>Январь</v>
      </c>
      <c r="P71" t="str">
        <f>sales_data!E1971</f>
        <v>Светлана</v>
      </c>
      <c r="Q71" t="str">
        <f>sales_data!F1971</f>
        <v>Челябинск</v>
      </c>
      <c r="R71" t="str">
        <f>sales_data!G1971</f>
        <v>Уральский</v>
      </c>
      <c r="S71" t="str">
        <f>sales_data!H1971</f>
        <v>Принтеры</v>
      </c>
      <c r="T71" t="str">
        <f>sales_data!I1971</f>
        <v>Printer Photo</v>
      </c>
      <c r="U71" t="str">
        <f>sales_data!J1971</f>
        <v>Опт</v>
      </c>
      <c r="V71">
        <f>sales_data!K1971</f>
        <v>18</v>
      </c>
      <c r="W71">
        <f>sales_data!L1971</f>
        <v>9300</v>
      </c>
      <c r="X71">
        <f>sales_data!M1971</f>
        <v>167400</v>
      </c>
      <c r="Y71" t="str">
        <f>sales_data!N1971</f>
        <v>Офлайн-точка</v>
      </c>
      <c r="Z71" t="str">
        <f>sales_data!O1971</f>
        <v>Отменён</v>
      </c>
    </row>
    <row r="72" spans="12:26" x14ac:dyDescent="0.25">
      <c r="L72">
        <f>sales_data!A2003</f>
        <v>868</v>
      </c>
      <c r="M72">
        <f>sales_data!B2003</f>
        <v>45988</v>
      </c>
      <c r="N72">
        <f>sales_data!C2003</f>
        <v>27</v>
      </c>
      <c r="O72" t="str">
        <f>sales_data!D2003</f>
        <v>Ноябрь</v>
      </c>
      <c r="P72" t="str">
        <f>sales_data!E2003</f>
        <v>Наталья</v>
      </c>
      <c r="Q72" t="str">
        <f>sales_data!F2003</f>
        <v>Краснодар</v>
      </c>
      <c r="R72" t="str">
        <f>sales_data!G2003</f>
        <v>Южный</v>
      </c>
      <c r="S72" t="str">
        <f>sales_data!H2003</f>
        <v>Принтеры</v>
      </c>
      <c r="T72" t="str">
        <f>sales_data!I2003</f>
        <v>Printer Photo</v>
      </c>
      <c r="U72" t="str">
        <f>sales_data!J2003</f>
        <v>Опт</v>
      </c>
      <c r="V72">
        <f>sales_data!K2003</f>
        <v>24</v>
      </c>
      <c r="W72">
        <f>sales_data!L2003</f>
        <v>9500</v>
      </c>
      <c r="X72">
        <f>sales_data!M2003</f>
        <v>228000</v>
      </c>
      <c r="Y72" t="str">
        <f>sales_data!N2003</f>
        <v>Интернет-магазин</v>
      </c>
      <c r="Z72" t="str">
        <f>sales_data!O2003</f>
        <v>В пути</v>
      </c>
    </row>
    <row r="73" spans="12:26" x14ac:dyDescent="0.25">
      <c r="L73">
        <f>sales_data!A2036</f>
        <v>2748</v>
      </c>
      <c r="M73">
        <f>sales_data!B2036</f>
        <v>45939</v>
      </c>
      <c r="N73">
        <f>sales_data!C2036</f>
        <v>9</v>
      </c>
      <c r="O73" t="str">
        <f>sales_data!D2036</f>
        <v>Октябрь</v>
      </c>
      <c r="P73" t="str">
        <f>sales_data!E2036</f>
        <v>Анна</v>
      </c>
      <c r="Q73" t="str">
        <f>sales_data!F2036</f>
        <v>Москва</v>
      </c>
      <c r="R73" t="str">
        <f>sales_data!G2036</f>
        <v>Центральный</v>
      </c>
      <c r="S73" t="str">
        <f>sales_data!H2036</f>
        <v>Мониторы</v>
      </c>
      <c r="T73" t="str">
        <f>sales_data!I2036</f>
        <v>Monitor 21</v>
      </c>
      <c r="U73" t="str">
        <f>sales_data!J2036</f>
        <v>Опт</v>
      </c>
      <c r="V73">
        <f>sales_data!K2036</f>
        <v>31</v>
      </c>
      <c r="W73">
        <f>sales_data!L2036</f>
        <v>9600</v>
      </c>
      <c r="X73">
        <f>sales_data!M2036</f>
        <v>297600</v>
      </c>
      <c r="Y73" t="str">
        <f>sales_data!N2036</f>
        <v>Интернет-магазин</v>
      </c>
      <c r="Z73" t="str">
        <f>sales_data!O2036</f>
        <v>Отменён</v>
      </c>
    </row>
    <row r="74" spans="12:26" x14ac:dyDescent="0.25">
      <c r="L74">
        <f>sales_data!A2055</f>
        <v>988</v>
      </c>
      <c r="M74">
        <f>sales_data!B2055</f>
        <v>45736</v>
      </c>
      <c r="N74">
        <f>sales_data!C2055</f>
        <v>20</v>
      </c>
      <c r="O74" t="str">
        <f>sales_data!D2055</f>
        <v>Март</v>
      </c>
      <c r="P74" t="str">
        <f>sales_data!E2055</f>
        <v>Анна</v>
      </c>
      <c r="Q74" t="str">
        <f>sales_data!F2055</f>
        <v>Санкт-Петербург</v>
      </c>
      <c r="R74" t="str">
        <f>sales_data!G2055</f>
        <v>Северо-Западный</v>
      </c>
      <c r="S74" t="str">
        <f>sales_data!H2055</f>
        <v>Принтеры</v>
      </c>
      <c r="T74" t="str">
        <f>sales_data!I2055</f>
        <v>Printer Photo</v>
      </c>
      <c r="U74" t="str">
        <f>sales_data!J2055</f>
        <v>Опт</v>
      </c>
      <c r="V74">
        <f>sales_data!K2055</f>
        <v>45</v>
      </c>
      <c r="W74">
        <f>sales_data!L2055</f>
        <v>9800</v>
      </c>
      <c r="X74">
        <f>sales_data!M2055</f>
        <v>441000</v>
      </c>
      <c r="Y74" t="str">
        <f>sales_data!N2055</f>
        <v>Офлайн-точка</v>
      </c>
      <c r="Z74" t="str">
        <f>sales_data!O2055</f>
        <v>Отменён</v>
      </c>
    </row>
    <row r="75" spans="12:26" x14ac:dyDescent="0.25">
      <c r="L75">
        <f>sales_data!A2090</f>
        <v>52</v>
      </c>
      <c r="M75">
        <f>sales_data!B2090</f>
        <v>45800</v>
      </c>
      <c r="N75">
        <f>sales_data!C2090</f>
        <v>23</v>
      </c>
      <c r="O75" t="str">
        <f>sales_data!D2090</f>
        <v>Май</v>
      </c>
      <c r="P75" t="str">
        <f>sales_data!E2090</f>
        <v>Владимир</v>
      </c>
      <c r="Q75" t="str">
        <f>sales_data!F2090</f>
        <v>Санкт-Петербург</v>
      </c>
      <c r="R75" t="str">
        <f>sales_data!G2090</f>
        <v>Северо-Западный</v>
      </c>
      <c r="S75" t="str">
        <f>sales_data!H2090</f>
        <v>Периферия</v>
      </c>
      <c r="T75" t="str">
        <f>sales_data!I2090</f>
        <v>Dock Station</v>
      </c>
      <c r="U75" t="str">
        <f>sales_data!J2090</f>
        <v>Опт</v>
      </c>
      <c r="V75">
        <f>sales_data!K2090</f>
        <v>48</v>
      </c>
      <c r="W75">
        <f>sales_data!L2090</f>
        <v>10000</v>
      </c>
      <c r="X75">
        <f>sales_data!M2090</f>
        <v>480000</v>
      </c>
      <c r="Y75" t="str">
        <f>sales_data!N2090</f>
        <v>Офлайн-точка</v>
      </c>
      <c r="Z75" t="str">
        <f>sales_data!O2090</f>
        <v>Доставлен</v>
      </c>
    </row>
    <row r="76" spans="12:26" x14ac:dyDescent="0.25">
      <c r="L76">
        <f>sales_data!A2092</f>
        <v>375</v>
      </c>
      <c r="M76">
        <f>sales_data!B2092</f>
        <v>45708</v>
      </c>
      <c r="N76">
        <f>sales_data!C2092</f>
        <v>20</v>
      </c>
      <c r="O76" t="str">
        <f>sales_data!D2092</f>
        <v>Февраль</v>
      </c>
      <c r="P76" t="str">
        <f>sales_data!E2092</f>
        <v>Татьяна</v>
      </c>
      <c r="Q76" t="str">
        <f>sales_data!F2092</f>
        <v>Красноярск</v>
      </c>
      <c r="R76" t="str">
        <f>sales_data!G2092</f>
        <v>Сибирский</v>
      </c>
      <c r="S76" t="str">
        <f>sales_data!H2092</f>
        <v>Принтеры</v>
      </c>
      <c r="T76" t="str">
        <f>sales_data!I2092</f>
        <v>Printer Laser</v>
      </c>
      <c r="U76" t="str">
        <f>sales_data!J2092</f>
        <v>Розница</v>
      </c>
      <c r="V76">
        <f>sales_data!K2092</f>
        <v>3</v>
      </c>
      <c r="W76">
        <f>sales_data!L2092</f>
        <v>10000</v>
      </c>
      <c r="X76">
        <f>sales_data!M2092</f>
        <v>30000</v>
      </c>
      <c r="Y76" t="str">
        <f>sales_data!N2092</f>
        <v>Офлайн-точка</v>
      </c>
      <c r="Z76" t="str">
        <f>sales_data!O2092</f>
        <v>В пути</v>
      </c>
    </row>
    <row r="77" spans="12:26" x14ac:dyDescent="0.25">
      <c r="L77">
        <f>sales_data!A2129</f>
        <v>678</v>
      </c>
      <c r="M77">
        <f>sales_data!B2129</f>
        <v>45824</v>
      </c>
      <c r="N77">
        <f>sales_data!C2129</f>
        <v>16</v>
      </c>
      <c r="O77" t="str">
        <f>sales_data!D2129</f>
        <v>Июнь</v>
      </c>
      <c r="P77" t="str">
        <f>sales_data!E2129</f>
        <v>Владимир</v>
      </c>
      <c r="Q77" t="str">
        <f>sales_data!F2129</f>
        <v>Краснодар</v>
      </c>
      <c r="R77" t="str">
        <f>sales_data!G2129</f>
        <v>Южный</v>
      </c>
      <c r="S77" t="str">
        <f>sales_data!H2129</f>
        <v>Принтеры</v>
      </c>
      <c r="T77" t="str">
        <f>sales_data!I2129</f>
        <v>Printer Photo</v>
      </c>
      <c r="U77" t="str">
        <f>sales_data!J2129</f>
        <v>Опт</v>
      </c>
      <c r="V77">
        <f>sales_data!K2129</f>
        <v>43</v>
      </c>
      <c r="W77">
        <f>sales_data!L2129</f>
        <v>10200</v>
      </c>
      <c r="X77">
        <f>sales_data!M2129</f>
        <v>438600</v>
      </c>
      <c r="Y77" t="str">
        <f>sales_data!N2129</f>
        <v>Интернет-магазин</v>
      </c>
      <c r="Z77" t="str">
        <f>sales_data!O2129</f>
        <v>Отменён</v>
      </c>
    </row>
    <row r="78" spans="12:26" x14ac:dyDescent="0.25">
      <c r="L78">
        <f>sales_data!A2204</f>
        <v>4013</v>
      </c>
      <c r="M78">
        <f>sales_data!B2204</f>
        <v>45841</v>
      </c>
      <c r="N78">
        <f>sales_data!C2204</f>
        <v>3</v>
      </c>
      <c r="O78" t="str">
        <f>sales_data!D2204</f>
        <v>Июль</v>
      </c>
      <c r="P78" t="str">
        <f>sales_data!E2204</f>
        <v>Павел</v>
      </c>
      <c r="Q78" t="str">
        <f>sales_data!F2204</f>
        <v>Санкт-Петербург</v>
      </c>
      <c r="R78" t="str">
        <f>sales_data!G2204</f>
        <v>Северо-Западный</v>
      </c>
      <c r="S78" t="str">
        <f>sales_data!H2204</f>
        <v>Принтеры</v>
      </c>
      <c r="T78" t="str">
        <f>sales_data!I2204</f>
        <v>Printer Photo</v>
      </c>
      <c r="U78" t="str">
        <f>sales_data!J2204</f>
        <v>Розница</v>
      </c>
      <c r="V78">
        <f>sales_data!K2204</f>
        <v>3</v>
      </c>
      <c r="W78">
        <f>sales_data!L2204</f>
        <v>10500</v>
      </c>
      <c r="X78">
        <f>sales_data!M2204</f>
        <v>31500</v>
      </c>
      <c r="Y78" t="str">
        <f>sales_data!N2204</f>
        <v>Интернет-магазин</v>
      </c>
      <c r="Z78" t="str">
        <f>sales_data!O2204</f>
        <v>В пути</v>
      </c>
    </row>
    <row r="79" spans="12:26" x14ac:dyDescent="0.25">
      <c r="L79">
        <f>sales_data!A2205</f>
        <v>4071</v>
      </c>
      <c r="M79">
        <f>sales_data!B2205</f>
        <v>45795</v>
      </c>
      <c r="N79">
        <f>sales_data!C2205</f>
        <v>18</v>
      </c>
      <c r="O79" t="str">
        <f>sales_data!D2205</f>
        <v>Май</v>
      </c>
      <c r="P79" t="str">
        <f>sales_data!E2205</f>
        <v>Анна</v>
      </c>
      <c r="Q79" t="str">
        <f>sales_data!F2205</f>
        <v>Новосибирск</v>
      </c>
      <c r="R79" t="str">
        <f>sales_data!G2205</f>
        <v>Сибирский</v>
      </c>
      <c r="S79" t="str">
        <f>sales_data!H2205</f>
        <v>Мониторы</v>
      </c>
      <c r="T79" t="str">
        <f>sales_data!I2205</f>
        <v>Monitor 21</v>
      </c>
      <c r="U79" t="str">
        <f>sales_data!J2205</f>
        <v>Опт</v>
      </c>
      <c r="V79">
        <f>sales_data!K2205</f>
        <v>21</v>
      </c>
      <c r="W79">
        <f>sales_data!L2205</f>
        <v>10500</v>
      </c>
      <c r="X79">
        <f>sales_data!M2205</f>
        <v>220500</v>
      </c>
      <c r="Y79" t="str">
        <f>sales_data!N2205</f>
        <v>Офлайн-точка</v>
      </c>
      <c r="Z79" t="str">
        <f>sales_data!O2205</f>
        <v>Доставлен</v>
      </c>
    </row>
    <row r="80" spans="12:26" x14ac:dyDescent="0.25">
      <c r="L80">
        <f>sales_data!A2224</f>
        <v>213</v>
      </c>
      <c r="M80">
        <f>sales_data!B2224</f>
        <v>45831</v>
      </c>
      <c r="N80">
        <f>sales_data!C2224</f>
        <v>23</v>
      </c>
      <c r="O80" t="str">
        <f>sales_data!D2224</f>
        <v>Июнь</v>
      </c>
      <c r="P80" t="str">
        <f>sales_data!E2224</f>
        <v>Владимир</v>
      </c>
      <c r="Q80" t="str">
        <f>sales_data!F2224</f>
        <v>Ростов-на-Дону</v>
      </c>
      <c r="R80" t="str">
        <f>sales_data!G2224</f>
        <v>Южный</v>
      </c>
      <c r="S80" t="str">
        <f>sales_data!H2224</f>
        <v>Мониторы</v>
      </c>
      <c r="T80" t="str">
        <f>sales_data!I2224</f>
        <v>Monitor 21</v>
      </c>
      <c r="U80" t="str">
        <f>sales_data!J2224</f>
        <v>Опт</v>
      </c>
      <c r="V80">
        <f>sales_data!K2224</f>
        <v>45</v>
      </c>
      <c r="W80">
        <f>sales_data!L2224</f>
        <v>10700</v>
      </c>
      <c r="X80">
        <f>sales_data!M2224</f>
        <v>481500</v>
      </c>
      <c r="Y80" t="str">
        <f>sales_data!N2224</f>
        <v>Интернет-магазин</v>
      </c>
      <c r="Z80" t="str">
        <f>sales_data!O2224</f>
        <v>Доставлен</v>
      </c>
    </row>
    <row r="81" spans="12:26" x14ac:dyDescent="0.25">
      <c r="L81">
        <f>sales_data!A2243</f>
        <v>3088</v>
      </c>
      <c r="M81">
        <f>sales_data!B2243</f>
        <v>45727</v>
      </c>
      <c r="N81">
        <f>sales_data!C2243</f>
        <v>11</v>
      </c>
      <c r="O81" t="str">
        <f>sales_data!D2243</f>
        <v>Март</v>
      </c>
      <c r="P81" t="str">
        <f>sales_data!E2243</f>
        <v>Светлана</v>
      </c>
      <c r="Q81" t="str">
        <f>sales_data!F2243</f>
        <v>Уфа</v>
      </c>
      <c r="R81" t="str">
        <f>sales_data!G2243</f>
        <v>Приволжский</v>
      </c>
      <c r="S81" t="str">
        <f>sales_data!H2243</f>
        <v>Мониторы</v>
      </c>
      <c r="T81" t="str">
        <f>sales_data!I2243</f>
        <v>Monitor 21</v>
      </c>
      <c r="U81" t="str">
        <f>sales_data!J2243</f>
        <v>Опт</v>
      </c>
      <c r="V81">
        <f>sales_data!K2243</f>
        <v>35</v>
      </c>
      <c r="W81">
        <f>sales_data!L2243</f>
        <v>10800</v>
      </c>
      <c r="X81">
        <f>sales_data!M2243</f>
        <v>378000</v>
      </c>
      <c r="Y81" t="str">
        <f>sales_data!N2243</f>
        <v>Офлайн-точка</v>
      </c>
      <c r="Z81" t="str">
        <f>sales_data!O2243</f>
        <v>Доставлен</v>
      </c>
    </row>
    <row r="82" spans="12:26" x14ac:dyDescent="0.25">
      <c r="L82">
        <f>sales_data!A2248</f>
        <v>271</v>
      </c>
      <c r="M82">
        <f>sales_data!B2248</f>
        <v>45991</v>
      </c>
      <c r="N82">
        <f>sales_data!C2248</f>
        <v>30</v>
      </c>
      <c r="O82" t="str">
        <f>sales_data!D2248</f>
        <v>Ноябрь</v>
      </c>
      <c r="P82" t="str">
        <f>sales_data!E2248</f>
        <v>Дмитрий</v>
      </c>
      <c r="Q82" t="str">
        <f>sales_data!F2248</f>
        <v>Красноярск</v>
      </c>
      <c r="R82" t="str">
        <f>sales_data!G2248</f>
        <v>Сибирский</v>
      </c>
      <c r="S82" t="str">
        <f>sales_data!H2248</f>
        <v>Периферия</v>
      </c>
      <c r="T82" t="str">
        <f>sales_data!I2248</f>
        <v>Dock Station</v>
      </c>
      <c r="U82" t="str">
        <f>sales_data!J2248</f>
        <v>Опт</v>
      </c>
      <c r="V82">
        <f>sales_data!K2248</f>
        <v>46</v>
      </c>
      <c r="W82">
        <f>sales_data!L2248</f>
        <v>10900</v>
      </c>
      <c r="X82">
        <f>sales_data!M2248</f>
        <v>501400</v>
      </c>
      <c r="Y82" t="str">
        <f>sales_data!N2248</f>
        <v>Интернет-магазин</v>
      </c>
      <c r="Z82" t="str">
        <f>sales_data!O2248</f>
        <v>Доставлен</v>
      </c>
    </row>
    <row r="83" spans="12:26" x14ac:dyDescent="0.25">
      <c r="L83">
        <f>sales_data!A2263</f>
        <v>4795</v>
      </c>
      <c r="M83">
        <f>sales_data!B2263</f>
        <v>45678</v>
      </c>
      <c r="N83">
        <f>sales_data!C2263</f>
        <v>21</v>
      </c>
      <c r="O83" t="str">
        <f>sales_data!D2263</f>
        <v>Январь</v>
      </c>
      <c r="P83" t="str">
        <f>sales_data!E2263</f>
        <v>Владимир</v>
      </c>
      <c r="Q83" t="str">
        <f>sales_data!F2263</f>
        <v>Челябинск</v>
      </c>
      <c r="R83" t="str">
        <f>sales_data!G2263</f>
        <v>Уральский</v>
      </c>
      <c r="S83" t="str">
        <f>sales_data!H2263</f>
        <v>Принтеры</v>
      </c>
      <c r="T83" t="str">
        <f>sales_data!I2263</f>
        <v>Printer Photo</v>
      </c>
      <c r="U83" t="str">
        <f>sales_data!J2263</f>
        <v>Розница</v>
      </c>
      <c r="V83">
        <f>sales_data!K2263</f>
        <v>5</v>
      </c>
      <c r="W83">
        <f>sales_data!L2263</f>
        <v>10900</v>
      </c>
      <c r="X83">
        <f>sales_data!M2263</f>
        <v>54500</v>
      </c>
      <c r="Y83" t="str">
        <f>sales_data!N2263</f>
        <v>Интернет-магазин</v>
      </c>
      <c r="Z83" t="str">
        <f>sales_data!O2263</f>
        <v>Отменён</v>
      </c>
    </row>
    <row r="84" spans="12:26" x14ac:dyDescent="0.25">
      <c r="L84">
        <f>sales_data!A2386</f>
        <v>103</v>
      </c>
      <c r="M84">
        <f>sales_data!B2386</f>
        <v>45959</v>
      </c>
      <c r="N84">
        <f>sales_data!C2386</f>
        <v>29</v>
      </c>
      <c r="O84" t="str">
        <f>sales_data!D2386</f>
        <v>Октябрь</v>
      </c>
      <c r="P84" t="str">
        <f>sales_data!E2386</f>
        <v>Татьяна</v>
      </c>
      <c r="Q84" t="str">
        <f>sales_data!F2386</f>
        <v>Красноярск</v>
      </c>
      <c r="R84" t="str">
        <f>sales_data!G2386</f>
        <v>Сибирский</v>
      </c>
      <c r="S84" t="str">
        <f>sales_data!H2386</f>
        <v>Мониторы</v>
      </c>
      <c r="T84" t="str">
        <f>sales_data!I2386</f>
        <v>Monitor 21</v>
      </c>
      <c r="U84" t="str">
        <f>sales_data!J2386</f>
        <v>Розница</v>
      </c>
      <c r="V84">
        <f>sales_data!K2386</f>
        <v>9</v>
      </c>
      <c r="W84">
        <f>sales_data!L2386</f>
        <v>11800</v>
      </c>
      <c r="X84">
        <f>sales_data!M2386</f>
        <v>106200</v>
      </c>
      <c r="Y84" t="str">
        <f>sales_data!N2386</f>
        <v>Интернет-магазин</v>
      </c>
      <c r="Z84" t="str">
        <f>sales_data!O2386</f>
        <v>Отменён</v>
      </c>
    </row>
    <row r="85" spans="12:26" x14ac:dyDescent="0.25">
      <c r="L85">
        <f>sales_data!A2448</f>
        <v>4429</v>
      </c>
      <c r="M85">
        <f>sales_data!B2448</f>
        <v>45823</v>
      </c>
      <c r="N85">
        <f>sales_data!C2448</f>
        <v>15</v>
      </c>
      <c r="O85" t="str">
        <f>sales_data!D2448</f>
        <v>Июнь</v>
      </c>
      <c r="P85" t="str">
        <f>sales_data!E2448</f>
        <v>Дмитрий</v>
      </c>
      <c r="Q85" t="str">
        <f>sales_data!F2448</f>
        <v>Уфа</v>
      </c>
      <c r="R85" t="str">
        <f>sales_data!G2448</f>
        <v>Приволжский</v>
      </c>
      <c r="S85" t="str">
        <f>sales_data!H2448</f>
        <v>Мониторы</v>
      </c>
      <c r="T85" t="str">
        <f>sales_data!I2448</f>
        <v>Monitor 21</v>
      </c>
      <c r="U85" t="str">
        <f>sales_data!J2448</f>
        <v>Розница</v>
      </c>
      <c r="V85">
        <f>sales_data!K2448</f>
        <v>10</v>
      </c>
      <c r="W85">
        <f>sales_data!L2448</f>
        <v>12100</v>
      </c>
      <c r="X85">
        <f>sales_data!M2448</f>
        <v>121000</v>
      </c>
      <c r="Y85" t="str">
        <f>sales_data!N2448</f>
        <v>Офлайн-точка</v>
      </c>
      <c r="Z85" t="str">
        <f>sales_data!O2448</f>
        <v>Отменён</v>
      </c>
    </row>
    <row r="86" spans="12:26" x14ac:dyDescent="0.25">
      <c r="L86">
        <f>sales_data!A2451</f>
        <v>351</v>
      </c>
      <c r="M86">
        <f>sales_data!B2451</f>
        <v>45944</v>
      </c>
      <c r="N86">
        <f>sales_data!C2451</f>
        <v>14</v>
      </c>
      <c r="O86" t="str">
        <f>sales_data!D2451</f>
        <v>Октябрь</v>
      </c>
      <c r="P86" t="str">
        <f>sales_data!E2451</f>
        <v>Ольга</v>
      </c>
      <c r="Q86" t="str">
        <f>sales_data!F2451</f>
        <v>Челябинск</v>
      </c>
      <c r="R86" t="str">
        <f>sales_data!G2451</f>
        <v>Уральский</v>
      </c>
      <c r="S86" t="str">
        <f>sales_data!H2451</f>
        <v>Мониторы</v>
      </c>
      <c r="T86" t="str">
        <f>sales_data!I2451</f>
        <v>Monitor 21</v>
      </c>
      <c r="U86" t="str">
        <f>sales_data!J2451</f>
        <v>Розница</v>
      </c>
      <c r="V86">
        <f>sales_data!K2451</f>
        <v>3</v>
      </c>
      <c r="W86">
        <f>sales_data!L2451</f>
        <v>12200</v>
      </c>
      <c r="X86">
        <f>sales_data!M2451</f>
        <v>36600</v>
      </c>
      <c r="Y86" t="str">
        <f>sales_data!N2451</f>
        <v>Офлайн-точка</v>
      </c>
      <c r="Z86" t="str">
        <f>sales_data!O2451</f>
        <v>В пути</v>
      </c>
    </row>
    <row r="87" spans="12:26" x14ac:dyDescent="0.25">
      <c r="L87">
        <f>sales_data!A2503</f>
        <v>1297</v>
      </c>
      <c r="M87">
        <f>sales_data!B2503</f>
        <v>46020</v>
      </c>
      <c r="N87">
        <f>sales_data!C2503</f>
        <v>29</v>
      </c>
      <c r="O87" t="str">
        <f>sales_data!D2503</f>
        <v>Декабрь</v>
      </c>
      <c r="P87" t="str">
        <f>sales_data!E2503</f>
        <v>Алексей</v>
      </c>
      <c r="Q87" t="str">
        <f>sales_data!F2503</f>
        <v>Самара</v>
      </c>
      <c r="R87" t="str">
        <f>sales_data!G2503</f>
        <v>Приволжский</v>
      </c>
      <c r="S87" t="str">
        <f>sales_data!H2503</f>
        <v>Периферия</v>
      </c>
      <c r="T87" t="str">
        <f>sales_data!I2503</f>
        <v>Dock Station</v>
      </c>
      <c r="U87" t="str">
        <f>sales_data!J2503</f>
        <v>Розница</v>
      </c>
      <c r="V87">
        <f>sales_data!K2503</f>
        <v>5</v>
      </c>
      <c r="W87">
        <f>sales_data!L2503</f>
        <v>12600</v>
      </c>
      <c r="X87">
        <f>sales_data!M2503</f>
        <v>63000</v>
      </c>
      <c r="Y87" t="str">
        <f>sales_data!N2503</f>
        <v>Офлайн-точка</v>
      </c>
      <c r="Z87" t="str">
        <f>sales_data!O2503</f>
        <v>Отменён</v>
      </c>
    </row>
    <row r="88" spans="12:26" x14ac:dyDescent="0.25">
      <c r="L88">
        <f>sales_data!A2539</f>
        <v>4638</v>
      </c>
      <c r="M88">
        <f>sales_data!B2539</f>
        <v>45917</v>
      </c>
      <c r="N88">
        <f>sales_data!C2539</f>
        <v>17</v>
      </c>
      <c r="O88" t="str">
        <f>sales_data!D2539</f>
        <v>Сентябрь</v>
      </c>
      <c r="P88" t="str">
        <f>sales_data!E2539</f>
        <v>Наталья</v>
      </c>
      <c r="Q88" t="str">
        <f>sales_data!F2539</f>
        <v>Уфа</v>
      </c>
      <c r="R88" t="str">
        <f>sales_data!G2539</f>
        <v>Приволжский</v>
      </c>
      <c r="S88" t="str">
        <f>sales_data!H2539</f>
        <v>Мониторы</v>
      </c>
      <c r="T88" t="str">
        <f>sales_data!I2539</f>
        <v>Monitor 24</v>
      </c>
      <c r="U88" t="str">
        <f>sales_data!J2539</f>
        <v>Опт</v>
      </c>
      <c r="V88">
        <f>sales_data!K2539</f>
        <v>33</v>
      </c>
      <c r="W88">
        <f>sales_data!L2539</f>
        <v>12800</v>
      </c>
      <c r="X88">
        <f>sales_data!M2539</f>
        <v>422400</v>
      </c>
      <c r="Y88" t="str">
        <f>sales_data!N2539</f>
        <v>Офлайн-точка</v>
      </c>
      <c r="Z88" t="str">
        <f>sales_data!O2539</f>
        <v>В пути</v>
      </c>
    </row>
    <row r="89" spans="12:26" x14ac:dyDescent="0.25">
      <c r="L89">
        <f>sales_data!A2546</f>
        <v>1185</v>
      </c>
      <c r="M89">
        <f>sales_data!B2546</f>
        <v>45855</v>
      </c>
      <c r="N89">
        <f>sales_data!C2546</f>
        <v>17</v>
      </c>
      <c r="O89" t="str">
        <f>sales_data!D2546</f>
        <v>Июль</v>
      </c>
      <c r="P89" t="str">
        <f>sales_data!E2546</f>
        <v>Ксения</v>
      </c>
      <c r="Q89" t="str">
        <f>sales_data!F2546</f>
        <v>Омск</v>
      </c>
      <c r="R89" t="str">
        <f>sales_data!G2546</f>
        <v>Сибирский</v>
      </c>
      <c r="S89" t="str">
        <f>sales_data!H2546</f>
        <v>Мониторы</v>
      </c>
      <c r="T89" t="str">
        <f>sales_data!I2546</f>
        <v>Monitor 24</v>
      </c>
      <c r="U89" t="str">
        <f>sales_data!J2546</f>
        <v>Опт</v>
      </c>
      <c r="V89">
        <f>sales_data!K2546</f>
        <v>21</v>
      </c>
      <c r="W89">
        <f>sales_data!L2546</f>
        <v>12900</v>
      </c>
      <c r="X89">
        <f>sales_data!M2546</f>
        <v>270900</v>
      </c>
      <c r="Y89" t="str">
        <f>sales_data!N2546</f>
        <v>Офлайн-точка</v>
      </c>
      <c r="Z89" t="str">
        <f>sales_data!O2546</f>
        <v>Отменён</v>
      </c>
    </row>
    <row r="90" spans="12:26" x14ac:dyDescent="0.25">
      <c r="L90">
        <f>sales_data!A2548</f>
        <v>2207</v>
      </c>
      <c r="M90">
        <f>sales_data!B2548</f>
        <v>45810</v>
      </c>
      <c r="N90">
        <f>sales_data!C2548</f>
        <v>2</v>
      </c>
      <c r="O90" t="str">
        <f>sales_data!D2548</f>
        <v>Июнь</v>
      </c>
      <c r="P90" t="str">
        <f>sales_data!E2548</f>
        <v>Светлана</v>
      </c>
      <c r="Q90" t="str">
        <f>sales_data!F2548</f>
        <v>Москва</v>
      </c>
      <c r="R90" t="str">
        <f>sales_data!G2548</f>
        <v>Центральный</v>
      </c>
      <c r="S90" t="str">
        <f>sales_data!H2548</f>
        <v>Мониторы</v>
      </c>
      <c r="T90" t="str">
        <f>sales_data!I2548</f>
        <v>Monitor 21</v>
      </c>
      <c r="U90" t="str">
        <f>sales_data!J2548</f>
        <v>Розница</v>
      </c>
      <c r="V90">
        <f>sales_data!K2548</f>
        <v>6</v>
      </c>
      <c r="W90">
        <f>sales_data!L2548</f>
        <v>12900</v>
      </c>
      <c r="X90">
        <f>sales_data!M2548</f>
        <v>77400</v>
      </c>
      <c r="Y90" t="str">
        <f>sales_data!N2548</f>
        <v>Офлайн-точка</v>
      </c>
      <c r="Z90" t="str">
        <f>sales_data!O2548</f>
        <v>Доставлен</v>
      </c>
    </row>
    <row r="91" spans="12:26" x14ac:dyDescent="0.25">
      <c r="L91">
        <f>sales_data!A2572</f>
        <v>4179</v>
      </c>
      <c r="M91">
        <f>sales_data!B2572</f>
        <v>45889</v>
      </c>
      <c r="N91">
        <f>sales_data!C2572</f>
        <v>20</v>
      </c>
      <c r="O91" t="str">
        <f>sales_data!D2572</f>
        <v>Август</v>
      </c>
      <c r="P91" t="str">
        <f>sales_data!E2572</f>
        <v>Ольга</v>
      </c>
      <c r="Q91" t="str">
        <f>sales_data!F2572</f>
        <v>Омск</v>
      </c>
      <c r="R91" t="str">
        <f>sales_data!G2572</f>
        <v>Сибирский</v>
      </c>
      <c r="S91" t="str">
        <f>sales_data!H2572</f>
        <v>Мониторы</v>
      </c>
      <c r="T91" t="str">
        <f>sales_data!I2572</f>
        <v>Monitor 21</v>
      </c>
      <c r="U91" t="str">
        <f>sales_data!J2572</f>
        <v>Розница</v>
      </c>
      <c r="V91">
        <f>sales_data!K2572</f>
        <v>7</v>
      </c>
      <c r="W91">
        <f>sales_data!L2572</f>
        <v>13100</v>
      </c>
      <c r="X91">
        <f>sales_data!M2572</f>
        <v>91700</v>
      </c>
      <c r="Y91" t="str">
        <f>sales_data!N2572</f>
        <v>Офлайн-точка</v>
      </c>
      <c r="Z91" t="str">
        <f>sales_data!O2572</f>
        <v>В пути</v>
      </c>
    </row>
    <row r="92" spans="12:26" x14ac:dyDescent="0.25">
      <c r="L92">
        <f>sales_data!A2585</f>
        <v>3965</v>
      </c>
      <c r="M92">
        <f>sales_data!B2585</f>
        <v>45886</v>
      </c>
      <c r="N92">
        <f>sales_data!C2585</f>
        <v>17</v>
      </c>
      <c r="O92" t="str">
        <f>sales_data!D2585</f>
        <v>Август</v>
      </c>
      <c r="P92" t="str">
        <f>sales_data!E2585</f>
        <v>Сергей</v>
      </c>
      <c r="Q92" t="str">
        <f>sales_data!F2585</f>
        <v>Казань</v>
      </c>
      <c r="R92" t="str">
        <f>sales_data!G2585</f>
        <v>Приволжский</v>
      </c>
      <c r="S92" t="str">
        <f>sales_data!H2585</f>
        <v>Мониторы</v>
      </c>
      <c r="T92" t="str">
        <f>sales_data!I2585</f>
        <v>Monitor 24</v>
      </c>
      <c r="U92" t="str">
        <f>sales_data!J2585</f>
        <v>Опт</v>
      </c>
      <c r="V92">
        <f>sales_data!K2585</f>
        <v>36</v>
      </c>
      <c r="W92">
        <f>sales_data!L2585</f>
        <v>13200</v>
      </c>
      <c r="X92">
        <f>sales_data!M2585</f>
        <v>475200</v>
      </c>
      <c r="Y92" t="str">
        <f>sales_data!N2585</f>
        <v>Интернет-магазин</v>
      </c>
      <c r="Z92" t="str">
        <f>sales_data!O2585</f>
        <v>В пути</v>
      </c>
    </row>
    <row r="93" spans="12:26" x14ac:dyDescent="0.25">
      <c r="L93">
        <f>sales_data!A2687</f>
        <v>1050</v>
      </c>
      <c r="M93">
        <f>sales_data!B2687</f>
        <v>45814</v>
      </c>
      <c r="N93">
        <f>sales_data!C2687</f>
        <v>6</v>
      </c>
      <c r="O93" t="str">
        <f>sales_data!D2687</f>
        <v>Июнь</v>
      </c>
      <c r="P93" t="str">
        <f>sales_data!E2687</f>
        <v>Ксения</v>
      </c>
      <c r="Q93" t="str">
        <f>sales_data!F2687</f>
        <v>Екатеринбург</v>
      </c>
      <c r="R93" t="str">
        <f>sales_data!G2687</f>
        <v>Уральский</v>
      </c>
      <c r="S93" t="str">
        <f>sales_data!H2687</f>
        <v>Мониторы</v>
      </c>
      <c r="T93" t="str">
        <f>sales_data!I2687</f>
        <v>Monitor 24</v>
      </c>
      <c r="U93" t="str">
        <f>sales_data!J2687</f>
        <v>Опт</v>
      </c>
      <c r="V93">
        <f>sales_data!K2687</f>
        <v>5</v>
      </c>
      <c r="W93">
        <f>sales_data!L2687</f>
        <v>14500</v>
      </c>
      <c r="X93">
        <f>sales_data!M2687</f>
        <v>72500</v>
      </c>
      <c r="Y93" t="str">
        <f>sales_data!N2687</f>
        <v>Интернет-магазин</v>
      </c>
      <c r="Z93" t="str">
        <f>sales_data!O2687</f>
        <v>Отменён</v>
      </c>
    </row>
    <row r="94" spans="12:26" x14ac:dyDescent="0.25">
      <c r="L94">
        <f>sales_data!A2706</f>
        <v>4184</v>
      </c>
      <c r="M94">
        <f>sales_data!B2706</f>
        <v>45940</v>
      </c>
      <c r="N94">
        <f>sales_data!C2706</f>
        <v>10</v>
      </c>
      <c r="O94" t="str">
        <f>sales_data!D2706</f>
        <v>Октябрь</v>
      </c>
      <c r="P94" t="str">
        <f>sales_data!E2706</f>
        <v>Борис</v>
      </c>
      <c r="Q94" t="str">
        <f>sales_data!F2706</f>
        <v>Нижний Новгород</v>
      </c>
      <c r="R94" t="str">
        <f>sales_data!G2706</f>
        <v>Приволжский</v>
      </c>
      <c r="S94" t="str">
        <f>sales_data!H2706</f>
        <v>Принтеры</v>
      </c>
      <c r="T94" t="str">
        <f>sales_data!I2706</f>
        <v>Printer MFP</v>
      </c>
      <c r="U94" t="str">
        <f>sales_data!J2706</f>
        <v>Розница</v>
      </c>
      <c r="V94">
        <f>sales_data!K2706</f>
        <v>5</v>
      </c>
      <c r="W94">
        <f>sales_data!L2706</f>
        <v>14600</v>
      </c>
      <c r="X94">
        <f>sales_data!M2706</f>
        <v>73000</v>
      </c>
      <c r="Y94" t="str">
        <f>sales_data!N2706</f>
        <v>Интернет-магазин</v>
      </c>
      <c r="Z94" t="str">
        <f>sales_data!O2706</f>
        <v>В пути</v>
      </c>
    </row>
    <row r="95" spans="12:26" x14ac:dyDescent="0.25">
      <c r="L95">
        <f>sales_data!A2750</f>
        <v>649</v>
      </c>
      <c r="M95">
        <f>sales_data!B2750</f>
        <v>45683</v>
      </c>
      <c r="N95">
        <f>sales_data!C2750</f>
        <v>26</v>
      </c>
      <c r="O95" t="str">
        <f>sales_data!D2750</f>
        <v>Январь</v>
      </c>
      <c r="P95" t="str">
        <f>sales_data!E2750</f>
        <v>Мария</v>
      </c>
      <c r="Q95" t="str">
        <f>sales_data!F2750</f>
        <v>Москва</v>
      </c>
      <c r="R95" t="str">
        <f>sales_data!G2750</f>
        <v>Центральный</v>
      </c>
      <c r="S95" t="str">
        <f>sales_data!H2750</f>
        <v>Мониторы</v>
      </c>
      <c r="T95" t="str">
        <f>sales_data!I2750</f>
        <v>Monitor 27</v>
      </c>
      <c r="U95" t="str">
        <f>sales_data!J2750</f>
        <v>Опт</v>
      </c>
      <c r="V95">
        <f>sales_data!K2750</f>
        <v>22</v>
      </c>
      <c r="W95">
        <f>sales_data!L2750</f>
        <v>15100</v>
      </c>
      <c r="X95">
        <f>sales_data!M2750</f>
        <v>332200</v>
      </c>
      <c r="Y95" t="str">
        <f>sales_data!N2750</f>
        <v>Интернет-магазин</v>
      </c>
      <c r="Z95" t="str">
        <f>sales_data!O2750</f>
        <v>Отменён</v>
      </c>
    </row>
    <row r="96" spans="12:26" x14ac:dyDescent="0.25">
      <c r="L96">
        <f>sales_data!A2753</f>
        <v>2938</v>
      </c>
      <c r="M96">
        <f>sales_data!B2753</f>
        <v>45840</v>
      </c>
      <c r="N96">
        <f>sales_data!C2753</f>
        <v>2</v>
      </c>
      <c r="O96" t="str">
        <f>sales_data!D2753</f>
        <v>Июль</v>
      </c>
      <c r="P96" t="str">
        <f>sales_data!E2753</f>
        <v>Елена</v>
      </c>
      <c r="Q96" t="str">
        <f>sales_data!F2753</f>
        <v>Омск</v>
      </c>
      <c r="R96" t="str">
        <f>sales_data!G2753</f>
        <v>Сибирский</v>
      </c>
      <c r="S96" t="str">
        <f>sales_data!H2753</f>
        <v>Мониторы</v>
      </c>
      <c r="T96" t="str">
        <f>sales_data!I2753</f>
        <v>Monitor 27</v>
      </c>
      <c r="U96" t="str">
        <f>sales_data!J2753</f>
        <v>Опт</v>
      </c>
      <c r="V96">
        <f>sales_data!K2753</f>
        <v>47</v>
      </c>
      <c r="W96">
        <f>sales_data!L2753</f>
        <v>15100</v>
      </c>
      <c r="X96">
        <f>sales_data!M2753</f>
        <v>709700</v>
      </c>
      <c r="Y96" t="str">
        <f>sales_data!N2753</f>
        <v>Офлайн-точка</v>
      </c>
      <c r="Z96" t="str">
        <f>sales_data!O2753</f>
        <v>В пути</v>
      </c>
    </row>
    <row r="97" spans="12:26" x14ac:dyDescent="0.25">
      <c r="L97">
        <f>sales_data!A2805</f>
        <v>1753</v>
      </c>
      <c r="M97">
        <f>sales_data!B2805</f>
        <v>45825</v>
      </c>
      <c r="N97">
        <f>sales_data!C2805</f>
        <v>17</v>
      </c>
      <c r="O97" t="str">
        <f>sales_data!D2805</f>
        <v>Июнь</v>
      </c>
      <c r="P97" t="str">
        <f>sales_data!E2805</f>
        <v>Владимир</v>
      </c>
      <c r="Q97" t="str">
        <f>sales_data!F2805</f>
        <v>Краснодар</v>
      </c>
      <c r="R97" t="str">
        <f>sales_data!G2805</f>
        <v>Южный</v>
      </c>
      <c r="S97" t="str">
        <f>sales_data!H2805</f>
        <v>Мониторы</v>
      </c>
      <c r="T97" t="str">
        <f>sales_data!I2805</f>
        <v>Monitor 24</v>
      </c>
      <c r="U97" t="str">
        <f>sales_data!J2805</f>
        <v>Розница</v>
      </c>
      <c r="V97">
        <f>sales_data!K2805</f>
        <v>5</v>
      </c>
      <c r="W97">
        <f>sales_data!L2805</f>
        <v>15500</v>
      </c>
      <c r="X97">
        <f>sales_data!M2805</f>
        <v>77500</v>
      </c>
      <c r="Y97" t="str">
        <f>sales_data!N2805</f>
        <v>Интернет-магазин</v>
      </c>
      <c r="Z97" t="str">
        <f>sales_data!O2805</f>
        <v>В пути</v>
      </c>
    </row>
    <row r="98" spans="12:26" x14ac:dyDescent="0.25">
      <c r="L98">
        <f>sales_data!A2852</f>
        <v>3522</v>
      </c>
      <c r="M98">
        <f>sales_data!B2852</f>
        <v>45764</v>
      </c>
      <c r="N98">
        <f>sales_data!C2852</f>
        <v>17</v>
      </c>
      <c r="O98" t="str">
        <f>sales_data!D2852</f>
        <v>Апрель</v>
      </c>
      <c r="P98" t="str">
        <f>sales_data!E2852</f>
        <v>Анна</v>
      </c>
      <c r="Q98" t="str">
        <f>sales_data!F2852</f>
        <v>Пермь</v>
      </c>
      <c r="R98" t="str">
        <f>sales_data!G2852</f>
        <v>Приволжский</v>
      </c>
      <c r="S98" t="str">
        <f>sales_data!H2852</f>
        <v>Мониторы</v>
      </c>
      <c r="T98" t="str">
        <f>sales_data!I2852</f>
        <v>Monitor 27</v>
      </c>
      <c r="U98" t="str">
        <f>sales_data!J2852</f>
        <v>Розница</v>
      </c>
      <c r="V98">
        <f>sales_data!K2852</f>
        <v>9</v>
      </c>
      <c r="W98">
        <f>sales_data!L2852</f>
        <v>15800</v>
      </c>
      <c r="X98">
        <f>sales_data!M2852</f>
        <v>142200</v>
      </c>
      <c r="Y98" t="str">
        <f>sales_data!N2852</f>
        <v>Офлайн-точка</v>
      </c>
      <c r="Z98" t="str">
        <f>sales_data!O2852</f>
        <v>Доставлен</v>
      </c>
    </row>
    <row r="99" spans="12:26" x14ac:dyDescent="0.25">
      <c r="L99">
        <f>sales_data!A2863</f>
        <v>699</v>
      </c>
      <c r="M99">
        <f>sales_data!B2863</f>
        <v>45905</v>
      </c>
      <c r="N99">
        <f>sales_data!C2863</f>
        <v>5</v>
      </c>
      <c r="O99" t="str">
        <f>sales_data!D2863</f>
        <v>Сентябрь</v>
      </c>
      <c r="P99" t="str">
        <f>sales_data!E2863</f>
        <v>Сергей</v>
      </c>
      <c r="Q99" t="str">
        <f>sales_data!F2863</f>
        <v>Уфа</v>
      </c>
      <c r="R99" t="str">
        <f>sales_data!G2863</f>
        <v>Приволжский</v>
      </c>
      <c r="S99" t="str">
        <f>sales_data!H2863</f>
        <v>Мониторы</v>
      </c>
      <c r="T99" t="str">
        <f>sales_data!I2863</f>
        <v>Monitor 27</v>
      </c>
      <c r="U99" t="str">
        <f>sales_data!J2863</f>
        <v>Опт</v>
      </c>
      <c r="V99">
        <f>sales_data!K2863</f>
        <v>42</v>
      </c>
      <c r="W99">
        <f>sales_data!L2863</f>
        <v>16000</v>
      </c>
      <c r="X99">
        <f>sales_data!M2863</f>
        <v>672000</v>
      </c>
      <c r="Y99" t="str">
        <f>sales_data!N2863</f>
        <v>Интернет-магазин</v>
      </c>
      <c r="Z99" t="str">
        <f>sales_data!O2863</f>
        <v>В пути</v>
      </c>
    </row>
    <row r="100" spans="12:26" x14ac:dyDescent="0.25">
      <c r="L100">
        <f>sales_data!A2866</f>
        <v>77</v>
      </c>
      <c r="M100">
        <f>sales_data!B2866</f>
        <v>45678</v>
      </c>
      <c r="N100">
        <f>sales_data!C2866</f>
        <v>21</v>
      </c>
      <c r="O100" t="str">
        <f>sales_data!D2866</f>
        <v>Январь</v>
      </c>
      <c r="P100" t="str">
        <f>sales_data!E2866</f>
        <v>Наталья</v>
      </c>
      <c r="Q100" t="str">
        <f>sales_data!F2866</f>
        <v>Москва</v>
      </c>
      <c r="R100" t="str">
        <f>sales_data!G2866</f>
        <v>Центральный</v>
      </c>
      <c r="S100" t="str">
        <f>sales_data!H2866</f>
        <v>Мониторы</v>
      </c>
      <c r="T100" t="str">
        <f>sales_data!I2866</f>
        <v>Monitor 24</v>
      </c>
      <c r="U100" t="str">
        <f>sales_data!J2866</f>
        <v>Розница</v>
      </c>
      <c r="V100">
        <f>sales_data!K2866</f>
        <v>10</v>
      </c>
      <c r="W100">
        <f>sales_data!L2866</f>
        <v>16100</v>
      </c>
      <c r="X100">
        <f>sales_data!M2866</f>
        <v>161000</v>
      </c>
      <c r="Y100" t="str">
        <f>sales_data!N2866</f>
        <v>Интернет-магазин</v>
      </c>
      <c r="Z100" t="str">
        <f>sales_data!O2866</f>
        <v>Доставлен</v>
      </c>
    </row>
    <row r="101" spans="12:26" x14ac:dyDescent="0.25">
      <c r="L101">
        <f>sales_data!A2916</f>
        <v>820</v>
      </c>
      <c r="M101">
        <f>sales_data!B2916</f>
        <v>45981</v>
      </c>
      <c r="N101">
        <f>sales_data!C2916</f>
        <v>20</v>
      </c>
      <c r="O101" t="str">
        <f>sales_data!D2916</f>
        <v>Ноябрь</v>
      </c>
      <c r="P101" t="str">
        <f>sales_data!E2916</f>
        <v>Павел</v>
      </c>
      <c r="Q101" t="str">
        <f>sales_data!F2916</f>
        <v>Уфа</v>
      </c>
      <c r="R101" t="str">
        <f>sales_data!G2916</f>
        <v>Приволжский</v>
      </c>
      <c r="S101" t="str">
        <f>sales_data!H2916</f>
        <v>Мониторы</v>
      </c>
      <c r="T101" t="str">
        <f>sales_data!I2916</f>
        <v>Monitor 24</v>
      </c>
      <c r="U101" t="str">
        <f>sales_data!J2916</f>
        <v>Розница</v>
      </c>
      <c r="V101">
        <f>sales_data!K2916</f>
        <v>4</v>
      </c>
      <c r="W101">
        <f>sales_data!L2916</f>
        <v>16900</v>
      </c>
      <c r="X101">
        <f>sales_data!M2916</f>
        <v>67600</v>
      </c>
      <c r="Y101" t="str">
        <f>sales_data!N2916</f>
        <v>Интернет-магазин</v>
      </c>
      <c r="Z101" t="str">
        <f>sales_data!O2916</f>
        <v>Отменён</v>
      </c>
    </row>
    <row r="102" spans="12:26" x14ac:dyDescent="0.25">
      <c r="L102">
        <f>sales_data!A2920</f>
        <v>3211</v>
      </c>
      <c r="M102">
        <f>sales_data!B2920</f>
        <v>45842</v>
      </c>
      <c r="N102">
        <f>sales_data!C2920</f>
        <v>4</v>
      </c>
      <c r="O102" t="str">
        <f>sales_data!D2920</f>
        <v>Июль</v>
      </c>
      <c r="P102" t="str">
        <f>sales_data!E2920</f>
        <v>Ольга</v>
      </c>
      <c r="Q102" t="str">
        <f>sales_data!F2920</f>
        <v>Челябинск</v>
      </c>
      <c r="R102" t="str">
        <f>sales_data!G2920</f>
        <v>Уральский</v>
      </c>
      <c r="S102" t="str">
        <f>sales_data!H2920</f>
        <v>Мониторы</v>
      </c>
      <c r="T102" t="str">
        <f>sales_data!I2920</f>
        <v>Monitor 24</v>
      </c>
      <c r="U102" t="str">
        <f>sales_data!J2920</f>
        <v>Розница</v>
      </c>
      <c r="V102">
        <f>sales_data!K2920</f>
        <v>3</v>
      </c>
      <c r="W102">
        <f>sales_data!L2920</f>
        <v>16900</v>
      </c>
      <c r="X102">
        <f>sales_data!M2920</f>
        <v>50700</v>
      </c>
      <c r="Y102" t="str">
        <f>sales_data!N2920</f>
        <v>Офлайн-точка</v>
      </c>
      <c r="Z102" t="str">
        <f>sales_data!O2920</f>
        <v>Доставлен</v>
      </c>
    </row>
    <row r="103" spans="12:26" x14ac:dyDescent="0.25">
      <c r="L103">
        <f>sales_data!A2924</f>
        <v>1521</v>
      </c>
      <c r="M103">
        <f>sales_data!B2924</f>
        <v>45853</v>
      </c>
      <c r="N103">
        <f>sales_data!C2924</f>
        <v>15</v>
      </c>
      <c r="O103" t="str">
        <f>sales_data!D2924</f>
        <v>Июль</v>
      </c>
      <c r="P103" t="str">
        <f>sales_data!E2924</f>
        <v>Павел</v>
      </c>
      <c r="Q103" t="str">
        <f>sales_data!F2924</f>
        <v>Уфа</v>
      </c>
      <c r="R103" t="str">
        <f>sales_data!G2924</f>
        <v>Приволжский</v>
      </c>
      <c r="S103" t="str">
        <f>sales_data!H2924</f>
        <v>Мониторы</v>
      </c>
      <c r="T103" t="str">
        <f>sales_data!I2924</f>
        <v>Monitor 24</v>
      </c>
      <c r="U103" t="str">
        <f>sales_data!J2924</f>
        <v>Розница</v>
      </c>
      <c r="V103">
        <f>sales_data!K2924</f>
        <v>5</v>
      </c>
      <c r="W103">
        <f>sales_data!L2924</f>
        <v>17000</v>
      </c>
      <c r="X103">
        <f>sales_data!M2924</f>
        <v>85000</v>
      </c>
      <c r="Y103" t="str">
        <f>sales_data!N2924</f>
        <v>Офлайн-точка</v>
      </c>
      <c r="Z103" t="str">
        <f>sales_data!O2924</f>
        <v>Доставлен</v>
      </c>
    </row>
    <row r="104" spans="12:26" x14ac:dyDescent="0.25">
      <c r="L104">
        <f>sales_data!A2981</f>
        <v>4167</v>
      </c>
      <c r="M104">
        <f>sales_data!B2981</f>
        <v>45995</v>
      </c>
      <c r="N104">
        <f>sales_data!C2981</f>
        <v>4</v>
      </c>
      <c r="O104" t="str">
        <f>sales_data!D2981</f>
        <v>Декабрь</v>
      </c>
      <c r="P104" t="str">
        <f>sales_data!E2981</f>
        <v>Ксения</v>
      </c>
      <c r="Q104" t="str">
        <f>sales_data!F2981</f>
        <v>Казань</v>
      </c>
      <c r="R104" t="str">
        <f>sales_data!G2981</f>
        <v>Приволжский</v>
      </c>
      <c r="S104" t="str">
        <f>sales_data!H2981</f>
        <v>Мониторы</v>
      </c>
      <c r="T104" t="str">
        <f>sales_data!I2981</f>
        <v>Monitor 27</v>
      </c>
      <c r="U104" t="str">
        <f>sales_data!J2981</f>
        <v>Розница</v>
      </c>
      <c r="V104">
        <f>sales_data!K2981</f>
        <v>4</v>
      </c>
      <c r="W104">
        <f>sales_data!L2981</f>
        <v>17700</v>
      </c>
      <c r="X104">
        <f>sales_data!M2981</f>
        <v>70800</v>
      </c>
      <c r="Y104" t="str">
        <f>sales_data!N2981</f>
        <v>Офлайн-точка</v>
      </c>
      <c r="Z104" t="str">
        <f>sales_data!O2981</f>
        <v>Отменён</v>
      </c>
    </row>
    <row r="105" spans="12:26" x14ac:dyDescent="0.25">
      <c r="L105">
        <f>sales_data!A2993</f>
        <v>3957</v>
      </c>
      <c r="M105">
        <f>sales_data!B2993</f>
        <v>45831</v>
      </c>
      <c r="N105">
        <f>sales_data!C2993</f>
        <v>23</v>
      </c>
      <c r="O105" t="str">
        <f>sales_data!D2993</f>
        <v>Июнь</v>
      </c>
      <c r="P105" t="str">
        <f>sales_data!E2993</f>
        <v>Татьяна</v>
      </c>
      <c r="Q105" t="str">
        <f>sales_data!F2993</f>
        <v>Санкт-Петербург</v>
      </c>
      <c r="R105" t="str">
        <f>sales_data!G2993</f>
        <v>Северо-Западный</v>
      </c>
      <c r="S105" t="str">
        <f>sales_data!H2993</f>
        <v>Мониторы</v>
      </c>
      <c r="T105" t="str">
        <f>sales_data!I2993</f>
        <v>Monitor 27</v>
      </c>
      <c r="U105" t="str">
        <f>sales_data!J2993</f>
        <v>Розница</v>
      </c>
      <c r="V105">
        <f>sales_data!K2993</f>
        <v>3</v>
      </c>
      <c r="W105">
        <f>sales_data!L2993</f>
        <v>17900</v>
      </c>
      <c r="X105">
        <f>sales_data!M2993</f>
        <v>53700</v>
      </c>
      <c r="Y105" t="str">
        <f>sales_data!N2993</f>
        <v>Интернет-магазин</v>
      </c>
      <c r="Z105" t="str">
        <f>sales_data!O2993</f>
        <v>Доставлен</v>
      </c>
    </row>
    <row r="106" spans="12:26" x14ac:dyDescent="0.25">
      <c r="L106">
        <f>sales_data!A3059</f>
        <v>2364</v>
      </c>
      <c r="M106">
        <f>sales_data!B3059</f>
        <v>45711</v>
      </c>
      <c r="N106">
        <f>sales_data!C3059</f>
        <v>23</v>
      </c>
      <c r="O106" t="str">
        <f>sales_data!D3059</f>
        <v>Февраль</v>
      </c>
      <c r="P106" t="str">
        <f>sales_data!E3059</f>
        <v>Светлана</v>
      </c>
      <c r="Q106" t="str">
        <f>sales_data!F3059</f>
        <v>Воронеж</v>
      </c>
      <c r="R106" t="str">
        <f>sales_data!G3059</f>
        <v>Центральный</v>
      </c>
      <c r="S106" t="str">
        <f>sales_data!H3059</f>
        <v>Мониторы</v>
      </c>
      <c r="T106" t="str">
        <f>sales_data!I3059</f>
        <v>Monitor 27</v>
      </c>
      <c r="U106" t="str">
        <f>sales_data!J3059</f>
        <v>Розница</v>
      </c>
      <c r="V106">
        <f>sales_data!K3059</f>
        <v>10</v>
      </c>
      <c r="W106">
        <f>sales_data!L3059</f>
        <v>19000</v>
      </c>
      <c r="X106">
        <f>sales_data!M3059</f>
        <v>190000</v>
      </c>
      <c r="Y106" t="str">
        <f>sales_data!N3059</f>
        <v>Интернет-магазин</v>
      </c>
      <c r="Z106" t="str">
        <f>sales_data!O3059</f>
        <v>В пути</v>
      </c>
    </row>
    <row r="107" spans="12:26" x14ac:dyDescent="0.25">
      <c r="L107">
        <f>sales_data!A3110</f>
        <v>4085</v>
      </c>
      <c r="M107">
        <f>sales_data!B3110</f>
        <v>45801</v>
      </c>
      <c r="N107">
        <f>sales_data!C3110</f>
        <v>24</v>
      </c>
      <c r="O107" t="str">
        <f>sales_data!D3110</f>
        <v>Май</v>
      </c>
      <c r="P107" t="str">
        <f>sales_data!E3110</f>
        <v>Дмитрий</v>
      </c>
      <c r="Q107" t="str">
        <f>sales_data!F3110</f>
        <v>Новосибирск</v>
      </c>
      <c r="R107" t="str">
        <f>sales_data!G3110</f>
        <v>Сибирский</v>
      </c>
      <c r="S107" t="str">
        <f>sales_data!H3110</f>
        <v>Мониторы</v>
      </c>
      <c r="T107" t="str">
        <f>sales_data!I3110</f>
        <v>Monitor Curved</v>
      </c>
      <c r="U107" t="str">
        <f>sales_data!J3110</f>
        <v>Опт</v>
      </c>
      <c r="V107">
        <f>sales_data!K3110</f>
        <v>47</v>
      </c>
      <c r="W107">
        <f>sales_data!L3110</f>
        <v>19900</v>
      </c>
      <c r="X107">
        <f>sales_data!M3110</f>
        <v>935300</v>
      </c>
      <c r="Y107" t="str">
        <f>sales_data!N3110</f>
        <v>Офлайн-точка</v>
      </c>
      <c r="Z107" t="str">
        <f>sales_data!O3110</f>
        <v>Отменён</v>
      </c>
    </row>
    <row r="108" spans="12:26" x14ac:dyDescent="0.25">
      <c r="L108">
        <f>sales_data!A3111</f>
        <v>4418</v>
      </c>
      <c r="M108">
        <f>sales_data!B3111</f>
        <v>45839</v>
      </c>
      <c r="N108">
        <f>sales_data!C3111</f>
        <v>1</v>
      </c>
      <c r="O108" t="str">
        <f>sales_data!D3111</f>
        <v>Июль</v>
      </c>
      <c r="P108" t="str">
        <f>sales_data!E3111</f>
        <v>Алексей</v>
      </c>
      <c r="Q108" t="str">
        <f>sales_data!F3111</f>
        <v>Нижний Новгород</v>
      </c>
      <c r="R108" t="str">
        <f>sales_data!G3111</f>
        <v>Приволжский</v>
      </c>
      <c r="S108" t="str">
        <f>sales_data!H3111</f>
        <v>Мониторы</v>
      </c>
      <c r="T108" t="str">
        <f>sales_data!I3111</f>
        <v>Monitor Curved</v>
      </c>
      <c r="U108" t="str">
        <f>sales_data!J3111</f>
        <v>Розница</v>
      </c>
      <c r="V108">
        <f>sales_data!K3111</f>
        <v>8</v>
      </c>
      <c r="W108">
        <f>sales_data!L3111</f>
        <v>19900</v>
      </c>
      <c r="X108">
        <f>sales_data!M3111</f>
        <v>159200</v>
      </c>
      <c r="Y108" t="str">
        <f>sales_data!N3111</f>
        <v>Интернет-магазин</v>
      </c>
      <c r="Z108" t="str">
        <f>sales_data!O3111</f>
        <v>Доставлен</v>
      </c>
    </row>
    <row r="109" spans="12:26" x14ac:dyDescent="0.25">
      <c r="L109">
        <f>sales_data!A3114</f>
        <v>527</v>
      </c>
      <c r="M109">
        <f>sales_data!B3114</f>
        <v>45905</v>
      </c>
      <c r="N109">
        <f>sales_data!C3114</f>
        <v>5</v>
      </c>
      <c r="O109" t="str">
        <f>sales_data!D3114</f>
        <v>Сентябрь</v>
      </c>
      <c r="P109" t="str">
        <f>sales_data!E3114</f>
        <v>Ксения</v>
      </c>
      <c r="Q109" t="str">
        <f>sales_data!F3114</f>
        <v>Самара</v>
      </c>
      <c r="R109" t="str">
        <f>sales_data!G3114</f>
        <v>Приволжский</v>
      </c>
      <c r="S109" t="str">
        <f>sales_data!H3114</f>
        <v>Мониторы</v>
      </c>
      <c r="T109" t="str">
        <f>sales_data!I3114</f>
        <v>Monitor Curved</v>
      </c>
      <c r="U109" t="str">
        <f>sales_data!J3114</f>
        <v>Розница</v>
      </c>
      <c r="V109">
        <f>sales_data!K3114</f>
        <v>3</v>
      </c>
      <c r="W109">
        <f>sales_data!L3114</f>
        <v>20200</v>
      </c>
      <c r="X109">
        <f>sales_data!M3114</f>
        <v>60600</v>
      </c>
      <c r="Y109" t="str">
        <f>sales_data!N3114</f>
        <v>Интернет-магазин</v>
      </c>
      <c r="Z109" t="str">
        <f>sales_data!O3114</f>
        <v>В пути</v>
      </c>
    </row>
    <row r="110" spans="12:26" x14ac:dyDescent="0.25">
      <c r="L110">
        <f>sales_data!A3127</f>
        <v>2644</v>
      </c>
      <c r="M110">
        <f>sales_data!B3127</f>
        <v>45686</v>
      </c>
      <c r="N110">
        <f>sales_data!C3127</f>
        <v>29</v>
      </c>
      <c r="O110" t="str">
        <f>sales_data!D3127</f>
        <v>Январь</v>
      </c>
      <c r="P110" t="str">
        <f>sales_data!E3127</f>
        <v>Елена</v>
      </c>
      <c r="Q110" t="str">
        <f>sales_data!F3127</f>
        <v>Нижний Новгород</v>
      </c>
      <c r="R110" t="str">
        <f>sales_data!G3127</f>
        <v>Приволжский</v>
      </c>
      <c r="S110" t="str">
        <f>sales_data!H3127</f>
        <v>Серверы</v>
      </c>
      <c r="T110" t="str">
        <f>sales_data!I3127</f>
        <v>Network Switch</v>
      </c>
      <c r="U110" t="str">
        <f>sales_data!J3127</f>
        <v>Опт</v>
      </c>
      <c r="V110">
        <f>sales_data!K3127</f>
        <v>11</v>
      </c>
      <c r="W110">
        <f>sales_data!L3127</f>
        <v>20600</v>
      </c>
      <c r="X110">
        <f>sales_data!M3127</f>
        <v>226600</v>
      </c>
      <c r="Y110" t="str">
        <f>sales_data!N3127</f>
        <v>Интернет-магазин</v>
      </c>
      <c r="Z110" t="str">
        <f>sales_data!O3127</f>
        <v>Доставлен</v>
      </c>
    </row>
    <row r="111" spans="12:26" x14ac:dyDescent="0.25">
      <c r="L111">
        <f>sales_data!A3199</f>
        <v>2296</v>
      </c>
      <c r="M111">
        <f>sales_data!B3199</f>
        <v>45972</v>
      </c>
      <c r="N111">
        <f>sales_data!C3199</f>
        <v>11</v>
      </c>
      <c r="O111" t="str">
        <f>sales_data!D3199</f>
        <v>Ноябрь</v>
      </c>
      <c r="P111" t="str">
        <f>sales_data!E3199</f>
        <v>Борис</v>
      </c>
      <c r="Q111" t="str">
        <f>sales_data!F3199</f>
        <v>Уфа</v>
      </c>
      <c r="R111" t="str">
        <f>sales_data!G3199</f>
        <v>Приволжский</v>
      </c>
      <c r="S111" t="str">
        <f>sales_data!H3199</f>
        <v>Серверы</v>
      </c>
      <c r="T111" t="str">
        <f>sales_data!I3199</f>
        <v>Network Switch</v>
      </c>
      <c r="U111" t="str">
        <f>sales_data!J3199</f>
        <v>Опт</v>
      </c>
      <c r="V111">
        <f>sales_data!K3199</f>
        <v>44</v>
      </c>
      <c r="W111">
        <f>sales_data!L3199</f>
        <v>21800</v>
      </c>
      <c r="X111">
        <f>sales_data!M3199</f>
        <v>959200</v>
      </c>
      <c r="Y111" t="str">
        <f>sales_data!N3199</f>
        <v>Офлайн-точка</v>
      </c>
      <c r="Z111" t="str">
        <f>sales_data!O3199</f>
        <v>В пути</v>
      </c>
    </row>
    <row r="112" spans="12:26" x14ac:dyDescent="0.25">
      <c r="L112">
        <f>sales_data!A3211</f>
        <v>255</v>
      </c>
      <c r="M112">
        <f>sales_data!B3211</f>
        <v>45968</v>
      </c>
      <c r="N112">
        <f>sales_data!C3211</f>
        <v>7</v>
      </c>
      <c r="O112" t="str">
        <f>sales_data!D3211</f>
        <v>Ноябрь</v>
      </c>
      <c r="P112" t="str">
        <f>sales_data!E3211</f>
        <v>Ксения</v>
      </c>
      <c r="Q112" t="str">
        <f>sales_data!F3211</f>
        <v>Самара</v>
      </c>
      <c r="R112" t="str">
        <f>sales_data!G3211</f>
        <v>Приволжский</v>
      </c>
      <c r="S112" t="str">
        <f>sales_data!H3211</f>
        <v>Мониторы</v>
      </c>
      <c r="T112" t="str">
        <f>sales_data!I3211</f>
        <v>Monitor 32</v>
      </c>
      <c r="U112" t="str">
        <f>sales_data!J3211</f>
        <v>Опт</v>
      </c>
      <c r="V112">
        <f>sales_data!K3211</f>
        <v>15</v>
      </c>
      <c r="W112">
        <f>sales_data!L3211</f>
        <v>22000</v>
      </c>
      <c r="X112">
        <f>sales_data!M3211</f>
        <v>330000</v>
      </c>
      <c r="Y112" t="str">
        <f>sales_data!N3211</f>
        <v>Офлайн-точка</v>
      </c>
      <c r="Z112" t="str">
        <f>sales_data!O3211</f>
        <v>Отменён</v>
      </c>
    </row>
    <row r="113" spans="12:26" x14ac:dyDescent="0.25">
      <c r="L113">
        <f>sales_data!A3281</f>
        <v>4009</v>
      </c>
      <c r="M113">
        <f>sales_data!B3281</f>
        <v>45698</v>
      </c>
      <c r="N113">
        <f>sales_data!C3281</f>
        <v>10</v>
      </c>
      <c r="O113" t="str">
        <f>sales_data!D3281</f>
        <v>Февраль</v>
      </c>
      <c r="P113" t="str">
        <f>sales_data!E3281</f>
        <v>Сергей</v>
      </c>
      <c r="Q113" t="str">
        <f>sales_data!F3281</f>
        <v>Омск</v>
      </c>
      <c r="R113" t="str">
        <f>sales_data!G3281</f>
        <v>Сибирский</v>
      </c>
      <c r="S113" t="str">
        <f>sales_data!H3281</f>
        <v>Мониторы</v>
      </c>
      <c r="T113" t="str">
        <f>sales_data!I3281</f>
        <v>Monitor 32</v>
      </c>
      <c r="U113" t="str">
        <f>sales_data!J3281</f>
        <v>Опт</v>
      </c>
      <c r="V113">
        <f>sales_data!K3281</f>
        <v>10</v>
      </c>
      <c r="W113">
        <f>sales_data!L3281</f>
        <v>23200</v>
      </c>
      <c r="X113">
        <f>sales_data!M3281</f>
        <v>232000</v>
      </c>
      <c r="Y113" t="str">
        <f>sales_data!N3281</f>
        <v>Интернет-магазин</v>
      </c>
      <c r="Z113" t="str">
        <f>sales_data!O3281</f>
        <v>В пути</v>
      </c>
    </row>
    <row r="114" spans="12:26" x14ac:dyDescent="0.25">
      <c r="L114">
        <f>sales_data!A3318</f>
        <v>3002</v>
      </c>
      <c r="M114">
        <f>sales_data!B3318</f>
        <v>45673</v>
      </c>
      <c r="N114">
        <f>sales_data!C3318</f>
        <v>16</v>
      </c>
      <c r="O114" t="str">
        <f>sales_data!D3318</f>
        <v>Январь</v>
      </c>
      <c r="P114" t="str">
        <f>sales_data!E3318</f>
        <v>Ксения</v>
      </c>
      <c r="Q114" t="str">
        <f>sales_data!F3318</f>
        <v>Казань</v>
      </c>
      <c r="R114" t="str">
        <f>sales_data!G3318</f>
        <v>Приволжский</v>
      </c>
      <c r="S114" t="str">
        <f>sales_data!H3318</f>
        <v>Серверы</v>
      </c>
      <c r="T114" t="str">
        <f>sales_data!I3318</f>
        <v>Network Switch</v>
      </c>
      <c r="U114" t="str">
        <f>sales_data!J3318</f>
        <v>Розница</v>
      </c>
      <c r="V114">
        <f>sales_data!K3318</f>
        <v>2</v>
      </c>
      <c r="W114">
        <f>sales_data!L3318</f>
        <v>23900</v>
      </c>
      <c r="X114">
        <f>sales_data!M3318</f>
        <v>47800</v>
      </c>
      <c r="Y114" t="str">
        <f>sales_data!N3318</f>
        <v>Офлайн-точка</v>
      </c>
      <c r="Z114" t="str">
        <f>sales_data!O3318</f>
        <v>Доставлен</v>
      </c>
    </row>
    <row r="115" spans="12:26" x14ac:dyDescent="0.25">
      <c r="L115">
        <f>sales_data!A3348</f>
        <v>102</v>
      </c>
      <c r="M115">
        <f>sales_data!B3348</f>
        <v>45805</v>
      </c>
      <c r="N115">
        <f>sales_data!C3348</f>
        <v>28</v>
      </c>
      <c r="O115" t="str">
        <f>sales_data!D3348</f>
        <v>Май</v>
      </c>
      <c r="P115" t="str">
        <f>sales_data!E3348</f>
        <v>Алексей</v>
      </c>
      <c r="Q115" t="str">
        <f>sales_data!F3348</f>
        <v>Екатеринбург</v>
      </c>
      <c r="R115" t="str">
        <f>sales_data!G3348</f>
        <v>Уральский</v>
      </c>
      <c r="S115" t="str">
        <f>sales_data!H3348</f>
        <v>Серверы</v>
      </c>
      <c r="T115" t="str">
        <f>sales_data!I3348</f>
        <v>Network Switch</v>
      </c>
      <c r="U115" t="str">
        <f>sales_data!J3348</f>
        <v>Розница</v>
      </c>
      <c r="V115">
        <f>sales_data!K3348</f>
        <v>4</v>
      </c>
      <c r="W115">
        <f>sales_data!L3348</f>
        <v>24500</v>
      </c>
      <c r="X115">
        <f>sales_data!M3348</f>
        <v>98000</v>
      </c>
      <c r="Y115" t="str">
        <f>sales_data!N3348</f>
        <v>Офлайн-точка</v>
      </c>
      <c r="Z115" t="str">
        <f>sales_data!O3348</f>
        <v>Отменён</v>
      </c>
    </row>
    <row r="116" spans="12:26" x14ac:dyDescent="0.25">
      <c r="L116">
        <f>sales_data!A3355</f>
        <v>4290</v>
      </c>
      <c r="M116">
        <f>sales_data!B3355</f>
        <v>45998</v>
      </c>
      <c r="N116">
        <f>sales_data!C3355</f>
        <v>7</v>
      </c>
      <c r="O116" t="str">
        <f>sales_data!D3355</f>
        <v>Декабрь</v>
      </c>
      <c r="P116" t="str">
        <f>sales_data!E3355</f>
        <v>Мария</v>
      </c>
      <c r="Q116" t="str">
        <f>sales_data!F3355</f>
        <v>Новосибирск</v>
      </c>
      <c r="R116" t="str">
        <f>sales_data!G3355</f>
        <v>Сибирский</v>
      </c>
      <c r="S116" t="str">
        <f>sales_data!H3355</f>
        <v>Мониторы</v>
      </c>
      <c r="T116" t="str">
        <f>sales_data!I3355</f>
        <v>Monitor 32</v>
      </c>
      <c r="U116" t="str">
        <f>sales_data!J3355</f>
        <v>Опт</v>
      </c>
      <c r="V116">
        <f>sales_data!K3355</f>
        <v>45</v>
      </c>
      <c r="W116">
        <f>sales_data!L3355</f>
        <v>24500</v>
      </c>
      <c r="X116">
        <f>sales_data!M3355</f>
        <v>1102500</v>
      </c>
      <c r="Y116" t="str">
        <f>sales_data!N3355</f>
        <v>Офлайн-точка</v>
      </c>
      <c r="Z116" t="str">
        <f>sales_data!O3355</f>
        <v>В пути</v>
      </c>
    </row>
    <row r="117" spans="12:26" x14ac:dyDescent="0.25">
      <c r="L117">
        <f>sales_data!A3422</f>
        <v>2346</v>
      </c>
      <c r="M117">
        <f>sales_data!B3422</f>
        <v>45988</v>
      </c>
      <c r="N117">
        <f>sales_data!C3422</f>
        <v>27</v>
      </c>
      <c r="O117" t="str">
        <f>sales_data!D3422</f>
        <v>Ноябрь</v>
      </c>
      <c r="P117" t="str">
        <f>sales_data!E3422</f>
        <v>Павел</v>
      </c>
      <c r="Q117" t="str">
        <f>sales_data!F3422</f>
        <v>Уфа</v>
      </c>
      <c r="R117" t="str">
        <f>sales_data!G3422</f>
        <v>Приволжский</v>
      </c>
      <c r="S117" t="str">
        <f>sales_data!H3422</f>
        <v>Серверы</v>
      </c>
      <c r="T117" t="str">
        <f>sales_data!I3422</f>
        <v>Network Switch</v>
      </c>
      <c r="U117" t="str">
        <f>sales_data!J3422</f>
        <v>Розница</v>
      </c>
      <c r="V117">
        <f>sales_data!K3422</f>
        <v>3</v>
      </c>
      <c r="W117">
        <f>sales_data!L3422</f>
        <v>26400</v>
      </c>
      <c r="X117">
        <f>sales_data!M3422</f>
        <v>79200</v>
      </c>
      <c r="Y117" t="str">
        <f>sales_data!N3422</f>
        <v>Офлайн-точка</v>
      </c>
      <c r="Z117" t="str">
        <f>sales_data!O3422</f>
        <v>В пути</v>
      </c>
    </row>
    <row r="118" spans="12:26" x14ac:dyDescent="0.25">
      <c r="L118">
        <f>sales_data!A3446</f>
        <v>2838</v>
      </c>
      <c r="M118">
        <f>sales_data!B3446</f>
        <v>45727</v>
      </c>
      <c r="N118">
        <f>sales_data!C3446</f>
        <v>11</v>
      </c>
      <c r="O118" t="str">
        <f>sales_data!D3446</f>
        <v>Март</v>
      </c>
      <c r="P118" t="str">
        <f>sales_data!E3446</f>
        <v>Елена</v>
      </c>
      <c r="Q118" t="str">
        <f>sales_data!F3446</f>
        <v>Новосибирск</v>
      </c>
      <c r="R118" t="str">
        <f>sales_data!G3446</f>
        <v>Сибирский</v>
      </c>
      <c r="S118" t="str">
        <f>sales_data!H3446</f>
        <v>Серверы</v>
      </c>
      <c r="T118" t="str">
        <f>sales_data!I3446</f>
        <v>Network Switch</v>
      </c>
      <c r="U118" t="str">
        <f>sales_data!J3446</f>
        <v>Розница</v>
      </c>
      <c r="V118">
        <f>sales_data!K3446</f>
        <v>7</v>
      </c>
      <c r="W118">
        <f>sales_data!L3446</f>
        <v>27000</v>
      </c>
      <c r="X118">
        <f>sales_data!M3446</f>
        <v>189000</v>
      </c>
      <c r="Y118" t="str">
        <f>sales_data!N3446</f>
        <v>Интернет-магазин</v>
      </c>
      <c r="Z118" t="str">
        <f>sales_data!O3446</f>
        <v>В пути</v>
      </c>
    </row>
    <row r="119" spans="12:26" x14ac:dyDescent="0.25">
      <c r="L119">
        <f>sales_data!A3461</f>
        <v>3154</v>
      </c>
      <c r="M119">
        <f>sales_data!B3461</f>
        <v>45765</v>
      </c>
      <c r="N119">
        <f>sales_data!C3461</f>
        <v>18</v>
      </c>
      <c r="O119" t="str">
        <f>sales_data!D3461</f>
        <v>Апрель</v>
      </c>
      <c r="P119" t="str">
        <f>sales_data!E3461</f>
        <v>Павел</v>
      </c>
      <c r="Q119" t="str">
        <f>sales_data!F3461</f>
        <v>Москва</v>
      </c>
      <c r="R119" t="str">
        <f>sales_data!G3461</f>
        <v>Центральный</v>
      </c>
      <c r="S119" t="str">
        <f>sales_data!H3461</f>
        <v>Мониторы</v>
      </c>
      <c r="T119" t="str">
        <f>sales_data!I3461</f>
        <v>Monitor 32</v>
      </c>
      <c r="U119" t="str">
        <f>sales_data!J3461</f>
        <v>Розница</v>
      </c>
      <c r="V119">
        <f>sales_data!K3461</f>
        <v>5</v>
      </c>
      <c r="W119">
        <f>sales_data!L3461</f>
        <v>27500</v>
      </c>
      <c r="X119">
        <f>sales_data!M3461</f>
        <v>137500</v>
      </c>
      <c r="Y119" t="str">
        <f>sales_data!N3461</f>
        <v>Офлайн-точка</v>
      </c>
      <c r="Z119" t="str">
        <f>sales_data!O3461</f>
        <v>В пути</v>
      </c>
    </row>
    <row r="120" spans="12:26" x14ac:dyDescent="0.25">
      <c r="L120">
        <f>sales_data!A3543</f>
        <v>2734</v>
      </c>
      <c r="M120">
        <f>sales_data!B3543</f>
        <v>45921</v>
      </c>
      <c r="N120">
        <f>sales_data!C3543</f>
        <v>21</v>
      </c>
      <c r="O120" t="str">
        <f>sales_data!D3543</f>
        <v>Сентябрь</v>
      </c>
      <c r="P120" t="str">
        <f>sales_data!E3543</f>
        <v>Анна</v>
      </c>
      <c r="Q120" t="str">
        <f>sales_data!F3543</f>
        <v>Ростов-на-Дону</v>
      </c>
      <c r="R120" t="str">
        <f>sales_data!G3543</f>
        <v>Южный</v>
      </c>
      <c r="S120" t="str">
        <f>sales_data!H3543</f>
        <v>Серверы</v>
      </c>
      <c r="T120" t="str">
        <f>sales_data!I3543</f>
        <v>Firewall</v>
      </c>
      <c r="U120" t="str">
        <f>sales_data!J3543</f>
        <v>Опт</v>
      </c>
      <c r="V120">
        <f>sales_data!K3543</f>
        <v>11</v>
      </c>
      <c r="W120">
        <f>sales_data!L3543</f>
        <v>36600</v>
      </c>
      <c r="X120">
        <f>sales_data!M3543</f>
        <v>402600</v>
      </c>
      <c r="Y120" t="str">
        <f>sales_data!N3543</f>
        <v>Интернет-магазин</v>
      </c>
      <c r="Z120" t="str">
        <f>sales_data!O3543</f>
        <v>Доставлен</v>
      </c>
    </row>
    <row r="121" spans="12:26" x14ac:dyDescent="0.25">
      <c r="L121">
        <f>sales_data!A3558</f>
        <v>128</v>
      </c>
      <c r="M121">
        <f>sales_data!B3558</f>
        <v>45681</v>
      </c>
      <c r="N121">
        <f>sales_data!C3558</f>
        <v>24</v>
      </c>
      <c r="O121" t="str">
        <f>sales_data!D3558</f>
        <v>Январь</v>
      </c>
      <c r="P121" t="str">
        <f>sales_data!E3558</f>
        <v>Игорь</v>
      </c>
      <c r="Q121" t="str">
        <f>sales_data!F3558</f>
        <v>Красноярск</v>
      </c>
      <c r="R121" t="str">
        <f>sales_data!G3558</f>
        <v>Сибирский</v>
      </c>
      <c r="S121" t="str">
        <f>sales_data!H3558</f>
        <v>Ноутбуки</v>
      </c>
      <c r="T121" t="str">
        <f>sales_data!I3558</f>
        <v>Notebook Lite</v>
      </c>
      <c r="U121" t="str">
        <f>sales_data!J3558</f>
        <v>Опт</v>
      </c>
      <c r="V121">
        <f>sales_data!K3558</f>
        <v>28</v>
      </c>
      <c r="W121">
        <f>sales_data!L3558</f>
        <v>37200</v>
      </c>
      <c r="X121">
        <f>sales_data!M3558</f>
        <v>1041600</v>
      </c>
      <c r="Y121" t="str">
        <f>sales_data!N3558</f>
        <v>Офлайн-точка</v>
      </c>
      <c r="Z121" t="str">
        <f>sales_data!O3558</f>
        <v>Доставлен</v>
      </c>
    </row>
    <row r="122" spans="12:26" x14ac:dyDescent="0.25">
      <c r="L122">
        <f>sales_data!A3580</f>
        <v>1320</v>
      </c>
      <c r="M122">
        <f>sales_data!B3580</f>
        <v>45804</v>
      </c>
      <c r="N122">
        <f>sales_data!C3580</f>
        <v>27</v>
      </c>
      <c r="O122" t="str">
        <f>sales_data!D3580</f>
        <v>Май</v>
      </c>
      <c r="P122" t="str">
        <f>sales_data!E3580</f>
        <v>Игорь</v>
      </c>
      <c r="Q122" t="str">
        <f>sales_data!F3580</f>
        <v>Воронеж</v>
      </c>
      <c r="R122" t="str">
        <f>sales_data!G3580</f>
        <v>Центральный</v>
      </c>
      <c r="S122" t="str">
        <f>sales_data!H3580</f>
        <v>Ноутбуки</v>
      </c>
      <c r="T122" t="str">
        <f>sales_data!I3580</f>
        <v>Notebook Lite</v>
      </c>
      <c r="U122" t="str">
        <f>sales_data!J3580</f>
        <v>Опт</v>
      </c>
      <c r="V122">
        <f>sales_data!K3580</f>
        <v>47</v>
      </c>
      <c r="W122">
        <f>sales_data!L3580</f>
        <v>37900</v>
      </c>
      <c r="X122">
        <f>sales_data!M3580</f>
        <v>1781300</v>
      </c>
      <c r="Y122" t="str">
        <f>sales_data!N3580</f>
        <v>Офлайн-точка</v>
      </c>
      <c r="Z122" t="str">
        <f>sales_data!O3580</f>
        <v>В пути</v>
      </c>
    </row>
    <row r="123" spans="12:26" x14ac:dyDescent="0.25">
      <c r="L123">
        <f>sales_data!A3582</f>
        <v>1999</v>
      </c>
      <c r="M123">
        <f>sales_data!B3582</f>
        <v>45772</v>
      </c>
      <c r="N123">
        <f>sales_data!C3582</f>
        <v>25</v>
      </c>
      <c r="O123" t="str">
        <f>sales_data!D3582</f>
        <v>Апрель</v>
      </c>
      <c r="P123" t="str">
        <f>sales_data!E3582</f>
        <v>Игорь</v>
      </c>
      <c r="Q123" t="str">
        <f>sales_data!F3582</f>
        <v>Пермь</v>
      </c>
      <c r="R123" t="str">
        <f>sales_data!G3582</f>
        <v>Приволжский</v>
      </c>
      <c r="S123" t="str">
        <f>sales_data!H3582</f>
        <v>Серверы</v>
      </c>
      <c r="T123" t="str">
        <f>sales_data!I3582</f>
        <v>Firewall</v>
      </c>
      <c r="U123" t="str">
        <f>sales_data!J3582</f>
        <v>Опт</v>
      </c>
      <c r="V123">
        <f>sales_data!K3582</f>
        <v>19</v>
      </c>
      <c r="W123">
        <f>sales_data!L3582</f>
        <v>37900</v>
      </c>
      <c r="X123">
        <f>sales_data!M3582</f>
        <v>720100</v>
      </c>
      <c r="Y123" t="str">
        <f>sales_data!N3582</f>
        <v>Офлайн-точка</v>
      </c>
      <c r="Z123" t="str">
        <f>sales_data!O3582</f>
        <v>Отменён</v>
      </c>
    </row>
    <row r="124" spans="12:26" x14ac:dyDescent="0.25">
      <c r="L124">
        <f>sales_data!A3586</f>
        <v>1757</v>
      </c>
      <c r="M124">
        <f>sales_data!B3586</f>
        <v>45765</v>
      </c>
      <c r="N124">
        <f>sales_data!C3586</f>
        <v>18</v>
      </c>
      <c r="O124" t="str">
        <f>sales_data!D3586</f>
        <v>Апрель</v>
      </c>
      <c r="P124" t="str">
        <f>sales_data!E3586</f>
        <v>Борис</v>
      </c>
      <c r="Q124" t="str">
        <f>sales_data!F3586</f>
        <v>Челябинск</v>
      </c>
      <c r="R124" t="str">
        <f>sales_data!G3586</f>
        <v>Уральский</v>
      </c>
      <c r="S124" t="str">
        <f>sales_data!H3586</f>
        <v>Серверы</v>
      </c>
      <c r="T124" t="str">
        <f>sales_data!I3586</f>
        <v>Firewall</v>
      </c>
      <c r="U124" t="str">
        <f>sales_data!J3586</f>
        <v>Опт</v>
      </c>
      <c r="V124">
        <f>sales_data!K3586</f>
        <v>25</v>
      </c>
      <c r="W124">
        <f>sales_data!L3586</f>
        <v>38000</v>
      </c>
      <c r="X124">
        <f>sales_data!M3586</f>
        <v>950000</v>
      </c>
      <c r="Y124" t="str">
        <f>sales_data!N3586</f>
        <v>Офлайн-точка</v>
      </c>
      <c r="Z124" t="str">
        <f>sales_data!O3586</f>
        <v>Доставлен</v>
      </c>
    </row>
    <row r="125" spans="12:26" x14ac:dyDescent="0.25">
      <c r="L125">
        <f>sales_data!A3624</f>
        <v>4519</v>
      </c>
      <c r="M125">
        <f>sales_data!B3624</f>
        <v>45665</v>
      </c>
      <c r="N125">
        <f>sales_data!C3624</f>
        <v>8</v>
      </c>
      <c r="O125" t="str">
        <f>sales_data!D3624</f>
        <v>Январь</v>
      </c>
      <c r="P125" t="str">
        <f>sales_data!E3624</f>
        <v>Анна</v>
      </c>
      <c r="Q125" t="str">
        <f>sales_data!F3624</f>
        <v>Красноярск</v>
      </c>
      <c r="R125" t="str">
        <f>sales_data!G3624</f>
        <v>Сибирский</v>
      </c>
      <c r="S125" t="str">
        <f>sales_data!H3624</f>
        <v>Серверы</v>
      </c>
      <c r="T125" t="str">
        <f>sales_data!I3624</f>
        <v>Firewall</v>
      </c>
      <c r="U125" t="str">
        <f>sales_data!J3624</f>
        <v>Опт</v>
      </c>
      <c r="V125">
        <f>sales_data!K3624</f>
        <v>14</v>
      </c>
      <c r="W125">
        <f>sales_data!L3624</f>
        <v>38900</v>
      </c>
      <c r="X125">
        <f>sales_data!M3624</f>
        <v>544600</v>
      </c>
      <c r="Y125" t="str">
        <f>sales_data!N3624</f>
        <v>Офлайн-точка</v>
      </c>
      <c r="Z125" t="str">
        <f>sales_data!O3624</f>
        <v>Доставлен</v>
      </c>
    </row>
    <row r="126" spans="12:26" x14ac:dyDescent="0.25">
      <c r="L126">
        <f>sales_data!A3649</f>
        <v>240</v>
      </c>
      <c r="M126">
        <f>sales_data!B3649</f>
        <v>45985</v>
      </c>
      <c r="N126">
        <f>sales_data!C3649</f>
        <v>24</v>
      </c>
      <c r="O126" t="str">
        <f>sales_data!D3649</f>
        <v>Ноябрь</v>
      </c>
      <c r="P126" t="str">
        <f>sales_data!E3649</f>
        <v>Анна</v>
      </c>
      <c r="Q126" t="str">
        <f>sales_data!F3649</f>
        <v>Челябинск</v>
      </c>
      <c r="R126" t="str">
        <f>sales_data!G3649</f>
        <v>Уральский</v>
      </c>
      <c r="S126" t="str">
        <f>sales_data!H3649</f>
        <v>Серверы</v>
      </c>
      <c r="T126" t="str">
        <f>sales_data!I3649</f>
        <v>Firewall</v>
      </c>
      <c r="U126" t="str">
        <f>sales_data!J3649</f>
        <v>Опт</v>
      </c>
      <c r="V126">
        <f>sales_data!K3649</f>
        <v>46</v>
      </c>
      <c r="W126">
        <f>sales_data!L3649</f>
        <v>39900</v>
      </c>
      <c r="X126">
        <f>sales_data!M3649</f>
        <v>1835400</v>
      </c>
      <c r="Y126" t="str">
        <f>sales_data!N3649</f>
        <v>Офлайн-точка</v>
      </c>
      <c r="Z126" t="str">
        <f>sales_data!O3649</f>
        <v>В пути</v>
      </c>
    </row>
    <row r="127" spans="12:26" x14ac:dyDescent="0.25">
      <c r="L127">
        <f>sales_data!A3758</f>
        <v>1822</v>
      </c>
      <c r="M127">
        <f>sales_data!B3758</f>
        <v>45836</v>
      </c>
      <c r="N127">
        <f>sales_data!C3758</f>
        <v>28</v>
      </c>
      <c r="O127" t="str">
        <f>sales_data!D3758</f>
        <v>Июнь</v>
      </c>
      <c r="P127" t="str">
        <f>sales_data!E3758</f>
        <v>Алексей</v>
      </c>
      <c r="Q127" t="str">
        <f>sales_data!F3758</f>
        <v>Уфа</v>
      </c>
      <c r="R127" t="str">
        <f>sales_data!G3758</f>
        <v>Приволжский</v>
      </c>
      <c r="S127" t="str">
        <f>sales_data!H3758</f>
        <v>Серверы</v>
      </c>
      <c r="T127" t="str">
        <f>sales_data!I3758</f>
        <v>Firewall</v>
      </c>
      <c r="U127" t="str">
        <f>sales_data!J3758</f>
        <v>Розница</v>
      </c>
      <c r="V127">
        <f>sales_data!K3758</f>
        <v>8</v>
      </c>
      <c r="W127">
        <f>sales_data!L3758</f>
        <v>45200</v>
      </c>
      <c r="X127">
        <f>sales_data!M3758</f>
        <v>361600</v>
      </c>
      <c r="Y127" t="str">
        <f>sales_data!N3758</f>
        <v>Офлайн-точка</v>
      </c>
      <c r="Z127" t="str">
        <f>sales_data!O3758</f>
        <v>Отменён</v>
      </c>
    </row>
    <row r="128" spans="12:26" x14ac:dyDescent="0.25">
      <c r="L128">
        <f>sales_data!A3769</f>
        <v>4253</v>
      </c>
      <c r="M128">
        <f>sales_data!B3769</f>
        <v>45820</v>
      </c>
      <c r="N128">
        <f>sales_data!C3769</f>
        <v>12</v>
      </c>
      <c r="O128" t="str">
        <f>sales_data!D3769</f>
        <v>Июнь</v>
      </c>
      <c r="P128" t="str">
        <f>sales_data!E3769</f>
        <v>Светлана</v>
      </c>
      <c r="Q128" t="str">
        <f>sales_data!F3769</f>
        <v>Челябинск</v>
      </c>
      <c r="R128" t="str">
        <f>sales_data!G3769</f>
        <v>Уральский</v>
      </c>
      <c r="S128" t="str">
        <f>sales_data!H3769</f>
        <v>Серверы</v>
      </c>
      <c r="T128" t="str">
        <f>sales_data!I3769</f>
        <v>Firewall</v>
      </c>
      <c r="U128" t="str">
        <f>sales_data!J3769</f>
        <v>Розница</v>
      </c>
      <c r="V128">
        <f>sales_data!K3769</f>
        <v>2</v>
      </c>
      <c r="W128">
        <f>sales_data!L3769</f>
        <v>45500</v>
      </c>
      <c r="X128">
        <f>sales_data!M3769</f>
        <v>91000</v>
      </c>
      <c r="Y128" t="str">
        <f>sales_data!N3769</f>
        <v>Интернет-магазин</v>
      </c>
      <c r="Z128" t="str">
        <f>sales_data!O3769</f>
        <v>Доставлен</v>
      </c>
    </row>
    <row r="129" spans="12:26" x14ac:dyDescent="0.25">
      <c r="L129">
        <f>sales_data!A3823</f>
        <v>398</v>
      </c>
      <c r="M129">
        <f>sales_data!B3823</f>
        <v>45926</v>
      </c>
      <c r="N129">
        <f>sales_data!C3823</f>
        <v>26</v>
      </c>
      <c r="O129" t="str">
        <f>sales_data!D3823</f>
        <v>Сентябрь</v>
      </c>
      <c r="P129" t="str">
        <f>sales_data!E3823</f>
        <v>Борис</v>
      </c>
      <c r="Q129" t="str">
        <f>sales_data!F3823</f>
        <v>Екатеринбург</v>
      </c>
      <c r="R129" t="str">
        <f>sales_data!G3823</f>
        <v>Уральский</v>
      </c>
      <c r="S129" t="str">
        <f>sales_data!H3823</f>
        <v>Серверы</v>
      </c>
      <c r="T129" t="str">
        <f>sales_data!I3823</f>
        <v>Firewall</v>
      </c>
      <c r="U129" t="str">
        <f>sales_data!J3823</f>
        <v>Розница</v>
      </c>
      <c r="V129">
        <f>sales_data!K3823</f>
        <v>8</v>
      </c>
      <c r="W129">
        <f>sales_data!L3823</f>
        <v>48000</v>
      </c>
      <c r="X129">
        <f>sales_data!M3823</f>
        <v>384000</v>
      </c>
      <c r="Y129" t="str">
        <f>sales_data!N3823</f>
        <v>Офлайн-точка</v>
      </c>
      <c r="Z129" t="str">
        <f>sales_data!O3823</f>
        <v>Отменён</v>
      </c>
    </row>
    <row r="130" spans="12:26" x14ac:dyDescent="0.25">
      <c r="L130">
        <f>sales_data!A3841</f>
        <v>1041</v>
      </c>
      <c r="M130">
        <f>sales_data!B3841</f>
        <v>45999</v>
      </c>
      <c r="N130">
        <f>sales_data!C3841</f>
        <v>8</v>
      </c>
      <c r="O130" t="str">
        <f>sales_data!D3841</f>
        <v>Декабрь</v>
      </c>
      <c r="P130" t="str">
        <f>sales_data!E3841</f>
        <v>Наталья</v>
      </c>
      <c r="Q130" t="str">
        <f>sales_data!F3841</f>
        <v>Пермь</v>
      </c>
      <c r="R130" t="str">
        <f>sales_data!G3841</f>
        <v>Приволжский</v>
      </c>
      <c r="S130" t="str">
        <f>sales_data!H3841</f>
        <v>Серверы</v>
      </c>
      <c r="T130" t="str">
        <f>sales_data!I3841</f>
        <v>Firewall</v>
      </c>
      <c r="U130" t="str">
        <f>sales_data!J3841</f>
        <v>Розница</v>
      </c>
      <c r="V130">
        <f>sales_data!K3841</f>
        <v>7</v>
      </c>
      <c r="W130">
        <f>sales_data!L3841</f>
        <v>48800</v>
      </c>
      <c r="X130">
        <f>sales_data!M3841</f>
        <v>341600</v>
      </c>
      <c r="Y130" t="str">
        <f>sales_data!N3841</f>
        <v>Интернет-магазин</v>
      </c>
      <c r="Z130" t="str">
        <f>sales_data!O3841</f>
        <v>Доставлен</v>
      </c>
    </row>
    <row r="131" spans="12:26" x14ac:dyDescent="0.25">
      <c r="L131">
        <f>sales_data!A3883</f>
        <v>3647</v>
      </c>
      <c r="M131">
        <f>sales_data!B3883</f>
        <v>45904</v>
      </c>
      <c r="N131">
        <f>sales_data!C3883</f>
        <v>4</v>
      </c>
      <c r="O131" t="str">
        <f>sales_data!D3883</f>
        <v>Сентябрь</v>
      </c>
      <c r="P131" t="str">
        <f>sales_data!E3883</f>
        <v>Светлана</v>
      </c>
      <c r="Q131" t="str">
        <f>sales_data!F3883</f>
        <v>Москва</v>
      </c>
      <c r="R131" t="str">
        <f>sales_data!G3883</f>
        <v>Центральный</v>
      </c>
      <c r="S131" t="str">
        <f>sales_data!H3883</f>
        <v>Ноутбуки</v>
      </c>
      <c r="T131" t="str">
        <f>sales_data!I3883</f>
        <v>Notebook Air</v>
      </c>
      <c r="U131" t="str">
        <f>sales_data!J3883</f>
        <v>Опт</v>
      </c>
      <c r="V131">
        <f>sales_data!K3883</f>
        <v>13</v>
      </c>
      <c r="W131">
        <f>sales_data!L3883</f>
        <v>51700</v>
      </c>
      <c r="X131">
        <f>sales_data!M3883</f>
        <v>672100</v>
      </c>
      <c r="Y131" t="str">
        <f>sales_data!N3883</f>
        <v>Интернет-магазин</v>
      </c>
      <c r="Z131" t="str">
        <f>sales_data!O3883</f>
        <v>В пути</v>
      </c>
    </row>
    <row r="132" spans="12:26" x14ac:dyDescent="0.25">
      <c r="L132">
        <f>sales_data!A3916</f>
        <v>3740</v>
      </c>
      <c r="M132">
        <f>sales_data!B3916</f>
        <v>45667</v>
      </c>
      <c r="N132">
        <f>sales_data!C3916</f>
        <v>10</v>
      </c>
      <c r="O132" t="str">
        <f>sales_data!D3916</f>
        <v>Январь</v>
      </c>
      <c r="P132" t="str">
        <f>sales_data!E3916</f>
        <v>Алексей</v>
      </c>
      <c r="Q132" t="str">
        <f>sales_data!F3916</f>
        <v>Пермь</v>
      </c>
      <c r="R132" t="str">
        <f>sales_data!G3916</f>
        <v>Приволжский</v>
      </c>
      <c r="S132" t="str">
        <f>sales_data!H3916</f>
        <v>Ноутбуки</v>
      </c>
      <c r="T132" t="str">
        <f>sales_data!I3916</f>
        <v>Notebook Air</v>
      </c>
      <c r="U132" t="str">
        <f>sales_data!J3916</f>
        <v>Розница</v>
      </c>
      <c r="V132">
        <f>sales_data!K3916</f>
        <v>3</v>
      </c>
      <c r="W132">
        <f>sales_data!L3916</f>
        <v>56000</v>
      </c>
      <c r="X132">
        <f>sales_data!M3916</f>
        <v>168000</v>
      </c>
      <c r="Y132" t="str">
        <f>sales_data!N3916</f>
        <v>Офлайн-точка</v>
      </c>
      <c r="Z132" t="str">
        <f>sales_data!O3916</f>
        <v>Отменён</v>
      </c>
    </row>
    <row r="133" spans="12:26" x14ac:dyDescent="0.25">
      <c r="L133">
        <f>sales_data!A3927</f>
        <v>3512</v>
      </c>
      <c r="M133">
        <f>sales_data!B3927</f>
        <v>45888</v>
      </c>
      <c r="N133">
        <f>sales_data!C3927</f>
        <v>19</v>
      </c>
      <c r="O133" t="str">
        <f>sales_data!D3927</f>
        <v>Август</v>
      </c>
      <c r="P133" t="str">
        <f>sales_data!E3927</f>
        <v>Мария</v>
      </c>
      <c r="Q133" t="str">
        <f>sales_data!F3927</f>
        <v>Екатеринбург</v>
      </c>
      <c r="R133" t="str">
        <f>sales_data!G3927</f>
        <v>Уральский</v>
      </c>
      <c r="S133" t="str">
        <f>sales_data!H3927</f>
        <v>Ноутбуки</v>
      </c>
      <c r="T133" t="str">
        <f>sales_data!I3927</f>
        <v>Notebook Air</v>
      </c>
      <c r="U133" t="str">
        <f>sales_data!J3927</f>
        <v>Розница</v>
      </c>
      <c r="V133">
        <f>sales_data!K3927</f>
        <v>3</v>
      </c>
      <c r="W133">
        <f>sales_data!L3927</f>
        <v>57400</v>
      </c>
      <c r="X133">
        <f>sales_data!M3927</f>
        <v>172200</v>
      </c>
      <c r="Y133" t="str">
        <f>sales_data!N3927</f>
        <v>Офлайн-точка</v>
      </c>
      <c r="Z133" t="str">
        <f>sales_data!O3927</f>
        <v>Отменён</v>
      </c>
    </row>
    <row r="134" spans="12:26" x14ac:dyDescent="0.25">
      <c r="L134">
        <f>sales_data!A4007</f>
        <v>3271</v>
      </c>
      <c r="M134">
        <f>sales_data!B4007</f>
        <v>45921</v>
      </c>
      <c r="N134">
        <f>sales_data!C4007</f>
        <v>21</v>
      </c>
      <c r="O134" t="str">
        <f>sales_data!D4007</f>
        <v>Сентябрь</v>
      </c>
      <c r="P134" t="str">
        <f>sales_data!E4007</f>
        <v>Наталья</v>
      </c>
      <c r="Q134" t="str">
        <f>sales_data!F4007</f>
        <v>Екатеринбург</v>
      </c>
      <c r="R134" t="str">
        <f>sales_data!G4007</f>
        <v>Уральский</v>
      </c>
      <c r="S134" t="str">
        <f>sales_data!H4007</f>
        <v>Ноутбуки</v>
      </c>
      <c r="T134" t="str">
        <f>sales_data!I4007</f>
        <v>Notebook Work</v>
      </c>
      <c r="U134" t="str">
        <f>sales_data!J4007</f>
        <v>Опт</v>
      </c>
      <c r="V134">
        <f>sales_data!K4007</f>
        <v>15</v>
      </c>
      <c r="W134">
        <f>sales_data!L4007</f>
        <v>63100</v>
      </c>
      <c r="X134">
        <f>sales_data!M4007</f>
        <v>946500</v>
      </c>
      <c r="Y134" t="str">
        <f>sales_data!N4007</f>
        <v>Интернет-магазин</v>
      </c>
      <c r="Z134" t="str">
        <f>sales_data!O4007</f>
        <v>Отменён</v>
      </c>
    </row>
    <row r="135" spans="12:26" x14ac:dyDescent="0.25">
      <c r="L135">
        <f>sales_data!A4016</f>
        <v>2355</v>
      </c>
      <c r="M135">
        <f>sales_data!B4016</f>
        <v>45931</v>
      </c>
      <c r="N135">
        <f>sales_data!C4016</f>
        <v>1</v>
      </c>
      <c r="O135" t="str">
        <f>sales_data!D4016</f>
        <v>Октябрь</v>
      </c>
      <c r="P135" t="str">
        <f>sales_data!E4016</f>
        <v>Ольга</v>
      </c>
      <c r="Q135" t="str">
        <f>sales_data!F4016</f>
        <v>Воронеж</v>
      </c>
      <c r="R135" t="str">
        <f>sales_data!G4016</f>
        <v>Центральный</v>
      </c>
      <c r="S135" t="str">
        <f>sales_data!H4016</f>
        <v>Ноутбуки</v>
      </c>
      <c r="T135" t="str">
        <f>sales_data!I4016</f>
        <v>Notebook Air</v>
      </c>
      <c r="U135" t="str">
        <f>sales_data!J4016</f>
        <v>Розница</v>
      </c>
      <c r="V135">
        <f>sales_data!K4016</f>
        <v>1</v>
      </c>
      <c r="W135">
        <f>sales_data!L4016</f>
        <v>63600</v>
      </c>
      <c r="X135">
        <f>sales_data!M4016</f>
        <v>63600</v>
      </c>
      <c r="Y135" t="str">
        <f>sales_data!N4016</f>
        <v>Офлайн-точка</v>
      </c>
      <c r="Z135" t="str">
        <f>sales_data!O4016</f>
        <v>В пути</v>
      </c>
    </row>
    <row r="136" spans="12:26" x14ac:dyDescent="0.25">
      <c r="L136">
        <f>sales_data!A4030</f>
        <v>1265</v>
      </c>
      <c r="M136">
        <f>sales_data!B4030</f>
        <v>45808</v>
      </c>
      <c r="N136">
        <f>sales_data!C4030</f>
        <v>31</v>
      </c>
      <c r="O136" t="str">
        <f>sales_data!D4030</f>
        <v>Май</v>
      </c>
      <c r="P136" t="str">
        <f>sales_data!E4030</f>
        <v>Елена</v>
      </c>
      <c r="Q136" t="str">
        <f>sales_data!F4030</f>
        <v>Новосибирск</v>
      </c>
      <c r="R136" t="str">
        <f>sales_data!G4030</f>
        <v>Сибирский</v>
      </c>
      <c r="S136" t="str">
        <f>sales_data!H4030</f>
        <v>Ноутбуки</v>
      </c>
      <c r="T136" t="str">
        <f>sales_data!I4030</f>
        <v>Notebook Work</v>
      </c>
      <c r="U136" t="str">
        <f>sales_data!J4030</f>
        <v>Опт</v>
      </c>
      <c r="V136">
        <f>sales_data!K4030</f>
        <v>18</v>
      </c>
      <c r="W136">
        <f>sales_data!L4030</f>
        <v>64300</v>
      </c>
      <c r="X136">
        <f>sales_data!M4030</f>
        <v>1157400</v>
      </c>
      <c r="Y136" t="str">
        <f>sales_data!N4030</f>
        <v>Офлайн-точка</v>
      </c>
      <c r="Z136" t="str">
        <f>sales_data!O4030</f>
        <v>Отменён</v>
      </c>
    </row>
    <row r="137" spans="12:26" x14ac:dyDescent="0.25">
      <c r="L137">
        <f>sales_data!A4053</f>
        <v>1014</v>
      </c>
      <c r="M137">
        <f>sales_data!B4053</f>
        <v>45717</v>
      </c>
      <c r="N137">
        <f>sales_data!C4053</f>
        <v>1</v>
      </c>
      <c r="O137" t="str">
        <f>sales_data!D4053</f>
        <v>Март</v>
      </c>
      <c r="P137" t="str">
        <f>sales_data!E4053</f>
        <v>Павел</v>
      </c>
      <c r="Q137" t="str">
        <f>sales_data!F4053</f>
        <v>Омск</v>
      </c>
      <c r="R137" t="str">
        <f>sales_data!G4053</f>
        <v>Сибирский</v>
      </c>
      <c r="S137" t="str">
        <f>sales_data!H4053</f>
        <v>Серверы</v>
      </c>
      <c r="T137" t="str">
        <f>sales_data!I4053</f>
        <v>Storage NAS</v>
      </c>
      <c r="U137" t="str">
        <f>sales_data!J4053</f>
        <v>Опт</v>
      </c>
      <c r="V137">
        <f>sales_data!K4053</f>
        <v>49</v>
      </c>
      <c r="W137">
        <f>sales_data!L4053</f>
        <v>65700</v>
      </c>
      <c r="X137">
        <f>sales_data!M4053</f>
        <v>3219300</v>
      </c>
      <c r="Y137" t="str">
        <f>sales_data!N4053</f>
        <v>Офлайн-точка</v>
      </c>
      <c r="Z137" t="str">
        <f>sales_data!O4053</f>
        <v>Доставлен</v>
      </c>
    </row>
    <row r="138" spans="12:26" x14ac:dyDescent="0.25">
      <c r="L138">
        <f>sales_data!A4103</f>
        <v>49</v>
      </c>
      <c r="M138">
        <f>sales_data!B4103</f>
        <v>45869</v>
      </c>
      <c r="N138">
        <f>sales_data!C4103</f>
        <v>31</v>
      </c>
      <c r="O138" t="str">
        <f>sales_data!D4103</f>
        <v>Июль</v>
      </c>
      <c r="P138" t="str">
        <f>sales_data!E4103</f>
        <v>Анна</v>
      </c>
      <c r="Q138" t="str">
        <f>sales_data!F4103</f>
        <v>Казань</v>
      </c>
      <c r="R138" t="str">
        <f>sales_data!G4103</f>
        <v>Приволжский</v>
      </c>
      <c r="S138" t="str">
        <f>sales_data!H4103</f>
        <v>Серверы</v>
      </c>
      <c r="T138" t="str">
        <f>sales_data!I4103</f>
        <v>Storage NAS</v>
      </c>
      <c r="U138" t="str">
        <f>sales_data!J4103</f>
        <v>Опт</v>
      </c>
      <c r="V138">
        <f>sales_data!K4103</f>
        <v>47</v>
      </c>
      <c r="W138">
        <f>sales_data!L4103</f>
        <v>69200</v>
      </c>
      <c r="X138">
        <f>sales_data!M4103</f>
        <v>3252400</v>
      </c>
      <c r="Y138" t="str">
        <f>sales_data!N4103</f>
        <v>Интернет-магазин</v>
      </c>
      <c r="Z138" t="str">
        <f>sales_data!O4103</f>
        <v>В пути</v>
      </c>
    </row>
    <row r="139" spans="12:26" x14ac:dyDescent="0.25">
      <c r="L139">
        <f>sales_data!A4141</f>
        <v>3538</v>
      </c>
      <c r="M139">
        <f>sales_data!B4141</f>
        <v>45751</v>
      </c>
      <c r="N139">
        <f>sales_data!C4141</f>
        <v>4</v>
      </c>
      <c r="O139" t="str">
        <f>sales_data!D4141</f>
        <v>Апрель</v>
      </c>
      <c r="P139" t="str">
        <f>sales_data!E4141</f>
        <v>Светлана</v>
      </c>
      <c r="Q139" t="str">
        <f>sales_data!F4141</f>
        <v>Пермь</v>
      </c>
      <c r="R139" t="str">
        <f>sales_data!G4141</f>
        <v>Приволжский</v>
      </c>
      <c r="S139" t="str">
        <f>sales_data!H4141</f>
        <v>Ноутбуки</v>
      </c>
      <c r="T139" t="str">
        <f>sales_data!I4141</f>
        <v>Notebook Work</v>
      </c>
      <c r="U139" t="str">
        <f>sales_data!J4141</f>
        <v>Розница</v>
      </c>
      <c r="V139">
        <f>sales_data!K4141</f>
        <v>5</v>
      </c>
      <c r="W139">
        <f>sales_data!L4141</f>
        <v>72000</v>
      </c>
      <c r="X139">
        <f>sales_data!M4141</f>
        <v>360000</v>
      </c>
      <c r="Y139" t="str">
        <f>sales_data!N4141</f>
        <v>Интернет-магазин</v>
      </c>
      <c r="Z139" t="str">
        <f>sales_data!O4141</f>
        <v>Отменён</v>
      </c>
    </row>
    <row r="140" spans="12:26" x14ac:dyDescent="0.25">
      <c r="L140">
        <f>sales_data!A4143</f>
        <v>3021</v>
      </c>
      <c r="M140">
        <f>sales_data!B4143</f>
        <v>45736</v>
      </c>
      <c r="N140">
        <f>sales_data!C4143</f>
        <v>20</v>
      </c>
      <c r="O140" t="str">
        <f>sales_data!D4143</f>
        <v>Март</v>
      </c>
      <c r="P140" t="str">
        <f>sales_data!E4143</f>
        <v>Наталья</v>
      </c>
      <c r="Q140" t="str">
        <f>sales_data!F4143</f>
        <v>Краснодар</v>
      </c>
      <c r="R140" t="str">
        <f>sales_data!G4143</f>
        <v>Южный</v>
      </c>
      <c r="S140" t="str">
        <f>sales_data!H4143</f>
        <v>Серверы</v>
      </c>
      <c r="T140" t="str">
        <f>sales_data!I4143</f>
        <v>Storage NAS</v>
      </c>
      <c r="U140" t="str">
        <f>sales_data!J4143</f>
        <v>Опт</v>
      </c>
      <c r="V140">
        <f>sales_data!K4143</f>
        <v>8</v>
      </c>
      <c r="W140">
        <f>sales_data!L4143</f>
        <v>72100</v>
      </c>
      <c r="X140">
        <f>sales_data!M4143</f>
        <v>576800</v>
      </c>
      <c r="Y140" t="str">
        <f>sales_data!N4143</f>
        <v>Интернет-магазин</v>
      </c>
      <c r="Z140" t="str">
        <f>sales_data!O4143</f>
        <v>Отменён</v>
      </c>
    </row>
    <row r="141" spans="12:26" x14ac:dyDescent="0.25">
      <c r="L141">
        <f>sales_data!A4144</f>
        <v>3054</v>
      </c>
      <c r="M141">
        <f>sales_data!B4144</f>
        <v>45696</v>
      </c>
      <c r="N141">
        <f>sales_data!C4144</f>
        <v>8</v>
      </c>
      <c r="O141" t="str">
        <f>sales_data!D4144</f>
        <v>Февраль</v>
      </c>
      <c r="P141" t="str">
        <f>sales_data!E4144</f>
        <v>Анна</v>
      </c>
      <c r="Q141" t="str">
        <f>sales_data!F4144</f>
        <v>Уфа</v>
      </c>
      <c r="R141" t="str">
        <f>sales_data!G4144</f>
        <v>Приволжский</v>
      </c>
      <c r="S141" t="str">
        <f>sales_data!H4144</f>
        <v>Ноутбуки</v>
      </c>
      <c r="T141" t="str">
        <f>sales_data!I4144</f>
        <v>Notebook Work</v>
      </c>
      <c r="U141" t="str">
        <f>sales_data!J4144</f>
        <v>Розница</v>
      </c>
      <c r="V141">
        <f>sales_data!K4144</f>
        <v>4</v>
      </c>
      <c r="W141">
        <f>sales_data!L4144</f>
        <v>72100</v>
      </c>
      <c r="X141">
        <f>sales_data!M4144</f>
        <v>288400</v>
      </c>
      <c r="Y141" t="str">
        <f>sales_data!N4144</f>
        <v>Офлайн-точка</v>
      </c>
      <c r="Z141" t="str">
        <f>sales_data!O4144</f>
        <v>Доставлен</v>
      </c>
    </row>
    <row r="142" spans="12:26" x14ac:dyDescent="0.25">
      <c r="L142">
        <f>sales_data!A4269</f>
        <v>3184</v>
      </c>
      <c r="M142">
        <f>sales_data!B4269</f>
        <v>45942</v>
      </c>
      <c r="N142">
        <f>sales_data!C4269</f>
        <v>12</v>
      </c>
      <c r="O142" t="str">
        <f>sales_data!D4269</f>
        <v>Октябрь</v>
      </c>
      <c r="P142" t="str">
        <f>sales_data!E4269</f>
        <v>Ксения</v>
      </c>
      <c r="Q142" t="str">
        <f>sales_data!F4269</f>
        <v>Челябинск</v>
      </c>
      <c r="R142" t="str">
        <f>sales_data!G4269</f>
        <v>Уральский</v>
      </c>
      <c r="S142" t="str">
        <f>sales_data!H4269</f>
        <v>Ноутбуки</v>
      </c>
      <c r="T142" t="str">
        <f>sales_data!I4269</f>
        <v>Notebook Pro</v>
      </c>
      <c r="U142" t="str">
        <f>sales_data!J4269</f>
        <v>Опт</v>
      </c>
      <c r="V142">
        <f>sales_data!K4269</f>
        <v>38</v>
      </c>
      <c r="W142">
        <f>sales_data!L4269</f>
        <v>79400</v>
      </c>
      <c r="X142">
        <f>sales_data!M4269</f>
        <v>3017200</v>
      </c>
      <c r="Y142" t="str">
        <f>sales_data!N4269</f>
        <v>Офлайн-точка</v>
      </c>
      <c r="Z142" t="str">
        <f>sales_data!O4269</f>
        <v>Доставлен</v>
      </c>
    </row>
    <row r="143" spans="12:26" x14ac:dyDescent="0.25">
      <c r="L143">
        <f>sales_data!A4349</f>
        <v>3537</v>
      </c>
      <c r="M143">
        <f>sales_data!B4349</f>
        <v>46003</v>
      </c>
      <c r="N143">
        <f>sales_data!C4349</f>
        <v>12</v>
      </c>
      <c r="O143" t="str">
        <f>sales_data!D4349</f>
        <v>Декабрь</v>
      </c>
      <c r="P143" t="str">
        <f>sales_data!E4349</f>
        <v>Ольга</v>
      </c>
      <c r="Q143" t="str">
        <f>sales_data!F4349</f>
        <v>Ростов-на-Дону</v>
      </c>
      <c r="R143" t="str">
        <f>sales_data!G4349</f>
        <v>Южный</v>
      </c>
      <c r="S143" t="str">
        <f>sales_data!H4349</f>
        <v>Серверы</v>
      </c>
      <c r="T143" t="str">
        <f>sales_data!I4349</f>
        <v>Storage NAS</v>
      </c>
      <c r="U143" t="str">
        <f>sales_data!J4349</f>
        <v>Розница</v>
      </c>
      <c r="V143">
        <f>sales_data!K4349</f>
        <v>8</v>
      </c>
      <c r="W143">
        <f>sales_data!L4349</f>
        <v>82700</v>
      </c>
      <c r="X143">
        <f>sales_data!M4349</f>
        <v>661600</v>
      </c>
      <c r="Y143" t="str">
        <f>sales_data!N4349</f>
        <v>Интернет-магазин</v>
      </c>
      <c r="Z143" t="str">
        <f>sales_data!O4349</f>
        <v>Отменён</v>
      </c>
    </row>
    <row r="144" spans="12:26" x14ac:dyDescent="0.25">
      <c r="L144">
        <f>sales_data!A4404</f>
        <v>3908</v>
      </c>
      <c r="M144">
        <f>sales_data!B4404</f>
        <v>45745</v>
      </c>
      <c r="N144">
        <f>sales_data!C4404</f>
        <v>29</v>
      </c>
      <c r="O144" t="str">
        <f>sales_data!D4404</f>
        <v>Март</v>
      </c>
      <c r="P144" t="str">
        <f>sales_data!E4404</f>
        <v>Ольга</v>
      </c>
      <c r="Q144" t="str">
        <f>sales_data!F4404</f>
        <v>Красноярск</v>
      </c>
      <c r="R144" t="str">
        <f>sales_data!G4404</f>
        <v>Сибирский</v>
      </c>
      <c r="S144" t="str">
        <f>sales_data!H4404</f>
        <v>Ноутбуки</v>
      </c>
      <c r="T144" t="str">
        <f>sales_data!I4404</f>
        <v>Notebook Pro</v>
      </c>
      <c r="U144" t="str">
        <f>sales_data!J4404</f>
        <v>Розница</v>
      </c>
      <c r="V144">
        <f>sales_data!K4404</f>
        <v>2</v>
      </c>
      <c r="W144">
        <f>sales_data!L4404</f>
        <v>88300</v>
      </c>
      <c r="X144">
        <f>sales_data!M4404</f>
        <v>176600</v>
      </c>
      <c r="Y144" t="str">
        <f>sales_data!N4404</f>
        <v>Офлайн-точка</v>
      </c>
      <c r="Z144" t="str">
        <f>sales_data!O4404</f>
        <v>Отменён</v>
      </c>
    </row>
    <row r="145" spans="12:26" x14ac:dyDescent="0.25">
      <c r="L145">
        <f>sales_data!A4426</f>
        <v>510</v>
      </c>
      <c r="M145">
        <f>sales_data!B4426</f>
        <v>45725</v>
      </c>
      <c r="N145">
        <f>sales_data!C4426</f>
        <v>9</v>
      </c>
      <c r="O145" t="str">
        <f>sales_data!D4426</f>
        <v>Март</v>
      </c>
      <c r="P145" t="str">
        <f>sales_data!E4426</f>
        <v>Алексей</v>
      </c>
      <c r="Q145" t="str">
        <f>sales_data!F4426</f>
        <v>Уфа</v>
      </c>
      <c r="R145" t="str">
        <f>sales_data!G4426</f>
        <v>Приволжский</v>
      </c>
      <c r="S145" t="str">
        <f>sales_data!H4426</f>
        <v>Ноутбуки</v>
      </c>
      <c r="T145" t="str">
        <f>sales_data!I4426</f>
        <v>Notebook Pro</v>
      </c>
      <c r="U145" t="str">
        <f>sales_data!J4426</f>
        <v>Розница</v>
      </c>
      <c r="V145">
        <f>sales_data!K4426</f>
        <v>7</v>
      </c>
      <c r="W145">
        <f>sales_data!L4426</f>
        <v>91100</v>
      </c>
      <c r="X145">
        <f>sales_data!M4426</f>
        <v>637700</v>
      </c>
      <c r="Y145" t="str">
        <f>sales_data!N4426</f>
        <v>Офлайн-точка</v>
      </c>
      <c r="Z145" t="str">
        <f>sales_data!O4426</f>
        <v>Отменён</v>
      </c>
    </row>
    <row r="146" spans="12:26" x14ac:dyDescent="0.25">
      <c r="L146">
        <f>sales_data!A4460</f>
        <v>1266</v>
      </c>
      <c r="M146">
        <f>sales_data!B4460</f>
        <v>45921</v>
      </c>
      <c r="N146">
        <f>sales_data!C4460</f>
        <v>21</v>
      </c>
      <c r="O146" t="str">
        <f>sales_data!D4460</f>
        <v>Сентябрь</v>
      </c>
      <c r="P146" t="str">
        <f>sales_data!E4460</f>
        <v>Владимир</v>
      </c>
      <c r="Q146" t="str">
        <f>sales_data!F4460</f>
        <v>Воронеж</v>
      </c>
      <c r="R146" t="str">
        <f>sales_data!G4460</f>
        <v>Центральный</v>
      </c>
      <c r="S146" t="str">
        <f>sales_data!H4460</f>
        <v>Ноутбуки</v>
      </c>
      <c r="T146" t="str">
        <f>sales_data!I4460</f>
        <v>Notebook Ultra</v>
      </c>
      <c r="U146" t="str">
        <f>sales_data!J4460</f>
        <v>Опт</v>
      </c>
      <c r="V146">
        <f>sales_data!K4460</f>
        <v>8</v>
      </c>
      <c r="W146">
        <f>sales_data!L4460</f>
        <v>94800</v>
      </c>
      <c r="X146">
        <f>sales_data!M4460</f>
        <v>758400</v>
      </c>
      <c r="Y146" t="str">
        <f>sales_data!N4460</f>
        <v>Офлайн-точка</v>
      </c>
      <c r="Z146" t="str">
        <f>sales_data!O4460</f>
        <v>Доставлен</v>
      </c>
    </row>
    <row r="147" spans="12:26" x14ac:dyDescent="0.25">
      <c r="L147">
        <f>sales_data!A4594</f>
        <v>4590</v>
      </c>
      <c r="M147">
        <f>sales_data!B4594</f>
        <v>45799</v>
      </c>
      <c r="N147">
        <f>sales_data!C4594</f>
        <v>22</v>
      </c>
      <c r="O147" t="str">
        <f>sales_data!D4594</f>
        <v>Май</v>
      </c>
      <c r="P147" t="str">
        <f>sales_data!E4594</f>
        <v>Наталья</v>
      </c>
      <c r="Q147" t="str">
        <f>sales_data!F4594</f>
        <v>Красноярск</v>
      </c>
      <c r="R147" t="str">
        <f>sales_data!G4594</f>
        <v>Сибирский</v>
      </c>
      <c r="S147" t="str">
        <f>sales_data!H4594</f>
        <v>Ноутбуки</v>
      </c>
      <c r="T147" t="str">
        <f>sales_data!I4594</f>
        <v>Notebook Ultra</v>
      </c>
      <c r="U147" t="str">
        <f>sales_data!J4594</f>
        <v>Розница</v>
      </c>
      <c r="V147">
        <f>sales_data!K4594</f>
        <v>8</v>
      </c>
      <c r="W147">
        <f>sales_data!L4594</f>
        <v>113500</v>
      </c>
      <c r="X147">
        <f>sales_data!M4594</f>
        <v>908000</v>
      </c>
      <c r="Y147" t="str">
        <f>sales_data!N4594</f>
        <v>Интернет-магазин</v>
      </c>
      <c r="Z147" t="str">
        <f>sales_data!O4594</f>
        <v>Доставлен</v>
      </c>
    </row>
    <row r="148" spans="12:26" x14ac:dyDescent="0.25">
      <c r="L148">
        <f>sales_data!A4613</f>
        <v>31</v>
      </c>
      <c r="M148">
        <f>sales_data!B4613</f>
        <v>45894</v>
      </c>
      <c r="N148">
        <f>sales_data!C4613</f>
        <v>25</v>
      </c>
      <c r="O148" t="str">
        <f>sales_data!D4613</f>
        <v>Август</v>
      </c>
      <c r="P148" t="str">
        <f>sales_data!E4613</f>
        <v>Дмитрий</v>
      </c>
      <c r="Q148" t="str">
        <f>sales_data!F4613</f>
        <v>Пермь</v>
      </c>
      <c r="R148" t="str">
        <f>sales_data!G4613</f>
        <v>Приволжский</v>
      </c>
      <c r="S148" t="str">
        <f>sales_data!H4613</f>
        <v>Ноутбуки</v>
      </c>
      <c r="T148" t="str">
        <f>sales_data!I4613</f>
        <v>Notebook Ultra</v>
      </c>
      <c r="U148" t="str">
        <f>sales_data!J4613</f>
        <v>Розница</v>
      </c>
      <c r="V148">
        <f>sales_data!K4613</f>
        <v>1</v>
      </c>
      <c r="W148">
        <f>sales_data!L4613</f>
        <v>116400</v>
      </c>
      <c r="X148">
        <f>sales_data!M4613</f>
        <v>116400</v>
      </c>
      <c r="Y148" t="str">
        <f>sales_data!N4613</f>
        <v>Интернет-магазин</v>
      </c>
      <c r="Z148" t="str">
        <f>sales_data!O4613</f>
        <v>Доставлен</v>
      </c>
    </row>
    <row r="149" spans="12:26" x14ac:dyDescent="0.25">
      <c r="L149">
        <f>sales_data!A4623</f>
        <v>4358</v>
      </c>
      <c r="M149">
        <f>sales_data!B4623</f>
        <v>45903</v>
      </c>
      <c r="N149">
        <f>sales_data!C4623</f>
        <v>3</v>
      </c>
      <c r="O149" t="str">
        <f>sales_data!D4623</f>
        <v>Сентябрь</v>
      </c>
      <c r="P149" t="str">
        <f>sales_data!E4623</f>
        <v>Алексей</v>
      </c>
      <c r="Q149" t="str">
        <f>sales_data!F4623</f>
        <v>Екатеринбург</v>
      </c>
      <c r="R149" t="str">
        <f>sales_data!G4623</f>
        <v>Уральский</v>
      </c>
      <c r="S149" t="str">
        <f>sales_data!H4623</f>
        <v>Ноутбуки</v>
      </c>
      <c r="T149" t="str">
        <f>sales_data!I4623</f>
        <v>Notebook Ultra</v>
      </c>
      <c r="U149" t="str">
        <f>sales_data!J4623</f>
        <v>Розница</v>
      </c>
      <c r="V149">
        <f>sales_data!K4623</f>
        <v>8</v>
      </c>
      <c r="W149">
        <f>sales_data!L4623</f>
        <v>118100</v>
      </c>
      <c r="X149">
        <f>sales_data!M4623</f>
        <v>944800</v>
      </c>
      <c r="Y149" t="str">
        <f>sales_data!N4623</f>
        <v>Интернет-магазин</v>
      </c>
      <c r="Z149" t="str">
        <f>sales_data!O4623</f>
        <v>Доставлен</v>
      </c>
    </row>
    <row r="150" spans="12:26" x14ac:dyDescent="0.25">
      <c r="L150">
        <f>sales_data!A4691</f>
        <v>2377</v>
      </c>
      <c r="M150">
        <f>sales_data!B4691</f>
        <v>45975</v>
      </c>
      <c r="N150">
        <f>sales_data!C4691</f>
        <v>14</v>
      </c>
      <c r="O150" t="str">
        <f>sales_data!D4691</f>
        <v>Ноябрь</v>
      </c>
      <c r="P150" t="str">
        <f>sales_data!E4691</f>
        <v>Анна</v>
      </c>
      <c r="Q150" t="str">
        <f>sales_data!F4691</f>
        <v>Челябинск</v>
      </c>
      <c r="R150" t="str">
        <f>sales_data!G4691</f>
        <v>Уральский</v>
      </c>
      <c r="S150" t="str">
        <f>sales_data!H4691</f>
        <v>Серверы</v>
      </c>
      <c r="T150" t="str">
        <f>sales_data!I4691</f>
        <v>Server Rack</v>
      </c>
      <c r="U150" t="str">
        <f>sales_data!J4691</f>
        <v>Опт</v>
      </c>
      <c r="V150">
        <f>sales_data!K4691</f>
        <v>32</v>
      </c>
      <c r="W150">
        <f>sales_data!L4691</f>
        <v>125200</v>
      </c>
      <c r="X150">
        <f>sales_data!M4691</f>
        <v>4006400</v>
      </c>
      <c r="Y150" t="str">
        <f>sales_data!N4691</f>
        <v>Интернет-магазин</v>
      </c>
      <c r="Z150" t="str">
        <f>sales_data!O4691</f>
        <v>В пути</v>
      </c>
    </row>
    <row r="151" spans="12:26" x14ac:dyDescent="0.25">
      <c r="L151">
        <f>sales_data!A4719</f>
        <v>1112</v>
      </c>
      <c r="M151">
        <f>sales_data!B4719</f>
        <v>46004</v>
      </c>
      <c r="N151">
        <f>sales_data!C4719</f>
        <v>13</v>
      </c>
      <c r="O151" t="str">
        <f>sales_data!D4719</f>
        <v>Декабрь</v>
      </c>
      <c r="P151" t="str">
        <f>sales_data!E4719</f>
        <v>Светлана</v>
      </c>
      <c r="Q151" t="str">
        <f>sales_data!F4719</f>
        <v>Нижний Новгород</v>
      </c>
      <c r="R151" t="str">
        <f>sales_data!G4719</f>
        <v>Приволжский</v>
      </c>
      <c r="S151" t="str">
        <f>sales_data!H4719</f>
        <v>Серверы</v>
      </c>
      <c r="T151" t="str">
        <f>sales_data!I4719</f>
        <v>Server Rack</v>
      </c>
      <c r="U151" t="str">
        <f>sales_data!J4719</f>
        <v>Опт</v>
      </c>
      <c r="V151">
        <f>sales_data!K4719</f>
        <v>18</v>
      </c>
      <c r="W151">
        <f>sales_data!L4719</f>
        <v>128900</v>
      </c>
      <c r="X151">
        <f>sales_data!M4719</f>
        <v>2320200</v>
      </c>
      <c r="Y151" t="str">
        <f>sales_data!N4719</f>
        <v>Офлайн-точка</v>
      </c>
      <c r="Z151" t="str">
        <f>sales_data!O4719</f>
        <v>В пути</v>
      </c>
    </row>
    <row r="152" spans="12:26" x14ac:dyDescent="0.25">
      <c r="L152">
        <f>sales_data!A4723</f>
        <v>892</v>
      </c>
      <c r="M152">
        <f>sales_data!B4723</f>
        <v>45979</v>
      </c>
      <c r="N152">
        <f>sales_data!C4723</f>
        <v>18</v>
      </c>
      <c r="O152" t="str">
        <f>sales_data!D4723</f>
        <v>Ноябрь</v>
      </c>
      <c r="P152" t="str">
        <f>sales_data!E4723</f>
        <v>Татьяна</v>
      </c>
      <c r="Q152" t="str">
        <f>sales_data!F4723</f>
        <v>Челябинск</v>
      </c>
      <c r="R152" t="str">
        <f>sales_data!G4723</f>
        <v>Уральский</v>
      </c>
      <c r="S152" t="str">
        <f>sales_data!H4723</f>
        <v>Серверы</v>
      </c>
      <c r="T152" t="str">
        <f>sales_data!I4723</f>
        <v>Server Rack</v>
      </c>
      <c r="U152" t="str">
        <f>sales_data!J4723</f>
        <v>Опт</v>
      </c>
      <c r="V152">
        <f>sales_data!K4723</f>
        <v>37</v>
      </c>
      <c r="W152">
        <f>sales_data!L4723</f>
        <v>130700</v>
      </c>
      <c r="X152">
        <f>sales_data!M4723</f>
        <v>4835900</v>
      </c>
      <c r="Y152" t="str">
        <f>sales_data!N4723</f>
        <v>Интернет-магазин</v>
      </c>
      <c r="Z152" t="str">
        <f>sales_data!O4723</f>
        <v>В пути</v>
      </c>
    </row>
    <row r="153" spans="12:26" x14ac:dyDescent="0.25">
      <c r="L153">
        <f>sales_data!A4774</f>
        <v>3466</v>
      </c>
      <c r="M153">
        <f>sales_data!B4774</f>
        <v>45758</v>
      </c>
      <c r="N153">
        <f>sales_data!C4774</f>
        <v>11</v>
      </c>
      <c r="O153" t="str">
        <f>sales_data!D4774</f>
        <v>Апрель</v>
      </c>
      <c r="P153" t="str">
        <f>sales_data!E4774</f>
        <v>Татьяна</v>
      </c>
      <c r="Q153" t="str">
        <f>sales_data!F4774</f>
        <v>Омск</v>
      </c>
      <c r="R153" t="str">
        <f>sales_data!G4774</f>
        <v>Сибирский</v>
      </c>
      <c r="S153" t="str">
        <f>sales_data!H4774</f>
        <v>Серверы</v>
      </c>
      <c r="T153" t="str">
        <f>sales_data!I4774</f>
        <v>Server Rack</v>
      </c>
      <c r="U153" t="str">
        <f>sales_data!J4774</f>
        <v>Розница</v>
      </c>
      <c r="V153">
        <f>sales_data!K4774</f>
        <v>8</v>
      </c>
      <c r="W153">
        <f>sales_data!L4774</f>
        <v>140000</v>
      </c>
      <c r="X153">
        <f>sales_data!M4774</f>
        <v>1120000</v>
      </c>
      <c r="Y153" t="str">
        <f>sales_data!N4774</f>
        <v>Офлайн-точка</v>
      </c>
      <c r="Z153" t="str">
        <f>sales_data!O4774</f>
        <v>В пути</v>
      </c>
    </row>
    <row r="154" spans="12:26" x14ac:dyDescent="0.25">
      <c r="L154">
        <f>sales_data!A4836</f>
        <v>4169</v>
      </c>
      <c r="M154">
        <f>sales_data!B4836</f>
        <v>45892</v>
      </c>
      <c r="N154">
        <f>sales_data!C4836</f>
        <v>23</v>
      </c>
      <c r="O154" t="str">
        <f>sales_data!D4836</f>
        <v>Август</v>
      </c>
      <c r="P154" t="str">
        <f>sales_data!E4836</f>
        <v>Ольга</v>
      </c>
      <c r="Q154" t="str">
        <f>sales_data!F4836</f>
        <v>Ростов-на-Дону</v>
      </c>
      <c r="R154" t="str">
        <f>sales_data!G4836</f>
        <v>Южный</v>
      </c>
      <c r="S154" t="str">
        <f>sales_data!H4836</f>
        <v>Серверы</v>
      </c>
      <c r="T154" t="str">
        <f>sales_data!I4836</f>
        <v>Server Rack</v>
      </c>
      <c r="U154" t="str">
        <f>sales_data!J4836</f>
        <v>Розница</v>
      </c>
      <c r="V154">
        <f>sales_data!K4836</f>
        <v>9</v>
      </c>
      <c r="W154">
        <f>sales_data!L4836</f>
        <v>157400</v>
      </c>
      <c r="X154">
        <f>sales_data!M4836</f>
        <v>1416600</v>
      </c>
      <c r="Y154" t="str">
        <f>sales_data!N4836</f>
        <v>Интернет-магазин</v>
      </c>
      <c r="Z154" t="str">
        <f>sales_data!O4836</f>
        <v>Доставлен</v>
      </c>
    </row>
    <row r="155" spans="12:26" x14ac:dyDescent="0.25">
      <c r="L155">
        <f>sales_data!A4904</f>
        <v>4584</v>
      </c>
      <c r="M155">
        <f>sales_data!B4904</f>
        <v>45989</v>
      </c>
      <c r="N155">
        <f>sales_data!C4904</f>
        <v>28</v>
      </c>
      <c r="O155" t="str">
        <f>sales_data!D4904</f>
        <v>Ноябрь</v>
      </c>
      <c r="P155" t="str">
        <f>sales_data!E4904</f>
        <v>Анна</v>
      </c>
      <c r="Q155" t="str">
        <f>sales_data!F4904</f>
        <v>Уфа</v>
      </c>
      <c r="R155" t="str">
        <f>sales_data!G4904</f>
        <v>Приволжский</v>
      </c>
      <c r="S155" t="str">
        <f>sales_data!H4904</f>
        <v>Серверы</v>
      </c>
      <c r="T155" t="str">
        <f>sales_data!I4904</f>
        <v>Server Blade</v>
      </c>
      <c r="U155" t="str">
        <f>sales_data!J4904</f>
        <v>Опт</v>
      </c>
      <c r="V155">
        <f>sales_data!K4904</f>
        <v>6</v>
      </c>
      <c r="W155">
        <f>sales_data!L4904</f>
        <v>176700</v>
      </c>
      <c r="X155">
        <f>sales_data!M4904</f>
        <v>1060200</v>
      </c>
      <c r="Y155" t="str">
        <f>sales_data!N4904</f>
        <v>Офлайн-точка</v>
      </c>
      <c r="Z155" t="str">
        <f>sales_data!O4904</f>
        <v>Доставлен</v>
      </c>
    </row>
    <row r="156" spans="12:26" x14ac:dyDescent="0.25">
      <c r="L156">
        <f>sales_data!A4920</f>
        <v>1388</v>
      </c>
      <c r="M156">
        <f>sales_data!B4920</f>
        <v>45853</v>
      </c>
      <c r="N156">
        <f>sales_data!C4920</f>
        <v>15</v>
      </c>
      <c r="O156" t="str">
        <f>sales_data!D4920</f>
        <v>Июль</v>
      </c>
      <c r="P156" t="str">
        <f>sales_data!E4920</f>
        <v>Анна</v>
      </c>
      <c r="Q156" t="str">
        <f>sales_data!F4920</f>
        <v>Уфа</v>
      </c>
      <c r="R156" t="str">
        <f>sales_data!G4920</f>
        <v>Приволжский</v>
      </c>
      <c r="S156" t="str">
        <f>sales_data!H4920</f>
        <v>Серверы</v>
      </c>
      <c r="T156" t="str">
        <f>sales_data!I4920</f>
        <v>Server Blade</v>
      </c>
      <c r="U156" t="str">
        <f>sales_data!J4920</f>
        <v>Опт</v>
      </c>
      <c r="V156">
        <f>sales_data!K4920</f>
        <v>45</v>
      </c>
      <c r="W156">
        <f>sales_data!L4920</f>
        <v>183300</v>
      </c>
      <c r="X156">
        <f>sales_data!M4920</f>
        <v>8248500</v>
      </c>
      <c r="Y156" t="str">
        <f>sales_data!N4920</f>
        <v>Офлайн-точка</v>
      </c>
      <c r="Z156" t="str">
        <f>sales_data!O4920</f>
        <v>Доставлен</v>
      </c>
    </row>
    <row r="157" spans="12:26" x14ac:dyDescent="0.25">
      <c r="L157">
        <f>sales_data!A4976</f>
        <v>4110</v>
      </c>
      <c r="M157">
        <f>sales_data!B4976</f>
        <v>45854</v>
      </c>
      <c r="N157">
        <f>sales_data!C4976</f>
        <v>16</v>
      </c>
      <c r="O157" t="str">
        <f>sales_data!D4976</f>
        <v>Июль</v>
      </c>
      <c r="P157" t="str">
        <f>sales_data!E4976</f>
        <v>Борис</v>
      </c>
      <c r="Q157" t="str">
        <f>sales_data!F4976</f>
        <v>Ростов-на-Дону</v>
      </c>
      <c r="R157" t="str">
        <f>sales_data!G4976</f>
        <v>Южный</v>
      </c>
      <c r="S157" t="str">
        <f>sales_data!H4976</f>
        <v>Серверы</v>
      </c>
      <c r="T157" t="str">
        <f>sales_data!I4976</f>
        <v>Server Blade</v>
      </c>
      <c r="U157" t="str">
        <f>sales_data!J4976</f>
        <v>Розница</v>
      </c>
      <c r="V157">
        <f>sales_data!K4976</f>
        <v>3</v>
      </c>
      <c r="W157">
        <f>sales_data!L4976</f>
        <v>202300</v>
      </c>
      <c r="X157">
        <f>sales_data!M4976</f>
        <v>606900</v>
      </c>
      <c r="Y157" t="str">
        <f>sales_data!N4976</f>
        <v>Интернет-магазин</v>
      </c>
      <c r="Z157" t="str">
        <f>sales_data!O4976</f>
        <v>В пути</v>
      </c>
    </row>
    <row r="158" spans="12:26" x14ac:dyDescent="0.25">
      <c r="L158">
        <f>sales_data!A4990</f>
        <v>2471</v>
      </c>
      <c r="M158">
        <f>sales_data!B4990</f>
        <v>45942</v>
      </c>
      <c r="N158">
        <f>sales_data!C4990</f>
        <v>12</v>
      </c>
      <c r="O158" t="str">
        <f>sales_data!D4990</f>
        <v>Октябрь</v>
      </c>
      <c r="P158" t="str">
        <f>sales_data!E4990</f>
        <v>Мария</v>
      </c>
      <c r="Q158" t="str">
        <f>sales_data!F4990</f>
        <v>Нижний Новгород</v>
      </c>
      <c r="R158" t="str">
        <f>sales_data!G4990</f>
        <v>Приволжский</v>
      </c>
      <c r="S158" t="str">
        <f>sales_data!H4990</f>
        <v>Серверы</v>
      </c>
      <c r="T158" t="str">
        <f>sales_data!I4990</f>
        <v>Server Blade</v>
      </c>
      <c r="U158" t="str">
        <f>sales_data!J4990</f>
        <v>Розница</v>
      </c>
      <c r="V158">
        <f>sales_data!K4990</f>
        <v>8</v>
      </c>
      <c r="W158">
        <f>sales_data!L4990</f>
        <v>210700</v>
      </c>
      <c r="X158">
        <f>sales_data!M4990</f>
        <v>1685600</v>
      </c>
      <c r="Y158" t="str">
        <f>sales_data!N4990</f>
        <v>Офлайн-точка</v>
      </c>
      <c r="Z158" t="str">
        <f>sales_data!O4990</f>
        <v>Отменён</v>
      </c>
    </row>
    <row r="159" spans="12:26" x14ac:dyDescent="0.25">
      <c r="L159">
        <f>sales_data!A5000</f>
        <v>623</v>
      </c>
      <c r="M159">
        <f>sales_data!B5000</f>
        <v>45950</v>
      </c>
      <c r="N159">
        <f>sales_data!C5000</f>
        <v>20</v>
      </c>
      <c r="O159" t="str">
        <f>sales_data!D5000</f>
        <v>Октябрь</v>
      </c>
      <c r="P159" t="str">
        <f>sales_data!E5000</f>
        <v>Светлана</v>
      </c>
      <c r="Q159" t="str">
        <f>sales_data!F5000</f>
        <v>Омск</v>
      </c>
      <c r="R159" t="str">
        <f>sales_data!G5000</f>
        <v>Сибирский</v>
      </c>
      <c r="S159" t="str">
        <f>sales_data!H5000</f>
        <v>Серверы</v>
      </c>
      <c r="T159" t="str">
        <f>sales_data!I5000</f>
        <v>Server Blade</v>
      </c>
      <c r="U159" t="str">
        <f>sales_data!J5000</f>
        <v>Розница</v>
      </c>
      <c r="V159">
        <f>sales_data!K5000</f>
        <v>5</v>
      </c>
      <c r="W159">
        <f>sales_data!L5000</f>
        <v>218800</v>
      </c>
      <c r="X159">
        <f>sales_data!M5000</f>
        <v>1094000</v>
      </c>
      <c r="Y159" t="str">
        <f>sales_data!N5000</f>
        <v>Интернет-магазин</v>
      </c>
      <c r="Z159" t="str">
        <f>sales_data!O5000</f>
        <v>Отменён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5"/>
  <sheetViews>
    <sheetView topLeftCell="F1" workbookViewId="0">
      <selection activeCell="P31" sqref="P31"/>
    </sheetView>
  </sheetViews>
  <sheetFormatPr defaultRowHeight="15" x14ac:dyDescent="0.25"/>
  <cols>
    <col min="1" max="1" width="10" customWidth="1"/>
    <col min="2" max="2" width="18" customWidth="1"/>
    <col min="3" max="3" width="17" customWidth="1"/>
    <col min="4" max="4" width="14" customWidth="1"/>
    <col min="5" max="5" width="18" customWidth="1"/>
    <col min="6" max="6" width="10" customWidth="1"/>
    <col min="7" max="7" width="11" customWidth="1"/>
    <col min="8" max="8" width="12" customWidth="1"/>
    <col min="9" max="9" width="14" customWidth="1"/>
    <col min="10" max="10" width="11" customWidth="1"/>
    <col min="11" max="11" width="3" customWidth="1"/>
    <col min="12" max="12" width="12" customWidth="1"/>
    <col min="13" max="13" width="18" customWidth="1"/>
    <col min="14" max="14" width="17" customWidth="1"/>
    <col min="15" max="15" width="14" customWidth="1"/>
    <col min="16" max="16" width="18" customWidth="1"/>
    <col min="17" max="17" width="10" customWidth="1"/>
    <col min="18" max="18" width="11" customWidth="1"/>
    <col min="19" max="19" width="12" customWidth="1"/>
    <col min="20" max="20" width="14" customWidth="1"/>
  </cols>
  <sheetData>
    <row r="1" spans="1:26" ht="26.1" customHeight="1" x14ac:dyDescent="0.25">
      <c r="A1" s="23" t="s">
        <v>63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</row>
    <row r="2" spans="1:26" ht="21.95" customHeight="1" x14ac:dyDescent="0.25"/>
    <row r="3" spans="1:26" ht="24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64</v>
      </c>
      <c r="L3" s="16" t="str">
        <f>sales_data!A2</f>
        <v>order_id</v>
      </c>
      <c r="M3" s="17" t="str">
        <f>sales_data!B2</f>
        <v>date</v>
      </c>
      <c r="N3" s="17" t="str">
        <f>sales_data!C2</f>
        <v>day</v>
      </c>
      <c r="O3" s="17" t="str">
        <f>sales_data!D2</f>
        <v>month</v>
      </c>
      <c r="P3" s="17" t="str">
        <f>sales_data!E2</f>
        <v>manager</v>
      </c>
      <c r="Q3" s="17" t="str">
        <f>sales_data!F2</f>
        <v>city</v>
      </c>
      <c r="R3" s="17" t="str">
        <f>sales_data!G2</f>
        <v>region</v>
      </c>
      <c r="S3" s="17" t="str">
        <f>sales_data!H2</f>
        <v>category</v>
      </c>
      <c r="T3" s="17" t="str">
        <f>sales_data!I2</f>
        <v>product</v>
      </c>
      <c r="U3" s="17" t="str">
        <f>sales_data!J2</f>
        <v>client_type</v>
      </c>
      <c r="V3" s="17" t="str">
        <f>sales_data!K2</f>
        <v>quantity</v>
      </c>
      <c r="W3" s="17" t="str">
        <f>sales_data!L2</f>
        <v>price_per_unit</v>
      </c>
      <c r="X3" s="17" t="str">
        <f>sales_data!M2</f>
        <v>revenue</v>
      </c>
      <c r="Y3" s="17" t="str">
        <f>sales_data!N2</f>
        <v>channel</v>
      </c>
      <c r="Z3" s="17" t="str">
        <f>sales_data!O2</f>
        <v>status</v>
      </c>
    </row>
    <row r="4" spans="1:26" ht="21.95" customHeight="1" x14ac:dyDescent="0.25">
      <c r="A4" s="4">
        <v>201</v>
      </c>
      <c r="B4" s="5" t="s">
        <v>21</v>
      </c>
      <c r="C4" s="5" t="s">
        <v>22</v>
      </c>
      <c r="D4" s="5" t="s">
        <v>23</v>
      </c>
      <c r="E4" s="5" t="s">
        <v>24</v>
      </c>
      <c r="F4" s="4">
        <v>2</v>
      </c>
      <c r="G4" s="6">
        <v>55000</v>
      </c>
      <c r="H4" s="5" t="s">
        <v>25</v>
      </c>
      <c r="I4" s="5" t="s">
        <v>26</v>
      </c>
      <c r="J4" s="4">
        <f>RANK(G4,$G$4:$G$12,0)+COUNTIF($G$4:G4,G4)-1</f>
        <v>2</v>
      </c>
      <c r="L4" s="16">
        <f>sales_data!A3</f>
        <v>85</v>
      </c>
      <c r="M4" s="16">
        <f>sales_data!B3</f>
        <v>45881</v>
      </c>
      <c r="N4" s="16">
        <f>sales_data!C3</f>
        <v>12</v>
      </c>
      <c r="O4" s="16" t="str">
        <f>sales_data!D3</f>
        <v>Август</v>
      </c>
      <c r="P4" s="16" t="str">
        <f>sales_data!E3</f>
        <v>Владимир</v>
      </c>
      <c r="Q4" s="16" t="str">
        <f>sales_data!F3</f>
        <v>Уфа</v>
      </c>
      <c r="R4" s="16" t="str">
        <f>sales_data!G3</f>
        <v>Приволжский</v>
      </c>
      <c r="S4" s="16" t="str">
        <f>sales_data!H3</f>
        <v>Аксессуары</v>
      </c>
      <c r="T4" s="16" t="str">
        <f>sales_data!I3</f>
        <v>Screen Protector</v>
      </c>
      <c r="U4" s="17" t="str">
        <f>sales_data!J3</f>
        <v>Опт</v>
      </c>
      <c r="V4" s="17">
        <f>sales_data!K3</f>
        <v>20</v>
      </c>
      <c r="W4" s="17">
        <f>sales_data!L3</f>
        <v>800</v>
      </c>
      <c r="X4" s="17">
        <f>sales_data!M3</f>
        <v>16000</v>
      </c>
      <c r="Y4" s="17" t="str">
        <f>sales_data!N3</f>
        <v>Интернет-магазин</v>
      </c>
      <c r="Z4" s="17" t="str">
        <f>sales_data!O3</f>
        <v>В пути</v>
      </c>
    </row>
    <row r="5" spans="1:26" ht="21.95" customHeight="1" x14ac:dyDescent="0.25">
      <c r="A5" s="4">
        <v>202</v>
      </c>
      <c r="B5" s="5" t="s">
        <v>27</v>
      </c>
      <c r="C5" s="5" t="s">
        <v>28</v>
      </c>
      <c r="D5" s="5" t="s">
        <v>29</v>
      </c>
      <c r="E5" s="5" t="s">
        <v>30</v>
      </c>
      <c r="F5" s="4">
        <v>1</v>
      </c>
      <c r="G5" s="6">
        <v>23000</v>
      </c>
      <c r="H5" s="5" t="s">
        <v>31</v>
      </c>
      <c r="I5" s="5" t="s">
        <v>32</v>
      </c>
      <c r="J5" s="4">
        <f>RANK(G5,$G$4:$G$12,0)+COUNTIF($G$4:G5,G5)-1</f>
        <v>6</v>
      </c>
      <c r="L5" s="18">
        <f>sales_data!A4</f>
        <v>225</v>
      </c>
      <c r="M5" s="19">
        <f>sales_data!B4</f>
        <v>45697</v>
      </c>
      <c r="N5" s="19">
        <f>sales_data!C4</f>
        <v>9</v>
      </c>
      <c r="O5" s="19" t="str">
        <f>sales_data!D4</f>
        <v>Февраль</v>
      </c>
      <c r="P5" s="19" t="str">
        <f>sales_data!E4</f>
        <v>Сергей</v>
      </c>
      <c r="Q5" s="18" t="str">
        <f>sales_data!F4</f>
        <v>Казань</v>
      </c>
      <c r="R5" s="20" t="str">
        <f>sales_data!G4</f>
        <v>Приволжский</v>
      </c>
      <c r="S5" s="19" t="str">
        <f>sales_data!H4</f>
        <v>Аксессуары</v>
      </c>
      <c r="T5" s="19" t="str">
        <f>sales_data!I4</f>
        <v>Screen Protector</v>
      </c>
      <c r="U5" s="17" t="str">
        <f>sales_data!J4</f>
        <v>Опт</v>
      </c>
      <c r="V5" s="17">
        <f>sales_data!K4</f>
        <v>25</v>
      </c>
      <c r="W5" s="17">
        <f>sales_data!L4</f>
        <v>800</v>
      </c>
      <c r="X5" s="17">
        <f>sales_data!M4</f>
        <v>20000</v>
      </c>
      <c r="Y5" s="17" t="str">
        <f>sales_data!N4</f>
        <v>Офлайн-точка</v>
      </c>
      <c r="Z5" s="17" t="str">
        <f>sales_data!O4</f>
        <v>Доставлен</v>
      </c>
    </row>
    <row r="6" spans="1:26" ht="21.95" customHeight="1" x14ac:dyDescent="0.25">
      <c r="A6" s="4">
        <v>203</v>
      </c>
      <c r="B6" s="5" t="s">
        <v>33</v>
      </c>
      <c r="C6" s="5" t="s">
        <v>22</v>
      </c>
      <c r="D6" s="5" t="s">
        <v>23</v>
      </c>
      <c r="E6" s="5" t="s">
        <v>34</v>
      </c>
      <c r="F6" s="4">
        <v>3</v>
      </c>
      <c r="G6" s="6">
        <v>72000</v>
      </c>
      <c r="H6" s="5" t="s">
        <v>25</v>
      </c>
      <c r="I6" s="5" t="s">
        <v>26</v>
      </c>
      <c r="J6" s="4">
        <f>RANK(G6,$G$4:$G$12,0)+COUNTIF($G$4:G6,G6)-1</f>
        <v>1</v>
      </c>
      <c r="L6" s="18">
        <f>sales_data!A5</f>
        <v>332</v>
      </c>
      <c r="M6" s="19">
        <f>sales_data!B5</f>
        <v>45941</v>
      </c>
      <c r="N6" s="19">
        <f>sales_data!C5</f>
        <v>11</v>
      </c>
      <c r="O6" s="19" t="str">
        <f>sales_data!D5</f>
        <v>Октябрь</v>
      </c>
      <c r="P6" s="19" t="str">
        <f>sales_data!E5</f>
        <v>Борис</v>
      </c>
      <c r="Q6" s="18" t="str">
        <f>sales_data!F5</f>
        <v>Омск</v>
      </c>
      <c r="R6" s="20" t="str">
        <f>sales_data!G5</f>
        <v>Сибирский</v>
      </c>
      <c r="S6" s="19" t="str">
        <f>sales_data!H5</f>
        <v>Аксессуары</v>
      </c>
      <c r="T6" s="19" t="str">
        <f>sales_data!I5</f>
        <v>Screen Protector</v>
      </c>
      <c r="U6" s="17" t="str">
        <f>sales_data!J5</f>
        <v>Опт</v>
      </c>
      <c r="V6" s="17">
        <f>sales_data!K5</f>
        <v>5</v>
      </c>
      <c r="W6" s="17">
        <f>sales_data!L5</f>
        <v>800</v>
      </c>
      <c r="X6" s="17">
        <f>sales_data!M5</f>
        <v>4000</v>
      </c>
      <c r="Y6" s="17" t="str">
        <f>sales_data!N5</f>
        <v>Офлайн-точка</v>
      </c>
      <c r="Z6" s="17" t="str">
        <f>sales_data!O5</f>
        <v>В пути</v>
      </c>
    </row>
    <row r="7" spans="1:26" ht="21.95" customHeight="1" x14ac:dyDescent="0.25">
      <c r="A7" s="4">
        <v>204</v>
      </c>
      <c r="B7" s="5" t="s">
        <v>35</v>
      </c>
      <c r="C7" s="5" t="s">
        <v>36</v>
      </c>
      <c r="D7" s="5" t="s">
        <v>37</v>
      </c>
      <c r="E7" s="5" t="s">
        <v>38</v>
      </c>
      <c r="F7" s="4">
        <v>5</v>
      </c>
      <c r="G7" s="6">
        <v>2500</v>
      </c>
      <c r="H7" s="5" t="s">
        <v>39</v>
      </c>
      <c r="I7" s="5" t="s">
        <v>40</v>
      </c>
      <c r="J7" s="4">
        <f>RANK(G7,$G$4:$G$12,0)+COUNTIF($G$4:G7,G7)-1</f>
        <v>9</v>
      </c>
      <c r="L7" s="18">
        <f>sales_data!A6</f>
        <v>430</v>
      </c>
      <c r="M7" s="19">
        <f>sales_data!B6</f>
        <v>45746</v>
      </c>
      <c r="N7" s="19">
        <f>sales_data!C6</f>
        <v>30</v>
      </c>
      <c r="O7" s="19" t="str">
        <f>sales_data!D6</f>
        <v>Март</v>
      </c>
      <c r="P7" s="19" t="str">
        <f>sales_data!E6</f>
        <v>Светлана</v>
      </c>
      <c r="Q7" s="18" t="str">
        <f>sales_data!F6</f>
        <v>Новосибирск</v>
      </c>
      <c r="R7" s="20" t="str">
        <f>sales_data!G6</f>
        <v>Сибирский</v>
      </c>
      <c r="S7" s="19" t="str">
        <f>sales_data!H6</f>
        <v>Аксессуары</v>
      </c>
      <c r="T7" s="19" t="str">
        <f>sales_data!I6</f>
        <v>Screen Protector</v>
      </c>
      <c r="U7" s="17" t="str">
        <f>sales_data!J6</f>
        <v>Опт</v>
      </c>
      <c r="V7" s="17">
        <f>sales_data!K6</f>
        <v>42</v>
      </c>
      <c r="W7" s="17">
        <f>sales_data!L6</f>
        <v>800</v>
      </c>
      <c r="X7" s="17">
        <f>sales_data!M6</f>
        <v>33600</v>
      </c>
      <c r="Y7" s="17" t="str">
        <f>sales_data!N6</f>
        <v>Интернет-магазин</v>
      </c>
      <c r="Z7" s="17" t="str">
        <f>sales_data!O6</f>
        <v>Отменён</v>
      </c>
    </row>
    <row r="8" spans="1:26" ht="21.95" customHeight="1" x14ac:dyDescent="0.25">
      <c r="A8" s="4">
        <v>205</v>
      </c>
      <c r="B8" s="5" t="s">
        <v>41</v>
      </c>
      <c r="C8" s="5" t="s">
        <v>22</v>
      </c>
      <c r="D8" s="5" t="s">
        <v>29</v>
      </c>
      <c r="E8" s="5" t="s">
        <v>42</v>
      </c>
      <c r="F8" s="4">
        <v>2</v>
      </c>
      <c r="G8" s="6">
        <v>18000</v>
      </c>
      <c r="H8" s="5" t="s">
        <v>25</v>
      </c>
      <c r="I8" s="5" t="s">
        <v>26</v>
      </c>
      <c r="J8" s="4">
        <f>RANK(G8,$G$4:$G$12,0)+COUNTIF($G$4:G8,G8)-1</f>
        <v>7</v>
      </c>
      <c r="L8" s="18">
        <f>sales_data!A7</f>
        <v>459</v>
      </c>
      <c r="M8" s="19">
        <f>sales_data!B7</f>
        <v>45856</v>
      </c>
      <c r="N8" s="19">
        <f>sales_data!C7</f>
        <v>18</v>
      </c>
      <c r="O8" s="19" t="str">
        <f>sales_data!D7</f>
        <v>Июль</v>
      </c>
      <c r="P8" s="19" t="str">
        <f>sales_data!E7</f>
        <v>Мария</v>
      </c>
      <c r="Q8" s="18" t="str">
        <f>sales_data!F7</f>
        <v>Нижний Новгород</v>
      </c>
      <c r="R8" s="20" t="str">
        <f>sales_data!G7</f>
        <v>Приволжский</v>
      </c>
      <c r="S8" s="19" t="str">
        <f>sales_data!H7</f>
        <v>Аксессуары</v>
      </c>
      <c r="T8" s="19" t="str">
        <f>sales_data!I7</f>
        <v>Screen Protector</v>
      </c>
      <c r="U8" s="17" t="str">
        <f>sales_data!J7</f>
        <v>Опт</v>
      </c>
      <c r="V8" s="17">
        <f>sales_data!K7</f>
        <v>38</v>
      </c>
      <c r="W8" s="17">
        <f>sales_data!L7</f>
        <v>800</v>
      </c>
      <c r="X8" s="17">
        <f>sales_data!M7</f>
        <v>30400</v>
      </c>
      <c r="Y8" s="17" t="str">
        <f>sales_data!N7</f>
        <v>Офлайн-точка</v>
      </c>
      <c r="Z8" s="17" t="str">
        <f>sales_data!O7</f>
        <v>Доставлен</v>
      </c>
    </row>
    <row r="9" spans="1:26" ht="21.95" customHeight="1" x14ac:dyDescent="0.25">
      <c r="A9" s="4">
        <v>206</v>
      </c>
      <c r="B9" s="5" t="s">
        <v>43</v>
      </c>
      <c r="C9" s="5" t="s">
        <v>44</v>
      </c>
      <c r="D9" s="5" t="s">
        <v>23</v>
      </c>
      <c r="E9" s="5" t="s">
        <v>45</v>
      </c>
      <c r="F9" s="4">
        <v>1</v>
      </c>
      <c r="G9" s="6">
        <v>49000</v>
      </c>
      <c r="H9" s="5" t="s">
        <v>31</v>
      </c>
      <c r="I9" s="5" t="s">
        <v>32</v>
      </c>
      <c r="J9" s="4">
        <f>RANK(G9,$G$4:$G$12,0)+COUNTIF($G$4:G9,G9)-1</f>
        <v>4</v>
      </c>
      <c r="L9" s="18">
        <f>sales_data!A8</f>
        <v>570</v>
      </c>
      <c r="M9" s="19">
        <f>sales_data!B8</f>
        <v>45766</v>
      </c>
      <c r="N9" s="19">
        <f>sales_data!C8</f>
        <v>19</v>
      </c>
      <c r="O9" s="19" t="str">
        <f>sales_data!D8</f>
        <v>Апрель</v>
      </c>
      <c r="P9" s="19" t="str">
        <f>sales_data!E8</f>
        <v>Ксения</v>
      </c>
      <c r="Q9" s="18" t="str">
        <f>sales_data!F8</f>
        <v>Москва</v>
      </c>
      <c r="R9" s="20" t="str">
        <f>sales_data!G8</f>
        <v>Центральный</v>
      </c>
      <c r="S9" s="19" t="str">
        <f>sales_data!H8</f>
        <v>Аксессуары</v>
      </c>
      <c r="T9" s="19" t="str">
        <f>sales_data!I8</f>
        <v>Screen Protector</v>
      </c>
      <c r="U9" s="17" t="str">
        <f>sales_data!J8</f>
        <v>Опт</v>
      </c>
      <c r="V9" s="17">
        <f>sales_data!K8</f>
        <v>46</v>
      </c>
      <c r="W9" s="17">
        <f>sales_data!L8</f>
        <v>800</v>
      </c>
      <c r="X9" s="17">
        <f>sales_data!M8</f>
        <v>36800</v>
      </c>
      <c r="Y9" s="17" t="str">
        <f>sales_data!N8</f>
        <v>Интернет-магазин</v>
      </c>
      <c r="Z9" s="17" t="str">
        <f>sales_data!O8</f>
        <v>В пути</v>
      </c>
    </row>
    <row r="10" spans="1:26" ht="21.95" customHeight="1" x14ac:dyDescent="0.25">
      <c r="A10" s="4">
        <v>207</v>
      </c>
      <c r="B10" s="5" t="s">
        <v>46</v>
      </c>
      <c r="C10" s="5" t="s">
        <v>22</v>
      </c>
      <c r="D10" s="5" t="s">
        <v>37</v>
      </c>
      <c r="E10" s="5" t="s">
        <v>47</v>
      </c>
      <c r="F10" s="4">
        <v>4</v>
      </c>
      <c r="G10" s="6">
        <v>4000</v>
      </c>
      <c r="H10" s="5" t="s">
        <v>39</v>
      </c>
      <c r="I10" s="5" t="s">
        <v>26</v>
      </c>
      <c r="J10" s="4">
        <f>RANK(G10,$G$4:$G$12,0)+COUNTIF($G$4:G10,G10)-1</f>
        <v>8</v>
      </c>
      <c r="L10" s="18">
        <f>sales_data!A9</f>
        <v>639</v>
      </c>
      <c r="M10" s="19">
        <f>sales_data!B9</f>
        <v>45901</v>
      </c>
      <c r="N10" s="19">
        <f>sales_data!C9</f>
        <v>1</v>
      </c>
      <c r="O10" s="19" t="str">
        <f>sales_data!D9</f>
        <v>Сентябрь</v>
      </c>
      <c r="P10" s="19" t="str">
        <f>sales_data!E9</f>
        <v>Павел</v>
      </c>
      <c r="Q10" s="18" t="str">
        <f>sales_data!F9</f>
        <v>Пермь</v>
      </c>
      <c r="R10" s="20" t="str">
        <f>sales_data!G9</f>
        <v>Приволжский</v>
      </c>
      <c r="S10" s="19" t="str">
        <f>sales_data!H9</f>
        <v>Аксессуары</v>
      </c>
      <c r="T10" s="19" t="str">
        <f>sales_data!I9</f>
        <v>Screen Protector</v>
      </c>
      <c r="U10" s="17" t="str">
        <f>sales_data!J9</f>
        <v>Опт</v>
      </c>
      <c r="V10" s="17">
        <f>sales_data!K9</f>
        <v>13</v>
      </c>
      <c r="W10" s="17">
        <f>sales_data!L9</f>
        <v>800</v>
      </c>
      <c r="X10" s="17">
        <f>sales_data!M9</f>
        <v>10400</v>
      </c>
      <c r="Y10" s="17" t="str">
        <f>sales_data!N9</f>
        <v>Интернет-магазин</v>
      </c>
      <c r="Z10" s="17" t="str">
        <f>sales_data!O9</f>
        <v>Отменён</v>
      </c>
    </row>
    <row r="11" spans="1:26" ht="21.95" customHeight="1" x14ac:dyDescent="0.25">
      <c r="A11" s="4">
        <v>208</v>
      </c>
      <c r="B11" s="5" t="s">
        <v>48</v>
      </c>
      <c r="C11" s="5" t="s">
        <v>49</v>
      </c>
      <c r="D11" s="5" t="s">
        <v>23</v>
      </c>
      <c r="E11" s="5" t="s">
        <v>24</v>
      </c>
      <c r="F11" s="4">
        <v>2</v>
      </c>
      <c r="G11" s="6">
        <v>55000</v>
      </c>
      <c r="H11" s="5" t="s">
        <v>25</v>
      </c>
      <c r="I11" s="5" t="s">
        <v>40</v>
      </c>
      <c r="J11" s="4">
        <f>RANK(G11,$G$4:$G$12,0)+COUNTIF($G$4:G11,G11)-1</f>
        <v>3</v>
      </c>
      <c r="L11" s="18">
        <f>sales_data!A10</f>
        <v>665</v>
      </c>
      <c r="M11" s="19">
        <f>sales_data!B10</f>
        <v>45809</v>
      </c>
      <c r="N11" s="19">
        <f>sales_data!C10</f>
        <v>1</v>
      </c>
      <c r="O11" s="19" t="str">
        <f>sales_data!D10</f>
        <v>Июнь</v>
      </c>
      <c r="P11" s="19" t="str">
        <f>sales_data!E10</f>
        <v>Владимир</v>
      </c>
      <c r="Q11" s="18" t="str">
        <f>sales_data!F10</f>
        <v>Екатеринбург</v>
      </c>
      <c r="R11" s="20" t="str">
        <f>sales_data!G10</f>
        <v>Уральский</v>
      </c>
      <c r="S11" s="19" t="str">
        <f>sales_data!H10</f>
        <v>Аксессуары</v>
      </c>
      <c r="T11" s="19" t="str">
        <f>sales_data!I10</f>
        <v>Screen Protector</v>
      </c>
      <c r="U11" s="17" t="str">
        <f>sales_data!J10</f>
        <v>Опт</v>
      </c>
      <c r="V11" s="17">
        <f>sales_data!K10</f>
        <v>5</v>
      </c>
      <c r="W11" s="17">
        <f>sales_data!L10</f>
        <v>800</v>
      </c>
      <c r="X11" s="17">
        <f>sales_data!M10</f>
        <v>4000</v>
      </c>
      <c r="Y11" s="17" t="str">
        <f>sales_data!N10</f>
        <v>Офлайн-точка</v>
      </c>
      <c r="Z11" s="17" t="str">
        <f>sales_data!O10</f>
        <v>Отменён</v>
      </c>
    </row>
    <row r="12" spans="1:26" ht="21.95" customHeight="1" x14ac:dyDescent="0.25">
      <c r="A12" s="4">
        <v>209</v>
      </c>
      <c r="B12" s="5" t="s">
        <v>50</v>
      </c>
      <c r="C12" s="5" t="s">
        <v>22</v>
      </c>
      <c r="D12" s="5" t="s">
        <v>23</v>
      </c>
      <c r="E12" s="5" t="s">
        <v>51</v>
      </c>
      <c r="F12" s="4">
        <v>1</v>
      </c>
      <c r="G12" s="6">
        <v>43000</v>
      </c>
      <c r="H12" s="5" t="s">
        <v>31</v>
      </c>
      <c r="I12" s="5" t="s">
        <v>32</v>
      </c>
      <c r="J12" s="4">
        <f>RANK(G12,$G$4:$G$12,0)+COUNTIF($G$4:G12,G12)-1</f>
        <v>5</v>
      </c>
      <c r="L12" s="18">
        <f>sales_data!A11</f>
        <v>746</v>
      </c>
      <c r="M12" s="19">
        <f>sales_data!B11</f>
        <v>45979</v>
      </c>
      <c r="N12" s="19">
        <f>sales_data!C11</f>
        <v>18</v>
      </c>
      <c r="O12" s="19" t="str">
        <f>sales_data!D11</f>
        <v>Ноябрь</v>
      </c>
      <c r="P12" s="19" t="str">
        <f>sales_data!E11</f>
        <v>Павел</v>
      </c>
      <c r="Q12" s="18" t="str">
        <f>sales_data!F11</f>
        <v>Воронеж</v>
      </c>
      <c r="R12" s="20" t="str">
        <f>sales_data!G11</f>
        <v>Центральный</v>
      </c>
      <c r="S12" s="19" t="str">
        <f>sales_data!H11</f>
        <v>Аксессуары</v>
      </c>
      <c r="T12" s="19" t="str">
        <f>sales_data!I11</f>
        <v>Screen Protector</v>
      </c>
      <c r="U12" s="17" t="str">
        <f>sales_data!J11</f>
        <v>Опт</v>
      </c>
      <c r="V12" s="17">
        <f>sales_data!K11</f>
        <v>31</v>
      </c>
      <c r="W12" s="17">
        <f>sales_data!L11</f>
        <v>800</v>
      </c>
      <c r="X12" s="17">
        <f>sales_data!M11</f>
        <v>24800</v>
      </c>
      <c r="Y12" s="17" t="str">
        <f>sales_data!N11</f>
        <v>Интернет-магазин</v>
      </c>
      <c r="Z12" s="17" t="str">
        <f>sales_data!O11</f>
        <v>Отменён</v>
      </c>
    </row>
    <row r="13" spans="1:26" ht="21.95" customHeight="1" x14ac:dyDescent="0.25">
      <c r="L13" s="18">
        <f>sales_data!A12</f>
        <v>1035</v>
      </c>
      <c r="M13" s="19">
        <f>sales_data!B12</f>
        <v>45812</v>
      </c>
      <c r="N13" s="19">
        <f>sales_data!C12</f>
        <v>4</v>
      </c>
      <c r="O13" s="19" t="str">
        <f>sales_data!D12</f>
        <v>Июнь</v>
      </c>
      <c r="P13" s="19" t="str">
        <f>sales_data!E12</f>
        <v>Борис</v>
      </c>
      <c r="Q13" s="18" t="str">
        <f>sales_data!F12</f>
        <v>Москва</v>
      </c>
      <c r="R13" s="20" t="str">
        <f>sales_data!G12</f>
        <v>Центральный</v>
      </c>
      <c r="S13" s="19" t="str">
        <f>sales_data!H12</f>
        <v>Аксессуары</v>
      </c>
      <c r="T13" s="19" t="str">
        <f>sales_data!I12</f>
        <v>Screen Protector</v>
      </c>
      <c r="U13" s="17" t="str">
        <f>sales_data!J12</f>
        <v>Опт</v>
      </c>
      <c r="V13" s="17">
        <f>sales_data!K12</f>
        <v>13</v>
      </c>
      <c r="W13" s="17">
        <f>sales_data!L12</f>
        <v>800</v>
      </c>
      <c r="X13" s="17">
        <f>sales_data!M12</f>
        <v>10400</v>
      </c>
      <c r="Y13" s="17" t="str">
        <f>sales_data!N12</f>
        <v>Офлайн-точка</v>
      </c>
      <c r="Z13" s="17" t="str">
        <f>sales_data!O12</f>
        <v>Доставлен</v>
      </c>
    </row>
    <row r="14" spans="1:26" ht="21.95" customHeight="1" x14ac:dyDescent="0.25">
      <c r="L14" s="17">
        <f>sales_data!A13</f>
        <v>1562</v>
      </c>
      <c r="M14" s="17">
        <f>sales_data!B13</f>
        <v>45696</v>
      </c>
      <c r="N14" s="17">
        <f>sales_data!C13</f>
        <v>8</v>
      </c>
      <c r="O14" s="17" t="str">
        <f>sales_data!D13</f>
        <v>Февраль</v>
      </c>
      <c r="P14" s="17" t="str">
        <f>sales_data!E13</f>
        <v>Игорь</v>
      </c>
      <c r="Q14" s="17" t="str">
        <f>sales_data!F13</f>
        <v>Казань</v>
      </c>
      <c r="R14" s="17" t="str">
        <f>sales_data!G13</f>
        <v>Приволжский</v>
      </c>
      <c r="S14" s="17" t="str">
        <f>sales_data!H13</f>
        <v>Аксессуары</v>
      </c>
      <c r="T14" s="17" t="str">
        <f>sales_data!I13</f>
        <v>Screen Protector</v>
      </c>
      <c r="U14" s="17" t="str">
        <f>sales_data!J13</f>
        <v>Опт</v>
      </c>
      <c r="V14" s="17">
        <f>sales_data!K13</f>
        <v>34</v>
      </c>
      <c r="W14" s="17">
        <f>sales_data!L13</f>
        <v>800</v>
      </c>
      <c r="X14" s="17">
        <f>sales_data!M13</f>
        <v>27200</v>
      </c>
      <c r="Y14" s="17" t="str">
        <f>sales_data!N13</f>
        <v>Интернет-магазин</v>
      </c>
      <c r="Z14" s="17" t="str">
        <f>sales_data!O13</f>
        <v>Отменён</v>
      </c>
    </row>
    <row r="15" spans="1:26" ht="21.95" customHeight="1" x14ac:dyDescent="0.25">
      <c r="L15" s="16">
        <f>sales_data!A14</f>
        <v>1720</v>
      </c>
      <c r="M15" s="18">
        <f>sales_data!B14</f>
        <v>45786</v>
      </c>
      <c r="N15" s="17">
        <f>sales_data!C14</f>
        <v>9</v>
      </c>
      <c r="O15" s="17" t="str">
        <f>sales_data!D14</f>
        <v>Май</v>
      </c>
      <c r="P15" s="17" t="str">
        <f>sales_data!E14</f>
        <v>Наталья</v>
      </c>
      <c r="Q15" s="17" t="str">
        <f>sales_data!F14</f>
        <v>Нижний Новгород</v>
      </c>
      <c r="R15" s="17" t="str">
        <f>sales_data!G14</f>
        <v>Приволжский</v>
      </c>
      <c r="S15" s="17" t="str">
        <f>sales_data!H14</f>
        <v>Аксессуары</v>
      </c>
      <c r="T15" s="17" t="str">
        <f>sales_data!I14</f>
        <v>Screen Protector</v>
      </c>
      <c r="U15" s="17" t="str">
        <f>sales_data!J14</f>
        <v>Опт</v>
      </c>
      <c r="V15" s="17">
        <f>sales_data!K14</f>
        <v>45</v>
      </c>
      <c r="W15" s="17">
        <f>sales_data!L14</f>
        <v>800</v>
      </c>
      <c r="X15" s="17">
        <f>sales_data!M14</f>
        <v>36000</v>
      </c>
      <c r="Y15" s="17" t="str">
        <f>sales_data!N14</f>
        <v>Интернет-магазин</v>
      </c>
      <c r="Z15" s="17" t="str">
        <f>sales_data!O14</f>
        <v>В пути</v>
      </c>
    </row>
    <row r="16" spans="1:26" x14ac:dyDescent="0.25">
      <c r="L16" s="17">
        <f>sales_data!A15</f>
        <v>1722</v>
      </c>
      <c r="M16" s="17">
        <f>sales_data!B15</f>
        <v>45798</v>
      </c>
      <c r="N16" s="17">
        <f>sales_data!C15</f>
        <v>21</v>
      </c>
      <c r="O16" s="17" t="str">
        <f>sales_data!D15</f>
        <v>Май</v>
      </c>
      <c r="P16" s="17" t="str">
        <f>sales_data!E15</f>
        <v>Татьяна</v>
      </c>
      <c r="Q16" s="17" t="str">
        <f>sales_data!F15</f>
        <v>Самара</v>
      </c>
      <c r="R16" s="17" t="str">
        <f>sales_data!G15</f>
        <v>Приволжский</v>
      </c>
      <c r="S16" s="17" t="str">
        <f>sales_data!H15</f>
        <v>Аксессуары</v>
      </c>
      <c r="T16" s="17" t="str">
        <f>sales_data!I15</f>
        <v>Screen Protector</v>
      </c>
      <c r="U16" s="17" t="str">
        <f>sales_data!J15</f>
        <v>Опт</v>
      </c>
      <c r="V16" s="17">
        <f>sales_data!K15</f>
        <v>12</v>
      </c>
      <c r="W16" s="17">
        <f>sales_data!L15</f>
        <v>800</v>
      </c>
      <c r="X16" s="17">
        <f>sales_data!M15</f>
        <v>9600</v>
      </c>
      <c r="Y16" s="17" t="str">
        <f>sales_data!N15</f>
        <v>Интернет-магазин</v>
      </c>
      <c r="Z16" s="17" t="str">
        <f>sales_data!O15</f>
        <v>В пути</v>
      </c>
    </row>
    <row r="17" spans="12:26" x14ac:dyDescent="0.25">
      <c r="L17" s="17">
        <f>sales_data!A16</f>
        <v>1736</v>
      </c>
      <c r="M17" s="17">
        <f>sales_data!B16</f>
        <v>45985</v>
      </c>
      <c r="N17" s="17">
        <f>sales_data!C16</f>
        <v>24</v>
      </c>
      <c r="O17" s="17" t="str">
        <f>sales_data!D16</f>
        <v>Ноябрь</v>
      </c>
      <c r="P17" s="17" t="str">
        <f>sales_data!E16</f>
        <v>Игорь</v>
      </c>
      <c r="Q17" s="17" t="str">
        <f>sales_data!F16</f>
        <v>Екатеринбург</v>
      </c>
      <c r="R17" s="17" t="str">
        <f>sales_data!G16</f>
        <v>Уральский</v>
      </c>
      <c r="S17" s="17" t="str">
        <f>sales_data!H16</f>
        <v>Аксессуары</v>
      </c>
      <c r="T17" s="17" t="str">
        <f>sales_data!I16</f>
        <v>Screen Protector</v>
      </c>
      <c r="U17" s="17" t="str">
        <f>sales_data!J16</f>
        <v>Опт</v>
      </c>
      <c r="V17" s="17">
        <f>sales_data!K16</f>
        <v>23</v>
      </c>
      <c r="W17" s="17">
        <f>sales_data!L16</f>
        <v>800</v>
      </c>
      <c r="X17" s="17">
        <f>sales_data!M16</f>
        <v>18400</v>
      </c>
      <c r="Y17" s="17" t="str">
        <f>sales_data!N16</f>
        <v>Интернет-магазин</v>
      </c>
      <c r="Z17" s="17" t="str">
        <f>sales_data!O16</f>
        <v>В пути</v>
      </c>
    </row>
    <row r="18" spans="12:26" x14ac:dyDescent="0.25">
      <c r="L18" s="17">
        <f>sales_data!A17</f>
        <v>1872</v>
      </c>
      <c r="M18" s="17">
        <f>sales_data!B17</f>
        <v>45779</v>
      </c>
      <c r="N18" s="17">
        <f>sales_data!C17</f>
        <v>2</v>
      </c>
      <c r="O18" s="17" t="str">
        <f>sales_data!D17</f>
        <v>Май</v>
      </c>
      <c r="P18" s="17" t="str">
        <f>sales_data!E17</f>
        <v>Татьяна</v>
      </c>
      <c r="Q18" s="17" t="str">
        <f>sales_data!F17</f>
        <v>Челябинск</v>
      </c>
      <c r="R18" s="17" t="str">
        <f>sales_data!G17</f>
        <v>Уральский</v>
      </c>
      <c r="S18" s="17" t="str">
        <f>sales_data!H17</f>
        <v>Аксессуары</v>
      </c>
      <c r="T18" s="17" t="str">
        <f>sales_data!I17</f>
        <v>Screen Protector</v>
      </c>
      <c r="U18" s="17" t="str">
        <f>sales_data!J17</f>
        <v>Опт</v>
      </c>
      <c r="V18" s="17">
        <f>sales_data!K17</f>
        <v>45</v>
      </c>
      <c r="W18" s="17">
        <f>sales_data!L17</f>
        <v>800</v>
      </c>
      <c r="X18" s="17">
        <f>sales_data!M17</f>
        <v>36000</v>
      </c>
      <c r="Y18" s="17" t="str">
        <f>sales_data!N17</f>
        <v>Офлайн-точка</v>
      </c>
      <c r="Z18" s="17" t="str">
        <f>sales_data!O17</f>
        <v>В пути</v>
      </c>
    </row>
    <row r="19" spans="12:26" x14ac:dyDescent="0.25">
      <c r="L19" s="17">
        <f>sales_data!A18</f>
        <v>1950</v>
      </c>
      <c r="M19" s="17">
        <f>sales_data!B18</f>
        <v>45736</v>
      </c>
      <c r="N19" s="17">
        <f>sales_data!C18</f>
        <v>20</v>
      </c>
      <c r="O19" s="17" t="str">
        <f>sales_data!D18</f>
        <v>Март</v>
      </c>
      <c r="P19" s="17" t="str">
        <f>sales_data!E18</f>
        <v>Владимир</v>
      </c>
      <c r="Q19" s="17" t="str">
        <f>sales_data!F18</f>
        <v>Казань</v>
      </c>
      <c r="R19" s="17" t="str">
        <f>sales_data!G18</f>
        <v>Приволжский</v>
      </c>
      <c r="S19" s="17" t="str">
        <f>sales_data!H18</f>
        <v>Аксессуары</v>
      </c>
      <c r="T19" s="17" t="str">
        <f>sales_data!I18</f>
        <v>Screen Protector</v>
      </c>
      <c r="U19" s="17" t="str">
        <f>sales_data!J18</f>
        <v>Опт</v>
      </c>
      <c r="V19" s="17">
        <f>sales_data!K18</f>
        <v>29</v>
      </c>
      <c r="W19" s="17">
        <f>sales_data!L18</f>
        <v>800</v>
      </c>
      <c r="X19" s="17">
        <f>sales_data!M18</f>
        <v>23200</v>
      </c>
      <c r="Y19" s="17" t="str">
        <f>sales_data!N18</f>
        <v>Офлайн-точка</v>
      </c>
      <c r="Z19" s="17" t="str">
        <f>sales_data!O18</f>
        <v>Доставлен</v>
      </c>
    </row>
    <row r="20" spans="12:26" x14ac:dyDescent="0.25">
      <c r="L20" s="17">
        <f>sales_data!A19</f>
        <v>2086</v>
      </c>
      <c r="M20" s="17">
        <f>sales_data!B19</f>
        <v>45742</v>
      </c>
      <c r="N20" s="17">
        <f>sales_data!C19</f>
        <v>26</v>
      </c>
      <c r="O20" s="17" t="str">
        <f>sales_data!D19</f>
        <v>Март</v>
      </c>
      <c r="P20" s="17" t="str">
        <f>sales_data!E19</f>
        <v>Игорь</v>
      </c>
      <c r="Q20" s="17" t="str">
        <f>sales_data!F19</f>
        <v>Казань</v>
      </c>
      <c r="R20" s="17" t="str">
        <f>sales_data!G19</f>
        <v>Приволжский</v>
      </c>
      <c r="S20" s="17" t="str">
        <f>sales_data!H19</f>
        <v>Аксессуары</v>
      </c>
      <c r="T20" s="17" t="str">
        <f>sales_data!I19</f>
        <v>Screen Protector</v>
      </c>
      <c r="U20" s="17" t="str">
        <f>sales_data!J19</f>
        <v>Опт</v>
      </c>
      <c r="V20" s="17">
        <f>sales_data!K19</f>
        <v>10</v>
      </c>
      <c r="W20" s="17">
        <f>sales_data!L19</f>
        <v>800</v>
      </c>
      <c r="X20" s="17">
        <f>sales_data!M19</f>
        <v>8000</v>
      </c>
      <c r="Y20" s="17" t="str">
        <f>sales_data!N19</f>
        <v>Интернет-магазин</v>
      </c>
      <c r="Z20" s="17" t="str">
        <f>sales_data!O19</f>
        <v>Доставлен</v>
      </c>
    </row>
    <row r="21" spans="12:26" x14ac:dyDescent="0.25">
      <c r="L21" s="17">
        <f>sales_data!A20</f>
        <v>2264</v>
      </c>
      <c r="M21" s="17">
        <f>sales_data!B20</f>
        <v>45911</v>
      </c>
      <c r="N21" s="17">
        <f>sales_data!C20</f>
        <v>11</v>
      </c>
      <c r="O21" s="17" t="str">
        <f>sales_data!D20</f>
        <v>Сентябрь</v>
      </c>
      <c r="P21" s="17" t="str">
        <f>sales_data!E20</f>
        <v>Павел</v>
      </c>
      <c r="Q21" s="17" t="str">
        <f>sales_data!F20</f>
        <v>Челябинск</v>
      </c>
      <c r="R21" s="17" t="str">
        <f>sales_data!G20</f>
        <v>Уральский</v>
      </c>
      <c r="S21" s="17" t="str">
        <f>sales_data!H20</f>
        <v>Аксессуары</v>
      </c>
      <c r="T21" s="17" t="str">
        <f>sales_data!I20</f>
        <v>Screen Protector</v>
      </c>
      <c r="U21" s="17" t="str">
        <f>sales_data!J20</f>
        <v>Опт</v>
      </c>
      <c r="V21" s="17">
        <f>sales_data!K20</f>
        <v>15</v>
      </c>
      <c r="W21" s="17">
        <f>sales_data!L20</f>
        <v>800</v>
      </c>
      <c r="X21" s="17">
        <f>sales_data!M20</f>
        <v>12000</v>
      </c>
      <c r="Y21" s="17" t="str">
        <f>sales_data!N20</f>
        <v>Интернет-магазин</v>
      </c>
      <c r="Z21" s="17" t="str">
        <f>sales_data!O20</f>
        <v>Отменён</v>
      </c>
    </row>
    <row r="22" spans="12:26" x14ac:dyDescent="0.25">
      <c r="L22" s="17">
        <f>sales_data!A21</f>
        <v>2345</v>
      </c>
      <c r="M22" s="17">
        <f>sales_data!B21</f>
        <v>45934</v>
      </c>
      <c r="N22" s="17">
        <f>sales_data!C21</f>
        <v>4</v>
      </c>
      <c r="O22" s="17" t="str">
        <f>sales_data!D21</f>
        <v>Октябрь</v>
      </c>
      <c r="P22" s="17" t="str">
        <f>sales_data!E21</f>
        <v>Дмитрий</v>
      </c>
      <c r="Q22" s="17" t="str">
        <f>sales_data!F21</f>
        <v>Краснодар</v>
      </c>
      <c r="R22" s="17" t="str">
        <f>sales_data!G21</f>
        <v>Южный</v>
      </c>
      <c r="S22" s="17" t="str">
        <f>sales_data!H21</f>
        <v>Аксессуары</v>
      </c>
      <c r="T22" s="17" t="str">
        <f>sales_data!I21</f>
        <v>Screen Protector</v>
      </c>
      <c r="U22" s="17" t="str">
        <f>sales_data!J21</f>
        <v>Опт</v>
      </c>
      <c r="V22" s="17">
        <f>sales_data!K21</f>
        <v>31</v>
      </c>
      <c r="W22" s="17">
        <f>sales_data!L21</f>
        <v>800</v>
      </c>
      <c r="X22" s="17">
        <f>sales_data!M21</f>
        <v>24800</v>
      </c>
      <c r="Y22" s="17" t="str">
        <f>sales_data!N21</f>
        <v>Интернет-магазин</v>
      </c>
      <c r="Z22" s="17" t="str">
        <f>sales_data!O21</f>
        <v>В пути</v>
      </c>
    </row>
    <row r="23" spans="12:26" x14ac:dyDescent="0.25">
      <c r="L23" s="17">
        <f>sales_data!A22</f>
        <v>2401</v>
      </c>
      <c r="M23" s="17">
        <f>sales_data!B22</f>
        <v>45969</v>
      </c>
      <c r="N23" s="17">
        <f>sales_data!C22</f>
        <v>8</v>
      </c>
      <c r="O23" s="17" t="str">
        <f>sales_data!D22</f>
        <v>Ноябрь</v>
      </c>
      <c r="P23" s="17" t="str">
        <f>sales_data!E22</f>
        <v>Мария</v>
      </c>
      <c r="Q23" s="17" t="str">
        <f>sales_data!F22</f>
        <v>Москва</v>
      </c>
      <c r="R23" s="17" t="str">
        <f>sales_data!G22</f>
        <v>Центральный</v>
      </c>
      <c r="S23" s="17" t="str">
        <f>sales_data!H22</f>
        <v>Аксессуары</v>
      </c>
      <c r="T23" s="17" t="str">
        <f>sales_data!I22</f>
        <v>Screen Protector</v>
      </c>
      <c r="U23" s="17" t="str">
        <f>sales_data!J22</f>
        <v>Опт</v>
      </c>
      <c r="V23" s="17">
        <f>sales_data!K22</f>
        <v>30</v>
      </c>
      <c r="W23" s="17">
        <f>sales_data!L22</f>
        <v>800</v>
      </c>
      <c r="X23" s="17">
        <f>sales_data!M22</f>
        <v>24000</v>
      </c>
      <c r="Y23" s="17" t="str">
        <f>sales_data!N22</f>
        <v>Офлайн-точка</v>
      </c>
      <c r="Z23" s="17" t="str">
        <f>sales_data!O22</f>
        <v>Отменён</v>
      </c>
    </row>
    <row r="24" spans="12:26" x14ac:dyDescent="0.25">
      <c r="L24" s="17">
        <f>sales_data!A23</f>
        <v>2552</v>
      </c>
      <c r="M24" s="17">
        <f>sales_data!B23</f>
        <v>45973</v>
      </c>
      <c r="N24" s="17">
        <f>sales_data!C23</f>
        <v>12</v>
      </c>
      <c r="O24" s="17" t="str">
        <f>sales_data!D23</f>
        <v>Ноябрь</v>
      </c>
      <c r="P24" s="17" t="str">
        <f>sales_data!E23</f>
        <v>Ксения</v>
      </c>
      <c r="Q24" s="17" t="str">
        <f>sales_data!F23</f>
        <v>Казань</v>
      </c>
      <c r="R24" s="17" t="str">
        <f>sales_data!G23</f>
        <v>Приволжский</v>
      </c>
      <c r="S24" s="17" t="str">
        <f>sales_data!H23</f>
        <v>Аксессуары</v>
      </c>
      <c r="T24" s="17" t="str">
        <f>sales_data!I23</f>
        <v>Screen Protector</v>
      </c>
      <c r="U24" s="17" t="str">
        <f>sales_data!J23</f>
        <v>Опт</v>
      </c>
      <c r="V24" s="17">
        <f>sales_data!K23</f>
        <v>20</v>
      </c>
      <c r="W24" s="17">
        <f>sales_data!L23</f>
        <v>800</v>
      </c>
      <c r="X24" s="17">
        <f>sales_data!M23</f>
        <v>16000</v>
      </c>
      <c r="Y24" s="17" t="str">
        <f>sales_data!N23</f>
        <v>Офлайн-точка</v>
      </c>
      <c r="Z24" s="17" t="str">
        <f>sales_data!O23</f>
        <v>Отменён</v>
      </c>
    </row>
    <row r="25" spans="12:26" x14ac:dyDescent="0.25">
      <c r="L25" s="17">
        <f>sales_data!A24</f>
        <v>2711</v>
      </c>
      <c r="M25" s="17">
        <f>sales_data!B24</f>
        <v>45964</v>
      </c>
      <c r="N25" s="17">
        <f>sales_data!C24</f>
        <v>3</v>
      </c>
      <c r="O25" s="17" t="str">
        <f>sales_data!D24</f>
        <v>Ноябрь</v>
      </c>
      <c r="P25" s="17" t="str">
        <f>sales_data!E24</f>
        <v>Анна</v>
      </c>
      <c r="Q25" s="17" t="str">
        <f>sales_data!F24</f>
        <v>Красноярск</v>
      </c>
      <c r="R25" s="17" t="str">
        <f>sales_data!G24</f>
        <v>Сибирский</v>
      </c>
      <c r="S25" s="17" t="str">
        <f>sales_data!H24</f>
        <v>Аксессуары</v>
      </c>
      <c r="T25" s="17" t="str">
        <f>sales_data!I24</f>
        <v>Screen Protector</v>
      </c>
      <c r="U25" s="17" t="str">
        <f>sales_data!J24</f>
        <v>Опт</v>
      </c>
      <c r="V25" s="17">
        <f>sales_data!K24</f>
        <v>30</v>
      </c>
      <c r="W25" s="17">
        <f>sales_data!L24</f>
        <v>800</v>
      </c>
      <c r="X25" s="17">
        <f>sales_data!M24</f>
        <v>24000</v>
      </c>
      <c r="Y25" s="17" t="str">
        <f>sales_data!N24</f>
        <v>Офлайн-точка</v>
      </c>
      <c r="Z25" s="17" t="str">
        <f>sales_data!O24</f>
        <v>Отменён</v>
      </c>
    </row>
  </sheetData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2"/>
  <sheetViews>
    <sheetView topLeftCell="C1" workbookViewId="0">
      <selection activeCell="N16" sqref="N16"/>
    </sheetView>
  </sheetViews>
  <sheetFormatPr defaultRowHeight="15" x14ac:dyDescent="0.25"/>
  <cols>
    <col min="1" max="1" width="10" customWidth="1"/>
    <col min="2" max="2" width="18" customWidth="1"/>
    <col min="3" max="3" width="17" customWidth="1"/>
    <col min="4" max="4" width="14" customWidth="1"/>
    <col min="5" max="5" width="18" customWidth="1"/>
    <col min="6" max="6" width="10" customWidth="1"/>
    <col min="7" max="7" width="11" customWidth="1"/>
    <col min="8" max="8" width="12" customWidth="1"/>
    <col min="9" max="9" width="14" customWidth="1"/>
    <col min="10" max="10" width="12" customWidth="1"/>
    <col min="11" max="11" width="16" customWidth="1"/>
    <col min="12" max="12" width="3" customWidth="1"/>
    <col min="13" max="13" width="14.28515625" customWidth="1"/>
    <col min="14" max="14" width="18" customWidth="1"/>
    <col min="15" max="15" width="17" customWidth="1"/>
    <col min="16" max="16" width="14" customWidth="1"/>
    <col min="17" max="17" width="18" customWidth="1"/>
    <col min="18" max="18" width="10" customWidth="1"/>
    <col min="19" max="19" width="11" customWidth="1"/>
    <col min="20" max="20" width="12" customWidth="1"/>
    <col min="21" max="21" width="14" customWidth="1"/>
    <col min="22" max="22" width="12" customWidth="1"/>
  </cols>
  <sheetData>
    <row r="1" spans="1:27" ht="26.1" customHeight="1" x14ac:dyDescent="0.25">
      <c r="A1" s="23" t="s">
        <v>65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</row>
    <row r="2" spans="1:27" ht="21.95" customHeight="1" x14ac:dyDescent="0.25"/>
    <row r="3" spans="1:27" ht="24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66</v>
      </c>
      <c r="K3" s="3" t="s">
        <v>67</v>
      </c>
      <c r="M3" s="9" t="s">
        <v>164</v>
      </c>
    </row>
    <row r="4" spans="1:27" ht="21.95" customHeight="1" x14ac:dyDescent="0.25">
      <c r="A4" s="4">
        <v>201</v>
      </c>
      <c r="B4" s="5" t="s">
        <v>21</v>
      </c>
      <c r="C4" s="5" t="s">
        <v>22</v>
      </c>
      <c r="D4" s="5" t="s">
        <v>23</v>
      </c>
      <c r="E4" s="5" t="s">
        <v>24</v>
      </c>
      <c r="F4" s="4">
        <v>2</v>
      </c>
      <c r="G4" s="6">
        <v>55000</v>
      </c>
      <c r="H4" s="5" t="s">
        <v>25</v>
      </c>
      <c r="I4" s="5" t="s">
        <v>26</v>
      </c>
      <c r="J4" s="6">
        <f t="shared" ref="J4:J12" si="0">F4*G4</f>
        <v>110000</v>
      </c>
      <c r="K4" s="4" t="str">
        <f t="shared" ref="K4:K12" si="1">IF(J4&gt;=100000,"Крупный заказ","Обычный")</f>
        <v>Крупный заказ</v>
      </c>
      <c r="M4" s="11" t="s">
        <v>12</v>
      </c>
      <c r="N4" s="12" t="s">
        <v>83</v>
      </c>
      <c r="O4" s="12" t="s">
        <v>84</v>
      </c>
      <c r="P4" s="12" t="s">
        <v>85</v>
      </c>
      <c r="Q4" s="12" t="s">
        <v>19</v>
      </c>
      <c r="R4" s="12" t="s">
        <v>14</v>
      </c>
      <c r="S4" s="12" t="s">
        <v>86</v>
      </c>
      <c r="T4" s="12" t="s">
        <v>15</v>
      </c>
      <c r="U4" s="12" t="s">
        <v>16</v>
      </c>
      <c r="V4" s="12" t="s">
        <v>87</v>
      </c>
      <c r="W4" s="12" t="s">
        <v>17</v>
      </c>
      <c r="X4" s="12" t="s">
        <v>88</v>
      </c>
      <c r="Y4" s="12" t="s">
        <v>66</v>
      </c>
      <c r="Z4" s="12" t="s">
        <v>20</v>
      </c>
      <c r="AA4" s="13" t="s">
        <v>89</v>
      </c>
    </row>
    <row r="5" spans="1:27" ht="21.95" customHeight="1" x14ac:dyDescent="0.25">
      <c r="A5" s="4">
        <v>202</v>
      </c>
      <c r="B5" s="5" t="s">
        <v>27</v>
      </c>
      <c r="C5" s="5" t="s">
        <v>28</v>
      </c>
      <c r="D5" s="5" t="s">
        <v>29</v>
      </c>
      <c r="E5" s="5" t="s">
        <v>30</v>
      </c>
      <c r="F5" s="4">
        <v>1</v>
      </c>
      <c r="G5" s="6">
        <v>23000</v>
      </c>
      <c r="H5" s="5" t="s">
        <v>31</v>
      </c>
      <c r="I5" s="5" t="s">
        <v>32</v>
      </c>
      <c r="J5" s="6">
        <f t="shared" si="0"/>
        <v>23000</v>
      </c>
      <c r="K5" s="4" t="str">
        <f t="shared" si="1"/>
        <v>Обычный</v>
      </c>
      <c r="M5" s="18" t="str">
        <f>sales_data!A2</f>
        <v>order_id</v>
      </c>
      <c r="N5" s="19" t="str">
        <f>sales_data!B2</f>
        <v>date</v>
      </c>
      <c r="O5" s="19" t="str">
        <f>sales_data!C2</f>
        <v>day</v>
      </c>
      <c r="P5" s="19" t="str">
        <f>sales_data!D2</f>
        <v>month</v>
      </c>
      <c r="Q5" s="19" t="str">
        <f>sales_data!E2</f>
        <v>manager</v>
      </c>
      <c r="R5" s="18" t="str">
        <f>sales_data!F2</f>
        <v>city</v>
      </c>
      <c r="S5" s="20" t="str">
        <f>sales_data!G2</f>
        <v>region</v>
      </c>
      <c r="T5" s="19" t="str">
        <f>sales_data!H2</f>
        <v>category</v>
      </c>
      <c r="U5" s="19" t="str">
        <f>sales_data!I2</f>
        <v>product</v>
      </c>
      <c r="V5" s="20" t="str">
        <f>sales_data!J2</f>
        <v>client_type</v>
      </c>
      <c r="W5" s="17" t="str">
        <f>sales_data!K2</f>
        <v>quantity</v>
      </c>
      <c r="X5" s="17" t="str">
        <f>sales_data!L2</f>
        <v>price_per_unit</v>
      </c>
      <c r="Y5" s="17" t="str">
        <f>sales_data!M2</f>
        <v>revenue</v>
      </c>
      <c r="Z5" s="17" t="str">
        <f>sales_data!N2</f>
        <v>channel</v>
      </c>
      <c r="AA5" s="17" t="str">
        <f>sales_data!O2</f>
        <v>status</v>
      </c>
    </row>
    <row r="6" spans="1:27" ht="21.95" customHeight="1" x14ac:dyDescent="0.25">
      <c r="A6" s="4">
        <v>203</v>
      </c>
      <c r="B6" s="5" t="s">
        <v>33</v>
      </c>
      <c r="C6" s="5" t="s">
        <v>22</v>
      </c>
      <c r="D6" s="5" t="s">
        <v>23</v>
      </c>
      <c r="E6" s="5" t="s">
        <v>34</v>
      </c>
      <c r="F6" s="4">
        <v>3</v>
      </c>
      <c r="G6" s="6">
        <v>72000</v>
      </c>
      <c r="H6" s="5" t="s">
        <v>25</v>
      </c>
      <c r="I6" s="5" t="s">
        <v>26</v>
      </c>
      <c r="J6" s="6">
        <f t="shared" si="0"/>
        <v>216000</v>
      </c>
      <c r="K6" s="4" t="str">
        <f t="shared" si="1"/>
        <v>Крупный заказ</v>
      </c>
      <c r="M6" s="18">
        <f>sales_data!A4892</f>
        <v>2981</v>
      </c>
      <c r="N6" s="19">
        <f>sales_data!B4892</f>
        <v>45991</v>
      </c>
      <c r="O6" s="19">
        <f>sales_data!C4892</f>
        <v>30</v>
      </c>
      <c r="P6" s="19" t="str">
        <f>sales_data!D4892</f>
        <v>Ноябрь</v>
      </c>
      <c r="Q6" s="19" t="str">
        <f>sales_data!E4892</f>
        <v>Павел</v>
      </c>
      <c r="R6" s="18" t="str">
        <f>sales_data!F4892</f>
        <v>Самара</v>
      </c>
      <c r="S6" s="20" t="str">
        <f>sales_data!G4892</f>
        <v>Приволжский</v>
      </c>
      <c r="T6" s="19" t="str">
        <f>sales_data!H4892</f>
        <v>Серверы</v>
      </c>
      <c r="U6" s="19" t="str">
        <f>sales_data!I4892</f>
        <v>Server Blade</v>
      </c>
      <c r="V6" s="20" t="str">
        <f>sales_data!J4892</f>
        <v>Опт</v>
      </c>
      <c r="W6" s="17">
        <f>sales_data!K4892</f>
        <v>47</v>
      </c>
      <c r="X6" s="17">
        <f>sales_data!L4892</f>
        <v>172200</v>
      </c>
      <c r="Y6" s="17">
        <f>sales_data!M4892</f>
        <v>8093400</v>
      </c>
      <c r="Z6" s="17" t="str">
        <f>sales_data!N4892</f>
        <v>Интернет-магазин</v>
      </c>
      <c r="AA6" s="17" t="str">
        <f>sales_data!O4892</f>
        <v>Доставлен</v>
      </c>
    </row>
    <row r="7" spans="1:27" ht="21.95" customHeight="1" x14ac:dyDescent="0.25">
      <c r="A7" s="4">
        <v>204</v>
      </c>
      <c r="B7" s="5" t="s">
        <v>35</v>
      </c>
      <c r="C7" s="5" t="s">
        <v>36</v>
      </c>
      <c r="D7" s="5" t="s">
        <v>37</v>
      </c>
      <c r="E7" s="5" t="s">
        <v>38</v>
      </c>
      <c r="F7" s="4">
        <v>5</v>
      </c>
      <c r="G7" s="6">
        <v>2500</v>
      </c>
      <c r="H7" s="5" t="s">
        <v>39</v>
      </c>
      <c r="I7" s="5" t="s">
        <v>40</v>
      </c>
      <c r="J7" s="6">
        <f t="shared" si="0"/>
        <v>12500</v>
      </c>
      <c r="K7" s="4" t="str">
        <f t="shared" si="1"/>
        <v>Обычный</v>
      </c>
      <c r="M7" s="18">
        <f>sales_data!A4912</f>
        <v>2930</v>
      </c>
      <c r="N7" s="19">
        <f>sales_data!B4912</f>
        <v>45820</v>
      </c>
      <c r="O7" s="19">
        <f>sales_data!C4912</f>
        <v>12</v>
      </c>
      <c r="P7" s="19" t="str">
        <f>sales_data!D4912</f>
        <v>Июнь</v>
      </c>
      <c r="Q7" s="19" t="str">
        <f>sales_data!E4912</f>
        <v>Наталья</v>
      </c>
      <c r="R7" s="18" t="str">
        <f>sales_data!F4912</f>
        <v>Санкт-Петербург</v>
      </c>
      <c r="S7" s="20" t="str">
        <f>sales_data!G4912</f>
        <v>Северо-Западный</v>
      </c>
      <c r="T7" s="19" t="str">
        <f>sales_data!H4912</f>
        <v>Серверы</v>
      </c>
      <c r="U7" s="19" t="str">
        <f>sales_data!I4912</f>
        <v>Server Blade</v>
      </c>
      <c r="V7" s="20" t="str">
        <f>sales_data!J4912</f>
        <v>Опт</v>
      </c>
      <c r="W7" s="17">
        <f>sales_data!K4912</f>
        <v>47</v>
      </c>
      <c r="X7" s="17">
        <f>sales_data!L4912</f>
        <v>178400</v>
      </c>
      <c r="Y7" s="17">
        <f>sales_data!M4912</f>
        <v>8384800</v>
      </c>
      <c r="Z7" s="17" t="str">
        <f>sales_data!N4912</f>
        <v>Интернет-магазин</v>
      </c>
      <c r="AA7" s="17" t="str">
        <f>sales_data!O4912</f>
        <v>В пути</v>
      </c>
    </row>
    <row r="8" spans="1:27" ht="21.95" customHeight="1" x14ac:dyDescent="0.25">
      <c r="A8" s="4">
        <v>205</v>
      </c>
      <c r="B8" s="5" t="s">
        <v>41</v>
      </c>
      <c r="C8" s="5" t="s">
        <v>22</v>
      </c>
      <c r="D8" s="5" t="s">
        <v>29</v>
      </c>
      <c r="E8" s="5" t="s">
        <v>42</v>
      </c>
      <c r="F8" s="4">
        <v>2</v>
      </c>
      <c r="G8" s="6">
        <v>18000</v>
      </c>
      <c r="H8" s="5" t="s">
        <v>25</v>
      </c>
      <c r="I8" s="5" t="s">
        <v>26</v>
      </c>
      <c r="J8" s="6">
        <f t="shared" si="0"/>
        <v>36000</v>
      </c>
      <c r="K8" s="4" t="str">
        <f t="shared" si="1"/>
        <v>Обычный</v>
      </c>
      <c r="M8" s="17">
        <f>sales_data!A4915</f>
        <v>1711</v>
      </c>
      <c r="N8" s="17">
        <f>sales_data!B4915</f>
        <v>45926</v>
      </c>
      <c r="O8" s="17">
        <f>sales_data!C4915</f>
        <v>26</v>
      </c>
      <c r="P8" s="17" t="str">
        <f>sales_data!D4915</f>
        <v>Сентябрь</v>
      </c>
      <c r="Q8" s="17" t="str">
        <f>sales_data!E4915</f>
        <v>Ксения</v>
      </c>
      <c r="R8" s="17" t="str">
        <f>sales_data!F4915</f>
        <v>Новосибирск</v>
      </c>
      <c r="S8" s="17" t="str">
        <f>sales_data!G4915</f>
        <v>Сибирский</v>
      </c>
      <c r="T8" s="17" t="str">
        <f>sales_data!H4915</f>
        <v>Серверы</v>
      </c>
      <c r="U8" s="17" t="str">
        <f>sales_data!I4915</f>
        <v>Server Blade</v>
      </c>
      <c r="V8" s="17" t="str">
        <f>sales_data!J4915</f>
        <v>Опт</v>
      </c>
      <c r="W8" s="17">
        <f>sales_data!K4915</f>
        <v>47</v>
      </c>
      <c r="X8" s="17">
        <f>sales_data!L4915</f>
        <v>179400</v>
      </c>
      <c r="Y8" s="17">
        <f>sales_data!M4915</f>
        <v>8431800</v>
      </c>
      <c r="Z8" s="17" t="str">
        <f>sales_data!N4915</f>
        <v>Интернет-магазин</v>
      </c>
      <c r="AA8" s="17" t="str">
        <f>sales_data!O4915</f>
        <v>В пути</v>
      </c>
    </row>
    <row r="9" spans="1:27" ht="21.95" customHeight="1" x14ac:dyDescent="0.25">
      <c r="A9" s="4">
        <v>206</v>
      </c>
      <c r="B9" s="5" t="s">
        <v>43</v>
      </c>
      <c r="C9" s="5" t="s">
        <v>44</v>
      </c>
      <c r="D9" s="5" t="s">
        <v>23</v>
      </c>
      <c r="E9" s="5" t="s">
        <v>45</v>
      </c>
      <c r="F9" s="4">
        <v>1</v>
      </c>
      <c r="G9" s="6">
        <v>49000</v>
      </c>
      <c r="H9" s="5" t="s">
        <v>31</v>
      </c>
      <c r="I9" s="5" t="s">
        <v>32</v>
      </c>
      <c r="J9" s="6">
        <f t="shared" si="0"/>
        <v>49000</v>
      </c>
      <c r="K9" s="4" t="str">
        <f t="shared" si="1"/>
        <v>Обычный</v>
      </c>
      <c r="M9" s="17">
        <f>sales_data!A4920</f>
        <v>1388</v>
      </c>
      <c r="N9" s="17">
        <f>sales_data!B4920</f>
        <v>45853</v>
      </c>
      <c r="O9" s="17">
        <f>sales_data!C4920</f>
        <v>15</v>
      </c>
      <c r="P9" s="17" t="str">
        <f>sales_data!D4920</f>
        <v>Июль</v>
      </c>
      <c r="Q9" s="17" t="str">
        <f>sales_data!E4920</f>
        <v>Анна</v>
      </c>
      <c r="R9" s="17" t="str">
        <f>sales_data!F4920</f>
        <v>Уфа</v>
      </c>
      <c r="S9" s="17" t="str">
        <f>sales_data!G4920</f>
        <v>Приволжский</v>
      </c>
      <c r="T9" s="17" t="str">
        <f>sales_data!H4920</f>
        <v>Серверы</v>
      </c>
      <c r="U9" s="17" t="str">
        <f>sales_data!I4920</f>
        <v>Server Blade</v>
      </c>
      <c r="V9" s="17" t="str">
        <f>sales_data!J4920</f>
        <v>Опт</v>
      </c>
      <c r="W9" s="17">
        <f>sales_data!K4920</f>
        <v>45</v>
      </c>
      <c r="X9" s="17">
        <f>sales_data!L4920</f>
        <v>183300</v>
      </c>
      <c r="Y9" s="17">
        <f>sales_data!M4920</f>
        <v>8248500</v>
      </c>
      <c r="Z9" s="17" t="str">
        <f>sales_data!N4920</f>
        <v>Офлайн-точка</v>
      </c>
      <c r="AA9" s="17" t="str">
        <f>sales_data!O4920</f>
        <v>Доставлен</v>
      </c>
    </row>
    <row r="10" spans="1:27" ht="21.95" customHeight="1" x14ac:dyDescent="0.25">
      <c r="A10" s="4">
        <v>207</v>
      </c>
      <c r="B10" s="5" t="s">
        <v>46</v>
      </c>
      <c r="C10" s="5" t="s">
        <v>22</v>
      </c>
      <c r="D10" s="5" t="s">
        <v>37</v>
      </c>
      <c r="E10" s="5" t="s">
        <v>47</v>
      </c>
      <c r="F10" s="4">
        <v>4</v>
      </c>
      <c r="G10" s="6">
        <v>4000</v>
      </c>
      <c r="H10" s="5" t="s">
        <v>39</v>
      </c>
      <c r="I10" s="5" t="s">
        <v>26</v>
      </c>
      <c r="J10" s="6">
        <f t="shared" si="0"/>
        <v>16000</v>
      </c>
      <c r="K10" s="4" t="str">
        <f t="shared" si="1"/>
        <v>Обычный</v>
      </c>
      <c r="M10" s="16">
        <f>sales_data!A4931</f>
        <v>2176</v>
      </c>
      <c r="N10" s="20">
        <f>sales_data!B4931</f>
        <v>45718</v>
      </c>
      <c r="O10" s="17">
        <f>sales_data!C4931</f>
        <v>2</v>
      </c>
      <c r="P10" s="17" t="str">
        <f>sales_data!D4931</f>
        <v>Март</v>
      </c>
      <c r="Q10" s="17" t="str">
        <f>sales_data!E4931</f>
        <v>Алексей</v>
      </c>
      <c r="R10" s="17" t="str">
        <f>sales_data!F4931</f>
        <v>Воронеж</v>
      </c>
      <c r="S10" s="17" t="str">
        <f>sales_data!G4931</f>
        <v>Центральный</v>
      </c>
      <c r="T10" s="17" t="str">
        <f>sales_data!H4931</f>
        <v>Серверы</v>
      </c>
      <c r="U10" s="17" t="str">
        <f>sales_data!I4931</f>
        <v>Server Blade</v>
      </c>
      <c r="V10" s="17" t="str">
        <f>sales_data!J4931</f>
        <v>Опт</v>
      </c>
      <c r="W10" s="17">
        <f>sales_data!K4931</f>
        <v>45</v>
      </c>
      <c r="X10" s="17">
        <f>sales_data!L4931</f>
        <v>187800</v>
      </c>
      <c r="Y10" s="17">
        <f>sales_data!M4931</f>
        <v>8451000</v>
      </c>
      <c r="Z10" s="17" t="str">
        <f>sales_data!N4931</f>
        <v>Офлайн-точка</v>
      </c>
      <c r="AA10" s="17" t="str">
        <f>sales_data!O4931</f>
        <v>Отменён</v>
      </c>
    </row>
    <row r="11" spans="1:27" ht="21.95" customHeight="1" x14ac:dyDescent="0.25">
      <c r="A11" s="4">
        <v>208</v>
      </c>
      <c r="B11" s="5" t="s">
        <v>48</v>
      </c>
      <c r="C11" s="5" t="s">
        <v>49</v>
      </c>
      <c r="D11" s="5" t="s">
        <v>23</v>
      </c>
      <c r="E11" s="5" t="s">
        <v>24</v>
      </c>
      <c r="F11" s="4">
        <v>2</v>
      </c>
      <c r="G11" s="6">
        <v>55000</v>
      </c>
      <c r="H11" s="5" t="s">
        <v>25</v>
      </c>
      <c r="I11" s="5" t="s">
        <v>40</v>
      </c>
      <c r="J11" s="6">
        <f t="shared" si="0"/>
        <v>110000</v>
      </c>
      <c r="K11" s="4" t="str">
        <f t="shared" si="1"/>
        <v>Крупный заказ</v>
      </c>
      <c r="M11" s="21" t="s">
        <v>68</v>
      </c>
      <c r="N11" s="22">
        <v>5</v>
      </c>
    </row>
    <row r="12" spans="1:27" ht="21.95" customHeight="1" x14ac:dyDescent="0.25">
      <c r="A12" s="4">
        <v>209</v>
      </c>
      <c r="B12" s="5" t="s">
        <v>50</v>
      </c>
      <c r="C12" s="5" t="s">
        <v>22</v>
      </c>
      <c r="D12" s="5" t="s">
        <v>23</v>
      </c>
      <c r="E12" s="5" t="s">
        <v>51</v>
      </c>
      <c r="F12" s="4">
        <v>1</v>
      </c>
      <c r="G12" s="6">
        <v>43000</v>
      </c>
      <c r="H12" s="5" t="s">
        <v>31</v>
      </c>
      <c r="I12" s="5" t="s">
        <v>32</v>
      </c>
      <c r="J12" s="6">
        <f t="shared" si="0"/>
        <v>43000</v>
      </c>
      <c r="K12" s="4" t="str">
        <f t="shared" si="1"/>
        <v>Обычный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activeCell="B9" sqref="B9"/>
    </sheetView>
  </sheetViews>
  <sheetFormatPr defaultRowHeight="15" x14ac:dyDescent="0.25"/>
  <cols>
    <col min="1" max="1" width="55" customWidth="1"/>
    <col min="2" max="2" width="18" customWidth="1"/>
    <col min="3" max="3" width="38" customWidth="1"/>
  </cols>
  <sheetData>
    <row r="1" spans="1:4" ht="26.1" customHeight="1" x14ac:dyDescent="0.25">
      <c r="A1" s="23" t="s">
        <v>69</v>
      </c>
      <c r="B1" s="24"/>
      <c r="C1" s="24"/>
      <c r="D1" s="25"/>
    </row>
    <row r="2" spans="1:4" ht="21.95" customHeight="1" x14ac:dyDescent="0.25"/>
    <row r="3" spans="1:4" ht="24" customHeight="1" x14ac:dyDescent="0.25">
      <c r="A3" s="7" t="s">
        <v>70</v>
      </c>
      <c r="B3" s="7" t="s">
        <v>71</v>
      </c>
      <c r="C3" s="7" t="s">
        <v>72</v>
      </c>
    </row>
    <row r="4" spans="1:4" ht="21.95" customHeight="1" x14ac:dyDescent="0.25">
      <c r="A4" s="2" t="s">
        <v>73</v>
      </c>
      <c r="B4" s="4">
        <v>5000</v>
      </c>
      <c r="C4" s="2" t="s">
        <v>74</v>
      </c>
    </row>
    <row r="5" spans="1:4" ht="21.95" customHeight="1" x14ac:dyDescent="0.25">
      <c r="A5" s="2" t="s">
        <v>75</v>
      </c>
      <c r="B5" s="4">
        <v>813</v>
      </c>
      <c r="C5" s="2" t="s">
        <v>76</v>
      </c>
    </row>
    <row r="6" spans="1:4" ht="21.95" customHeight="1" x14ac:dyDescent="0.25">
      <c r="A6" s="2" t="s">
        <v>77</v>
      </c>
      <c r="B6" s="4">
        <v>156</v>
      </c>
      <c r="C6" s="2" t="s">
        <v>78</v>
      </c>
    </row>
    <row r="7" spans="1:4" ht="21.95" customHeight="1" x14ac:dyDescent="0.25">
      <c r="A7" s="2" t="s">
        <v>79</v>
      </c>
      <c r="B7" s="4">
        <v>2612584200</v>
      </c>
      <c r="C7" s="2" t="s">
        <v>80</v>
      </c>
    </row>
    <row r="8" spans="1:4" ht="21.95" customHeight="1" x14ac:dyDescent="0.25">
      <c r="A8" s="2" t="s">
        <v>81</v>
      </c>
      <c r="B8" s="4">
        <v>2763</v>
      </c>
      <c r="C8" s="2" t="s">
        <v>82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a417cd-1461-4943-a860-4cb4d05c96be" xsi:nil="true"/>
    <lcf76f155ced4ddcb4097134ff3c332f xmlns="36208828-9969-4b73-bb77-f045d89e955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DEAEBEBB66B4B88D66787F055A81B" ma:contentTypeVersion="11" ma:contentTypeDescription="Create a new document." ma:contentTypeScope="" ma:versionID="1b88847c9fe6b26fa67261bbb8b1c80a">
  <xsd:schema xmlns:xsd="http://www.w3.org/2001/XMLSchema" xmlns:xs="http://www.w3.org/2001/XMLSchema" xmlns:p="http://schemas.microsoft.com/office/2006/metadata/properties" xmlns:ns2="36208828-9969-4b73-bb77-f045d89e9554" xmlns:ns3="19a417cd-1461-4943-a860-4cb4d05c96be" targetNamespace="http://schemas.microsoft.com/office/2006/metadata/properties" ma:root="true" ma:fieldsID="4b81e6e864b9c373d4615dbe59b7e60e" ns2:_="" ns3:_="">
    <xsd:import namespace="36208828-9969-4b73-bb77-f045d89e9554"/>
    <xsd:import namespace="19a417cd-1461-4943-a860-4cb4d05c9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08828-9969-4b73-bb77-f045d89e9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337a3fc-4456-4954-9b0b-07bfd45f7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417cd-1461-4943-a860-4cb4d05c96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9379c40-fa90-4dde-8395-12c6c804e41a}" ma:internalName="TaxCatchAll" ma:showField="CatchAllData" ma:web="19a417cd-1461-4943-a860-4cb4d05c96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A7ED5B4-E508-4B24-9685-15127AF9C102}">
  <ds:schemaRefs>
    <ds:schemaRef ds:uri="http://schemas.microsoft.com/office/2006/metadata/properties"/>
    <ds:schemaRef ds:uri="http://schemas.microsoft.com/office/infopath/2007/PartnerControls"/>
    <ds:schemaRef ds:uri="19a417cd-1461-4943-a860-4cb4d05c96be"/>
    <ds:schemaRef ds:uri="36208828-9969-4b73-bb77-f045d89e9554"/>
  </ds:schemaRefs>
</ds:datastoreItem>
</file>

<file path=customXml/itemProps2.xml><?xml version="1.0" encoding="utf-8"?>
<ds:datastoreItem xmlns:ds="http://schemas.openxmlformats.org/officeDocument/2006/customXml" ds:itemID="{7A81E4E6-45F3-47E4-ACCF-81643FA9A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208828-9969-4b73-bb77-f045d89e9554"/>
    <ds:schemaRef ds:uri="19a417cd-1461-4943-a860-4cb4d05c9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4FB88A-CE30-4B3E-9C89-ADEA5E7D725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6AC4AE4-79FE-4B95-A958-2A6C48B7DF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0_Теория</vt:lpstr>
      <vt:lpstr>sales_data</vt:lpstr>
      <vt:lpstr>1_Обзор</vt:lpstr>
      <vt:lpstr>2_Фильтр_1</vt:lpstr>
      <vt:lpstr>3_Фильтр_2</vt:lpstr>
      <vt:lpstr>4_Сортировка</vt:lpstr>
      <vt:lpstr>5_Новые_столбцы</vt:lpstr>
      <vt:lpstr>6_Тест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Konyshev</cp:lastModifiedBy>
  <dcterms:modified xsi:type="dcterms:W3CDTF">2026-09-02T22:01:58Z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0x010100619DEAEBEBB66B4B88D66787F055A81B</vt:lpwstr>
  </property>
</Properties>
</file>