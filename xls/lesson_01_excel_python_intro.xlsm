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/>
  <mc:AlternateContent xmlns:mc="http://schemas.openxmlformats.org/markup-compatibility/2006">
    <mc:Choice Requires="x15">
      <x15ac:absPath xmlns:x15ac="http://schemas.microsoft.com/office/spreadsheetml/2010/11/ac" url="D:\study\excel\study-excel\xls\"/>
    </mc:Choice>
  </mc:AlternateContent>
  <xr:revisionPtr revIDLastSave="0" documentId="13_ncr:1_{78CE4856-2B8D-4714-BA04-83DC643BAF95}" xr6:coauthVersionLast="47" xr6:coauthVersionMax="47" xr10:uidLastSave="{00000000-0000-0000-0000-000000000000}"/>
  <bookViews>
    <workbookView xWindow="-120" yWindow="-120" windowWidth="37440" windowHeight="16440" activeTab="5" xr2:uid="{00000000-000D-0000-FFFF-FFFF00000000}"/>
  </bookViews>
  <sheets>
    <sheet name="0_Теория" sheetId="1" r:id="rId1"/>
    <sheet name="1_Переменные" sheetId="2" r:id="rId2"/>
    <sheet name="2_Арифметика" sheetId="3" r:id="rId3"/>
    <sheet name="3_Преобразование" sheetId="4" r:id="rId4"/>
    <sheet name="4_Таблица_и_списки" sheetId="5" r:id="rId5"/>
    <sheet name="5_Минизадача" sheetId="6" r:id="rId6"/>
    <sheet name="6_Тест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QNqRI9Bb/lOrGQ/Z6qKPUiIHrIQrLU+Z+6WRAf80sqs="/>
    </ext>
  </extLst>
</workbook>
</file>

<file path=xl/calcChain.xml><?xml version="1.0" encoding="utf-8"?>
<calcChain xmlns="http://schemas.openxmlformats.org/spreadsheetml/2006/main">
  <c r="E10" i="7" l="1"/>
  <c r="G10" i="7" s="1"/>
  <c r="E9" i="7"/>
  <c r="G9" i="7" s="1"/>
  <c r="E8" i="7"/>
  <c r="G8" i="7" s="1"/>
  <c r="E7" i="7"/>
  <c r="G7" i="7" s="1"/>
  <c r="E6" i="7"/>
  <c r="G6" i="7" s="1"/>
  <c r="B10" i="6"/>
  <c r="C13" i="5"/>
  <c r="C12" i="5"/>
  <c r="E8" i="5"/>
  <c r="C14" i="5" s="1"/>
  <c r="E7" i="5"/>
  <c r="E6" i="5"/>
  <c r="D7" i="4"/>
  <c r="C7" i="4"/>
  <c r="D6" i="4"/>
  <c r="C6" i="4"/>
  <c r="B9" i="3"/>
  <c r="E9" i="2"/>
  <c r="D9" i="2"/>
  <c r="E8" i="2"/>
  <c r="D8" i="2"/>
  <c r="E7" i="2"/>
  <c r="D7" i="2"/>
  <c r="E6" i="2"/>
  <c r="D6" i="2"/>
  <c r="G12" i="7" l="1"/>
  <c r="B11" i="6"/>
  <c r="B12" i="6" s="1"/>
  <c r="D8" i="4"/>
  <c r="B10" i="3"/>
  <c r="B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6" authorId="0" shapeId="0" xr:uid="{00000000-0006-0000-0200-000001000000}">
      <text>
        <r>
          <rPr>
            <sz val="11"/>
            <color theme="1"/>
            <rFont val="Calibri"/>
            <scheme val="minor"/>
          </rPr>
          <t>======
ID#AAAB2MQGo0E
OpenAI    (2026-03-19 09:46:38)
В Excel это входное значение. В Python аналог — переменная price.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zJ4aDmy/658TmLOMFQDGZHMVo0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6" authorId="0" shapeId="0" xr:uid="{00000000-0006-0000-0300-000001000000}">
      <text>
        <r>
          <rPr>
            <sz val="11"/>
            <color theme="1"/>
            <rFont val="Calibri"/>
            <scheme val="minor"/>
          </rPr>
          <t>======
ID#AAAB2MQGo0I
OpenAI    (2026-03-19 09:46:38)
Значение записано как текст. Далее VALUE преобразует его в число.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mAYiVct0/EbfFd18RXcWYjGfe5A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0" authorId="0" shapeId="0" xr:uid="{00000000-0006-0000-0500-000001000000}">
      <text>
        <r>
          <rPr>
            <sz val="11"/>
            <color theme="1"/>
            <rFont val="Calibri"/>
            <scheme val="minor"/>
          </rPr>
          <t>======
ID#AAAB2MQGo0M
OpenAI    (2026-03-19 09:46:38)
Формула умножает цену на количество и показывает выручку без скидки.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mFvKMenl9wnrtiz5LUADlCqX5Xg=="/>
    </ext>
  </extLst>
</comments>
</file>

<file path=xl/sharedStrings.xml><?xml version="1.0" encoding="utf-8"?>
<sst xmlns="http://schemas.openxmlformats.org/spreadsheetml/2006/main" count="175" uniqueCount="134">
  <si>
    <t>Занятие 1. Excel и Python: введение в анализ данных</t>
  </si>
  <si>
    <t>Цель занятия</t>
  </si>
  <si>
    <t>Показать связь между табличной логикой Excel и базовыми расчётами в Python.</t>
  </si>
  <si>
    <t>Что изучаем</t>
  </si>
  <si>
    <t>Переменные, типы данных, арифметика, преобразование типов, табличное мышление, мини-задача на выручку.</t>
  </si>
  <si>
    <t>Как пользоваться файлом</t>
  </si>
  <si>
    <t>Откройте листы 1–5 по порядку. Каждый лист соответствует одной практической ячейке ноутбука.</t>
  </si>
  <si>
    <t>Связь с Python</t>
  </si>
  <si>
    <t>На каждом листе есть данные, формулы Excel и подписи, помогающие увидеть аналогию с кодом.</t>
  </si>
  <si>
    <t>Листы 1–5 демонстрируют те же методы, что и в ноутбуке: от переменных до расчёта итоговой суммы.</t>
  </si>
  <si>
    <t>Практическая ячейка 1. Переменные и типы данных</t>
  </si>
  <si>
    <t>Excel-аналог Python-переменных. Столбец TYPE показывает код типа: 1 — число, 2 — текст, 4 — логическое значение.</t>
  </si>
  <si>
    <t>Переменная</t>
  </si>
  <si>
    <t>Значение</t>
  </si>
  <si>
    <t>Пример Python</t>
  </si>
  <si>
    <t>Формула Excel</t>
  </si>
  <si>
    <t>Код TYPE</t>
  </si>
  <si>
    <t>Комментарий</t>
  </si>
  <si>
    <t>client_name</t>
  </si>
  <si>
    <t>client_name = "ООО Альфа"</t>
  </si>
  <si>
    <t>Текстовая переменная</t>
  </si>
  <si>
    <t>orders_count</t>
  </si>
  <si>
    <t>orders_count = 12</t>
  </si>
  <si>
    <t>Целое число</t>
  </si>
  <si>
    <t>avg_check</t>
  </si>
  <si>
    <t>avg_check = 1850.5</t>
  </si>
  <si>
    <t>Число с дробной частью</t>
  </si>
  <si>
    <t>is_vip</t>
  </si>
  <si>
    <t>is_vip = True</t>
  </si>
  <si>
    <t>Логическое значение</t>
  </si>
  <si>
    <t>Практическая ячейка 2. Арифметические операции</t>
  </si>
  <si>
    <t>Здесь показаны те же расчёты, что и в Python: сумма без скидки, сумма скидки и итог к оплате.</t>
  </si>
  <si>
    <t>Показатель</t>
  </si>
  <si>
    <t>Аналог в Python</t>
  </si>
  <si>
    <t>Цена</t>
  </si>
  <si>
    <t/>
  </si>
  <si>
    <t>price = 2500</t>
  </si>
  <si>
    <t>Входной параметр</t>
  </si>
  <si>
    <t>Количество</t>
  </si>
  <si>
    <t>quantity = 4</t>
  </si>
  <si>
    <t>Ставка скидки</t>
  </si>
  <si>
    <t>discount_rate = 0.10</t>
  </si>
  <si>
    <t>Сумма без скидки</t>
  </si>
  <si>
    <t>'=B6*B7</t>
  </si>
  <si>
    <t>subtotal = price * quantity</t>
  </si>
  <si>
    <t>Формула</t>
  </si>
  <si>
    <t>Сумма скидки</t>
  </si>
  <si>
    <t>'=B9*B8</t>
  </si>
  <si>
    <t>discount_amount = subtotal * discount_rate</t>
  </si>
  <si>
    <t>Итог к оплате</t>
  </si>
  <si>
    <t>'=B9-B10</t>
  </si>
  <si>
    <t>total = subtotal - discount_amount</t>
  </si>
  <si>
    <t>Практическая ячейка 3. Преобразование типов</t>
  </si>
  <si>
    <t>Числа часто приходят как текст. В Excel это можно показать через VALUE, а в Python — через int() и float().</t>
  </si>
  <si>
    <t>Параметр</t>
  </si>
  <si>
    <t>Исходное значение</t>
  </si>
  <si>
    <t>Тип исходных данных</t>
  </si>
  <si>
    <t>После преобразования</t>
  </si>
  <si>
    <t>price_num = float(price_text)</t>
  </si>
  <si>
    <t>Текст превращается в число</t>
  </si>
  <si>
    <t>qty_num = int(qty_text)</t>
  </si>
  <si>
    <t>Текст превращается в целое число</t>
  </si>
  <si>
    <t>Итоговая сумма</t>
  </si>
  <si>
    <t>—</t>
  </si>
  <si>
    <t>total_sum = price_num * qty_num</t>
  </si>
  <si>
    <t>После преобразования можно считать</t>
  </si>
  <si>
    <t>Практическая ячейка 4. Табличное мышление: список значений</t>
  </si>
  <si>
    <t>Лист показывает, как список значений в Python связан с табличной логикой Excel: строки товаров, цены, количество и сумма по строке.</t>
  </si>
  <si>
    <t>№</t>
  </si>
  <si>
    <t>Товар</t>
  </si>
  <si>
    <t>Сумма</t>
  </si>
  <si>
    <t>products[0], prices[0]</t>
  </si>
  <si>
    <t>Строка таблицы</t>
  </si>
  <si>
    <t>products[1], prices[1]</t>
  </si>
  <si>
    <t>products[2], prices[2]</t>
  </si>
  <si>
    <t>Количество товаров</t>
  </si>
  <si>
    <t>'=COUNTA(B6:B8)</t>
  </si>
  <si>
    <t>Максимальная цена</t>
  </si>
  <si>
    <t>'=MAX(C6:C8)</t>
  </si>
  <si>
    <t>Сумма по всем строкам</t>
  </si>
  <si>
    <t>'=SUM(E6:E8)</t>
  </si>
  <si>
    <t>Практическая ячейка 5. Мини-задача: расчёт выручки по заказу</t>
  </si>
  <si>
    <t>На этом листе собрана простая бизнес-модель одного заказа: цена, количество, скидка, выручка, скидка в деньгах и итог.</t>
  </si>
  <si>
    <t>Ед.</t>
  </si>
  <si>
    <t>order["product"]</t>
  </si>
  <si>
    <t>Описание заказа</t>
  </si>
  <si>
    <t>шт.</t>
  </si>
  <si>
    <t>order["price"]</t>
  </si>
  <si>
    <t>Цена за единицу</t>
  </si>
  <si>
    <t>₽</t>
  </si>
  <si>
    <t>order["quantity"]</t>
  </si>
  <si>
    <t>Количество единиц</t>
  </si>
  <si>
    <t>order["discount_rate"]</t>
  </si>
  <si>
    <t>Доля скидки</t>
  </si>
  <si>
    <t>%</t>
  </si>
  <si>
    <t>Выручка без скидки</t>
  </si>
  <si>
    <t>'=B7*B8</t>
  </si>
  <si>
    <t>revenue = order["price"] * order["quantity"]</t>
  </si>
  <si>
    <t>Промежуточный расчёт</t>
  </si>
  <si>
    <t>'=B10*B9</t>
  </si>
  <si>
    <t>discount = revenue * order["discount_rate"]</t>
  </si>
  <si>
    <t>Скидка в деньгах</t>
  </si>
  <si>
    <t>'=B10-B11</t>
  </si>
  <si>
    <t>final_total = revenue - discount</t>
  </si>
  <si>
    <t>Финальный результат</t>
  </si>
  <si>
    <t>Ячейка 6. Самопроверка и тест</t>
  </si>
  <si>
    <t>Проверьте понимание темы. В столбце C можно вводить свой ответ, а в столбце E автоматически появится проверка.</t>
  </si>
  <si>
    <t>Вопрос</t>
  </si>
  <si>
    <t>Ваш ответ</t>
  </si>
  <si>
    <t>Ожидается</t>
  </si>
  <si>
    <t>Проверка</t>
  </si>
  <si>
    <t>Что проверяем</t>
  </si>
  <si>
    <t>Баллы</t>
  </si>
  <si>
    <t>Какой тип данных у текста 'ООО Альфа' в Python?</t>
  </si>
  <si>
    <t>str</t>
  </si>
  <si>
    <t>Тип данных</t>
  </si>
  <si>
    <t>Чему равна сумма без скидки при цене 2500 и количестве 4?</t>
  </si>
  <si>
    <t>Арифметика</t>
  </si>
  <si>
    <t>Во что превратится текст '3' после int('3')?</t>
  </si>
  <si>
    <t>Преобразование типов</t>
  </si>
  <si>
    <t>Сколько товаров в списке: Ноутбук, Мышь, Клавиатура?</t>
  </si>
  <si>
    <t>Списки</t>
  </si>
  <si>
    <t>Какой итог к оплате при выручке 130000 и скидке 9100?</t>
  </si>
  <si>
    <t>Мини-задача</t>
  </si>
  <si>
    <t>Итого баллов</t>
  </si>
  <si>
    <t>Браво</t>
  </si>
  <si>
    <t>4,6</t>
  </si>
  <si>
    <t>Печень говяжья</t>
  </si>
  <si>
    <r>
      <t>Редис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</si>
  <si>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Перец болгарский</t>
  </si>
  <si>
    <t>Калорийность</t>
  </si>
  <si>
    <t>Продукт</t>
  </si>
  <si>
    <t>Профицит</t>
  </si>
  <si>
    <t>Говядина (постная)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</si>
</sst>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13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b/>
      <sz val="14"/>
      <color rgb="FFFFFFFF"/>
      <name val="Calibri"/>
      <scheme val="minor"/>
    </font>
    <font>
      <sz val="11"/>
      <name val="Calibri"/>
    </font>
    <font>
      <b/>
      <sz val="11"/>
      <color theme="1"/>
      <name val="Calibri"/>
      <scheme val="minor"/>
    </font>
    <font>
      <sz val="11"/>
      <color theme="1"/>
      <name val="Calibri"/>
    </font>
    <font>
      <b/>
      <sz val="11"/>
      <color rgb="FFFFFFFF"/>
      <name val="Calibri"/>
      <scheme val="minor"/>
    </font>
    <font>
      <sz val="11"/>
      <color rgb="FF0000FF"/>
      <name val="Calibri"/>
      <scheme val="minor"/>
    </font>
    <font>
      <sz val="11"/>
      <color rgb="FF666666"/>
      <name val="Calibri"/>
      <scheme val="minor"/>
    </font>
    <font>
      <sz val="11"/>
      <color rgb="FF000000"/>
      <name val="Calibri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FF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AF3FF"/>
        <bgColor rgb="FFEAF3FF"/>
      </patternFill>
    </fill>
    <fill>
      <patternFill patternType="solid">
        <fgColor rgb="FFF7F7F7"/>
        <bgColor rgb="FFF7F7F7"/>
      </patternFill>
    </fill>
    <fill>
      <patternFill patternType="solid">
        <fgColor rgb="FFFFF2CC"/>
        <bgColor rgb="FFFFF2CC"/>
      </patternFill>
    </fill>
    <fill>
      <patternFill patternType="solid">
        <fgColor rgb="FFE2F0D9"/>
        <bgColor rgb="FFE2F0D9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thin">
        <color rgb="FFD0D7DE"/>
      </left>
      <right/>
      <top style="thin">
        <color rgb="FFD0D7DE"/>
      </top>
      <bottom style="thin">
        <color rgb="FFD0D7DE"/>
      </bottom>
      <diagonal/>
    </border>
    <border>
      <left/>
      <right/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32">
    <xf numFmtId="0" fontId="0" fillId="0" borderId="0" xfId="0" applyFont="1" applyAlignment="1"/>
    <xf numFmtId="0" fontId="4" fillId="3" borderId="4" xfId="0" applyFont="1" applyFill="1" applyBorder="1" applyAlignment="1">
      <alignment vertical="top" wrapText="1"/>
    </xf>
    <xf numFmtId="0" fontId="6" fillId="2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vertical="top" wrapText="1"/>
    </xf>
    <xf numFmtId="0" fontId="7" fillId="4" borderId="4" xfId="0" applyFont="1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9" fillId="5" borderId="4" xfId="0" applyFont="1" applyFill="1" applyBorder="1" applyAlignment="1">
      <alignment vertical="top" wrapText="1"/>
    </xf>
    <xf numFmtId="4" fontId="7" fillId="4" borderId="4" xfId="0" applyNumberFormat="1" applyFont="1" applyFill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164" fontId="7" fillId="4" borderId="4" xfId="0" applyNumberFormat="1" applyFont="1" applyFill="1" applyBorder="1" applyAlignment="1">
      <alignment vertical="top" wrapText="1"/>
    </xf>
    <xf numFmtId="4" fontId="9" fillId="5" borderId="4" xfId="0" applyNumberFormat="1" applyFont="1" applyFill="1" applyBorder="1" applyAlignment="1">
      <alignment vertical="top" wrapText="1"/>
    </xf>
    <xf numFmtId="0" fontId="7" fillId="4" borderId="4" xfId="0" applyFont="1" applyFill="1" applyBorder="1" applyAlignment="1">
      <alignment vertical="top" wrapText="1"/>
    </xf>
    <xf numFmtId="1" fontId="9" fillId="5" borderId="4" xfId="0" applyNumberFormat="1" applyFont="1" applyFill="1" applyBorder="1" applyAlignment="1">
      <alignment vertical="top" wrapText="1"/>
    </xf>
    <xf numFmtId="0" fontId="8" fillId="4" borderId="4" xfId="0" applyFont="1" applyFill="1" applyBorder="1" applyAlignment="1">
      <alignment vertical="top" wrapText="1"/>
    </xf>
    <xf numFmtId="0" fontId="6" fillId="2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vertical="top" wrapText="1"/>
    </xf>
    <xf numFmtId="0" fontId="7" fillId="4" borderId="4" xfId="0" applyFont="1" applyFill="1" applyBorder="1" applyAlignment="1">
      <alignment vertical="top" wrapText="1"/>
    </xf>
    <xf numFmtId="0" fontId="9" fillId="5" borderId="4" xfId="0" applyFont="1" applyFill="1" applyBorder="1" applyAlignment="1">
      <alignment vertical="top" wrapText="1"/>
    </xf>
    <xf numFmtId="0" fontId="5" fillId="7" borderId="4" xfId="0" applyFont="1" applyFill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7" borderId="4" xfId="0" applyFont="1" applyFill="1" applyBorder="1" applyAlignment="1">
      <alignment vertical="top" wrapText="1"/>
    </xf>
    <xf numFmtId="49" fontId="12" fillId="4" borderId="4" xfId="0" applyNumberFormat="1" applyFont="1" applyFill="1" applyBorder="1" applyAlignment="1">
      <alignment vertical="top" wrapText="1"/>
    </xf>
    <xf numFmtId="0" fontId="10" fillId="0" borderId="0" xfId="0" applyFont="1" applyAlignment="1"/>
    <xf numFmtId="0" fontId="11" fillId="0" borderId="4" xfId="0" applyFont="1" applyBorder="1" applyAlignment="1">
      <alignment vertical="top" wrapText="1"/>
    </xf>
    <xf numFmtId="0" fontId="11" fillId="6" borderId="4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3" fillId="0" borderId="2" xfId="0" applyFont="1" applyBorder="1"/>
    <xf numFmtId="0" fontId="3" fillId="0" borderId="3" xfId="0" applyFont="1" applyBorder="1"/>
    <xf numFmtId="0" fontId="2" fillId="2" borderId="1" xfId="0" applyFont="1" applyFill="1" applyBorder="1" applyAlignment="1">
      <alignment horizontal="center" vertical="center"/>
    </xf>
    <xf numFmtId="0" fontId="5" fillId="0" borderId="5" xfId="0" applyFont="1" applyBorder="1" applyAlignment="1">
      <alignment vertical="top" wrapText="1"/>
    </xf>
    <xf numFmtId="0" fontId="3" fillId="0" borderId="6" xfId="0" applyFont="1" applyBorder="1"/>
    <xf numFmtId="0" fontId="3" fillId="0" borderId="7" xfId="0" applyFont="1" applyBorder="1"/>
  </cellXfs>
  <cellStyles count="1">
    <cellStyle name="Обычный" xfId="0" builtinId="0"/>
  </cellStyles>
  <dxfs count="3">
    <dxf>
      <fill>
        <patternFill patternType="solid">
          <fgColor theme="0"/>
          <bgColor theme="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4_Таблица_и_списки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5:E8">
  <tableColumns count="5">
    <tableColumn id="1" xr3:uid="{00000000-0010-0000-0000-000001000000}" name="№"/>
    <tableColumn id="2" xr3:uid="{00000000-0010-0000-0000-000002000000}" name="Товар"/>
    <tableColumn id="3" xr3:uid="{00000000-0010-0000-0000-000003000000}" name="Цена"/>
    <tableColumn id="4" xr3:uid="{00000000-0010-0000-0000-000004000000}" name="Количество"/>
    <tableColumn id="5" xr3:uid="{00000000-0010-0000-0000-000005000000}" name="Сумма"/>
  </tableColumns>
  <tableStyleInfo name="4_Таблица_и_списки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000"/>
  <sheetViews>
    <sheetView workbookViewId="0"/>
  </sheetViews>
  <sheetFormatPr defaultColWidth="14.42578125" defaultRowHeight="15" customHeight="1" x14ac:dyDescent="0.25"/>
  <cols>
    <col min="1" max="1" width="22" customWidth="1"/>
    <col min="2" max="4" width="28" customWidth="1"/>
    <col min="5" max="5" width="22" customWidth="1"/>
    <col min="6" max="7" width="18" customWidth="1"/>
    <col min="8" max="26" width="8.7109375" customWidth="1"/>
  </cols>
  <sheetData>
    <row r="1" spans="1:7" ht="24" customHeight="1" x14ac:dyDescent="0.25">
      <c r="A1" s="28" t="s">
        <v>0</v>
      </c>
      <c r="B1" s="26"/>
      <c r="C1" s="26"/>
      <c r="D1" s="26"/>
      <c r="E1" s="26"/>
      <c r="F1" s="26"/>
      <c r="G1" s="27"/>
    </row>
    <row r="3" spans="1:7" x14ac:dyDescent="0.25">
      <c r="A3" s="1" t="s">
        <v>1</v>
      </c>
      <c r="B3" s="29" t="s">
        <v>2</v>
      </c>
      <c r="C3" s="30"/>
      <c r="D3" s="30"/>
      <c r="E3" s="30"/>
      <c r="F3" s="30"/>
      <c r="G3" s="31"/>
    </row>
    <row r="5" spans="1:7" x14ac:dyDescent="0.25">
      <c r="A5" s="1" t="s">
        <v>3</v>
      </c>
      <c r="B5" s="29" t="s">
        <v>4</v>
      </c>
      <c r="C5" s="30"/>
      <c r="D5" s="30"/>
      <c r="E5" s="30"/>
      <c r="F5" s="30"/>
      <c r="G5" s="31"/>
    </row>
    <row r="7" spans="1:7" ht="30" x14ac:dyDescent="0.25">
      <c r="A7" s="1" t="s">
        <v>5</v>
      </c>
      <c r="B7" s="29" t="s">
        <v>6</v>
      </c>
      <c r="C7" s="30"/>
      <c r="D7" s="30"/>
      <c r="E7" s="30"/>
      <c r="F7" s="30"/>
      <c r="G7" s="31"/>
    </row>
    <row r="9" spans="1:7" x14ac:dyDescent="0.25">
      <c r="A9" s="1" t="s">
        <v>7</v>
      </c>
      <c r="B9" s="29" t="s">
        <v>8</v>
      </c>
      <c r="C9" s="30"/>
      <c r="D9" s="30"/>
      <c r="E9" s="30"/>
      <c r="F9" s="30"/>
      <c r="G9" s="31"/>
    </row>
    <row r="11" spans="1:7" x14ac:dyDescent="0.25">
      <c r="A11" s="25" t="s">
        <v>9</v>
      </c>
      <c r="B11" s="26"/>
      <c r="C11" s="26"/>
      <c r="D11" s="26"/>
      <c r="E11" s="26"/>
      <c r="F11" s="26"/>
      <c r="G11" s="27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">
    <mergeCell ref="A11:G11"/>
    <mergeCell ref="A1:G1"/>
    <mergeCell ref="B3:G3"/>
    <mergeCell ref="B5:G5"/>
    <mergeCell ref="B7:G7"/>
    <mergeCell ref="B9:G9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000"/>
  <sheetViews>
    <sheetView workbookViewId="0">
      <selection activeCell="B7" sqref="B7"/>
    </sheetView>
  </sheetViews>
  <sheetFormatPr defaultColWidth="14.42578125" defaultRowHeight="15" customHeight="1" x14ac:dyDescent="0.25"/>
  <cols>
    <col min="1" max="1" width="18" customWidth="1"/>
    <col min="2" max="2" width="20" customWidth="1"/>
    <col min="3" max="4" width="18" customWidth="1"/>
    <col min="5" max="5" width="22" customWidth="1"/>
    <col min="6" max="6" width="26" customWidth="1"/>
    <col min="7" max="26" width="8.7109375" customWidth="1"/>
  </cols>
  <sheetData>
    <row r="1" spans="1:6" ht="24" customHeight="1" x14ac:dyDescent="0.25">
      <c r="A1" s="28" t="s">
        <v>10</v>
      </c>
      <c r="B1" s="26"/>
      <c r="C1" s="26"/>
      <c r="D1" s="26"/>
      <c r="E1" s="26"/>
      <c r="F1" s="27"/>
    </row>
    <row r="3" spans="1:6" x14ac:dyDescent="0.25">
      <c r="A3" s="25" t="s">
        <v>11</v>
      </c>
      <c r="B3" s="26"/>
      <c r="C3" s="26"/>
      <c r="D3" s="26"/>
      <c r="E3" s="26"/>
      <c r="F3" s="27"/>
    </row>
    <row r="5" spans="1:6" x14ac:dyDescent="0.25">
      <c r="A5" s="2" t="s">
        <v>12</v>
      </c>
      <c r="B5" s="2" t="s">
        <v>13</v>
      </c>
      <c r="C5" s="2" t="s">
        <v>14</v>
      </c>
      <c r="D5" s="2" t="s">
        <v>15</v>
      </c>
      <c r="E5" s="2" t="s">
        <v>16</v>
      </c>
      <c r="F5" s="2" t="s">
        <v>17</v>
      </c>
    </row>
    <row r="6" spans="1:6" ht="30" x14ac:dyDescent="0.25">
      <c r="A6" s="3" t="s">
        <v>18</v>
      </c>
      <c r="B6" s="4" t="s">
        <v>125</v>
      </c>
      <c r="C6" s="5" t="s">
        <v>19</v>
      </c>
      <c r="D6" s="6" t="str">
        <f t="shared" ref="D6:D9" si="0">B6</f>
        <v>Браво</v>
      </c>
      <c r="E6" s="6">
        <f t="shared" ref="E6:E9" si="1">TYPE(B6)</f>
        <v>2</v>
      </c>
      <c r="F6" s="5" t="s">
        <v>20</v>
      </c>
    </row>
    <row r="7" spans="1:6" x14ac:dyDescent="0.25">
      <c r="A7" s="3" t="s">
        <v>21</v>
      </c>
      <c r="B7" s="4">
        <v>325</v>
      </c>
      <c r="C7" s="5" t="s">
        <v>22</v>
      </c>
      <c r="D7" s="6">
        <f t="shared" si="0"/>
        <v>325</v>
      </c>
      <c r="E7" s="6">
        <f t="shared" si="1"/>
        <v>1</v>
      </c>
      <c r="F7" s="5" t="s">
        <v>23</v>
      </c>
    </row>
    <row r="8" spans="1:6" x14ac:dyDescent="0.25">
      <c r="A8" s="3" t="s">
        <v>24</v>
      </c>
      <c r="B8" s="4">
        <v>70000</v>
      </c>
      <c r="C8" s="5" t="s">
        <v>25</v>
      </c>
      <c r="D8" s="6">
        <f t="shared" si="0"/>
        <v>70000</v>
      </c>
      <c r="E8" s="6">
        <f t="shared" si="1"/>
        <v>1</v>
      </c>
      <c r="F8" s="5" t="s">
        <v>26</v>
      </c>
    </row>
    <row r="9" spans="1:6" x14ac:dyDescent="0.25">
      <c r="A9" s="3" t="s">
        <v>27</v>
      </c>
      <c r="B9" s="4" t="b">
        <v>0</v>
      </c>
      <c r="C9" s="5" t="s">
        <v>28</v>
      </c>
      <c r="D9" s="6" t="b">
        <f t="shared" si="0"/>
        <v>0</v>
      </c>
      <c r="E9" s="6">
        <f t="shared" si="1"/>
        <v>4</v>
      </c>
      <c r="F9" s="5" t="s">
        <v>29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F1"/>
    <mergeCell ref="A3:F3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00"/>
  <sheetViews>
    <sheetView workbookViewId="0">
      <selection activeCell="C19" sqref="C19"/>
    </sheetView>
  </sheetViews>
  <sheetFormatPr defaultColWidth="14.42578125" defaultRowHeight="15" customHeight="1" x14ac:dyDescent="0.25"/>
  <cols>
    <col min="1" max="1" width="28" customWidth="1"/>
    <col min="2" max="2" width="14" customWidth="1"/>
    <col min="3" max="3" width="20" customWidth="1"/>
    <col min="4" max="4" width="26" customWidth="1"/>
    <col min="5" max="5" width="24" customWidth="1"/>
    <col min="6" max="26" width="8.7109375" customWidth="1"/>
  </cols>
  <sheetData>
    <row r="1" spans="1:5" ht="24" customHeight="1" x14ac:dyDescent="0.25">
      <c r="A1" s="28" t="s">
        <v>30</v>
      </c>
      <c r="B1" s="26"/>
      <c r="C1" s="26"/>
      <c r="D1" s="26"/>
      <c r="E1" s="27"/>
    </row>
    <row r="3" spans="1:5" x14ac:dyDescent="0.25">
      <c r="A3" s="25" t="s">
        <v>31</v>
      </c>
      <c r="B3" s="26"/>
      <c r="C3" s="26"/>
      <c r="D3" s="26"/>
      <c r="E3" s="27"/>
    </row>
    <row r="5" spans="1:5" x14ac:dyDescent="0.25">
      <c r="A5" s="2" t="s">
        <v>32</v>
      </c>
      <c r="B5" s="2" t="s">
        <v>13</v>
      </c>
      <c r="C5" s="2" t="s">
        <v>15</v>
      </c>
      <c r="D5" s="2" t="s">
        <v>33</v>
      </c>
      <c r="E5" s="2" t="s">
        <v>17</v>
      </c>
    </row>
    <row r="6" spans="1:5" x14ac:dyDescent="0.25">
      <c r="A6" s="3" t="s">
        <v>34</v>
      </c>
      <c r="B6" s="7">
        <v>4731.4285714285716</v>
      </c>
      <c r="C6" s="8" t="s">
        <v>35</v>
      </c>
      <c r="D6" s="5" t="s">
        <v>36</v>
      </c>
      <c r="E6" s="5" t="s">
        <v>37</v>
      </c>
    </row>
    <row r="7" spans="1:5" x14ac:dyDescent="0.25">
      <c r="A7" s="3" t="s">
        <v>38</v>
      </c>
      <c r="B7" s="7">
        <v>15</v>
      </c>
      <c r="C7" s="8" t="s">
        <v>35</v>
      </c>
      <c r="D7" s="5" t="s">
        <v>39</v>
      </c>
      <c r="E7" s="5" t="s">
        <v>37</v>
      </c>
    </row>
    <row r="8" spans="1:5" x14ac:dyDescent="0.25">
      <c r="A8" s="3" t="s">
        <v>40</v>
      </c>
      <c r="B8" s="9">
        <v>0.125</v>
      </c>
      <c r="C8" s="8" t="s">
        <v>35</v>
      </c>
      <c r="D8" s="5" t="s">
        <v>41</v>
      </c>
      <c r="E8" s="5" t="s">
        <v>37</v>
      </c>
    </row>
    <row r="9" spans="1:5" x14ac:dyDescent="0.25">
      <c r="A9" s="3" t="s">
        <v>42</v>
      </c>
      <c r="B9" s="10">
        <f>B6*B7</f>
        <v>70971.42857142858</v>
      </c>
      <c r="C9" s="8" t="s">
        <v>43</v>
      </c>
      <c r="D9" s="5" t="s">
        <v>44</v>
      </c>
      <c r="E9" s="5" t="s">
        <v>45</v>
      </c>
    </row>
    <row r="10" spans="1:5" ht="30" x14ac:dyDescent="0.25">
      <c r="A10" s="3" t="s">
        <v>46</v>
      </c>
      <c r="B10" s="10">
        <f>B9*B8</f>
        <v>8871.4285714285725</v>
      </c>
      <c r="C10" s="8" t="s">
        <v>47</v>
      </c>
      <c r="D10" s="5" t="s">
        <v>48</v>
      </c>
      <c r="E10" s="5" t="s">
        <v>45</v>
      </c>
    </row>
    <row r="11" spans="1:5" ht="30" x14ac:dyDescent="0.25">
      <c r="A11" s="3" t="s">
        <v>49</v>
      </c>
      <c r="B11" s="10">
        <f>B9-B10</f>
        <v>62100.000000000007</v>
      </c>
      <c r="C11" s="8" t="s">
        <v>50</v>
      </c>
      <c r="D11" s="5" t="s">
        <v>51</v>
      </c>
      <c r="E11" s="5" t="s">
        <v>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E1"/>
    <mergeCell ref="A3:E3"/>
  </mergeCells>
  <pageMargins left="0.7" right="0.7" top="0.75" bottom="0.75" header="0" footer="0"/>
  <pageSetup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000"/>
  <sheetViews>
    <sheetView workbookViewId="0">
      <selection activeCell="C23" sqref="C23"/>
    </sheetView>
  </sheetViews>
  <sheetFormatPr defaultColWidth="14.42578125" defaultRowHeight="15" customHeight="1" x14ac:dyDescent="0.25"/>
  <cols>
    <col min="1" max="1" width="22" customWidth="1"/>
    <col min="2" max="3" width="18" customWidth="1"/>
    <col min="4" max="4" width="22" customWidth="1"/>
    <col min="5" max="5" width="28" customWidth="1"/>
    <col min="6" max="6" width="20" customWidth="1"/>
    <col min="7" max="26" width="8.7109375" customWidth="1"/>
  </cols>
  <sheetData>
    <row r="1" spans="1:6" ht="24" customHeight="1" x14ac:dyDescent="0.25">
      <c r="A1" s="28" t="s">
        <v>52</v>
      </c>
      <c r="B1" s="26"/>
      <c r="C1" s="26"/>
      <c r="D1" s="26"/>
      <c r="E1" s="26"/>
      <c r="F1" s="27"/>
    </row>
    <row r="3" spans="1:6" x14ac:dyDescent="0.25">
      <c r="A3" s="25" t="s">
        <v>53</v>
      </c>
      <c r="B3" s="26"/>
      <c r="C3" s="26"/>
      <c r="D3" s="26"/>
      <c r="E3" s="26"/>
      <c r="F3" s="27"/>
    </row>
    <row r="5" spans="1:6" x14ac:dyDescent="0.25">
      <c r="A5" s="2" t="s">
        <v>54</v>
      </c>
      <c r="B5" s="2" t="s">
        <v>55</v>
      </c>
      <c r="C5" s="2" t="s">
        <v>56</v>
      </c>
      <c r="D5" s="2" t="s">
        <v>57</v>
      </c>
      <c r="E5" s="2" t="s">
        <v>33</v>
      </c>
      <c r="F5" s="2" t="s">
        <v>17</v>
      </c>
    </row>
    <row r="6" spans="1:6" ht="30" x14ac:dyDescent="0.25">
      <c r="A6" s="3" t="s">
        <v>34</v>
      </c>
      <c r="B6" s="11">
        <v>135</v>
      </c>
      <c r="C6" s="3">
        <f t="shared" ref="C6:C7" si="0">TYPE(B6)</f>
        <v>1</v>
      </c>
      <c r="D6" s="10">
        <f t="shared" ref="D6:D7" si="1">VALUE(B6)</f>
        <v>135</v>
      </c>
      <c r="E6" s="5" t="s">
        <v>58</v>
      </c>
      <c r="F6" s="5" t="s">
        <v>59</v>
      </c>
    </row>
    <row r="7" spans="1:6" ht="30" x14ac:dyDescent="0.25">
      <c r="A7" s="3" t="s">
        <v>38</v>
      </c>
      <c r="B7" s="21" t="s">
        <v>126</v>
      </c>
      <c r="C7" s="3">
        <f t="shared" si="0"/>
        <v>2</v>
      </c>
      <c r="D7" s="12">
        <f t="shared" si="1"/>
        <v>4.5999999999999996</v>
      </c>
      <c r="E7" s="5" t="s">
        <v>60</v>
      </c>
      <c r="F7" s="5" t="s">
        <v>61</v>
      </c>
    </row>
    <row r="8" spans="1:6" ht="45" x14ac:dyDescent="0.25">
      <c r="A8" s="3" t="s">
        <v>62</v>
      </c>
      <c r="B8" s="13" t="s">
        <v>63</v>
      </c>
      <c r="C8" s="5" t="s">
        <v>63</v>
      </c>
      <c r="D8" s="10">
        <f>D6*D7</f>
        <v>621</v>
      </c>
      <c r="E8" s="5" t="s">
        <v>64</v>
      </c>
      <c r="F8" s="5" t="s">
        <v>65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F1"/>
    <mergeCell ref="A3:F3"/>
  </mergeCells>
  <pageMargins left="0.7" right="0.7" top="0.75" bottom="0.75" header="0" footer="0"/>
  <pageSetup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000"/>
  <sheetViews>
    <sheetView workbookViewId="0">
      <selection activeCell="E9" sqref="E9"/>
    </sheetView>
  </sheetViews>
  <sheetFormatPr defaultColWidth="14.42578125" defaultRowHeight="15" customHeight="1" x14ac:dyDescent="0.25"/>
  <cols>
    <col min="1" max="1" width="8" customWidth="1"/>
    <col min="2" max="2" width="22" customWidth="1"/>
    <col min="3" max="4" width="14" customWidth="1"/>
    <col min="5" max="5" width="18" customWidth="1"/>
    <col min="6" max="6" width="24" customWidth="1"/>
    <col min="7" max="7" width="18" customWidth="1"/>
    <col min="8" max="26" width="8.7109375" customWidth="1"/>
  </cols>
  <sheetData>
    <row r="1" spans="1:7" ht="24" customHeight="1" x14ac:dyDescent="0.25">
      <c r="A1" s="28" t="s">
        <v>66</v>
      </c>
      <c r="B1" s="26"/>
      <c r="C1" s="26"/>
      <c r="D1" s="26"/>
      <c r="E1" s="26"/>
      <c r="F1" s="26"/>
      <c r="G1" s="27"/>
    </row>
    <row r="3" spans="1:7" x14ac:dyDescent="0.25">
      <c r="A3" s="25" t="s">
        <v>67</v>
      </c>
      <c r="B3" s="26"/>
      <c r="C3" s="26"/>
      <c r="D3" s="26"/>
      <c r="E3" s="26"/>
      <c r="F3" s="26"/>
      <c r="G3" s="27"/>
    </row>
    <row r="5" spans="1:7" x14ac:dyDescent="0.25">
      <c r="A5" s="14" t="s">
        <v>68</v>
      </c>
      <c r="B5" s="14" t="s">
        <v>69</v>
      </c>
      <c r="C5" s="14" t="s">
        <v>34</v>
      </c>
      <c r="D5" s="14" t="s">
        <v>38</v>
      </c>
      <c r="E5" s="14" t="s">
        <v>70</v>
      </c>
      <c r="F5" s="2" t="s">
        <v>33</v>
      </c>
      <c r="G5" s="2" t="s">
        <v>17</v>
      </c>
    </row>
    <row r="6" spans="1:7" x14ac:dyDescent="0.25">
      <c r="A6" s="15">
        <v>1</v>
      </c>
      <c r="B6" s="22" t="s">
        <v>128</v>
      </c>
      <c r="C6" s="16">
        <v>20</v>
      </c>
      <c r="D6" s="16">
        <v>2</v>
      </c>
      <c r="E6" s="17">
        <f t="shared" ref="E6:E8" si="0">C6*D6</f>
        <v>40</v>
      </c>
      <c r="F6" s="5" t="s">
        <v>71</v>
      </c>
      <c r="G6" s="5" t="s">
        <v>72</v>
      </c>
    </row>
    <row r="7" spans="1:7" x14ac:dyDescent="0.25">
      <c r="A7" s="15">
        <v>2</v>
      </c>
      <c r="B7" s="22" t="s">
        <v>127</v>
      </c>
      <c r="C7" s="16">
        <v>100</v>
      </c>
      <c r="D7" s="16">
        <v>5</v>
      </c>
      <c r="E7" s="17">
        <f t="shared" si="0"/>
        <v>500</v>
      </c>
      <c r="F7" s="5" t="s">
        <v>73</v>
      </c>
      <c r="G7" s="5" t="s">
        <v>72</v>
      </c>
    </row>
    <row r="8" spans="1:7" x14ac:dyDescent="0.25">
      <c r="A8" s="15">
        <v>3</v>
      </c>
      <c r="B8" s="22" t="s">
        <v>129</v>
      </c>
      <c r="C8" s="16">
        <v>27.000000000000007</v>
      </c>
      <c r="D8" s="16">
        <v>3</v>
      </c>
      <c r="E8" s="17">
        <f t="shared" si="0"/>
        <v>81.000000000000028</v>
      </c>
      <c r="F8" s="5" t="s">
        <v>74</v>
      </c>
      <c r="G8" s="5" t="s">
        <v>72</v>
      </c>
    </row>
    <row r="11" spans="1:7" ht="30" x14ac:dyDescent="0.25">
      <c r="A11" s="1" t="s">
        <v>32</v>
      </c>
      <c r="B11" s="1" t="s">
        <v>45</v>
      </c>
      <c r="C11" s="1" t="s">
        <v>13</v>
      </c>
    </row>
    <row r="12" spans="1:7" ht="60" x14ac:dyDescent="0.25">
      <c r="A12" s="3" t="s">
        <v>75</v>
      </c>
      <c r="B12" s="3" t="s">
        <v>76</v>
      </c>
      <c r="C12" s="8">
        <f>COUNTA(B6:B8)</f>
        <v>3</v>
      </c>
    </row>
    <row r="13" spans="1:7" ht="45" x14ac:dyDescent="0.25">
      <c r="A13" s="3" t="s">
        <v>77</v>
      </c>
      <c r="B13" s="3" t="s">
        <v>78</v>
      </c>
      <c r="C13" s="8">
        <f>MAX(C6:C8)</f>
        <v>100</v>
      </c>
    </row>
    <row r="14" spans="1:7" ht="75" x14ac:dyDescent="0.25">
      <c r="A14" s="3" t="s">
        <v>79</v>
      </c>
      <c r="B14" s="3" t="s">
        <v>80</v>
      </c>
      <c r="C14" s="8">
        <f>SUM(E6:E8)</f>
        <v>621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G1"/>
    <mergeCell ref="A3:G3"/>
  </mergeCells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000"/>
  <sheetViews>
    <sheetView tabSelected="1" workbookViewId="0">
      <selection activeCell="B6" sqref="B6"/>
    </sheetView>
  </sheetViews>
  <sheetFormatPr defaultColWidth="14.42578125" defaultRowHeight="15" customHeight="1" x14ac:dyDescent="0.25"/>
  <cols>
    <col min="1" max="1" width="28" customWidth="1"/>
    <col min="2" max="2" width="19" customWidth="1"/>
    <col min="3" max="3" width="24" customWidth="1"/>
    <col min="4" max="4" width="30" customWidth="1"/>
    <col min="5" max="5" width="18" customWidth="1"/>
    <col min="6" max="6" width="16" customWidth="1"/>
    <col min="7" max="26" width="8.7109375" customWidth="1"/>
  </cols>
  <sheetData>
    <row r="1" spans="1:6" ht="24" customHeight="1" x14ac:dyDescent="0.25">
      <c r="A1" s="28" t="s">
        <v>81</v>
      </c>
      <c r="B1" s="26"/>
      <c r="C1" s="26"/>
      <c r="D1" s="26"/>
      <c r="E1" s="26"/>
      <c r="F1" s="27"/>
    </row>
    <row r="3" spans="1:6" x14ac:dyDescent="0.25">
      <c r="A3" s="25" t="s">
        <v>82</v>
      </c>
      <c r="B3" s="26"/>
      <c r="C3" s="26"/>
      <c r="D3" s="26"/>
      <c r="E3" s="26"/>
      <c r="F3" s="27"/>
    </row>
    <row r="5" spans="1:6" x14ac:dyDescent="0.25">
      <c r="A5" s="2" t="s">
        <v>32</v>
      </c>
      <c r="B5" s="2" t="s">
        <v>13</v>
      </c>
      <c r="C5" s="2" t="s">
        <v>15</v>
      </c>
      <c r="D5" s="2" t="s">
        <v>33</v>
      </c>
      <c r="E5" s="2" t="s">
        <v>17</v>
      </c>
      <c r="F5" s="2" t="s">
        <v>83</v>
      </c>
    </row>
    <row r="6" spans="1:6" x14ac:dyDescent="0.25">
      <c r="A6" s="23" t="s">
        <v>131</v>
      </c>
      <c r="B6" s="7" t="s">
        <v>133</v>
      </c>
      <c r="C6" s="6" t="s">
        <v>35</v>
      </c>
      <c r="D6" s="5" t="s">
        <v>84</v>
      </c>
      <c r="E6" s="5" t="s">
        <v>85</v>
      </c>
      <c r="F6" s="3" t="s">
        <v>86</v>
      </c>
    </row>
    <row r="7" spans="1:6" x14ac:dyDescent="0.25">
      <c r="A7" s="23" t="s">
        <v>130</v>
      </c>
      <c r="B7" s="7">
        <v>250</v>
      </c>
      <c r="C7" s="6" t="s">
        <v>35</v>
      </c>
      <c r="D7" s="5" t="s">
        <v>87</v>
      </c>
      <c r="E7" s="5" t="s">
        <v>88</v>
      </c>
      <c r="F7" s="3" t="s">
        <v>89</v>
      </c>
    </row>
    <row r="8" spans="1:6" ht="17.25" customHeight="1" x14ac:dyDescent="0.25">
      <c r="A8" s="3" t="s">
        <v>38</v>
      </c>
      <c r="B8" s="4">
        <v>3</v>
      </c>
      <c r="C8" s="6" t="s">
        <v>35</v>
      </c>
      <c r="D8" s="5" t="s">
        <v>90</v>
      </c>
      <c r="E8" s="5" t="s">
        <v>91</v>
      </c>
      <c r="F8" s="3" t="s">
        <v>86</v>
      </c>
    </row>
    <row r="9" spans="1:6" x14ac:dyDescent="0.25">
      <c r="A9" s="23" t="s">
        <v>132</v>
      </c>
      <c r="B9" s="9">
        <v>0.17199999999999993</v>
      </c>
      <c r="C9" s="6" t="s">
        <v>35</v>
      </c>
      <c r="D9" s="5" t="s">
        <v>92</v>
      </c>
      <c r="E9" s="5" t="s">
        <v>93</v>
      </c>
      <c r="F9" s="3" t="s">
        <v>94</v>
      </c>
    </row>
    <row r="10" spans="1:6" ht="30" x14ac:dyDescent="0.25">
      <c r="A10" s="3" t="s">
        <v>95</v>
      </c>
      <c r="B10" s="10">
        <f>B7*B8</f>
        <v>750</v>
      </c>
      <c r="C10" s="6" t="s">
        <v>96</v>
      </c>
      <c r="D10" s="5" t="s">
        <v>97</v>
      </c>
      <c r="E10" s="5" t="s">
        <v>98</v>
      </c>
      <c r="F10" s="3" t="s">
        <v>89</v>
      </c>
    </row>
    <row r="11" spans="1:6" ht="30" x14ac:dyDescent="0.25">
      <c r="A11" s="3" t="s">
        <v>46</v>
      </c>
      <c r="B11" s="10">
        <f>B10*B9</f>
        <v>128.99999999999994</v>
      </c>
      <c r="C11" s="6" t="s">
        <v>99</v>
      </c>
      <c r="D11" s="5" t="s">
        <v>100</v>
      </c>
      <c r="E11" s="5" t="s">
        <v>101</v>
      </c>
      <c r="F11" s="3" t="s">
        <v>89</v>
      </c>
    </row>
    <row r="12" spans="1:6" ht="30" x14ac:dyDescent="0.25">
      <c r="A12" s="3" t="s">
        <v>49</v>
      </c>
      <c r="B12" s="10">
        <f>B10-B11</f>
        <v>621</v>
      </c>
      <c r="C12" s="6" t="s">
        <v>102</v>
      </c>
      <c r="D12" s="5" t="s">
        <v>103</v>
      </c>
      <c r="E12" s="5" t="s">
        <v>104</v>
      </c>
      <c r="F12" s="3" t="s">
        <v>89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F1"/>
    <mergeCell ref="A3:F3"/>
  </mergeCells>
  <pageMargins left="0.7" right="0.7" top="0.75" bottom="0.75" header="0" footer="0"/>
  <pageSetup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000"/>
  <sheetViews>
    <sheetView workbookViewId="0">
      <selection activeCell="D12" sqref="D12"/>
    </sheetView>
  </sheetViews>
  <sheetFormatPr defaultColWidth="14.42578125" defaultRowHeight="15" customHeight="1" x14ac:dyDescent="0.25"/>
  <cols>
    <col min="1" max="1" width="8" customWidth="1"/>
    <col min="2" max="2" width="42" customWidth="1"/>
    <col min="3" max="4" width="16" customWidth="1"/>
    <col min="5" max="5" width="18" customWidth="1"/>
    <col min="6" max="6" width="24" customWidth="1"/>
    <col min="7" max="7" width="16" customWidth="1"/>
    <col min="8" max="26" width="8.7109375" customWidth="1"/>
  </cols>
  <sheetData>
    <row r="1" spans="1:7" ht="24" customHeight="1" x14ac:dyDescent="0.25">
      <c r="A1" s="28" t="s">
        <v>105</v>
      </c>
      <c r="B1" s="26"/>
      <c r="C1" s="26"/>
      <c r="D1" s="26"/>
      <c r="E1" s="26"/>
      <c r="F1" s="26"/>
      <c r="G1" s="27"/>
    </row>
    <row r="3" spans="1:7" x14ac:dyDescent="0.25">
      <c r="A3" s="25" t="s">
        <v>106</v>
      </c>
      <c r="B3" s="26"/>
      <c r="C3" s="26"/>
      <c r="D3" s="26"/>
      <c r="E3" s="26"/>
      <c r="F3" s="26"/>
      <c r="G3" s="27"/>
    </row>
    <row r="5" spans="1:7" x14ac:dyDescent="0.25">
      <c r="A5" s="2" t="s">
        <v>68</v>
      </c>
      <c r="B5" s="2" t="s">
        <v>107</v>
      </c>
      <c r="C5" s="2" t="s">
        <v>108</v>
      </c>
      <c r="D5" s="2" t="s">
        <v>109</v>
      </c>
      <c r="E5" s="2" t="s">
        <v>110</v>
      </c>
      <c r="F5" s="2" t="s">
        <v>111</v>
      </c>
      <c r="G5" s="2" t="s">
        <v>112</v>
      </c>
    </row>
    <row r="6" spans="1:7" ht="30" x14ac:dyDescent="0.25">
      <c r="A6" s="3">
        <v>1</v>
      </c>
      <c r="B6" s="3" t="s">
        <v>113</v>
      </c>
      <c r="C6" s="24" t="s">
        <v>114</v>
      </c>
      <c r="D6" s="18" t="s">
        <v>114</v>
      </c>
      <c r="E6" s="8" t="str">
        <f t="shared" ref="E6:E10" si="0">IF(C6=D6,"Верно","Проверьте")</f>
        <v>Верно</v>
      </c>
      <c r="F6" s="5" t="s">
        <v>115</v>
      </c>
      <c r="G6" s="8">
        <f t="shared" ref="G6:G10" si="1">IF(E6="Верно",1,0)</f>
        <v>1</v>
      </c>
    </row>
    <row r="7" spans="1:7" ht="30" x14ac:dyDescent="0.25">
      <c r="A7" s="3">
        <v>2</v>
      </c>
      <c r="B7" s="3" t="s">
        <v>116</v>
      </c>
      <c r="C7" s="24">
        <v>10000</v>
      </c>
      <c r="D7" s="18">
        <v>10000</v>
      </c>
      <c r="E7" s="8" t="str">
        <f t="shared" si="0"/>
        <v>Верно</v>
      </c>
      <c r="F7" s="5" t="s">
        <v>117</v>
      </c>
      <c r="G7" s="8">
        <f t="shared" si="1"/>
        <v>1</v>
      </c>
    </row>
    <row r="8" spans="1:7" x14ac:dyDescent="0.25">
      <c r="A8" s="3">
        <v>3</v>
      </c>
      <c r="B8" s="3" t="s">
        <v>118</v>
      </c>
      <c r="C8" s="24">
        <v>3</v>
      </c>
      <c r="D8" s="18">
        <v>3</v>
      </c>
      <c r="E8" s="8" t="str">
        <f t="shared" si="0"/>
        <v>Верно</v>
      </c>
      <c r="F8" s="5" t="s">
        <v>119</v>
      </c>
      <c r="G8" s="8">
        <f t="shared" si="1"/>
        <v>1</v>
      </c>
    </row>
    <row r="9" spans="1:7" ht="30" x14ac:dyDescent="0.25">
      <c r="A9" s="3">
        <v>4</v>
      </c>
      <c r="B9" s="3" t="s">
        <v>120</v>
      </c>
      <c r="C9" s="24">
        <v>3</v>
      </c>
      <c r="D9" s="18">
        <v>3</v>
      </c>
      <c r="E9" s="8" t="str">
        <f t="shared" si="0"/>
        <v>Верно</v>
      </c>
      <c r="F9" s="5" t="s">
        <v>121</v>
      </c>
      <c r="G9" s="8">
        <f t="shared" si="1"/>
        <v>1</v>
      </c>
    </row>
    <row r="10" spans="1:7" ht="30" x14ac:dyDescent="0.25">
      <c r="A10" s="3">
        <v>5</v>
      </c>
      <c r="B10" s="3" t="s">
        <v>122</v>
      </c>
      <c r="C10" s="24">
        <v>120900</v>
      </c>
      <c r="D10" s="18">
        <v>120900</v>
      </c>
      <c r="E10" s="8" t="str">
        <f t="shared" si="0"/>
        <v>Верно</v>
      </c>
      <c r="F10" s="5" t="s">
        <v>123</v>
      </c>
      <c r="G10" s="8">
        <f t="shared" si="1"/>
        <v>1</v>
      </c>
    </row>
    <row r="12" spans="1:7" x14ac:dyDescent="0.25">
      <c r="F12" s="19" t="s">
        <v>124</v>
      </c>
      <c r="G12" s="20">
        <f>SUM(G6:G10)</f>
        <v>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2">
    <mergeCell ref="A1:G1"/>
    <mergeCell ref="A3:G3"/>
  </mergeCells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9DEAEBEBB66B4B88D66787F055A81B" ma:contentTypeVersion="11" ma:contentTypeDescription="Create a new document." ma:contentTypeScope="" ma:versionID="1b88847c9fe6b26fa67261bbb8b1c80a">
  <xsd:schema xmlns:xsd="http://www.w3.org/2001/XMLSchema" xmlns:xs="http://www.w3.org/2001/XMLSchema" xmlns:p="http://schemas.microsoft.com/office/2006/metadata/properties" xmlns:ns2="36208828-9969-4b73-bb77-f045d89e9554" xmlns:ns3="19a417cd-1461-4943-a860-4cb4d05c96be" targetNamespace="http://schemas.microsoft.com/office/2006/metadata/properties" ma:root="true" ma:fieldsID="4b81e6e864b9c373d4615dbe59b7e60e" ns2:_="" ns3:_="">
    <xsd:import namespace="36208828-9969-4b73-bb77-f045d89e9554"/>
    <xsd:import namespace="19a417cd-1461-4943-a860-4cb4d05c96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208828-9969-4b73-bb77-f045d89e95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337a3fc-4456-4954-9b0b-07bfd45f79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a417cd-1461-4943-a860-4cb4d05c96be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59379c40-fa90-4dde-8395-12c6c804e41a}" ma:internalName="TaxCatchAll" ma:showField="CatchAllData" ma:web="19a417cd-1461-4943-a860-4cb4d05c96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9a417cd-1461-4943-a860-4cb4d05c96be" xsi:nil="true"/>
    <lcf76f155ced4ddcb4097134ff3c332f xmlns="36208828-9969-4b73-bb77-f045d89e9554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BF0C5A-D0BC-4B6D-8F49-4C789912E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208828-9969-4b73-bb77-f045d89e9554"/>
    <ds:schemaRef ds:uri="19a417cd-1461-4943-a860-4cb4d05c96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611745-9683-48BF-A3CF-41EF3A9B7F56}">
  <ds:schemaRefs>
    <ds:schemaRef ds:uri="http://schemas.microsoft.com/office/2006/metadata/properties"/>
    <ds:schemaRef ds:uri="http://schemas.microsoft.com/office/infopath/2007/PartnerControls"/>
    <ds:schemaRef ds:uri="19a417cd-1461-4943-a860-4cb4d05c96be"/>
    <ds:schemaRef ds:uri="36208828-9969-4b73-bb77-f045d89e9554"/>
  </ds:schemaRefs>
</ds:datastoreItem>
</file>

<file path=customXml/itemProps3.xml><?xml version="1.0" encoding="utf-8"?>
<ds:datastoreItem xmlns:ds="http://schemas.openxmlformats.org/officeDocument/2006/customXml" ds:itemID="{ECD1B40E-24E0-4958-B128-B82D4E14CB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0_Теория</vt:lpstr>
      <vt:lpstr>1_Переменные</vt:lpstr>
      <vt:lpstr>2_Арифметика</vt:lpstr>
      <vt:lpstr>3_Преобразование</vt:lpstr>
      <vt:lpstr>4_Таблица_и_списки</vt:lpstr>
      <vt:lpstr>5_Минизадача</vt:lpstr>
      <vt:lpstr>6_Тест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Ivan Konyshev</cp:lastModifiedBy>
  <dcterms:modified xsi:type="dcterms:W3CDTF">2026-08-13T14:30:33Z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0x010100619DEAEBEBB66B4B88D66787F055A81B</vt:lpwstr>
  </property>
</Properties>
</file>