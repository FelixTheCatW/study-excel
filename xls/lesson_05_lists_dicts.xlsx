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tudy\excel\study-excel\xls\"/>
    </mc:Choice>
  </mc:AlternateContent>
  <xr:revisionPtr revIDLastSave="0" documentId="13_ncr:1_{FA49A707-C94F-453E-A1F4-D76A29898C75}" xr6:coauthVersionLast="47" xr6:coauthVersionMax="47" xr10:uidLastSave="{00000000-0000-0000-0000-000000000000}"/>
  <bookViews>
    <workbookView xWindow="4245" yWindow="4245" windowWidth="27900" windowHeight="11835" activeTab="6" xr2:uid="{00000000-000D-0000-FFFF-FFFF00000000}"/>
  </bookViews>
  <sheets>
    <sheet name="0_Теория" sheetId="1" r:id="rId1"/>
    <sheet name="1_Список" sheetId="2" r:id="rId2"/>
    <sheet name="2_Изменение" sheetId="3" r:id="rId3"/>
    <sheet name="3_Словарь" sheetId="4" r:id="rId4"/>
    <sheet name="4_Таблица" sheetId="5" r:id="rId5"/>
    <sheet name="5_Минизадача" sheetId="6" r:id="rId6"/>
    <sheet name="6_Тест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6" l="1"/>
  <c r="I7" i="6"/>
  <c r="E7" i="6"/>
  <c r="E8" i="6"/>
  <c r="E9" i="6"/>
  <c r="E6" i="6"/>
  <c r="I8" i="6" s="1"/>
  <c r="E8" i="5"/>
  <c r="E7" i="5"/>
  <c r="E6" i="5"/>
  <c r="D6" i="4"/>
  <c r="D7" i="4"/>
  <c r="D8" i="4"/>
  <c r="D9" i="4"/>
  <c r="E9" i="7"/>
  <c r="G9" i="7" s="1"/>
  <c r="E8" i="7"/>
  <c r="G8" i="7" s="1"/>
  <c r="E7" i="7"/>
  <c r="G7" i="7" s="1"/>
  <c r="E6" i="7"/>
  <c r="G6" i="7" s="1"/>
  <c r="D8" i="2"/>
  <c r="D7" i="2"/>
  <c r="D6" i="2"/>
  <c r="G11" i="7" l="1"/>
</calcChain>
</file>

<file path=xl/sharedStrings.xml><?xml version="1.0" encoding="utf-8"?>
<sst xmlns="http://schemas.openxmlformats.org/spreadsheetml/2006/main" count="164" uniqueCount="114">
  <si>
    <t>Занятие 5. Списки, словари и табличное мышление</t>
  </si>
  <si>
    <t>Цель занятия</t>
  </si>
  <si>
    <t>Научиться хранить данные в списках и словарях и видеть в них структуру будущей таблицы.</t>
  </si>
  <si>
    <t>Темы</t>
  </si>
  <si>
    <t>Список, индексы, изменение списка, словарь, ключи, список словарей, мини-таблица заказов.</t>
  </si>
  <si>
    <t>Связь с Python</t>
  </si>
  <si>
    <t>Каждый лист соответствует одной практической ячейке из ноутбука занятия 5.</t>
  </si>
  <si>
    <t>Бизнес-контекст</t>
  </si>
  <si>
    <t>Товары, заказы, поля записи и расчёт выручки.</t>
  </si>
  <si>
    <t>Практическая ячейка 1. Список и доступ по индексу</t>
  </si>
  <si>
    <t>В Excel список удобно представить как один столбец значений.</t>
  </si>
  <si>
    <t>Индекс</t>
  </si>
  <si>
    <t>Элемент</t>
  </si>
  <si>
    <t>Формула Excel</t>
  </si>
  <si>
    <t>Результат</t>
  </si>
  <si>
    <t>Аналог в Python</t>
  </si>
  <si>
    <t>Комментарий</t>
  </si>
  <si>
    <t>Ноутбук</t>
  </si>
  <si>
    <t>'=INDEX($B$6:$B$9,1)</t>
  </si>
  <si>
    <t>products[0]</t>
  </si>
  <si>
    <t>Первый элемент</t>
  </si>
  <si>
    <t>Мышь</t>
  </si>
  <si>
    <t>'=INDEX($B$6:$B$9,4)</t>
  </si>
  <si>
    <t>products[-1]</t>
  </si>
  <si>
    <t>Последний элемент</t>
  </si>
  <si>
    <t>Клавиатура</t>
  </si>
  <si>
    <t>'=COUNTA($B$6:$B$9)</t>
  </si>
  <si>
    <t>len(products)</t>
  </si>
  <si>
    <t>Количество элементов</t>
  </si>
  <si>
    <t>Монитор</t>
  </si>
  <si>
    <t>Практическая ячейка 2. Изменение списка и добавление элементов</t>
  </si>
  <si>
    <t>Слева исходный список, справа обновлённый. Это аналог изменения элемента и append().</t>
  </si>
  <si>
    <t>Исходный индекс</t>
  </si>
  <si>
    <t>Исходный элемент</t>
  </si>
  <si>
    <t>Новый индекс</t>
  </si>
  <si>
    <t>Новый элемент</t>
  </si>
  <si>
    <t>Беспроводная мышь</t>
  </si>
  <si>
    <t>'=замена элемента</t>
  </si>
  <si>
    <t>products[1] = "Беспроводная мышь"</t>
  </si>
  <si>
    <t>Изменение элемента</t>
  </si>
  <si>
    <t>Гарнитура</t>
  </si>
  <si>
    <t>'=append() -&gt; новый элемент</t>
  </si>
  <si>
    <t>products.append("Гарнитура")</t>
  </si>
  <si>
    <t>Добавление элемента</t>
  </si>
  <si>
    <t>Практическая ячейка 3. Словарь и ключи</t>
  </si>
  <si>
    <t>Словарь удобно представить как таблицу «ключ — значение».</t>
  </si>
  <si>
    <t>Ключ</t>
  </si>
  <si>
    <t>Значение</t>
  </si>
  <si>
    <t>Запрос</t>
  </si>
  <si>
    <t>'=VLOOKUP(G6,$A$6:$B$9,2,FALSE)</t>
  </si>
  <si>
    <t>Значение по ключу</t>
  </si>
  <si>
    <t>'=VLOOKUP(G7,$A$6:$B$9,2,FALSE)</t>
  </si>
  <si>
    <t>Практическая ячейка 4. Список словарей как мини-таблица</t>
  </si>
  <si>
    <t>Каждый словарь можно представить как одну строку таблицы.</t>
  </si>
  <si>
    <t>Сумма</t>
  </si>
  <si>
    <t>'=B6*C6</t>
  </si>
  <si>
    <t>row["price"] * row["quantity"]</t>
  </si>
  <si>
    <t>Одна строка = одна запись</t>
  </si>
  <si>
    <t>'=B7*C7</t>
  </si>
  <si>
    <t>'=B8*C8</t>
  </si>
  <si>
    <t>Практическая ячейка 5. Мини-задача: заказы и общая выручка</t>
  </si>
  <si>
    <t>Суммируем выручку по строкам таблицы, как в цикле по списку словарей.</t>
  </si>
  <si>
    <t>Показатель</t>
  </si>
  <si>
    <t>row_total = row["price"] * row["quantity"]</t>
  </si>
  <si>
    <t>Расчёт суммы по записи</t>
  </si>
  <si>
    <t>Количество заказов</t>
  </si>
  <si>
    <t>Общая выручка</t>
  </si>
  <si>
    <t>Максимальная сумма строки</t>
  </si>
  <si>
    <t>'=B9*C9</t>
  </si>
  <si>
    <t>Ячейка 6. Самопроверка по теме списков и словарей</t>
  </si>
  <si>
    <t>Введите свой ответ в столбец C и проверьте себя автоматически.</t>
  </si>
  <si>
    <t>№</t>
  </si>
  <si>
    <t>Вопрос</t>
  </si>
  <si>
    <t>Ваш ответ</t>
  </si>
  <si>
    <t>Ожидается</t>
  </si>
  <si>
    <t>Проверка</t>
  </si>
  <si>
    <t>Что проверяем</t>
  </si>
  <si>
    <t>Баллы</t>
  </si>
  <si>
    <t>Какой первый элемент в ['A','B','C']?</t>
  </si>
  <si>
    <t/>
  </si>
  <si>
    <t>A</t>
  </si>
  <si>
    <t>Индексация списка</t>
  </si>
  <si>
    <t>Сколько элементов в ['A','B','C']?</t>
  </si>
  <si>
    <t>3</t>
  </si>
  <si>
    <t>len()</t>
  </si>
  <si>
    <t>Что возвращает ключ 'price' в словаре заказа?</t>
  </si>
  <si>
    <t>65000</t>
  </si>
  <si>
    <t>Доступ по ключу</t>
  </si>
  <si>
    <t>Чему равна сумма строк 100*2 и 50*3?</t>
  </si>
  <si>
    <t>350</t>
  </si>
  <si>
    <t>Список словарей</t>
  </si>
  <si>
    <t>Итог</t>
  </si>
  <si>
    <t>Яблоко</t>
  </si>
  <si>
    <t>Куриная грудка</t>
  </si>
  <si>
    <t>Овсянка</t>
  </si>
  <si>
    <t>Лосось</t>
  </si>
  <si>
    <t>Брокколи</t>
  </si>
  <si>
    <t>Миндаль</t>
  </si>
  <si>
    <t>Банан</t>
  </si>
  <si>
    <t>Фрукты</t>
  </si>
  <si>
    <t>product_name</t>
  </si>
  <si>
    <t>category</t>
  </si>
  <si>
    <t>calories</t>
  </si>
  <si>
    <t>protein</t>
  </si>
  <si>
    <t>product["product_name"]</t>
  </si>
  <si>
    <t>product["category"]</t>
  </si>
  <si>
    <t>product["calories"]</t>
  </si>
  <si>
    <t>product["protein"]</t>
  </si>
  <si>
    <t>=ВПР(G8;$A$6:$B$9;2;ЛОЖЬ)</t>
  </si>
  <si>
    <t>=ВПР(G9;$A$6:$B$9;2;ЛОЖЬ)</t>
  </si>
  <si>
    <t>Продукт</t>
  </si>
  <si>
    <t>Калорийность</t>
  </si>
  <si>
    <t>Вес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</si>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</sst>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E8F1FF"/>
      </patternFill>
    </fill>
    <fill>
      <patternFill patternType="solid">
        <fgColor rgb="FFF4F4F4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vertical="top" wrapText="1"/>
    </xf>
    <xf numFmtId="0" fontId="2" fillId="4" borderId="1" xfId="1" applyFont="1" applyFill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0" fillId="5" borderId="1" xfId="1" applyFont="1" applyFill="1" applyBorder="1" applyAlignment="1">
      <alignment vertical="top" wrapText="1"/>
    </xf>
    <xf numFmtId="0" fontId="0" fillId="6" borderId="1" xfId="1" applyFont="1" applyFill="1" applyBorder="1" applyAlignment="1">
      <alignment vertical="top" wrapText="1"/>
    </xf>
    <xf numFmtId="0" fontId="0" fillId="7" borderId="1" xfId="1" applyFont="1" applyFill="1" applyBorder="1" applyAlignment="1">
      <alignment vertical="top" wrapText="1"/>
    </xf>
    <xf numFmtId="0" fontId="0" fillId="8" borderId="1" xfId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0" fillId="0" borderId="1" xfId="1" quotePrefix="1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5" x14ac:dyDescent="0.25"/>
  <cols>
    <col min="1" max="1" width="22" customWidth="1"/>
    <col min="2" max="2" width="84" customWidth="1"/>
    <col min="3" max="3" width="18" customWidth="1"/>
    <col min="4" max="4" width="32" customWidth="1"/>
    <col min="5" max="5" width="24" customWidth="1"/>
    <col min="6" max="6" width="30" customWidth="1"/>
    <col min="7" max="7" width="24" customWidth="1"/>
  </cols>
  <sheetData>
    <row r="1" spans="1:7" ht="18.75" x14ac:dyDescent="0.25">
      <c r="A1" s="9" t="s">
        <v>0</v>
      </c>
      <c r="B1" s="10"/>
      <c r="C1" s="10"/>
      <c r="D1" s="10"/>
      <c r="E1" s="10"/>
      <c r="F1" s="10"/>
      <c r="G1" s="10"/>
    </row>
    <row r="3" spans="1:7" ht="38.1" customHeight="1" x14ac:dyDescent="0.25">
      <c r="A3" s="1" t="s">
        <v>1</v>
      </c>
      <c r="B3" s="2" t="s">
        <v>2</v>
      </c>
    </row>
    <row r="5" spans="1:7" ht="38.1" customHeight="1" x14ac:dyDescent="0.25">
      <c r="A5" s="1" t="s">
        <v>3</v>
      </c>
      <c r="B5" s="2" t="s">
        <v>4</v>
      </c>
    </row>
    <row r="7" spans="1:7" ht="38.1" customHeight="1" x14ac:dyDescent="0.25">
      <c r="A7" s="1" t="s">
        <v>5</v>
      </c>
      <c r="B7" s="2" t="s">
        <v>6</v>
      </c>
    </row>
    <row r="9" spans="1:7" ht="38.1" customHeight="1" x14ac:dyDescent="0.25">
      <c r="A9" s="1" t="s">
        <v>7</v>
      </c>
      <c r="B9" s="2" t="s">
        <v>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9" sqref="D9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32" customWidth="1"/>
    <col min="5" max="5" width="24" customWidth="1"/>
    <col min="6" max="6" width="30" customWidth="1"/>
  </cols>
  <sheetData>
    <row r="1" spans="1:6" ht="18.75" x14ac:dyDescent="0.25">
      <c r="A1" s="9" t="s">
        <v>9</v>
      </c>
      <c r="B1" s="10"/>
      <c r="C1" s="10"/>
      <c r="D1" s="10"/>
      <c r="E1" s="10"/>
      <c r="F1" s="10"/>
    </row>
    <row r="3" spans="1:6" ht="75" x14ac:dyDescent="0.25">
      <c r="A3" s="2" t="s">
        <v>10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</row>
    <row r="6" spans="1:6" ht="30" x14ac:dyDescent="0.25">
      <c r="A6">
        <v>1</v>
      </c>
      <c r="B6" t="s">
        <v>92</v>
      </c>
      <c r="C6" s="4" t="s">
        <v>18</v>
      </c>
      <c r="D6" s="6" t="str">
        <f>INDEX($B$6:$B$9,1)</f>
        <v>Яблоко</v>
      </c>
      <c r="E6" s="4" t="s">
        <v>19</v>
      </c>
      <c r="F6" s="4" t="s">
        <v>20</v>
      </c>
    </row>
    <row r="7" spans="1:6" ht="30" x14ac:dyDescent="0.25">
      <c r="A7">
        <v>2</v>
      </c>
      <c r="B7" t="s">
        <v>93</v>
      </c>
      <c r="C7" s="4" t="s">
        <v>22</v>
      </c>
      <c r="D7" s="6">
        <f>INDEX($B$6:$B$9,4)</f>
        <v>0</v>
      </c>
      <c r="E7" s="4" t="s">
        <v>23</v>
      </c>
      <c r="F7" s="4" t="s">
        <v>24</v>
      </c>
    </row>
    <row r="8" spans="1:6" ht="30" x14ac:dyDescent="0.25">
      <c r="A8">
        <v>3</v>
      </c>
      <c r="B8" t="s">
        <v>94</v>
      </c>
      <c r="C8" s="4" t="s">
        <v>26</v>
      </c>
      <c r="D8" s="6">
        <f>COUNTA($B$6:$B$9)</f>
        <v>3</v>
      </c>
      <c r="E8" s="4" t="s">
        <v>27</v>
      </c>
      <c r="F8" s="4" t="s">
        <v>28</v>
      </c>
    </row>
    <row r="9" spans="1:6" x14ac:dyDescent="0.25">
      <c r="C9" s="4"/>
      <c r="D9" s="4"/>
      <c r="E9" s="4"/>
      <c r="F9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D31" sqref="D31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32" customWidth="1"/>
    <col min="5" max="5" width="24" customWidth="1"/>
    <col min="6" max="6" width="30" customWidth="1"/>
    <col min="7" max="7" width="24" customWidth="1"/>
  </cols>
  <sheetData>
    <row r="1" spans="1:7" ht="18.75" x14ac:dyDescent="0.25">
      <c r="A1" s="9" t="s">
        <v>30</v>
      </c>
      <c r="B1" s="10"/>
      <c r="C1" s="10"/>
      <c r="D1" s="10"/>
      <c r="E1" s="10"/>
      <c r="F1" s="10"/>
      <c r="G1" s="10"/>
    </row>
    <row r="3" spans="1:7" ht="105" x14ac:dyDescent="0.25">
      <c r="A3" s="2" t="s">
        <v>31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ht="30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13</v>
      </c>
      <c r="F5" s="3" t="s">
        <v>15</v>
      </c>
      <c r="G5" s="3" t="s">
        <v>16</v>
      </c>
    </row>
    <row r="6" spans="1:7" x14ac:dyDescent="0.25">
      <c r="A6" s="4">
        <v>0</v>
      </c>
      <c r="B6" s="5" t="s">
        <v>17</v>
      </c>
      <c r="C6" s="4">
        <v>0</v>
      </c>
      <c r="D6" s="6" t="s">
        <v>17</v>
      </c>
      <c r="E6" s="4"/>
      <c r="F6" s="4"/>
      <c r="G6" s="4"/>
    </row>
    <row r="7" spans="1:7" ht="30" x14ac:dyDescent="0.25">
      <c r="A7" s="4">
        <v>1</v>
      </c>
      <c r="B7" s="5" t="s">
        <v>21</v>
      </c>
      <c r="C7" s="4">
        <v>1</v>
      </c>
      <c r="D7" s="6" t="s">
        <v>36</v>
      </c>
      <c r="E7" s="4" t="s">
        <v>37</v>
      </c>
      <c r="F7" s="4" t="s">
        <v>38</v>
      </c>
      <c r="G7" s="4" t="s">
        <v>39</v>
      </c>
    </row>
    <row r="8" spans="1:7" x14ac:dyDescent="0.25">
      <c r="A8" s="4">
        <v>2</v>
      </c>
      <c r="B8" s="5" t="s">
        <v>25</v>
      </c>
      <c r="C8" s="4">
        <v>2</v>
      </c>
      <c r="D8" s="6" t="s">
        <v>25</v>
      </c>
      <c r="E8" s="4"/>
      <c r="F8" s="4"/>
      <c r="G8" s="4"/>
    </row>
    <row r="9" spans="1:7" x14ac:dyDescent="0.25">
      <c r="A9" s="4">
        <v>3</v>
      </c>
      <c r="B9" s="5" t="s">
        <v>29</v>
      </c>
      <c r="C9" s="4">
        <v>3</v>
      </c>
      <c r="D9" s="6" t="s">
        <v>29</v>
      </c>
      <c r="E9" s="4"/>
      <c r="F9" s="4"/>
      <c r="G9" s="4"/>
    </row>
    <row r="10" spans="1:7" ht="30" x14ac:dyDescent="0.25">
      <c r="A10" s="4"/>
      <c r="B10" s="4"/>
      <c r="C10" s="4">
        <v>4</v>
      </c>
      <c r="D10" s="7" t="s">
        <v>40</v>
      </c>
      <c r="E10" s="4" t="s">
        <v>41</v>
      </c>
      <c r="F10" s="4" t="s">
        <v>42</v>
      </c>
      <c r="G10" s="4" t="s">
        <v>43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5" sqref="B5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32" customWidth="1"/>
    <col min="5" max="5" width="24" customWidth="1"/>
    <col min="6" max="6" width="30" customWidth="1"/>
    <col min="7" max="7" width="24" customWidth="1"/>
  </cols>
  <sheetData>
    <row r="1" spans="1:7" ht="18.75" x14ac:dyDescent="0.25">
      <c r="A1" s="9" t="s">
        <v>44</v>
      </c>
      <c r="B1" s="10"/>
      <c r="C1" s="10"/>
      <c r="D1" s="10"/>
      <c r="E1" s="10"/>
      <c r="F1" s="10"/>
      <c r="G1" s="10"/>
    </row>
    <row r="3" spans="1:7" ht="60" x14ac:dyDescent="0.25">
      <c r="A3" s="2" t="s">
        <v>45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3" t="s">
        <v>46</v>
      </c>
      <c r="B5" s="3" t="s">
        <v>47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48</v>
      </c>
    </row>
    <row r="6" spans="1:7" ht="30" x14ac:dyDescent="0.25">
      <c r="A6" t="s">
        <v>100</v>
      </c>
      <c r="B6" t="s">
        <v>92</v>
      </c>
      <c r="C6" s="4" t="s">
        <v>49</v>
      </c>
      <c r="D6" s="6" t="str">
        <f>VLOOKUP(G6,$A$6:$B$9,2,FALSE)</f>
        <v>Яблоко</v>
      </c>
      <c r="E6" s="4" t="s">
        <v>104</v>
      </c>
      <c r="F6" s="4" t="s">
        <v>50</v>
      </c>
      <c r="G6" t="s">
        <v>100</v>
      </c>
    </row>
    <row r="7" spans="1:7" ht="30" x14ac:dyDescent="0.25">
      <c r="A7" t="s">
        <v>101</v>
      </c>
      <c r="B7" t="s">
        <v>99</v>
      </c>
      <c r="C7" s="4" t="s">
        <v>51</v>
      </c>
      <c r="D7" s="6" t="str">
        <f>VLOOKUP(G7,$A$6:$B$9,2,FALSE)</f>
        <v>Фрукты</v>
      </c>
      <c r="E7" s="4" t="s">
        <v>105</v>
      </c>
      <c r="F7" s="4" t="s">
        <v>50</v>
      </c>
      <c r="G7" t="s">
        <v>101</v>
      </c>
    </row>
    <row r="8" spans="1:7" ht="30" x14ac:dyDescent="0.25">
      <c r="A8" t="s">
        <v>102</v>
      </c>
      <c r="B8">
        <v>52</v>
      </c>
      <c r="C8" s="11" t="s">
        <v>108</v>
      </c>
      <c r="D8" s="6">
        <f t="shared" ref="D8:D9" si="0">VLOOKUP(G8,$A$6:$B$9,2,FALSE)</f>
        <v>52</v>
      </c>
      <c r="E8" s="4" t="s">
        <v>106</v>
      </c>
      <c r="F8" s="4" t="s">
        <v>50</v>
      </c>
      <c r="G8" t="s">
        <v>102</v>
      </c>
    </row>
    <row r="9" spans="1:7" ht="30" x14ac:dyDescent="0.25">
      <c r="A9" t="s">
        <v>103</v>
      </c>
      <c r="B9">
        <v>0.3</v>
      </c>
      <c r="C9" s="11" t="s">
        <v>109</v>
      </c>
      <c r="D9" s="6">
        <f t="shared" si="0"/>
        <v>0.3</v>
      </c>
      <c r="E9" s="4" t="s">
        <v>107</v>
      </c>
      <c r="F9" s="4" t="s">
        <v>50</v>
      </c>
      <c r="G9" t="s">
        <v>103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E9" sqref="E9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32" customWidth="1"/>
    <col min="5" max="5" width="24" customWidth="1"/>
    <col min="6" max="6" width="30" customWidth="1"/>
    <col min="7" max="7" width="24" customWidth="1"/>
  </cols>
  <sheetData>
    <row r="1" spans="1:7" ht="18.75" x14ac:dyDescent="0.25">
      <c r="A1" s="9" t="s">
        <v>52</v>
      </c>
      <c r="B1" s="10"/>
      <c r="C1" s="10"/>
      <c r="D1" s="10"/>
      <c r="E1" s="10"/>
      <c r="F1" s="10"/>
      <c r="G1" s="10"/>
    </row>
    <row r="3" spans="1:7" ht="75" x14ac:dyDescent="0.25">
      <c r="A3" s="2" t="s">
        <v>53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3" t="s">
        <v>110</v>
      </c>
      <c r="B5" s="3" t="s">
        <v>111</v>
      </c>
      <c r="C5" s="3" t="s">
        <v>112</v>
      </c>
      <c r="D5" s="3" t="s">
        <v>13</v>
      </c>
      <c r="E5" s="3" t="s">
        <v>113</v>
      </c>
      <c r="F5" s="3" t="s">
        <v>15</v>
      </c>
      <c r="G5" s="3" t="s">
        <v>16</v>
      </c>
    </row>
    <row r="6" spans="1:7" ht="30" x14ac:dyDescent="0.25">
      <c r="A6" t="s">
        <v>92</v>
      </c>
      <c r="B6">
        <v>52</v>
      </c>
      <c r="C6" s="5">
        <v>300</v>
      </c>
      <c r="D6" s="4" t="s">
        <v>55</v>
      </c>
      <c r="E6" s="6">
        <f>B6*C6/100</f>
        <v>156</v>
      </c>
      <c r="F6" s="4" t="s">
        <v>56</v>
      </c>
      <c r="G6" s="4" t="s">
        <v>57</v>
      </c>
    </row>
    <row r="7" spans="1:7" ht="30" x14ac:dyDescent="0.25">
      <c r="A7" t="s">
        <v>93</v>
      </c>
      <c r="B7">
        <v>165</v>
      </c>
      <c r="C7" s="5">
        <v>250</v>
      </c>
      <c r="D7" s="4" t="s">
        <v>58</v>
      </c>
      <c r="E7" s="6">
        <f>B7*C7/100</f>
        <v>412.5</v>
      </c>
      <c r="F7" s="4" t="s">
        <v>56</v>
      </c>
      <c r="G7" s="4" t="s">
        <v>57</v>
      </c>
    </row>
    <row r="8" spans="1:7" ht="30" x14ac:dyDescent="0.25">
      <c r="A8" t="s">
        <v>94</v>
      </c>
      <c r="B8">
        <v>389</v>
      </c>
      <c r="C8" s="5">
        <v>200</v>
      </c>
      <c r="D8" s="4" t="s">
        <v>59</v>
      </c>
      <c r="E8" s="6">
        <f>B8*C8/100</f>
        <v>778</v>
      </c>
      <c r="F8" s="4" t="s">
        <v>56</v>
      </c>
      <c r="G8" s="4" t="s">
        <v>57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I8" sqref="I8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32" customWidth="1"/>
    <col min="5" max="5" width="24" customWidth="1"/>
    <col min="6" max="6" width="30" customWidth="1"/>
    <col min="7" max="8" width="24" customWidth="1"/>
    <col min="9" max="9" width="20" customWidth="1"/>
  </cols>
  <sheetData>
    <row r="1" spans="1:9" ht="18.75" x14ac:dyDescent="0.25">
      <c r="A1" s="9" t="s">
        <v>60</v>
      </c>
      <c r="B1" s="10"/>
      <c r="C1" s="10"/>
      <c r="D1" s="10"/>
      <c r="E1" s="10"/>
      <c r="F1" s="10"/>
      <c r="G1" s="10"/>
      <c r="H1" s="10"/>
      <c r="I1" s="10"/>
    </row>
    <row r="3" spans="1:9" ht="90" x14ac:dyDescent="0.25">
      <c r="A3" s="2" t="s">
        <v>61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110</v>
      </c>
      <c r="B5" s="3" t="s">
        <v>111</v>
      </c>
      <c r="C5" s="3" t="s">
        <v>112</v>
      </c>
      <c r="D5" s="3" t="s">
        <v>13</v>
      </c>
      <c r="E5" s="3" t="s">
        <v>54</v>
      </c>
      <c r="F5" s="3" t="s">
        <v>15</v>
      </c>
      <c r="G5" s="3" t="s">
        <v>16</v>
      </c>
      <c r="H5" s="3" t="s">
        <v>62</v>
      </c>
      <c r="I5" s="3" t="s">
        <v>47</v>
      </c>
    </row>
    <row r="6" spans="1:9" ht="30" x14ac:dyDescent="0.25">
      <c r="A6" t="s">
        <v>95</v>
      </c>
      <c r="B6">
        <v>208</v>
      </c>
      <c r="C6" s="5">
        <v>350</v>
      </c>
      <c r="D6" s="4" t="s">
        <v>55</v>
      </c>
      <c r="E6" s="6">
        <f>B6*C6/100</f>
        <v>728</v>
      </c>
      <c r="F6" s="4" t="s">
        <v>63</v>
      </c>
      <c r="G6" s="4" t="s">
        <v>64</v>
      </c>
      <c r="H6" s="4" t="s">
        <v>65</v>
      </c>
      <c r="I6" s="7">
        <f>COUNTA(A6:A9)</f>
        <v>4</v>
      </c>
    </row>
    <row r="7" spans="1:9" ht="30" x14ac:dyDescent="0.25">
      <c r="A7" t="s">
        <v>96</v>
      </c>
      <c r="B7">
        <v>34</v>
      </c>
      <c r="C7" s="5">
        <v>250</v>
      </c>
      <c r="D7" s="4" t="s">
        <v>58</v>
      </c>
      <c r="E7" s="6">
        <f t="shared" ref="E7:E9" si="0">B7*C7/100</f>
        <v>85</v>
      </c>
      <c r="F7" s="4" t="s">
        <v>63</v>
      </c>
      <c r="G7" s="4" t="s">
        <v>64</v>
      </c>
      <c r="H7" s="4" t="s">
        <v>66</v>
      </c>
      <c r="I7" s="7">
        <f>SUM(E6:E9)</f>
        <v>1416.25</v>
      </c>
    </row>
    <row r="8" spans="1:9" ht="30" x14ac:dyDescent="0.25">
      <c r="A8" t="s">
        <v>97</v>
      </c>
      <c r="B8">
        <v>579</v>
      </c>
      <c r="C8" s="5">
        <v>55</v>
      </c>
      <c r="D8" s="4" t="s">
        <v>59</v>
      </c>
      <c r="E8" s="6">
        <f t="shared" si="0"/>
        <v>318.45</v>
      </c>
      <c r="F8" s="4" t="s">
        <v>63</v>
      </c>
      <c r="G8" s="4" t="s">
        <v>64</v>
      </c>
      <c r="H8" s="4" t="s">
        <v>67</v>
      </c>
      <c r="I8" s="7">
        <f>MAX(E6:E9)</f>
        <v>728</v>
      </c>
    </row>
    <row r="9" spans="1:9" ht="30" x14ac:dyDescent="0.25">
      <c r="A9" t="s">
        <v>98</v>
      </c>
      <c r="B9">
        <v>89</v>
      </c>
      <c r="C9" s="5">
        <v>320</v>
      </c>
      <c r="D9" s="4" t="s">
        <v>68</v>
      </c>
      <c r="E9" s="6">
        <f t="shared" si="0"/>
        <v>284.8</v>
      </c>
      <c r="F9" s="4" t="s">
        <v>63</v>
      </c>
      <c r="G9" s="4" t="s">
        <v>64</v>
      </c>
      <c r="H9" s="4"/>
      <c r="I9" s="7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tabSelected="1" workbookViewId="0">
      <selection activeCell="D13" sqref="D13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32" customWidth="1"/>
    <col min="5" max="5" width="24" customWidth="1"/>
    <col min="6" max="6" width="30" customWidth="1"/>
    <col min="7" max="7" width="24" customWidth="1"/>
  </cols>
  <sheetData>
    <row r="1" spans="1:7" ht="18.75" x14ac:dyDescent="0.25">
      <c r="A1" s="9" t="s">
        <v>69</v>
      </c>
      <c r="B1" s="10"/>
      <c r="C1" s="10"/>
      <c r="D1" s="10"/>
      <c r="E1" s="10"/>
      <c r="F1" s="10"/>
      <c r="G1" s="10"/>
    </row>
    <row r="3" spans="1:7" ht="75" x14ac:dyDescent="0.25">
      <c r="A3" s="2" t="s">
        <v>70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3" t="s">
        <v>71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</row>
    <row r="6" spans="1:7" ht="45" x14ac:dyDescent="0.25">
      <c r="A6" s="4">
        <v>1</v>
      </c>
      <c r="B6" s="4" t="s">
        <v>78</v>
      </c>
      <c r="C6" s="8" t="s">
        <v>80</v>
      </c>
      <c r="D6" s="4" t="s">
        <v>80</v>
      </c>
      <c r="E6" s="6" t="str">
        <f>IF(C6=D6,"Верно","Проверьте")</f>
        <v>Верно</v>
      </c>
      <c r="F6" s="4" t="s">
        <v>81</v>
      </c>
      <c r="G6" s="6">
        <f>IF(E6="Верно",1,0)</f>
        <v>1</v>
      </c>
    </row>
    <row r="7" spans="1:7" ht="30" x14ac:dyDescent="0.25">
      <c r="A7" s="4">
        <v>2</v>
      </c>
      <c r="B7" s="4" t="s">
        <v>82</v>
      </c>
      <c r="C7" s="8" t="s">
        <v>83</v>
      </c>
      <c r="D7" s="4" t="s">
        <v>83</v>
      </c>
      <c r="E7" s="6" t="str">
        <f>IF(C7=D7,"Верно","Проверьте")</f>
        <v>Верно</v>
      </c>
      <c r="F7" s="4" t="s">
        <v>84</v>
      </c>
      <c r="G7" s="6">
        <f>IF(E7="Верно",1,0)</f>
        <v>1</v>
      </c>
    </row>
    <row r="8" spans="1:7" ht="45" x14ac:dyDescent="0.25">
      <c r="A8" s="4">
        <v>3</v>
      </c>
      <c r="B8" s="4" t="s">
        <v>85</v>
      </c>
      <c r="C8" s="8" t="s">
        <v>86</v>
      </c>
      <c r="D8" s="4" t="s">
        <v>86</v>
      </c>
      <c r="E8" s="6" t="str">
        <f>IF(C8=D8,"Верно","Проверьте")</f>
        <v>Верно</v>
      </c>
      <c r="F8" s="4" t="s">
        <v>87</v>
      </c>
      <c r="G8" s="6">
        <f>IF(E8="Верно",1,0)</f>
        <v>1</v>
      </c>
    </row>
    <row r="9" spans="1:7" ht="30" x14ac:dyDescent="0.25">
      <c r="A9" s="4">
        <v>4</v>
      </c>
      <c r="B9" s="4" t="s">
        <v>88</v>
      </c>
      <c r="C9" s="8" t="s">
        <v>89</v>
      </c>
      <c r="D9" s="4" t="s">
        <v>89</v>
      </c>
      <c r="E9" s="6" t="str">
        <f>IF(C9=D9,"Верно","Проверьте")</f>
        <v>Верно</v>
      </c>
      <c r="F9" s="4" t="s">
        <v>90</v>
      </c>
      <c r="G9" s="6">
        <f>IF(E9="Верно",1,0)</f>
        <v>1</v>
      </c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7" t="s">
        <v>91</v>
      </c>
      <c r="G11" s="7">
        <f>SUM(G6:G9)</f>
        <v>4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B815C6-576B-40FD-A2E7-AD7CBA0A1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08828-9969-4b73-bb77-f045d89e9554"/>
    <ds:schemaRef ds:uri="19a417cd-1461-4943-a860-4cb4d05c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9E39AC-CF63-421C-8F6F-696651E31506}">
  <ds:schemaRefs>
    <ds:schemaRef ds:uri="http://schemas.microsoft.com/office/2006/metadata/properties"/>
    <ds:schemaRef ds:uri="http://schemas.microsoft.com/office/infopath/2007/PartnerControls"/>
    <ds:schemaRef ds:uri="19a417cd-1461-4943-a860-4cb4d05c96be"/>
    <ds:schemaRef ds:uri="36208828-9969-4b73-bb77-f045d89e9554"/>
  </ds:schemaRefs>
</ds:datastoreItem>
</file>

<file path=customXml/itemProps3.xml><?xml version="1.0" encoding="utf-8"?>
<ds:datastoreItem xmlns:ds="http://schemas.openxmlformats.org/officeDocument/2006/customXml" ds:itemID="{2D670BB2-FB96-400E-BA2D-2405B290FF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0_Теория</vt:lpstr>
      <vt:lpstr>1_Список</vt:lpstr>
      <vt:lpstr>2_Изменение</vt:lpstr>
      <vt:lpstr>3_Словарь</vt:lpstr>
      <vt:lpstr>4_Таблица</vt:lpstr>
      <vt:lpstr>5_Минизадача</vt:lpstr>
      <vt:lpstr>6_Тест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Konyshev</cp:lastModifiedBy>
  <dcterms:modified xsi:type="dcterms:W3CDTF">2026-08-24T08:21:54Z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